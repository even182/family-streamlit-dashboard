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drawings/drawing5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807" firstSheet="0" activeTab="1" autoFilterDateGrouping="1"/>
  </bookViews>
  <sheets>
    <sheet xmlns:r="http://schemas.openxmlformats.org/officeDocument/2006/relationships" name="總投報率" sheetId="1" state="visible" r:id="rId1"/>
    <sheet xmlns:r="http://schemas.openxmlformats.org/officeDocument/2006/relationships" name="2026" sheetId="2" state="visible" r:id="rId2"/>
    <sheet xmlns:r="http://schemas.openxmlformats.org/officeDocument/2006/relationships" name="25" sheetId="3" state="visible" r:id="rId3"/>
    <sheet xmlns:r="http://schemas.openxmlformats.org/officeDocument/2006/relationships" name="24" sheetId="4" state="visible" r:id="rId4"/>
    <sheet xmlns:r="http://schemas.openxmlformats.org/officeDocument/2006/relationships" name="23" sheetId="5" state="visible" r:id="rId5"/>
    <sheet xmlns:r="http://schemas.openxmlformats.org/officeDocument/2006/relationships" name="22" sheetId="6" state="visible" r:id="rId6"/>
    <sheet xmlns:r="http://schemas.openxmlformats.org/officeDocument/2006/relationships" name="21" sheetId="7" state="visible" r:id="rId7"/>
    <sheet xmlns:r="http://schemas.openxmlformats.org/officeDocument/2006/relationships" name="20" sheetId="8" state="visible" r:id="rId8"/>
    <sheet xmlns:r="http://schemas.openxmlformats.org/officeDocument/2006/relationships" name="19" sheetId="9" state="visible" r:id="rId9"/>
    <sheet xmlns:r="http://schemas.openxmlformats.org/officeDocument/2006/relationships" name="Family" sheetId="10" state="visible" r:id="rId10"/>
    <sheet xmlns:r="http://schemas.openxmlformats.org/officeDocument/2006/relationships" name="Richard" sheetId="11" state="visible" r:id="rId11"/>
    <sheet xmlns:r="http://schemas.openxmlformats.org/officeDocument/2006/relationships" name="台股行情" sheetId="12" state="visible" r:id="rId12"/>
    <sheet xmlns:r="http://schemas.openxmlformats.org/officeDocument/2006/relationships" name="美股行情" sheetId="13" state="visible" r:id="rId13"/>
    <sheet xmlns:r="http://schemas.openxmlformats.org/officeDocument/2006/relationships" name="匯率" sheetId="14" state="visible" r:id="rId14"/>
    <sheet xmlns:r="http://schemas.openxmlformats.org/officeDocument/2006/relationships" name="Family-帳戶紀錄_old" sheetId="15" state="hidden" r:id="rId15"/>
    <sheet xmlns:r="http://schemas.openxmlformats.org/officeDocument/2006/relationships" name="Family-帳戶紀錄" sheetId="16" state="visible" r:id="rId16"/>
    <sheet xmlns:r="http://schemas.openxmlformats.org/officeDocument/2006/relationships" name="Richard-帳戶紀錄" sheetId="17" state="visible" r:id="rId17"/>
    <sheet xmlns:r="http://schemas.openxmlformats.org/officeDocument/2006/relationships" name="改版紀錄" sheetId="18" state="visible" r:id="rId18"/>
  </sheets>
  <definedNames>
    <definedName name="_xleta.IF" hidden="1" xlm="1">#NAME?</definedName>
    <definedName name="_xleta.SUM" hidden="1" xlm="1">#NAME?</definedName>
    <definedName name="uHead">#REF!</definedName>
    <definedName name="_xlnm._FilterDatabase" localSheetId="1" hidden="1">'2026'!$A$1:$AA$85</definedName>
    <definedName name="_xlnm._FilterDatabase" localSheetId="2" hidden="1">'25'!$A$1:$AA$74</definedName>
    <definedName name="_xlnm._FilterDatabase" localSheetId="3" hidden="1">'24'!$A$1:$AA$65</definedName>
    <definedName name="_xlnm._FilterDatabase" localSheetId="4" hidden="1">'23'!$A$1:$AA$42</definedName>
    <definedName name="_xlnm._FilterDatabase" localSheetId="5" hidden="1">'22'!$A$1:$AA$58</definedName>
    <definedName name="_xlnm._FilterDatabase" localSheetId="6" hidden="1">'21'!$A$1:$AA$136</definedName>
    <definedName name="_xlnm._FilterDatabase" localSheetId="7" hidden="1">'20'!$A$1:$AA$47</definedName>
    <definedName name="_xlnm._FilterDatabase" localSheetId="8" hidden="1">'19'!$A$1:$AA$76</definedName>
    <definedName name="_xlnm._FilterDatabase" localSheetId="9" hidden="1">'Family'!$A$1:$AA$21</definedName>
    <definedName name="_xlnm._FilterDatabase" localSheetId="10" hidden="1">'Richard'!$A$1:$AA$116</definedName>
    <definedName name="外部資料_9" localSheetId="13" hidden="1">匯率!$A$2:$G$26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_);[Red]\(0\)"/>
    <numFmt numFmtId="165" formatCode="0_ ;[Red]\-0\ "/>
    <numFmt numFmtId="166" formatCode="0_ "/>
    <numFmt numFmtId="167" formatCode="#,##0.00%;[Red]\-#,##0.00%"/>
    <numFmt numFmtId="168" formatCode="&quot; ▲&quot;* 0.00;&quot; ▼&quot;* 0.00;&quot;－&quot;"/>
    <numFmt numFmtId="169" formatCode="yyyy"/>
    <numFmt numFmtId="170" formatCode="0.00_ "/>
    <numFmt numFmtId="171" formatCode="0.00%\ ;[Red]\-0.00%"/>
    <numFmt numFmtId="172" formatCode="&quot;-&quot;0_ "/>
    <numFmt numFmtId="173" formatCode="yyyy/mm/dd"/>
    <numFmt numFmtId="174" formatCode="0.00&quot;%&quot;"/>
    <numFmt numFmtId="175" formatCode="0.00_ ;[Red]\-0.00\ "/>
    <numFmt numFmtId="176" formatCode="0.00_);[Red]\(0.00\)"/>
    <numFmt numFmtId="177" formatCode="0\ &quot;總計&quot;"/>
    <numFmt numFmtId="178" formatCode="[$-409]h:mm\ AM/PM;@"/>
  </numFmts>
  <fonts count="102">
    <font>
      <name val="新細明體"/>
      <charset val="136"/>
      <family val="1"/>
      <sz val="12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1"/>
      <sz val="9"/>
    </font>
    <font>
      <name val="新細明體"/>
      <charset val="136"/>
      <family val="1"/>
      <sz val="12"/>
    </font>
    <font>
      <name val="新細明體"/>
      <charset val="136"/>
      <family val="2"/>
      <sz val="9"/>
      <scheme val="minor"/>
    </font>
    <font>
      <name val="新細明體"/>
      <charset val="136"/>
      <family val="1"/>
      <b val="1"/>
      <sz val="12"/>
    </font>
    <font>
      <name val="新細明體"/>
      <charset val="136"/>
      <family val="1"/>
      <b val="1"/>
      <color theme="1"/>
      <sz val="12"/>
      <scheme val="minor"/>
    </font>
    <font>
      <name val="新細明體"/>
      <charset val="136"/>
      <family val="1"/>
      <color theme="1"/>
      <sz val="12"/>
    </font>
    <font>
      <name val="新細明體"/>
      <charset val="136"/>
      <family val="1"/>
      <color indexed="17"/>
      <sz val="12"/>
    </font>
    <font>
      <name val="新細明體"/>
      <charset val="136"/>
      <family val="1"/>
      <b val="1"/>
      <color theme="0" tint="-0.499984740745262"/>
      <sz val="12"/>
    </font>
    <font>
      <name val="新細明體"/>
      <charset val="136"/>
      <family val="2"/>
      <color theme="1"/>
      <sz val="12"/>
    </font>
    <font>
      <name val="新細明體"/>
      <charset val="136"/>
      <family val="1"/>
      <color rgb="FFFF0000"/>
      <sz val="12"/>
    </font>
    <font>
      <name val="新細明體"/>
      <charset val="136"/>
      <family val="1"/>
      <color rgb="FF00B050"/>
      <sz val="12"/>
    </font>
    <font>
      <name val="新細明體"/>
      <charset val="136"/>
      <family val="2"/>
      <color rgb="FFFF0000"/>
      <sz val="12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新細明體"/>
      <charset val="136"/>
      <family val="1"/>
      <b val="1"/>
      <color indexed="9"/>
      <sz val="12"/>
    </font>
    <font>
      <name val="Arial"/>
      <family val="2"/>
      <b val="1"/>
      <color rgb="FFFF0000"/>
      <sz val="12"/>
    </font>
    <font>
      <name val="Arial"/>
      <family val="2"/>
      <b val="1"/>
      <color rgb="FF00B050"/>
      <sz val="12"/>
    </font>
    <font>
      <name val="細明體"/>
      <charset val="136"/>
      <family val="3"/>
      <color indexed="81"/>
      <sz val="9"/>
    </font>
    <font>
      <name val="新細明體"/>
      <charset val="136"/>
      <family val="1"/>
      <color indexed="81"/>
      <sz val="9"/>
      <scheme val="minor"/>
    </font>
    <font>
      <name val="新細明體"/>
      <charset val="136"/>
      <family val="2"/>
      <color rgb="FF00B050"/>
      <sz val="12"/>
    </font>
    <font>
      <name val="新細明體"/>
      <charset val="136"/>
      <family val="2"/>
      <color rgb="FFFF0000"/>
      <sz val="12"/>
      <scheme val="minor"/>
    </font>
    <font>
      <name val="新細明體"/>
      <charset val="136"/>
      <family val="1"/>
      <color theme="10"/>
      <sz val="12"/>
      <u val="single"/>
    </font>
    <font>
      <name val="Verdana"/>
      <family val="2"/>
      <color rgb="FF003F66"/>
      <sz val="10"/>
    </font>
    <font>
      <name val="Verdana"/>
      <family val="2"/>
      <i val="1"/>
      <color rgb="FF003F66"/>
      <sz val="10"/>
    </font>
    <font>
      <name val="新細明體"/>
      <charset val="136"/>
      <family val="2"/>
      <sz val="12"/>
      <scheme val="minor"/>
    </font>
    <font>
      <name val="新細明體"/>
      <charset val="136"/>
      <family val="1"/>
      <b val="1"/>
      <color rgb="FF7030A0"/>
      <sz val="12"/>
    </font>
    <font>
      <name val="Microsoft JhengHei"/>
      <charset val="136"/>
      <family val="1"/>
      <b val="1"/>
      <sz val="12"/>
    </font>
    <font>
      <name val="新細明體"/>
      <charset val="136"/>
      <family val="1"/>
      <color theme="1"/>
      <sz val="12"/>
      <scheme val="minor"/>
    </font>
    <font>
      <name val="新細明體"/>
      <charset val="136"/>
      <family val="1"/>
      <color rgb="FFFF0000"/>
      <sz val="12"/>
      <scheme val="minor"/>
    </font>
    <font>
      <name val="新細明體"/>
      <charset val="136"/>
      <family val="1"/>
      <b val="1"/>
      <color theme="1"/>
      <sz val="12"/>
    </font>
    <font>
      <name val="細明體"/>
      <charset val="136"/>
      <family val="3"/>
      <b val="1"/>
      <color rgb="FF003F66"/>
      <sz val="10"/>
    </font>
    <font>
      <name val="新細明體"/>
      <charset val="136"/>
      <family val="1"/>
      <sz val="12"/>
      <scheme val="minor"/>
    </font>
    <font>
      <name val="新細明體"/>
      <charset val="136"/>
      <family val="1"/>
      <b val="1"/>
      <color rgb="FFFF0000"/>
      <sz val="12"/>
    </font>
  </fonts>
  <fills count="18">
    <fill>
      <patternFill/>
    </fill>
    <fill>
      <patternFill patternType="gray125"/>
    </fill>
    <fill>
      <patternFill patternType="lightTrellis">
        <bgColor theme="0" tint="-0.3499862666707358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7999816888943144"/>
        <bgColor indexed="64"/>
      </patternFill>
    </fill>
  </fills>
  <borders count="6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</borders>
  <cellStyleXfs count="41">
    <xf numFmtId="0" fontId="70" fillId="0" borderId="0"/>
    <xf numFmtId="0" fontId="70" fillId="0" borderId="0"/>
    <xf numFmtId="0" fontId="68" fillId="0" borderId="0" applyAlignment="1">
      <alignment vertical="center"/>
    </xf>
    <xf numFmtId="0" fontId="75" fillId="3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70" fillId="0" borderId="0"/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  <xf numFmtId="0" fontId="90" fillId="0" borderId="0"/>
    <xf numFmtId="0" fontId="68" fillId="0" borderId="0" applyAlignment="1">
      <alignment vertical="center"/>
    </xf>
    <xf numFmtId="0" fontId="68" fillId="0" borderId="0" applyAlignment="1">
      <alignment vertical="center"/>
    </xf>
    <xf numFmtId="0" fontId="68" fillId="0" borderId="0" applyAlignment="1">
      <alignment vertical="center"/>
    </xf>
  </cellStyleXfs>
  <cellXfs count="566">
    <xf numFmtId="0" fontId="0" fillId="0" borderId="0" pivotButton="0" quotePrefix="0" xfId="0"/>
    <xf numFmtId="0" fontId="70" fillId="0" borderId="1" applyAlignment="1" pivotButton="0" quotePrefix="0" xfId="1">
      <alignment horizontal="left" vertical="center"/>
    </xf>
    <xf numFmtId="0" fontId="68" fillId="0" borderId="2" applyAlignment="1" pivotButton="0" quotePrefix="0" xfId="2">
      <alignment horizontal="center" vertical="center"/>
    </xf>
    <xf numFmtId="0" fontId="68" fillId="0" borderId="2" applyAlignment="1" pivotButton="0" quotePrefix="0" xfId="2">
      <alignment horizontal="left" vertical="center"/>
    </xf>
    <xf numFmtId="0" fontId="70" fillId="0" borderId="2" applyAlignment="1" pivotButton="0" quotePrefix="0" xfId="1">
      <alignment horizontal="left" vertical="center"/>
    </xf>
    <xf numFmtId="164" fontId="70" fillId="0" borderId="2" applyAlignment="1" pivotButton="0" quotePrefix="0" xfId="1">
      <alignment horizontal="left" vertical="center"/>
    </xf>
    <xf numFmtId="165" fontId="70" fillId="0" borderId="2" applyAlignment="1" pivotButton="0" quotePrefix="0" xfId="1">
      <alignment horizontal="left" vertical="center"/>
    </xf>
    <xf numFmtId="0" fontId="70" fillId="0" borderId="3" applyAlignment="1" pivotButton="0" quotePrefix="0" xfId="1">
      <alignment horizontal="center" vertical="center"/>
    </xf>
    <xf numFmtId="0" fontId="68" fillId="0" borderId="0" applyAlignment="1" pivotButton="0" quotePrefix="0" xfId="2">
      <alignment horizontal="left" vertical="center"/>
    </xf>
    <xf numFmtId="0" fontId="68" fillId="0" borderId="0" applyAlignment="1" pivotButton="0" quotePrefix="0" xfId="2">
      <alignment horizontal="center" vertical="center"/>
    </xf>
    <xf numFmtId="14" fontId="68" fillId="0" borderId="4" applyAlignment="1" pivotButton="0" quotePrefix="0" xfId="2">
      <alignment horizontal="center" vertical="center"/>
    </xf>
    <xf numFmtId="0" fontId="68" fillId="0" borderId="5" applyAlignment="1" pivotButton="0" quotePrefix="0" xfId="2">
      <alignment horizontal="center" vertical="center"/>
    </xf>
    <xf numFmtId="14" fontId="68" fillId="0" borderId="5" applyAlignment="1" pivotButton="0" quotePrefix="0" xfId="2">
      <alignment horizontal="center" vertical="center"/>
    </xf>
    <xf numFmtId="166" fontId="70" fillId="0" borderId="5" applyAlignment="1" pivotButton="0" quotePrefix="0" xfId="1">
      <alignment horizontal="center" vertical="center" wrapText="1"/>
    </xf>
    <xf numFmtId="165" fontId="70" fillId="0" borderId="5" applyAlignment="1" pivotButton="0" quotePrefix="0" xfId="1">
      <alignment horizontal="center" vertical="center" wrapText="1"/>
    </xf>
    <xf numFmtId="167" fontId="70" fillId="0" borderId="5" applyAlignment="1" pivotButton="0" quotePrefix="0" xfId="1">
      <alignment horizontal="center" vertical="center"/>
    </xf>
    <xf numFmtId="0" fontId="70" fillId="0" borderId="5" applyAlignment="1" pivotButton="0" quotePrefix="0" xfId="1">
      <alignment horizontal="center" vertical="center" wrapText="1"/>
    </xf>
    <xf numFmtId="0" fontId="70" fillId="0" borderId="5" applyAlignment="1" pivotButton="0" quotePrefix="0" xfId="1">
      <alignment horizontal="center" vertical="center"/>
    </xf>
    <xf numFmtId="14" fontId="68" fillId="2" borderId="4" applyAlignment="1" pivotButton="0" quotePrefix="0" xfId="2">
      <alignment horizontal="center" vertical="center"/>
    </xf>
    <xf numFmtId="0" fontId="68" fillId="2" borderId="5" applyAlignment="1" pivotButton="0" quotePrefix="0" xfId="2">
      <alignment horizontal="center" vertical="center"/>
    </xf>
    <xf numFmtId="49" fontId="68" fillId="2" borderId="5" applyAlignment="1" pivotButton="0" quotePrefix="0" xfId="2">
      <alignment horizontal="center" vertical="center"/>
    </xf>
    <xf numFmtId="14" fontId="70" fillId="2" borderId="5" applyAlignment="1" pivotButton="0" quotePrefix="0" xfId="1">
      <alignment horizontal="center" vertical="center" wrapText="1"/>
    </xf>
    <xf numFmtId="0" fontId="70" fillId="2" borderId="5" applyAlignment="1" pivotButton="0" quotePrefix="0" xfId="1">
      <alignment horizontal="center" vertical="center" wrapText="1"/>
    </xf>
    <xf numFmtId="164" fontId="70" fillId="2" borderId="5" applyAlignment="1" pivotButton="0" quotePrefix="0" xfId="1">
      <alignment horizontal="center" vertical="center" wrapText="1"/>
    </xf>
    <xf numFmtId="166" fontId="70" fillId="2" borderId="5" applyAlignment="1" pivotButton="0" quotePrefix="0" xfId="1">
      <alignment horizontal="center" vertical="center" wrapText="1"/>
    </xf>
    <xf numFmtId="165" fontId="70" fillId="2" borderId="5" applyAlignment="1" pivotButton="0" quotePrefix="0" xfId="1">
      <alignment horizontal="center" vertical="center" wrapText="1"/>
    </xf>
    <xf numFmtId="167" fontId="70" fillId="2" borderId="5" applyAlignment="1" pivotButton="0" quotePrefix="0" xfId="1">
      <alignment horizontal="center" vertical="center"/>
    </xf>
    <xf numFmtId="0" fontId="70" fillId="2" borderId="6" applyAlignment="1" pivotButton="0" quotePrefix="0" xfId="1">
      <alignment horizontal="center" vertical="center" wrapText="1"/>
    </xf>
    <xf numFmtId="0" fontId="68" fillId="0" borderId="0" applyAlignment="1" pivotButton="0" quotePrefix="0" xfId="2">
      <alignment vertical="center"/>
    </xf>
    <xf numFmtId="14" fontId="68" fillId="0" borderId="0" applyAlignment="1" pivotButton="0" quotePrefix="0" xfId="2">
      <alignment horizontal="center" vertical="center"/>
    </xf>
    <xf numFmtId="14" fontId="70" fillId="0" borderId="0" applyAlignment="1" pivotButton="0" quotePrefix="0" xfId="1">
      <alignment horizontal="center" vertical="center" wrapText="1"/>
    </xf>
    <xf numFmtId="0" fontId="70" fillId="0" borderId="0" applyAlignment="1" pivotButton="0" quotePrefix="0" xfId="1">
      <alignment horizontal="center" vertical="center" wrapText="1"/>
    </xf>
    <xf numFmtId="164" fontId="70" fillId="0" borderId="0" applyAlignment="1" pivotButton="0" quotePrefix="0" xfId="1">
      <alignment horizontal="center" vertical="center" wrapText="1"/>
    </xf>
    <xf numFmtId="166" fontId="70" fillId="0" borderId="0" applyAlignment="1" pivotButton="0" quotePrefix="0" xfId="1">
      <alignment horizontal="center" vertical="center" wrapText="1"/>
    </xf>
    <xf numFmtId="165" fontId="70" fillId="0" borderId="0" applyAlignment="1" pivotButton="0" quotePrefix="0" xfId="1">
      <alignment horizontal="center" vertical="center" wrapText="1"/>
    </xf>
    <xf numFmtId="167" fontId="70" fillId="0" borderId="0" applyAlignment="1" pivotButton="0" quotePrefix="0" xfId="1">
      <alignment horizontal="center" vertical="center"/>
    </xf>
    <xf numFmtId="0" fontId="73" fillId="0" borderId="0" applyAlignment="1" pivotButton="0" quotePrefix="0" xfId="2">
      <alignment horizontal="center" vertical="center"/>
    </xf>
    <xf numFmtId="0" fontId="74" fillId="0" borderId="0" applyAlignment="1" pivotButton="0" quotePrefix="0" xfId="2">
      <alignment horizontal="center" vertical="center"/>
    </xf>
    <xf numFmtId="168" fontId="70" fillId="0" borderId="6" applyAlignment="1" pivotButton="0" quotePrefix="0" xfId="1">
      <alignment horizontal="center" vertical="center" wrapText="1"/>
    </xf>
    <xf numFmtId="14" fontId="68" fillId="4" borderId="4" applyAlignment="1" pivotButton="0" quotePrefix="0" xfId="2">
      <alignment horizontal="center" vertical="center"/>
    </xf>
    <xf numFmtId="0" fontId="68" fillId="4" borderId="5" applyAlignment="1" pivotButton="0" quotePrefix="0" xfId="2">
      <alignment horizontal="center" vertical="center"/>
    </xf>
    <xf numFmtId="14" fontId="68" fillId="4" borderId="5" applyAlignment="1" pivotButton="0" quotePrefix="0" xfId="2">
      <alignment horizontal="center" vertical="center"/>
    </xf>
    <xf numFmtId="0" fontId="70" fillId="4" borderId="5" applyAlignment="1" pivotButton="0" quotePrefix="0" xfId="1">
      <alignment horizontal="center" vertical="center" wrapText="1"/>
    </xf>
    <xf numFmtId="164" fontId="70" fillId="4" borderId="5" applyAlignment="1" pivotButton="0" quotePrefix="0" xfId="1">
      <alignment horizontal="center" vertical="center" wrapText="1"/>
    </xf>
    <xf numFmtId="166" fontId="70" fillId="4" borderId="5" applyAlignment="1" pivotButton="0" quotePrefix="0" xfId="1">
      <alignment horizontal="center" vertical="center" wrapText="1"/>
    </xf>
    <xf numFmtId="165" fontId="70" fillId="4" borderId="5" applyAlignment="1" pivotButton="0" quotePrefix="0" xfId="1">
      <alignment horizontal="center" vertical="center" wrapText="1"/>
    </xf>
    <xf numFmtId="167" fontId="70" fillId="4" borderId="5" applyAlignment="1" pivotButton="0" quotePrefix="0" xfId="1">
      <alignment horizontal="center" vertical="center"/>
    </xf>
    <xf numFmtId="0" fontId="70" fillId="4" borderId="6" applyAlignment="1" pivotButton="0" quotePrefix="0" xfId="1">
      <alignment horizontal="center" vertical="center" wrapText="1"/>
    </xf>
    <xf numFmtId="14" fontId="68" fillId="0" borderId="7" applyAlignment="1" pivotButton="0" quotePrefix="0" xfId="2">
      <alignment horizontal="center" vertical="center"/>
    </xf>
    <xf numFmtId="0" fontId="68" fillId="0" borderId="8" applyAlignment="1" pivotButton="0" quotePrefix="0" xfId="2">
      <alignment horizontal="center" vertical="center"/>
    </xf>
    <xf numFmtId="14" fontId="68" fillId="0" borderId="8" applyAlignment="1" pivotButton="0" quotePrefix="0" xfId="2">
      <alignment horizontal="center" vertical="center"/>
    </xf>
    <xf numFmtId="0" fontId="70" fillId="0" borderId="8" applyAlignment="1" pivotButton="0" quotePrefix="0" xfId="1">
      <alignment horizontal="center" vertical="center" wrapText="1"/>
    </xf>
    <xf numFmtId="164" fontId="70" fillId="0" borderId="8" applyAlignment="1" pivotButton="0" quotePrefix="0" xfId="1">
      <alignment horizontal="center" vertical="center" wrapText="1"/>
    </xf>
    <xf numFmtId="166" fontId="70" fillId="0" borderId="8" applyAlignment="1" pivotButton="0" quotePrefix="0" xfId="1">
      <alignment horizontal="center" vertical="center" wrapText="1"/>
    </xf>
    <xf numFmtId="165" fontId="70" fillId="0" borderId="8" applyAlignment="1" pivotButton="0" quotePrefix="0" xfId="1">
      <alignment horizontal="center" vertical="center" wrapText="1"/>
    </xf>
    <xf numFmtId="167" fontId="70" fillId="0" borderId="8" applyAlignment="1" pivotButton="0" quotePrefix="0" xfId="1">
      <alignment horizontal="center" vertical="center"/>
    </xf>
    <xf numFmtId="0" fontId="70" fillId="0" borderId="9" applyAlignment="1" pivotButton="0" quotePrefix="0" xfId="1">
      <alignment horizontal="center" vertical="center" wrapText="1"/>
    </xf>
    <xf numFmtId="10" fontId="68" fillId="0" borderId="5" applyAlignment="1" pivotButton="0" quotePrefix="0" xfId="2">
      <alignment horizontal="center" vertical="center"/>
    </xf>
    <xf numFmtId="169" fontId="68" fillId="0" borderId="4" applyAlignment="1" pivotButton="0" quotePrefix="0" xfId="2">
      <alignment horizontal="center" vertical="center"/>
    </xf>
    <xf numFmtId="0" fontId="68" fillId="0" borderId="10" applyAlignment="1" pivotButton="0" quotePrefix="0" xfId="2">
      <alignment horizontal="center" vertical="center"/>
    </xf>
    <xf numFmtId="165" fontId="70" fillId="0" borderId="10" applyAlignment="1" pivotButton="0" quotePrefix="0" xfId="1">
      <alignment horizontal="center" vertical="center" wrapText="1"/>
    </xf>
    <xf numFmtId="0" fontId="72" fillId="5" borderId="21" applyAlignment="1" pivotButton="0" quotePrefix="0" xfId="1">
      <alignment horizontal="center" vertical="center"/>
    </xf>
    <xf numFmtId="3" fontId="72" fillId="5" borderId="20" applyAlignment="1" pivotButton="0" quotePrefix="0" xfId="1">
      <alignment horizontal="center" vertical="center"/>
    </xf>
    <xf numFmtId="3" fontId="72" fillId="5" borderId="20" applyAlignment="1" pivotButton="0" quotePrefix="0" xfId="1">
      <alignment horizontal="center" vertical="center" wrapText="1"/>
    </xf>
    <xf numFmtId="3" fontId="68" fillId="0" borderId="5" applyAlignment="1" pivotButton="0" quotePrefix="0" xfId="2">
      <alignment horizontal="center" vertical="center"/>
    </xf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167" fontId="72" fillId="5" borderId="21" applyAlignment="1" pivotButton="0" quotePrefix="0" xfId="1">
      <alignment horizontal="center" vertical="center"/>
    </xf>
    <xf numFmtId="0" fontId="0" fillId="0" borderId="2" applyAlignment="1" pivotButton="0" quotePrefix="0" xfId="1">
      <alignment horizontal="left" vertical="center"/>
    </xf>
    <xf numFmtId="10" fontId="70" fillId="0" borderId="5" applyAlignment="1" pivotButton="0" quotePrefix="0" xfId="1">
      <alignment horizontal="center" vertical="center" wrapText="1"/>
    </xf>
    <xf numFmtId="9" fontId="70" fillId="0" borderId="5" applyAlignment="1" pivotButton="0" quotePrefix="0" xfId="1">
      <alignment horizontal="center" vertical="center" wrapText="1"/>
    </xf>
    <xf numFmtId="3" fontId="72" fillId="5" borderId="21" applyAlignment="1" pivotButton="0" quotePrefix="0" xfId="1">
      <alignment horizontal="center" vertical="center"/>
    </xf>
    <xf numFmtId="3" fontId="72" fillId="5" borderId="21" applyAlignment="1" pivotButton="0" quotePrefix="0" xfId="1">
      <alignment horizontal="center" vertical="center" wrapText="1"/>
    </xf>
    <xf numFmtId="10" fontId="70" fillId="4" borderId="5" applyAlignment="1" pivotButton="0" quotePrefix="0" xfId="1">
      <alignment horizontal="center" vertical="center" wrapText="1"/>
    </xf>
    <xf numFmtId="10" fontId="70" fillId="2" borderId="5" applyAlignment="1" pivotButton="0" quotePrefix="0" xfId="1">
      <alignment horizontal="center" vertical="center" wrapText="1"/>
    </xf>
    <xf numFmtId="9" fontId="68" fillId="0" borderId="5" applyAlignment="1" pivotButton="0" quotePrefix="0" xfId="2">
      <alignment horizontal="center" vertical="center"/>
    </xf>
    <xf numFmtId="9" fontId="70" fillId="4" borderId="5" applyAlignment="1" pivotButton="0" quotePrefix="0" xfId="1">
      <alignment horizontal="center" vertical="center" wrapText="1"/>
    </xf>
    <xf numFmtId="9" fontId="70" fillId="2" borderId="5" applyAlignment="1" pivotButton="0" quotePrefix="0" xfId="1">
      <alignment horizontal="center" vertical="center" wrapText="1"/>
    </xf>
    <xf numFmtId="9" fontId="70" fillId="0" borderId="8" applyAlignment="1" pivotButton="0" quotePrefix="0" xfId="1">
      <alignment horizontal="center" vertical="center" wrapText="1"/>
    </xf>
    <xf numFmtId="14" fontId="0" fillId="0" borderId="0" pivotButton="0" quotePrefix="0" xfId="0"/>
    <xf numFmtId="165" fontId="0" fillId="0" borderId="0" pivotButton="0" quotePrefix="0" xfId="0"/>
    <xf numFmtId="0" fontId="72" fillId="0" borderId="0" pivotButton="0" quotePrefix="0" xfId="0"/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7" fontId="76" fillId="5" borderId="24" applyAlignment="1" pivotButton="0" quotePrefix="0" xfId="1">
      <alignment horizontal="center" vertical="center"/>
    </xf>
    <xf numFmtId="0" fontId="68" fillId="0" borderId="6" applyAlignment="1" pivotButton="0" quotePrefix="0" xfId="2">
      <alignment horizontal="center" vertical="center"/>
    </xf>
    <xf numFmtId="0" fontId="65" fillId="0" borderId="0" applyAlignment="1" pivotButton="0" quotePrefix="0" xfId="2">
      <alignment horizontal="center" vertical="center"/>
    </xf>
    <xf numFmtId="0" fontId="73" fillId="0" borderId="0" applyAlignment="1" pivotButton="0" quotePrefix="0" xfId="2">
      <alignment vertical="center"/>
    </xf>
    <xf numFmtId="14" fontId="73" fillId="0" borderId="0" applyAlignment="1" pivotButton="0" quotePrefix="0" xfId="2">
      <alignment vertical="center"/>
    </xf>
    <xf numFmtId="0" fontId="70" fillId="0" borderId="0" applyAlignment="1" pivotButton="0" quotePrefix="0" xfId="1">
      <alignment horizontal="center" vertical="center"/>
    </xf>
    <xf numFmtId="170" fontId="70" fillId="0" borderId="0" applyAlignment="1" pivotButton="0" quotePrefix="0" xfId="1">
      <alignment horizontal="center" vertical="center" wrapText="1"/>
    </xf>
    <xf numFmtId="0" fontId="72" fillId="6" borderId="19" pivotButton="0" quotePrefix="0" xfId="0"/>
    <xf numFmtId="165" fontId="72" fillId="6" borderId="19" pivotButton="0" quotePrefix="0" xfId="0"/>
    <xf numFmtId="171" fontId="72" fillId="6" borderId="19" pivotButton="0" quotePrefix="0" xfId="0"/>
    <xf numFmtId="0" fontId="72" fillId="7" borderId="19" applyAlignment="1" pivotButton="0" quotePrefix="0" xfId="1">
      <alignment horizontal="center" vertical="center"/>
    </xf>
    <xf numFmtId="164" fontId="72" fillId="7" borderId="19" applyAlignment="1" pivotButton="0" quotePrefix="0" xfId="1">
      <alignment horizontal="center" vertical="center"/>
    </xf>
    <xf numFmtId="0" fontId="72" fillId="7" borderId="19" pivotButton="0" quotePrefix="0" xfId="0"/>
    <xf numFmtId="165" fontId="72" fillId="7" borderId="19" pivotButton="0" quotePrefix="0" xfId="0"/>
    <xf numFmtId="171" fontId="72" fillId="7" borderId="19" pivotButton="0" quotePrefix="0" xfId="0"/>
    <xf numFmtId="14" fontId="48" fillId="0" borderId="4" applyAlignment="1" pivotButton="0" quotePrefix="0" xfId="2">
      <alignment horizontal="center" vertical="center"/>
    </xf>
    <xf numFmtId="0" fontId="48" fillId="0" borderId="0" applyAlignment="1" pivotButton="0" quotePrefix="0" xfId="2">
      <alignment vertical="center"/>
    </xf>
    <xf numFmtId="165" fontId="72" fillId="5" borderId="20" applyAlignment="1" pivotButton="0" quotePrefix="0" xfId="1">
      <alignment horizontal="center" vertical="center"/>
    </xf>
    <xf numFmtId="165" fontId="72" fillId="5" borderId="20" applyAlignment="1" pivotButton="0" quotePrefix="0" xfId="1">
      <alignment horizontal="center" vertical="center" wrapText="1"/>
    </xf>
    <xf numFmtId="0" fontId="77" fillId="0" borderId="0" applyAlignment="1" pivotButton="0" quotePrefix="0" xfId="2">
      <alignment vertical="center"/>
    </xf>
    <xf numFmtId="14" fontId="48" fillId="0" borderId="28" applyAlignment="1" pivotButton="0" quotePrefix="0" xfId="2">
      <alignment horizontal="center" vertical="center"/>
    </xf>
    <xf numFmtId="14" fontId="0" fillId="0" borderId="1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68" fillId="0" borderId="3" applyAlignment="1" pivotButton="0" quotePrefix="0" xfId="2">
      <alignment horizontal="center" vertical="center"/>
    </xf>
    <xf numFmtId="14" fontId="0" fillId="0" borderId="4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44" fillId="0" borderId="5" applyAlignment="1" pivotButton="0" quotePrefix="0" xfId="2">
      <alignment horizontal="center" vertical="center"/>
    </xf>
    <xf numFmtId="0" fontId="74" fillId="0" borderId="5" applyAlignment="1" pivotButton="0" quotePrefix="0" xfId="2">
      <alignment horizontal="center" vertical="center"/>
    </xf>
    <xf numFmtId="14" fontId="74" fillId="0" borderId="5" applyAlignment="1" pivotButton="0" quotePrefix="0" xfId="2">
      <alignment horizontal="center" vertical="center"/>
    </xf>
    <xf numFmtId="0" fontId="68" fillId="0" borderId="4" applyAlignment="1" pivotButton="0" quotePrefix="0" xfId="2">
      <alignment horizontal="center" vertical="center"/>
    </xf>
    <xf numFmtId="0" fontId="68" fillId="0" borderId="18" applyAlignment="1" pivotButton="0" quotePrefix="0" xfId="2">
      <alignment horizontal="center" vertical="center"/>
    </xf>
    <xf numFmtId="0" fontId="74" fillId="0" borderId="10" applyAlignment="1" pivotButton="0" quotePrefix="0" xfId="2">
      <alignment horizontal="center" vertical="center"/>
    </xf>
    <xf numFmtId="14" fontId="74" fillId="0" borderId="10" applyAlignment="1" pivotButton="0" quotePrefix="0" xfId="2">
      <alignment horizontal="center" vertical="center"/>
    </xf>
    <xf numFmtId="0" fontId="73" fillId="0" borderId="10" applyAlignment="1" pivotButton="0" quotePrefix="0" xfId="2">
      <alignment horizontal="center" vertical="center"/>
    </xf>
    <xf numFmtId="0" fontId="68" fillId="0" borderId="17" applyAlignment="1" pivotButton="0" quotePrefix="0" xfId="2">
      <alignment horizontal="center" vertical="center"/>
    </xf>
    <xf numFmtId="0" fontId="43" fillId="0" borderId="0" applyAlignment="1" pivotButton="0" quotePrefix="0" xfId="2">
      <alignment vertical="center"/>
    </xf>
    <xf numFmtId="0" fontId="42" fillId="0" borderId="0" applyAlignment="1" pivotButton="0" quotePrefix="0" xfId="2">
      <alignment vertical="center"/>
    </xf>
    <xf numFmtId="0" fontId="42" fillId="0" borderId="5" applyAlignment="1" pivotButton="0" quotePrefix="0" xfId="2">
      <alignment horizontal="center" vertical="center"/>
    </xf>
    <xf numFmtId="0" fontId="72" fillId="0" borderId="0" applyAlignment="1" pivotButton="0" quotePrefix="0" xfId="0">
      <alignment vertical="center"/>
    </xf>
    <xf numFmtId="0" fontId="78" fillId="0" borderId="0" applyAlignment="1" pivotButton="0" quotePrefix="0" xfId="0">
      <alignment vertical="center"/>
    </xf>
    <xf numFmtId="172" fontId="79" fillId="0" borderId="0" pivotButton="0" quotePrefix="0" xfId="0"/>
    <xf numFmtId="0" fontId="41" fillId="0" borderId="0" applyAlignment="1" pivotButton="0" quotePrefix="0" xfId="2">
      <alignment vertical="center"/>
    </xf>
    <xf numFmtId="0" fontId="40" fillId="0" borderId="0" applyAlignment="1" pivotButton="0" quotePrefix="0" xfId="2">
      <alignment vertical="center"/>
    </xf>
    <xf numFmtId="0" fontId="39" fillId="0" borderId="0" applyAlignment="1" pivotButton="0" quotePrefix="0" xfId="2">
      <alignment vertical="center"/>
    </xf>
    <xf numFmtId="165" fontId="68" fillId="0" borderId="0" applyAlignment="1" pivotButton="0" quotePrefix="0" xfId="2">
      <alignment horizontal="center" vertical="center"/>
    </xf>
    <xf numFmtId="0" fontId="38" fillId="0" borderId="0" applyAlignment="1" pivotButton="0" quotePrefix="0" xfId="32">
      <alignment vertical="center"/>
    </xf>
    <xf numFmtId="0" fontId="72" fillId="7" borderId="19" applyAlignment="1" pivotButton="0" quotePrefix="0" xfId="0">
      <alignment horizontal="center" vertical="center"/>
    </xf>
    <xf numFmtId="0" fontId="72" fillId="7" borderId="19" applyAlignment="1" pivotButton="0" quotePrefix="0" xfId="0">
      <alignment horizontal="center" vertical="center" wrapText="1"/>
    </xf>
    <xf numFmtId="3" fontId="0" fillId="0" borderId="0" applyAlignment="1" pivotButton="0" quotePrefix="0" xfId="0">
      <alignment vertical="center"/>
    </xf>
    <xf numFmtId="0" fontId="37" fillId="0" borderId="5" applyAlignment="1" pivotButton="0" quotePrefix="0" xfId="2">
      <alignment horizontal="center" vertical="center"/>
    </xf>
    <xf numFmtId="165" fontId="78" fillId="0" borderId="0" applyAlignment="1" pivotButton="0" quotePrefix="0" xfId="0">
      <alignment vertical="center"/>
    </xf>
    <xf numFmtId="0" fontId="80" fillId="0" borderId="0" applyAlignment="1" pivotButton="0" quotePrefix="0" xfId="2">
      <alignment vertical="center"/>
    </xf>
    <xf numFmtId="3" fontId="72" fillId="5" borderId="24" applyAlignment="1" pivotButton="0" quotePrefix="0" xfId="1">
      <alignment horizontal="center" vertical="center" wrapText="1"/>
    </xf>
    <xf numFmtId="9" fontId="72" fillId="5" borderId="24" applyAlignment="1" pivotButton="0" quotePrefix="0" xfId="1">
      <alignment horizontal="center" vertical="center" wrapText="1"/>
    </xf>
    <xf numFmtId="21" fontId="0" fillId="0" borderId="0" applyAlignment="1" pivotButton="0" quotePrefix="0" xfId="0">
      <alignment vertical="center"/>
    </xf>
    <xf numFmtId="173" fontId="0" fillId="0" borderId="0" applyAlignment="1" pivotButton="0" quotePrefix="0" xfId="0">
      <alignment vertical="center"/>
    </xf>
    <xf numFmtId="0" fontId="70" fillId="0" borderId="33" applyAlignment="1" pivotButton="0" quotePrefix="0" xfId="1">
      <alignment horizontal="left" vertical="center"/>
    </xf>
    <xf numFmtId="0" fontId="36" fillId="0" borderId="0" applyAlignment="1" pivotButton="0" quotePrefix="0" xfId="34">
      <alignment vertical="center"/>
    </xf>
    <xf numFmtId="0" fontId="77" fillId="0" borderId="0" applyAlignment="1" pivotButton="0" quotePrefix="0" xfId="2">
      <alignment vertical="center" wrapText="1"/>
    </xf>
    <xf numFmtId="0" fontId="78" fillId="0" borderId="0" applyAlignment="1" pivotButton="0" quotePrefix="0" xfId="2">
      <alignment vertical="center"/>
    </xf>
    <xf numFmtId="14" fontId="72" fillId="0" borderId="0" pivotButton="0" quotePrefix="0" xfId="0"/>
    <xf numFmtId="14" fontId="72" fillId="0" borderId="0" applyAlignment="1" pivotButton="0" quotePrefix="0" xfId="0">
      <alignment horizontal="center" vertical="center"/>
    </xf>
    <xf numFmtId="165" fontId="72" fillId="0" borderId="0" pivotButton="0" quotePrefix="0" xfId="0"/>
    <xf numFmtId="173" fontId="0" fillId="4" borderId="0" applyAlignment="1" pivotButton="0" quotePrefix="0" xfId="0">
      <alignment vertical="center"/>
    </xf>
    <xf numFmtId="0" fontId="78" fillId="4" borderId="0" applyAlignment="1" pivotButton="0" quotePrefix="0" xfId="0">
      <alignment vertical="center"/>
    </xf>
    <xf numFmtId="172" fontId="79" fillId="4" borderId="0" pivotButton="0" quotePrefix="0" xfId="0"/>
    <xf numFmtId="165" fontId="72" fillId="4" borderId="0" pivotButton="0" quotePrefix="0" xfId="0"/>
    <xf numFmtId="165" fontId="0" fillId="4" borderId="0" pivotButton="0" quotePrefix="0" xfId="0"/>
    <xf numFmtId="0" fontId="0" fillId="4" borderId="0" pivotButton="0" quotePrefix="0" xfId="0"/>
    <xf numFmtId="173" fontId="0" fillId="8" borderId="0" applyAlignment="1" pivotButton="0" quotePrefix="0" xfId="0">
      <alignment vertical="center"/>
    </xf>
    <xf numFmtId="0" fontId="78" fillId="8" borderId="0" applyAlignment="1" pivotButton="0" quotePrefix="0" xfId="0">
      <alignment vertical="center"/>
    </xf>
    <xf numFmtId="172" fontId="79" fillId="8" borderId="0" pivotButton="0" quotePrefix="0" xfId="0"/>
    <xf numFmtId="165" fontId="72" fillId="8" borderId="0" pivotButton="0" quotePrefix="0" xfId="0"/>
    <xf numFmtId="165" fontId="0" fillId="8" borderId="0" pivotButton="0" quotePrefix="0" xfId="0"/>
    <xf numFmtId="0" fontId="0" fillId="8" borderId="0" pivotButton="0" quotePrefix="0" xfId="0"/>
    <xf numFmtId="0" fontId="0" fillId="8" borderId="0" applyAlignment="1" pivotButton="0" quotePrefix="0" xfId="0">
      <alignment vertical="center"/>
    </xf>
    <xf numFmtId="0" fontId="0" fillId="4" borderId="0" applyAlignment="1" pivotButton="0" quotePrefix="0" xfId="0">
      <alignment vertical="center"/>
    </xf>
    <xf numFmtId="173" fontId="0" fillId="9" borderId="0" applyAlignment="1" pivotButton="0" quotePrefix="0" xfId="0">
      <alignment vertical="center"/>
    </xf>
    <xf numFmtId="21" fontId="0" fillId="9" borderId="0" applyAlignment="1" pivotButton="0" quotePrefix="0" xfId="0">
      <alignment vertical="center"/>
    </xf>
    <xf numFmtId="0" fontId="72" fillId="9" borderId="0" applyAlignment="1" pivotButton="0" quotePrefix="0" xfId="0">
      <alignment vertical="center"/>
    </xf>
    <xf numFmtId="172" fontId="79" fillId="9" borderId="0" pivotButton="0" quotePrefix="0" xfId="0"/>
    <xf numFmtId="165" fontId="72" fillId="9" borderId="0" pivotButton="0" quotePrefix="0" xfId="0"/>
    <xf numFmtId="165" fontId="0" fillId="9" borderId="0" pivotButton="0" quotePrefix="0" xfId="0"/>
    <xf numFmtId="0" fontId="0" fillId="9" borderId="0" pivotButton="0" quotePrefix="0" xfId="0"/>
    <xf numFmtId="0" fontId="0" fillId="9" borderId="0" applyAlignment="1" pivotButton="0" quotePrefix="0" xfId="0">
      <alignment vertical="center"/>
    </xf>
    <xf numFmtId="14" fontId="34" fillId="0" borderId="28" applyAlignment="1" pivotButton="0" quotePrefix="0" xfId="2">
      <alignment horizontal="center" vertical="center"/>
    </xf>
    <xf numFmtId="172" fontId="0" fillId="9" borderId="0" pivotButton="0" quotePrefix="0" xfId="0"/>
    <xf numFmtId="0" fontId="83" fillId="11" borderId="36" applyAlignment="1" pivotButton="0" quotePrefix="0" xfId="0">
      <alignment horizontal="center" vertical="center" wrapText="1"/>
    </xf>
    <xf numFmtId="0" fontId="84" fillId="0" borderId="0" pivotButton="0" quotePrefix="0" xfId="0"/>
    <xf numFmtId="0" fontId="85" fillId="0" borderId="0" pivotButton="0" quotePrefix="0" xfId="0"/>
    <xf numFmtId="10" fontId="83" fillId="11" borderId="36" applyAlignment="1" pivotButton="0" quotePrefix="0" xfId="0">
      <alignment horizontal="center" vertical="center" wrapText="1"/>
    </xf>
    <xf numFmtId="10" fontId="0" fillId="0" borderId="0" pivotButton="0" quotePrefix="0" xfId="0"/>
    <xf numFmtId="174" fontId="0" fillId="0" borderId="0" pivotButton="0" quotePrefix="0" xfId="0"/>
    <xf numFmtId="168" fontId="83" fillId="11" borderId="36" applyAlignment="1" pivotButton="0" quotePrefix="0" xfId="0">
      <alignment horizontal="center" vertical="center" wrapText="1"/>
    </xf>
    <xf numFmtId="168" fontId="0" fillId="0" borderId="0" pivotButton="0" quotePrefix="0" xfId="0"/>
    <xf numFmtId="0" fontId="72" fillId="5" borderId="34" applyAlignment="1" pivotButton="0" quotePrefix="0" xfId="1">
      <alignment horizontal="center" vertical="center"/>
    </xf>
    <xf numFmtId="167" fontId="72" fillId="5" borderId="35" applyAlignment="1" pivotButton="0" quotePrefix="0" xfId="1">
      <alignment horizontal="center" vertical="center"/>
    </xf>
    <xf numFmtId="0" fontId="32" fillId="0" borderId="5" applyAlignment="1" pivotButton="0" quotePrefix="1" xfId="2">
      <alignment horizontal="center" vertical="center"/>
    </xf>
    <xf numFmtId="0" fontId="65" fillId="0" borderId="0" applyAlignment="1" pivotButton="0" quotePrefix="0" xfId="2">
      <alignment horizontal="left" vertical="center"/>
    </xf>
    <xf numFmtId="0" fontId="68" fillId="12" borderId="5" applyAlignment="1" pivotButton="0" quotePrefix="0" xfId="2">
      <alignment horizontal="center" vertical="center"/>
    </xf>
    <xf numFmtId="0" fontId="77" fillId="0" borderId="0" applyAlignment="1" pivotButton="0" quotePrefix="0" xfId="2">
      <alignment horizontal="left" vertical="center"/>
    </xf>
    <xf numFmtId="0" fontId="31" fillId="0" borderId="0" applyAlignment="1" pivotButton="0" quotePrefix="0" xfId="2">
      <alignment horizontal="left" vertical="center"/>
    </xf>
    <xf numFmtId="170" fontId="0" fillId="0" borderId="0" pivotButton="0" quotePrefix="0" xfId="0"/>
    <xf numFmtId="0" fontId="88" fillId="0" borderId="0" applyAlignment="1" pivotButton="0" quotePrefix="0" xfId="2">
      <alignment vertical="center"/>
    </xf>
    <xf numFmtId="0" fontId="79" fillId="0" borderId="0" applyAlignment="1" pivotButton="0" quotePrefix="0" xfId="2">
      <alignment vertical="center"/>
    </xf>
    <xf numFmtId="0" fontId="68" fillId="0" borderId="5" applyAlignment="1" pivotButton="0" quotePrefix="0" xfId="2">
      <alignment vertical="center"/>
    </xf>
    <xf numFmtId="0" fontId="70" fillId="0" borderId="2" applyAlignment="1" pivotButton="0" quotePrefix="0" xfId="1">
      <alignment vertical="center"/>
    </xf>
    <xf numFmtId="0" fontId="68" fillId="4" borderId="5" applyAlignment="1" pivotButton="0" quotePrefix="0" xfId="2">
      <alignment vertical="center"/>
    </xf>
    <xf numFmtId="0" fontId="68" fillId="2" borderId="5" applyAlignment="1" pivotButton="0" quotePrefix="0" xfId="2">
      <alignment vertical="center"/>
    </xf>
    <xf numFmtId="0" fontId="68" fillId="0" borderId="8" applyAlignment="1" pivotButton="0" quotePrefix="0" xfId="2">
      <alignment vertical="center"/>
    </xf>
    <xf numFmtId="0" fontId="74" fillId="0" borderId="0" applyAlignment="1" pivotButton="0" quotePrefix="0" xfId="2">
      <alignment vertical="center"/>
    </xf>
    <xf numFmtId="173" fontId="0" fillId="13" borderId="0" applyAlignment="1" pivotButton="0" quotePrefix="0" xfId="0">
      <alignment vertical="center"/>
    </xf>
    <xf numFmtId="0" fontId="78" fillId="13" borderId="0" applyAlignment="1" pivotButton="0" quotePrefix="0" xfId="0">
      <alignment vertical="center"/>
    </xf>
    <xf numFmtId="172" fontId="79" fillId="13" borderId="0" pivotButton="0" quotePrefix="0" xfId="0"/>
    <xf numFmtId="165" fontId="72" fillId="13" borderId="0" pivotButton="0" quotePrefix="0" xfId="0"/>
    <xf numFmtId="165" fontId="0" fillId="13" borderId="0" pivotButton="0" quotePrefix="0" xfId="0"/>
    <xf numFmtId="0" fontId="0" fillId="13" borderId="0" pivotButton="0" quotePrefix="0" xfId="0"/>
    <xf numFmtId="0" fontId="29" fillId="0" borderId="0" applyAlignment="1" pivotButton="0" quotePrefix="0" xfId="32">
      <alignment vertical="center"/>
    </xf>
    <xf numFmtId="14" fontId="48" fillId="0" borderId="5" applyAlignment="1" pivotButton="0" quotePrefix="0" xfId="2">
      <alignment horizontal="center" vertical="center"/>
    </xf>
    <xf numFmtId="0" fontId="68" fillId="0" borderId="37" applyAlignment="1" pivotButton="0" quotePrefix="0" xfId="2">
      <alignment horizontal="center" vertical="center"/>
    </xf>
    <xf numFmtId="14" fontId="28" fillId="0" borderId="28" applyAlignment="1" pivotButton="0" quotePrefix="0" xfId="2">
      <alignment horizontal="center" vertical="center"/>
    </xf>
    <xf numFmtId="0" fontId="89" fillId="0" borderId="5" applyAlignment="1" pivotButton="0" quotePrefix="0" xfId="2">
      <alignment horizontal="center" vertical="center"/>
    </xf>
    <xf numFmtId="0" fontId="90" fillId="0" borderId="0" applyAlignment="1" pivotButton="0" quotePrefix="0" xfId="37">
      <alignment vertical="center"/>
    </xf>
    <xf numFmtId="0" fontId="80" fillId="0" borderId="0" applyAlignment="1" pivotButton="0" quotePrefix="1" xfId="2">
      <alignment vertical="center"/>
    </xf>
    <xf numFmtId="0" fontId="27" fillId="0" borderId="5" applyAlignment="1" pivotButton="0" quotePrefix="0" xfId="2">
      <alignment horizontal="center" vertical="center"/>
    </xf>
    <xf numFmtId="0" fontId="26" fillId="0" borderId="0" applyAlignment="1" pivotButton="0" quotePrefix="0" xfId="2">
      <alignment horizontal="left" vertical="center"/>
    </xf>
    <xf numFmtId="0" fontId="70" fillId="0" borderId="28" applyAlignment="1" pivotButton="0" quotePrefix="0" xfId="1">
      <alignment horizontal="left" vertical="center"/>
    </xf>
    <xf numFmtId="0" fontId="25" fillId="0" borderId="0" applyAlignment="1" pivotButton="0" quotePrefix="0" xfId="34">
      <alignment vertical="center"/>
    </xf>
    <xf numFmtId="0" fontId="68" fillId="0" borderId="5" applyAlignment="1" pivotButton="0" quotePrefix="0" xfId="2">
      <alignment horizontal="right" vertical="center"/>
    </xf>
    <xf numFmtId="3" fontId="68" fillId="0" borderId="5" applyAlignment="1" pivotButton="0" quotePrefix="0" xfId="2">
      <alignment horizontal="right" vertical="center"/>
    </xf>
    <xf numFmtId="0" fontId="0" fillId="10" borderId="0" applyAlignment="1" pivotButton="0" quotePrefix="0" xfId="0">
      <alignment vertical="center"/>
    </xf>
    <xf numFmtId="0" fontId="72" fillId="0" borderId="31" pivotButton="0" quotePrefix="0" xfId="0"/>
    <xf numFmtId="165" fontId="72" fillId="0" borderId="32" pivotButton="0" quotePrefix="0" xfId="0"/>
    <xf numFmtId="0" fontId="72" fillId="0" borderId="29" pivotButton="0" quotePrefix="0" xfId="0"/>
    <xf numFmtId="165" fontId="72" fillId="0" borderId="30" pivotButton="0" quotePrefix="0" xfId="0"/>
    <xf numFmtId="0" fontId="24" fillId="0" borderId="5" applyAlignment="1" pivotButton="0" quotePrefix="0" xfId="2">
      <alignment horizontal="center" vertical="center"/>
    </xf>
    <xf numFmtId="165" fontId="0" fillId="0" borderId="0" applyAlignment="1" pivotButton="0" quotePrefix="0" xfId="0">
      <alignment vertical="center"/>
    </xf>
    <xf numFmtId="166" fontId="68" fillId="0" borderId="5" applyAlignment="1" pivotButton="0" quotePrefix="0" xfId="2">
      <alignment horizontal="center" vertical="center"/>
    </xf>
    <xf numFmtId="172" fontId="0" fillId="0" borderId="0" pivotButton="0" quotePrefix="0" xfId="0"/>
    <xf numFmtId="3" fontId="0" fillId="0" borderId="0" pivotButton="0" quotePrefix="0" xfId="0"/>
    <xf numFmtId="14" fontId="23" fillId="0" borderId="4" applyAlignment="1" pivotButton="0" quotePrefix="0" xfId="2">
      <alignment horizontal="center" vertical="center"/>
    </xf>
    <xf numFmtId="0" fontId="23" fillId="0" borderId="5" applyAlignment="1" pivotButton="0" quotePrefix="1" xfId="2">
      <alignment horizontal="center" vertical="center"/>
    </xf>
    <xf numFmtId="0" fontId="90" fillId="0" borderId="0" pivotButton="0" quotePrefix="0" xfId="37"/>
    <xf numFmtId="0" fontId="78" fillId="0" borderId="0" pivotButton="0" quotePrefix="0" xfId="0"/>
    <xf numFmtId="14" fontId="22" fillId="0" borderId="28" applyAlignment="1" pivotButton="0" quotePrefix="0" xfId="2">
      <alignment horizontal="center" vertical="center"/>
    </xf>
    <xf numFmtId="14" fontId="92" fillId="0" borderId="38" applyAlignment="1" pivotButton="0" quotePrefix="0" xfId="0">
      <alignment horizontal="left" vertical="center" wrapText="1" indent="1"/>
    </xf>
    <xf numFmtId="0" fontId="91" fillId="0" borderId="38" applyAlignment="1" pivotButton="0" quotePrefix="0" xfId="0">
      <alignment horizontal="left" vertical="center" wrapText="1" indent="1"/>
    </xf>
    <xf numFmtId="0" fontId="91" fillId="0" borderId="39" applyAlignment="1" pivotButton="0" quotePrefix="0" xfId="0">
      <alignment horizontal="left" vertical="center" wrapText="1" indent="1"/>
    </xf>
    <xf numFmtId="14" fontId="92" fillId="0" borderId="40" applyAlignment="1" pivotButton="0" quotePrefix="0" xfId="0">
      <alignment horizontal="left" vertical="center" wrapText="1" indent="1"/>
    </xf>
    <xf numFmtId="0" fontId="91" fillId="0" borderId="40" applyAlignment="1" pivotButton="0" quotePrefix="0" xfId="0">
      <alignment horizontal="left" vertical="center" wrapText="1" indent="1"/>
    </xf>
    <xf numFmtId="0" fontId="91" fillId="0" borderId="41" applyAlignment="1" pivotButton="0" quotePrefix="0" xfId="0">
      <alignment horizontal="left" vertical="center" wrapText="1" indent="1"/>
    </xf>
    <xf numFmtId="14" fontId="92" fillId="15" borderId="38" applyAlignment="1" pivotButton="0" quotePrefix="0" xfId="0">
      <alignment horizontal="left" vertical="center" wrapText="1" indent="1"/>
    </xf>
    <xf numFmtId="0" fontId="91" fillId="15" borderId="38" applyAlignment="1" pivotButton="0" quotePrefix="0" xfId="0">
      <alignment horizontal="left" vertical="center" wrapText="1" indent="1"/>
    </xf>
    <xf numFmtId="0" fontId="91" fillId="15" borderId="39" applyAlignment="1" pivotButton="0" quotePrefix="0" xfId="0">
      <alignment horizontal="left" vertical="center" wrapText="1" indent="1"/>
    </xf>
    <xf numFmtId="0" fontId="72" fillId="5" borderId="24" applyAlignment="1" pivotButton="0" quotePrefix="0" xfId="1">
      <alignment vertical="center"/>
    </xf>
    <xf numFmtId="166" fontId="70" fillId="0" borderId="5" applyAlignment="1" pivotButton="0" quotePrefix="0" xfId="1">
      <alignment horizontal="center" vertical="center"/>
    </xf>
    <xf numFmtId="0" fontId="70" fillId="0" borderId="0" pivotButton="0" quotePrefix="0" xfId="0"/>
    <xf numFmtId="0" fontId="90" fillId="0" borderId="0" pivotButton="0" quotePrefix="0" xfId="37"/>
    <xf numFmtId="0" fontId="93" fillId="0" borderId="5" applyAlignment="1" pivotButton="0" quotePrefix="0" xfId="2">
      <alignment horizontal="center" vertical="center"/>
    </xf>
    <xf numFmtId="0" fontId="0" fillId="0" borderId="22" applyAlignment="1" pivotButton="0" quotePrefix="0" xfId="0">
      <alignment horizontal="center" vertical="center"/>
    </xf>
    <xf numFmtId="0" fontId="72" fillId="5" borderId="24" applyAlignment="1" pivotButton="0" quotePrefix="0" xfId="1">
      <alignment horizontal="center" vertical="center"/>
    </xf>
    <xf numFmtId="9" fontId="70" fillId="0" borderId="0" applyAlignment="1" pivotButton="0" quotePrefix="0" xfId="1">
      <alignment horizontal="center" vertical="center" wrapText="1"/>
    </xf>
    <xf numFmtId="3" fontId="72" fillId="4" borderId="42" applyAlignment="1" pivotButton="0" quotePrefix="0" xfId="1">
      <alignment horizontal="center" vertical="center" wrapText="1"/>
    </xf>
    <xf numFmtId="3" fontId="72" fillId="4" borderId="43" applyAlignment="1" pivotButton="0" quotePrefix="0" xfId="1">
      <alignment horizontal="center" vertical="center" wrapText="1"/>
    </xf>
    <xf numFmtId="3" fontId="72" fillId="4" borderId="44" applyAlignment="1" pivotButton="0" quotePrefix="0" xfId="1">
      <alignment horizontal="center" vertical="center" wrapText="1"/>
    </xf>
    <xf numFmtId="0" fontId="0" fillId="4" borderId="43" applyAlignment="1" pivotButton="0" quotePrefix="0" xfId="0">
      <alignment horizontal="center" vertical="center"/>
    </xf>
    <xf numFmtId="0" fontId="0" fillId="4" borderId="44" applyAlignment="1" pivotButton="0" quotePrefix="0" xfId="0">
      <alignment horizontal="center" vertical="center"/>
    </xf>
    <xf numFmtId="3" fontId="72" fillId="4" borderId="24" applyAlignment="1" pivotButton="0" quotePrefix="0" xfId="1">
      <alignment horizontal="center" vertical="center" wrapText="1"/>
    </xf>
    <xf numFmtId="3" fontId="72" fillId="4" borderId="25" applyAlignment="1" pivotButton="0" quotePrefix="0" xfId="1">
      <alignment horizontal="center" vertical="center"/>
    </xf>
    <xf numFmtId="165" fontId="72" fillId="4" borderId="25" applyAlignment="1" pivotButton="0" quotePrefix="0" xfId="1">
      <alignment horizontal="center" vertical="center"/>
    </xf>
    <xf numFmtId="167" fontId="72" fillId="4" borderId="25" applyAlignment="1" pivotButton="0" quotePrefix="0" xfId="1">
      <alignment horizontal="center" vertical="center"/>
    </xf>
    <xf numFmtId="9" fontId="72" fillId="4" borderId="25" applyAlignment="1" pivotButton="0" quotePrefix="0" xfId="1">
      <alignment horizontal="center" vertical="center" wrapText="1"/>
    </xf>
    <xf numFmtId="3" fontId="72" fillId="4" borderId="43" applyAlignment="1" pivotButton="0" quotePrefix="0" xfId="1">
      <alignment horizontal="center" vertical="center"/>
    </xf>
    <xf numFmtId="0" fontId="68" fillId="4" borderId="43" applyAlignment="1" pivotButton="0" quotePrefix="0" xfId="2">
      <alignment horizontal="center" vertical="center"/>
    </xf>
    <xf numFmtId="165" fontId="72" fillId="4" borderId="43" applyAlignment="1" pivotButton="0" quotePrefix="0" xfId="1">
      <alignment horizontal="center" vertical="center"/>
    </xf>
    <xf numFmtId="167" fontId="72" fillId="4" borderId="43" applyAlignment="1" pivotButton="0" quotePrefix="0" xfId="1">
      <alignment horizontal="center" vertical="center"/>
    </xf>
    <xf numFmtId="3" fontId="72" fillId="4" borderId="44" applyAlignment="1" pivotButton="0" quotePrefix="0" xfId="1">
      <alignment horizontal="center" vertical="center"/>
    </xf>
    <xf numFmtId="0" fontId="68" fillId="4" borderId="44" applyAlignment="1" pivotButton="0" quotePrefix="0" xfId="2">
      <alignment horizontal="center" vertical="center"/>
    </xf>
    <xf numFmtId="165" fontId="72" fillId="4" borderId="44" applyAlignment="1" pivotButton="0" quotePrefix="0" xfId="1">
      <alignment horizontal="center" vertical="center"/>
    </xf>
    <xf numFmtId="167" fontId="72" fillId="4" borderId="44" applyAlignment="1" pivotButton="0" quotePrefix="0" xfId="1">
      <alignment horizontal="center" vertical="center"/>
    </xf>
    <xf numFmtId="3" fontId="72" fillId="4" borderId="48" applyAlignment="1" pivotButton="0" quotePrefix="0" xfId="1">
      <alignment horizontal="center" vertical="center" wrapText="1"/>
    </xf>
    <xf numFmtId="3" fontId="72" fillId="4" borderId="48" applyAlignment="1" pivotButton="0" quotePrefix="0" xfId="1">
      <alignment horizontal="center" vertical="center"/>
    </xf>
    <xf numFmtId="165" fontId="72" fillId="4" borderId="48" applyAlignment="1" pivotButton="0" quotePrefix="0" xfId="1">
      <alignment horizontal="center" vertical="center"/>
    </xf>
    <xf numFmtId="167" fontId="72" fillId="4" borderId="48" applyAlignment="1" pivotButton="0" quotePrefix="0" xfId="1">
      <alignment horizontal="center" vertical="center"/>
    </xf>
    <xf numFmtId="9" fontId="72" fillId="4" borderId="48" applyAlignment="1" pivotButton="0" quotePrefix="0" xfId="1">
      <alignment horizontal="center" vertical="center" wrapText="1"/>
    </xf>
    <xf numFmtId="3" fontId="72" fillId="4" borderId="49" applyAlignment="1" pivotButton="0" quotePrefix="0" xfId="1">
      <alignment horizontal="center" vertical="center" wrapText="1"/>
    </xf>
    <xf numFmtId="0" fontId="18" fillId="0" borderId="0" applyAlignment="1" pivotButton="0" quotePrefix="0" xfId="2">
      <alignment vertical="center"/>
    </xf>
    <xf numFmtId="0" fontId="17" fillId="0" borderId="0" applyAlignment="1" pivotButton="0" quotePrefix="0" xfId="2">
      <alignment vertical="center"/>
    </xf>
    <xf numFmtId="0" fontId="17" fillId="0" borderId="5" applyAlignment="1" pivotButton="0" quotePrefix="0" xfId="2">
      <alignment horizontal="center" vertical="center"/>
    </xf>
    <xf numFmtId="0" fontId="33" fillId="0" borderId="5" applyAlignment="1" pivotButton="0" quotePrefix="0" xfId="2">
      <alignment vertical="center"/>
    </xf>
    <xf numFmtId="0" fontId="0" fillId="0" borderId="0" pivotButton="0" quotePrefix="1" xfId="0"/>
    <xf numFmtId="14" fontId="48" fillId="8" borderId="4" applyAlignment="1" pivotButton="0" quotePrefix="0" xfId="2">
      <alignment horizontal="center" vertical="center"/>
    </xf>
    <xf numFmtId="0" fontId="16" fillId="0" borderId="0" applyAlignment="1" pivotButton="0" quotePrefix="0" xfId="2">
      <alignment horizontal="center" vertical="center"/>
    </xf>
    <xf numFmtId="170" fontId="70" fillId="12" borderId="0" applyAlignment="1" pivotButton="0" quotePrefix="0" xfId="1">
      <alignment horizontal="center" vertical="center" wrapText="1"/>
    </xf>
    <xf numFmtId="175" fontId="72" fillId="13" borderId="0" pivotButton="0" quotePrefix="0" xfId="0"/>
    <xf numFmtId="175" fontId="72" fillId="0" borderId="0" pivotButton="0" quotePrefix="0" xfId="0"/>
    <xf numFmtId="175" fontId="72" fillId="8" borderId="0" pivotButton="0" quotePrefix="0" xfId="0"/>
    <xf numFmtId="175" fontId="72" fillId="4" borderId="0" pivotButton="0" quotePrefix="0" xfId="0"/>
    <xf numFmtId="173" fontId="0" fillId="16" borderId="0" applyAlignment="1" pivotButton="0" quotePrefix="0" xfId="0">
      <alignment vertical="center"/>
    </xf>
    <xf numFmtId="172" fontId="79" fillId="16" borderId="0" pivotButton="0" quotePrefix="0" xfId="0"/>
    <xf numFmtId="0" fontId="78" fillId="16" borderId="0" applyAlignment="1" pivotButton="0" quotePrefix="0" xfId="0">
      <alignment vertical="center"/>
    </xf>
    <xf numFmtId="165" fontId="72" fillId="16" borderId="0" pivotButton="0" quotePrefix="0" xfId="0"/>
    <xf numFmtId="175" fontId="72" fillId="16" borderId="0" pivotButton="0" quotePrefix="0" xfId="0"/>
    <xf numFmtId="0" fontId="0" fillId="16" borderId="0" pivotButton="0" quotePrefix="0" xfId="0"/>
    <xf numFmtId="0" fontId="0" fillId="16" borderId="0" applyAlignment="1" pivotButton="0" quotePrefix="0" xfId="0">
      <alignment vertical="center"/>
    </xf>
    <xf numFmtId="175" fontId="70" fillId="0" borderId="5" applyAlignment="1" pivotButton="0" quotePrefix="0" xfId="1">
      <alignment horizontal="center" vertical="center" wrapText="1"/>
    </xf>
    <xf numFmtId="0" fontId="94" fillId="0" borderId="19" pivotButton="0" quotePrefix="0" xfId="0"/>
    <xf numFmtId="165" fontId="94" fillId="0" borderId="19" pivotButton="0" quotePrefix="0" xfId="0"/>
    <xf numFmtId="3" fontId="72" fillId="4" borderId="50" applyAlignment="1" pivotButton="0" quotePrefix="0" xfId="1">
      <alignment horizontal="center" vertical="center" wrapText="1"/>
    </xf>
    <xf numFmtId="3" fontId="72" fillId="4" borderId="30" applyAlignment="1" pivotButton="0" quotePrefix="0" xfId="1">
      <alignment horizontal="center" vertical="center" wrapText="1"/>
    </xf>
    <xf numFmtId="0" fontId="68" fillId="4" borderId="19" applyAlignment="1" pivotButton="0" quotePrefix="0" xfId="2">
      <alignment horizontal="center" vertical="center"/>
    </xf>
    <xf numFmtId="0" fontId="68" fillId="4" borderId="51" applyAlignment="1" pivotButton="0" quotePrefix="0" xfId="2">
      <alignment horizontal="center" vertical="center"/>
    </xf>
    <xf numFmtId="0" fontId="68" fillId="4" borderId="52" applyAlignment="1" pivotButton="0" quotePrefix="0" xfId="2">
      <alignment horizontal="center" vertical="center"/>
    </xf>
    <xf numFmtId="0" fontId="68" fillId="4" borderId="32" applyAlignment="1" pivotButton="0" quotePrefix="0" xfId="2">
      <alignment horizontal="center" vertical="center"/>
    </xf>
    <xf numFmtId="0" fontId="95" fillId="0" borderId="0" applyAlignment="1" pivotButton="0" quotePrefix="0" xfId="0">
      <alignment horizontal="center"/>
    </xf>
    <xf numFmtId="0" fontId="72" fillId="0" borderId="0" applyAlignment="1" pivotButton="0" quotePrefix="0" xfId="0">
      <alignment horizontal="center" vertical="center"/>
    </xf>
    <xf numFmtId="0" fontId="15" fillId="0" borderId="5" applyAlignment="1" pivotButton="0" quotePrefix="1" xfId="2">
      <alignment horizontal="center" vertical="center"/>
    </xf>
    <xf numFmtId="0" fontId="0" fillId="4" borderId="8" applyAlignment="1" pivotButton="0" quotePrefix="0" xfId="0">
      <alignment horizontal="center" vertical="center"/>
    </xf>
    <xf numFmtId="0" fontId="68" fillId="4" borderId="8" applyAlignment="1" pivotButton="0" quotePrefix="0" xfId="2">
      <alignment horizontal="center" vertical="center"/>
    </xf>
    <xf numFmtId="0" fontId="68" fillId="4" borderId="49" applyAlignment="1" pivotButton="0" quotePrefix="0" xfId="2">
      <alignment horizontal="center" vertical="center"/>
    </xf>
    <xf numFmtId="0" fontId="68" fillId="4" borderId="48" applyAlignment="1" pivotButton="0" quotePrefix="0" xfId="2">
      <alignment horizontal="center" vertical="center"/>
    </xf>
    <xf numFmtId="3" fontId="72" fillId="4" borderId="55" applyAlignment="1" pivotButton="0" quotePrefix="0" xfId="1">
      <alignment horizontal="center" vertical="center" wrapText="1"/>
    </xf>
    <xf numFmtId="0" fontId="0" fillId="4" borderId="37" applyAlignment="1" pivotButton="0" quotePrefix="0" xfId="0">
      <alignment horizontal="center" vertical="center"/>
    </xf>
    <xf numFmtId="0" fontId="0" fillId="4" borderId="56" applyAlignment="1" pivotButton="0" quotePrefix="0" xfId="0">
      <alignment horizontal="center" vertical="center"/>
    </xf>
    <xf numFmtId="14" fontId="48" fillId="8" borderId="28" applyAlignment="1" pivotButton="0" quotePrefix="0" xfId="2">
      <alignment horizontal="center" vertical="center"/>
    </xf>
    <xf numFmtId="0" fontId="96" fillId="0" borderId="0" applyAlignment="1" pivotButton="0" quotePrefix="0" xfId="2">
      <alignment horizontal="left" vertical="center"/>
    </xf>
    <xf numFmtId="0" fontId="97" fillId="0" borderId="0" applyAlignment="1" pivotButton="0" quotePrefix="0" xfId="2">
      <alignment vertical="center"/>
    </xf>
    <xf numFmtId="0" fontId="96" fillId="0" borderId="0" applyAlignment="1" pivotButton="0" quotePrefix="0" xfId="2">
      <alignment vertical="center"/>
    </xf>
    <xf numFmtId="0" fontId="96" fillId="0" borderId="0" applyAlignment="1" pivotButton="0" quotePrefix="0" xfId="2">
      <alignment horizontal="center" vertical="center"/>
    </xf>
    <xf numFmtId="0" fontId="14" fillId="0" borderId="5" applyAlignment="1" pivotButton="0" quotePrefix="1" xfId="2">
      <alignment horizontal="center" vertical="center"/>
    </xf>
    <xf numFmtId="170" fontId="68" fillId="0" borderId="5" applyAlignment="1" pivotButton="0" quotePrefix="0" xfId="2">
      <alignment horizontal="center" vertical="center"/>
    </xf>
    <xf numFmtId="170" fontId="93" fillId="0" borderId="5" applyAlignment="1" pivotButton="0" quotePrefix="0" xfId="2">
      <alignment horizontal="center" vertical="center"/>
    </xf>
    <xf numFmtId="0" fontId="13" fillId="0" borderId="5" applyAlignment="1" pivotButton="0" quotePrefix="1" xfId="2">
      <alignment horizontal="center" vertical="center"/>
    </xf>
    <xf numFmtId="14" fontId="92" fillId="15" borderId="40" applyAlignment="1" pivotButton="0" quotePrefix="0" xfId="0">
      <alignment horizontal="left" vertical="center" wrapText="1" indent="1"/>
    </xf>
    <xf numFmtId="0" fontId="91" fillId="15" borderId="40" applyAlignment="1" pivotButton="0" quotePrefix="0" xfId="0">
      <alignment horizontal="left" vertical="center" wrapText="1" indent="1"/>
    </xf>
    <xf numFmtId="0" fontId="91" fillId="15" borderId="41" applyAlignment="1" pivotButton="0" quotePrefix="0" xfId="0">
      <alignment horizontal="left" vertical="center" wrapText="1" indent="1"/>
    </xf>
    <xf numFmtId="0" fontId="11" fillId="10" borderId="0" applyAlignment="1" pivotButton="0" quotePrefix="0" xfId="2">
      <alignment horizontal="left" vertical="center"/>
    </xf>
    <xf numFmtId="0" fontId="74" fillId="0" borderId="0" applyAlignment="1" pivotButton="0" quotePrefix="0" xfId="2">
      <alignment horizontal="left" vertical="center"/>
    </xf>
    <xf numFmtId="0" fontId="70" fillId="0" borderId="0" applyAlignment="1" pivotButton="0" quotePrefix="0" xfId="2">
      <alignment vertical="center"/>
    </xf>
    <xf numFmtId="0" fontId="74" fillId="0" borderId="0" applyAlignment="1" pivotButton="0" quotePrefix="0" xfId="2">
      <alignment vertical="center" wrapText="1"/>
    </xf>
    <xf numFmtId="0" fontId="98" fillId="0" borderId="0" applyAlignment="1" pivotButton="0" quotePrefix="0" xfId="2">
      <alignment vertical="center"/>
    </xf>
    <xf numFmtId="14" fontId="98" fillId="0" borderId="0" applyAlignment="1" pivotButton="0" quotePrefix="0" xfId="2">
      <alignment vertical="center"/>
    </xf>
    <xf numFmtId="0" fontId="98" fillId="0" borderId="0" applyAlignment="1" pivotButton="0" quotePrefix="0" xfId="2">
      <alignment horizontal="center" vertical="center"/>
    </xf>
    <xf numFmtId="14" fontId="28" fillId="8" borderId="28" applyAlignment="1" pivotButton="0" quotePrefix="0" xfId="2">
      <alignment horizontal="center" vertical="center"/>
    </xf>
    <xf numFmtId="14" fontId="19" fillId="8" borderId="28" applyAlignment="1" pivotButton="0" quotePrefix="0" xfId="2">
      <alignment horizontal="center" vertical="center"/>
    </xf>
    <xf numFmtId="14" fontId="21" fillId="0" borderId="4" applyAlignment="1" pivotButton="0" quotePrefix="0" xfId="2">
      <alignment horizontal="center" vertical="center"/>
    </xf>
    <xf numFmtId="176" fontId="72" fillId="0" borderId="0" applyAlignment="1" pivotButton="0" quotePrefix="0" xfId="0">
      <alignment horizontal="center" vertical="center"/>
    </xf>
    <xf numFmtId="176" fontId="79" fillId="0" borderId="0" pivotButton="0" quotePrefix="0" xfId="0"/>
    <xf numFmtId="176" fontId="79" fillId="8" borderId="0" pivotButton="0" quotePrefix="0" xfId="0"/>
    <xf numFmtId="176" fontId="79" fillId="4" borderId="0" pivotButton="0" quotePrefix="0" xfId="0"/>
    <xf numFmtId="176" fontId="79" fillId="13" borderId="0" pivotButton="0" quotePrefix="0" xfId="0"/>
    <xf numFmtId="176" fontId="79" fillId="16" borderId="0" pivotButton="0" quotePrefix="0" xfId="0"/>
    <xf numFmtId="176" fontId="94" fillId="0" borderId="19" pivotButton="0" quotePrefix="0" xfId="0"/>
    <xf numFmtId="176" fontId="0" fillId="0" borderId="0" pivotButton="0" quotePrefix="0" xfId="0"/>
    <xf numFmtId="0" fontId="10" fillId="8" borderId="0" applyAlignment="1" pivotButton="0" quotePrefix="0" xfId="2">
      <alignment horizontal="left" vertical="center"/>
    </xf>
    <xf numFmtId="0" fontId="10" fillId="10" borderId="0" applyAlignment="1" pivotButton="0" quotePrefix="0" xfId="2">
      <alignment horizontal="left" vertical="center"/>
    </xf>
    <xf numFmtId="0" fontId="9" fillId="0" borderId="5" applyAlignment="1" pivotButton="0" quotePrefix="1" xfId="2">
      <alignment horizontal="center" vertical="center"/>
    </xf>
    <xf numFmtId="0" fontId="8" fillId="0" borderId="5" applyAlignment="1" pivotButton="0" quotePrefix="0" xfId="2">
      <alignment horizontal="center" vertical="center"/>
    </xf>
    <xf numFmtId="177" fontId="72" fillId="5" borderId="24" applyAlignment="1" pivotButton="0" quotePrefix="0" xfId="1">
      <alignment horizontal="left" vertical="center"/>
    </xf>
    <xf numFmtId="0" fontId="7" fillId="0" borderId="5" applyAlignment="1" pivotButton="0" quotePrefix="1" xfId="2">
      <alignment horizontal="center" vertical="center"/>
    </xf>
    <xf numFmtId="0" fontId="7" fillId="0" borderId="0" applyAlignment="1" pivotButton="0" quotePrefix="0" xfId="2">
      <alignment vertical="center"/>
    </xf>
    <xf numFmtId="0" fontId="7" fillId="0" borderId="0" applyAlignment="1" pivotButton="0" quotePrefix="0" xfId="2">
      <alignment horizontal="left" vertical="center"/>
    </xf>
    <xf numFmtId="0" fontId="99" fillId="14" borderId="38" applyAlignment="1" pivotButton="0" quotePrefix="0" xfId="0">
      <alignment horizontal="left" vertical="center" wrapText="1" indent="1"/>
    </xf>
    <xf numFmtId="31" fontId="0" fillId="0" borderId="0" pivotButton="0" quotePrefix="0" xfId="0"/>
    <xf numFmtId="178" fontId="0" fillId="0" borderId="0" pivotButton="0" quotePrefix="0" xfId="0"/>
    <xf numFmtId="0" fontId="6" fillId="0" borderId="5" applyAlignment="1" pivotButton="0" quotePrefix="0" xfId="2">
      <alignment horizontal="center" vertical="center"/>
    </xf>
    <xf numFmtId="0" fontId="16" fillId="0" borderId="0" applyAlignment="1" pivotButton="0" quotePrefix="0" xfId="2">
      <alignment vertical="center"/>
    </xf>
    <xf numFmtId="0" fontId="100" fillId="0" borderId="0" applyAlignment="1" pivotButton="0" quotePrefix="0" xfId="2">
      <alignment vertical="center"/>
    </xf>
    <xf numFmtId="0" fontId="0" fillId="4" borderId="49" applyAlignment="1" pivotButton="0" quotePrefix="0" xfId="0">
      <alignment horizontal="center" vertical="center"/>
    </xf>
    <xf numFmtId="0" fontId="5" fillId="0" borderId="5" applyAlignment="1" pivotButton="0" quotePrefix="0" xfId="2">
      <alignment horizontal="center" vertical="center"/>
    </xf>
    <xf numFmtId="0" fontId="5" fillId="0" borderId="0" applyAlignment="1" pivotButton="0" quotePrefix="0" xfId="2">
      <alignment horizontal="left" vertical="center"/>
    </xf>
    <xf numFmtId="0" fontId="89" fillId="0" borderId="0" applyAlignment="1" pivotButton="0" quotePrefix="0" xfId="2">
      <alignment horizontal="left" vertical="center"/>
    </xf>
    <xf numFmtId="0" fontId="97" fillId="0" borderId="0" applyAlignment="1" pivotButton="0" quotePrefix="0" xfId="2">
      <alignment horizontal="left" vertical="center"/>
    </xf>
    <xf numFmtId="0" fontId="3" fillId="0" borderId="0" applyAlignment="1" pivotButton="0" quotePrefix="0" xfId="2">
      <alignment horizontal="left" vertical="center"/>
    </xf>
    <xf numFmtId="0" fontId="2" fillId="0" borderId="5" applyAlignment="1" pivotButton="0" quotePrefix="1" xfId="2">
      <alignment horizontal="center" vertical="center"/>
    </xf>
    <xf numFmtId="0" fontId="95" fillId="17" borderId="0" applyAlignment="1" pivotButton="0" quotePrefix="0" xfId="0">
      <alignment horizontal="center"/>
    </xf>
    <xf numFmtId="14" fontId="72" fillId="17" borderId="0" applyAlignment="1" pivotButton="0" quotePrefix="0" xfId="0">
      <alignment horizontal="center" vertical="center"/>
    </xf>
    <xf numFmtId="0" fontId="72" fillId="17" borderId="0" applyAlignment="1" pivotButton="0" quotePrefix="0" xfId="0">
      <alignment horizontal="center" vertical="center"/>
    </xf>
    <xf numFmtId="176" fontId="72" fillId="17" borderId="0" applyAlignment="1" pivotButton="0" quotePrefix="0" xfId="0">
      <alignment horizontal="center" vertical="center"/>
    </xf>
    <xf numFmtId="0" fontId="0" fillId="17" borderId="0" pivotButton="0" quotePrefix="0" xfId="0"/>
    <xf numFmtId="176" fontId="72" fillId="0" borderId="0" applyAlignment="1" pivotButton="0" quotePrefix="0" xfId="0">
      <alignment vertical="center"/>
    </xf>
    <xf numFmtId="176" fontId="72" fillId="0" borderId="0" pivotButton="0" quotePrefix="0" xfId="0"/>
    <xf numFmtId="176" fontId="78" fillId="8" borderId="0" applyAlignment="1" pivotButton="0" quotePrefix="0" xfId="0">
      <alignment vertical="center"/>
    </xf>
    <xf numFmtId="176" fontId="72" fillId="8" borderId="0" pivotButton="0" quotePrefix="0" xfId="0"/>
    <xf numFmtId="176" fontId="78" fillId="0" borderId="0" applyAlignment="1" pivotButton="0" quotePrefix="0" xfId="0">
      <alignment vertical="center"/>
    </xf>
    <xf numFmtId="176" fontId="78" fillId="4" borderId="0" applyAlignment="1" pivotButton="0" quotePrefix="0" xfId="0">
      <alignment vertical="center"/>
    </xf>
    <xf numFmtId="176" fontId="72" fillId="4" borderId="0" pivotButton="0" quotePrefix="0" xfId="0"/>
    <xf numFmtId="176" fontId="78" fillId="13" borderId="0" applyAlignment="1" pivotButton="0" quotePrefix="0" xfId="0">
      <alignment vertical="center"/>
    </xf>
    <xf numFmtId="176" fontId="72" fillId="13" borderId="0" pivotButton="0" quotePrefix="0" xfId="0"/>
    <xf numFmtId="176" fontId="79" fillId="9" borderId="0" pivotButton="0" quotePrefix="0" xfId="0"/>
    <xf numFmtId="176" fontId="72" fillId="9" borderId="0" applyAlignment="1" pivotButton="0" quotePrefix="0" xfId="0">
      <alignment vertical="center"/>
    </xf>
    <xf numFmtId="176" fontId="72" fillId="9" borderId="0" pivotButton="0" quotePrefix="0" xfId="0"/>
    <xf numFmtId="176" fontId="0" fillId="9" borderId="0" pivotButton="0" quotePrefix="0" xfId="0"/>
    <xf numFmtId="0" fontId="1" fillId="0" borderId="5" applyAlignment="1" pivotButton="0" quotePrefix="1" xfId="2">
      <alignment horizontal="center" vertical="center"/>
    </xf>
    <xf numFmtId="175" fontId="94" fillId="0" borderId="19" pivotButton="0" quotePrefix="0" xfId="0"/>
    <xf numFmtId="4" fontId="72" fillId="4" borderId="25" applyAlignment="1" pivotButton="0" quotePrefix="0" xfId="1">
      <alignment horizontal="center" vertical="center"/>
    </xf>
    <xf numFmtId="165" fontId="101" fillId="6" borderId="19" pivotButton="0" quotePrefix="0" xfId="0"/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center" vertical="center"/>
    </xf>
    <xf numFmtId="3" fontId="72" fillId="4" borderId="42" applyAlignment="1" pivotButton="0" quotePrefix="0" xfId="1">
      <alignment horizontal="center" vertical="center" wrapText="1"/>
    </xf>
    <xf numFmtId="0" fontId="0" fillId="0" borderId="42" applyAlignment="1" pivotButton="0" quotePrefix="0" xfId="0">
      <alignment horizontal="center" vertical="center"/>
    </xf>
    <xf numFmtId="3" fontId="72" fillId="4" borderId="48" applyAlignment="1" pivotButton="0" quotePrefix="0" xfId="1">
      <alignment horizontal="center" vertical="center" wrapText="1"/>
    </xf>
    <xf numFmtId="0" fontId="0" fillId="0" borderId="48" applyAlignment="1" pivotButton="0" quotePrefix="0" xfId="0">
      <alignment horizontal="center" vertical="center"/>
    </xf>
    <xf numFmtId="0" fontId="0" fillId="0" borderId="43" applyAlignment="1" pivotButton="0" quotePrefix="0" xfId="0">
      <alignment horizontal="center" vertical="center"/>
    </xf>
    <xf numFmtId="0" fontId="0" fillId="0" borderId="49" applyAlignment="1" pivotButton="0" quotePrefix="0" xfId="0">
      <alignment horizontal="center" vertical="center"/>
    </xf>
    <xf numFmtId="0" fontId="0" fillId="0" borderId="44" applyAlignment="1" pivotButton="0" quotePrefix="0" xfId="0">
      <alignment horizontal="center" vertical="center"/>
    </xf>
    <xf numFmtId="0" fontId="76" fillId="5" borderId="24" applyAlignment="1" pivotButton="0" quotePrefix="0" xfId="1">
      <alignment horizontal="center" vertical="center"/>
    </xf>
    <xf numFmtId="0" fontId="0" fillId="0" borderId="24" applyAlignment="1" pivotButton="0" quotePrefix="0" xfId="0">
      <alignment horizontal="center" vertical="center"/>
    </xf>
    <xf numFmtId="0" fontId="0" fillId="0" borderId="43" applyAlignment="1" pivotButton="0" quotePrefix="0" xfId="0">
      <alignment horizontal="center" vertical="center" wrapText="1"/>
    </xf>
    <xf numFmtId="0" fontId="0" fillId="0" borderId="49" applyAlignment="1" pivotButton="0" quotePrefix="0" xfId="0">
      <alignment horizontal="center" vertical="center" wrapText="1"/>
    </xf>
    <xf numFmtId="0" fontId="0" fillId="0" borderId="44" applyAlignment="1" pivotButton="0" quotePrefix="0" xfId="0">
      <alignment horizontal="center" vertical="center" wrapText="1"/>
    </xf>
    <xf numFmtId="0" fontId="72" fillId="5" borderId="11" applyAlignment="1" pivotButton="0" quotePrefix="0" xfId="1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72" fillId="5" borderId="45" applyAlignment="1" pivotButton="0" quotePrefix="0" xfId="1">
      <alignment horizontal="center" vertical="center"/>
    </xf>
    <xf numFmtId="0" fontId="0" fillId="0" borderId="46" applyAlignment="1" pivotButton="0" quotePrefix="0" xfId="0">
      <alignment horizontal="center" vertical="center"/>
    </xf>
    <xf numFmtId="0" fontId="0" fillId="0" borderId="47" applyAlignment="1" pivotButton="0" quotePrefix="0" xfId="0">
      <alignment horizontal="center" vertical="center"/>
    </xf>
    <xf numFmtId="3" fontId="72" fillId="5" borderId="21" applyAlignment="1" pivotButton="0" quotePrefix="0" xfId="1">
      <alignment horizontal="center" vertical="center"/>
    </xf>
    <xf numFmtId="3" fontId="72" fillId="5" borderId="23" applyAlignment="1" pivotButton="0" quotePrefix="0" xfId="1">
      <alignment horizontal="center" vertical="center"/>
    </xf>
    <xf numFmtId="3" fontId="72" fillId="5" borderId="22" applyAlignment="1" pivotButton="0" quotePrefix="0" xfId="1">
      <alignment horizontal="center" vertical="center"/>
    </xf>
    <xf numFmtId="0" fontId="76" fillId="5" borderId="26" applyAlignment="1" pivotButton="0" quotePrefix="0" xfId="1">
      <alignment horizontal="center" vertical="center"/>
    </xf>
    <xf numFmtId="0" fontId="0" fillId="0" borderId="27" applyAlignment="1" pivotButton="0" quotePrefix="0" xfId="0">
      <alignment horizontal="center" vertical="center"/>
    </xf>
    <xf numFmtId="0" fontId="0" fillId="0" borderId="25" applyAlignment="1" pivotButton="0" quotePrefix="0" xfId="0">
      <alignment horizontal="center" vertical="center"/>
    </xf>
    <xf numFmtId="0" fontId="72" fillId="5" borderId="23" applyAlignment="1" pivotButton="0" quotePrefix="0" xfId="1">
      <alignment horizontal="center" vertical="center"/>
    </xf>
    <xf numFmtId="0" fontId="72" fillId="5" borderId="21" applyAlignment="1" pivotButton="0" quotePrefix="0" xfId="1">
      <alignment horizontal="center" vertical="center"/>
    </xf>
    <xf numFmtId="3" fontId="72" fillId="4" borderId="11" applyAlignment="1" pivotButton="0" quotePrefix="0" xfId="1">
      <alignment horizontal="center" vertical="center" wrapText="1"/>
    </xf>
    <xf numFmtId="0" fontId="0" fillId="0" borderId="53" applyAlignment="1" pivotButton="0" quotePrefix="0" xfId="0">
      <alignment horizontal="center" vertical="center"/>
    </xf>
    <xf numFmtId="3" fontId="72" fillId="4" borderId="15" applyAlignment="1" pivotButton="0" quotePrefix="0" xfId="1">
      <alignment horizontal="center" vertical="center" wrapText="1"/>
    </xf>
    <xf numFmtId="0" fontId="0" fillId="0" borderId="54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3" fontId="72" fillId="4" borderId="12" applyAlignment="1" pivotButton="0" quotePrefix="0" xfId="1">
      <alignment horizontal="center" vertical="center" wrapText="1"/>
    </xf>
    <xf numFmtId="3" fontId="72" fillId="4" borderId="0" applyAlignment="1" pivotButton="0" quotePrefix="0" xfId="1">
      <alignment horizontal="center" vertical="center" wrapText="1"/>
    </xf>
    <xf numFmtId="3" fontId="72" fillId="4" borderId="26" applyAlignment="1" pivotButton="0" quotePrefix="0" xfId="1">
      <alignment horizontal="center" vertical="center" wrapText="1"/>
    </xf>
    <xf numFmtId="3" fontId="72" fillId="4" borderId="27" applyAlignment="1" pivotButton="0" quotePrefix="0" xfId="1">
      <alignment horizontal="center" vertical="center" wrapText="1"/>
    </xf>
    <xf numFmtId="0" fontId="72" fillId="5" borderId="15" applyAlignment="1" pivotButton="0" quotePrefix="0" xfId="1">
      <alignment horizontal="center" vertical="center"/>
    </xf>
    <xf numFmtId="0" fontId="72" fillId="5" borderId="46" applyAlignment="1" pivotButton="0" quotePrefix="0" xfId="1">
      <alignment horizontal="center" vertical="center"/>
    </xf>
    <xf numFmtId="164" fontId="72" fillId="7" borderId="19" applyAlignment="1" pivotButton="0" quotePrefix="0" xfId="1">
      <alignment horizontal="center" vertical="center"/>
    </xf>
    <xf numFmtId="165" fontId="72" fillId="6" borderId="19" pivotButton="0" quotePrefix="0" xfId="0"/>
    <xf numFmtId="171" fontId="72" fillId="6" borderId="19" pivotButton="0" quotePrefix="0" xfId="0"/>
    <xf numFmtId="165" fontId="101" fillId="6" borderId="19" pivotButton="0" quotePrefix="0" xfId="0"/>
    <xf numFmtId="165" fontId="72" fillId="7" borderId="19" pivotButton="0" quotePrefix="0" xfId="0"/>
    <xf numFmtId="171" fontId="72" fillId="7" borderId="19" pivotButton="0" quotePrefix="0" xfId="0"/>
    <xf numFmtId="164" fontId="70" fillId="0" borderId="2" applyAlignment="1" pivotButton="0" quotePrefix="0" xfId="1">
      <alignment horizontal="left" vertical="center"/>
    </xf>
    <xf numFmtId="165" fontId="70" fillId="0" borderId="2" applyAlignment="1" pivotButton="0" quotePrefix="0" xfId="1">
      <alignment horizontal="left" vertical="center"/>
    </xf>
    <xf numFmtId="166" fontId="70" fillId="0" borderId="5" applyAlignment="1" pivotButton="0" quotePrefix="0" xfId="1">
      <alignment horizontal="center" vertical="center" wrapText="1"/>
    </xf>
    <xf numFmtId="165" fontId="70" fillId="0" borderId="5" applyAlignment="1" pivotButton="0" quotePrefix="0" xfId="1">
      <alignment horizontal="center" vertical="center" wrapText="1"/>
    </xf>
    <xf numFmtId="167" fontId="70" fillId="0" borderId="5" applyAlignment="1" pivotButton="0" quotePrefix="0" xfId="1">
      <alignment horizontal="center" vertical="center"/>
    </xf>
    <xf numFmtId="168" fontId="70" fillId="0" borderId="6" applyAlignment="1" pivotButton="0" quotePrefix="0" xfId="1">
      <alignment horizontal="center" vertical="center" wrapText="1"/>
    </xf>
    <xf numFmtId="170" fontId="70" fillId="0" borderId="0" applyAlignment="1" pivotButton="0" quotePrefix="0" xfId="1">
      <alignment horizontal="center" vertical="center" wrapText="1"/>
    </xf>
    <xf numFmtId="164" fontId="70" fillId="4" borderId="5" applyAlignment="1" pivotButton="0" quotePrefix="0" xfId="1">
      <alignment horizontal="center" vertical="center" wrapText="1"/>
    </xf>
    <xf numFmtId="166" fontId="70" fillId="4" borderId="5" applyAlignment="1" pivotButton="0" quotePrefix="0" xfId="1">
      <alignment horizontal="center" vertical="center" wrapText="1"/>
    </xf>
    <xf numFmtId="165" fontId="70" fillId="4" borderId="5" applyAlignment="1" pivotButton="0" quotePrefix="0" xfId="1">
      <alignment horizontal="center" vertical="center" wrapText="1"/>
    </xf>
    <xf numFmtId="167" fontId="70" fillId="4" borderId="5" applyAlignment="1" pivotButton="0" quotePrefix="0" xfId="1">
      <alignment horizontal="center" vertical="center"/>
    </xf>
    <xf numFmtId="164" fontId="70" fillId="2" borderId="5" applyAlignment="1" pivotButton="0" quotePrefix="0" xfId="1">
      <alignment horizontal="center" vertical="center" wrapText="1"/>
    </xf>
    <xf numFmtId="166" fontId="70" fillId="2" borderId="5" applyAlignment="1" pivotButton="0" quotePrefix="0" xfId="1">
      <alignment horizontal="center" vertical="center" wrapText="1"/>
    </xf>
    <xf numFmtId="165" fontId="70" fillId="2" borderId="5" applyAlignment="1" pivotButton="0" quotePrefix="0" xfId="1">
      <alignment horizontal="center" vertical="center" wrapText="1"/>
    </xf>
    <xf numFmtId="167" fontId="70" fillId="2" borderId="5" applyAlignment="1" pivotButton="0" quotePrefix="0" xfId="1">
      <alignment horizontal="center" vertical="center"/>
    </xf>
    <xf numFmtId="164" fontId="70" fillId="0" borderId="8" applyAlignment="1" pivotButton="0" quotePrefix="0" xfId="1">
      <alignment horizontal="center" vertical="center" wrapText="1"/>
    </xf>
    <xf numFmtId="166" fontId="70" fillId="0" borderId="8" applyAlignment="1" pivotButton="0" quotePrefix="0" xfId="1">
      <alignment horizontal="center" vertical="center" wrapText="1"/>
    </xf>
    <xf numFmtId="165" fontId="70" fillId="0" borderId="8" applyAlignment="1" pivotButton="0" quotePrefix="0" xfId="1">
      <alignment horizontal="center" vertical="center" wrapText="1"/>
    </xf>
    <xf numFmtId="165" fontId="70" fillId="0" borderId="10" applyAlignment="1" pivotButton="0" quotePrefix="0" xfId="1">
      <alignment horizontal="center" vertical="center" wrapText="1"/>
    </xf>
    <xf numFmtId="167" fontId="70" fillId="0" borderId="8" applyAlignment="1" pivotButton="0" quotePrefix="0" xfId="1">
      <alignment horizontal="center" vertical="center"/>
    </xf>
    <xf numFmtId="164" fontId="70" fillId="0" borderId="0" applyAlignment="1" pivotButton="0" quotePrefix="0" xfId="1">
      <alignment horizontal="center" vertical="center" wrapText="1"/>
    </xf>
    <xf numFmtId="166" fontId="70" fillId="0" borderId="0" applyAlignment="1" pivotButton="0" quotePrefix="0" xfId="1">
      <alignment horizontal="center" vertical="center" wrapText="1"/>
    </xf>
    <xf numFmtId="165" fontId="70" fillId="0" borderId="0" applyAlignment="1" pivotButton="0" quotePrefix="0" xfId="1">
      <alignment horizontal="center" vertical="center" wrapText="1"/>
    </xf>
    <xf numFmtId="167" fontId="70" fillId="0" borderId="0" applyAlignment="1" pivotButton="0" quotePrefix="0" xfId="1">
      <alignment horizontal="center" vertical="center"/>
    </xf>
    <xf numFmtId="0" fontId="0" fillId="0" borderId="12" pivotButton="0" quotePrefix="0" xfId="0"/>
    <xf numFmtId="0" fontId="72" fillId="5" borderId="57" applyAlignment="1" pivotButton="0" quotePrefix="0" xfId="1">
      <alignment horizontal="center" vertical="center"/>
    </xf>
    <xf numFmtId="0" fontId="0" fillId="0" borderId="13" pivotButton="0" quotePrefix="0" xfId="0"/>
    <xf numFmtId="0" fontId="0" fillId="0" borderId="23" pivotButton="0" quotePrefix="0" xfId="0"/>
    <xf numFmtId="0" fontId="0" fillId="0" borderId="22" pivotButton="0" quotePrefix="0" xfId="0"/>
    <xf numFmtId="165" fontId="72" fillId="5" borderId="20" applyAlignment="1" pivotButton="0" quotePrefix="0" xfId="1">
      <alignment horizontal="center" vertical="center"/>
    </xf>
    <xf numFmtId="167" fontId="72" fillId="5" borderId="21" applyAlignment="1" pivotButton="0" quotePrefix="0" xfId="1">
      <alignment horizontal="center" vertical="center"/>
    </xf>
    <xf numFmtId="167" fontId="76" fillId="5" borderId="24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0" fillId="0" borderId="46" pivotButton="0" quotePrefix="0" xfId="0"/>
    <xf numFmtId="0" fontId="0" fillId="0" borderId="27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4" pivotButton="0" quotePrefix="0" xfId="0"/>
    <xf numFmtId="0" fontId="0" fillId="0" borderId="47" pivotButton="0" quotePrefix="0" xfId="0"/>
    <xf numFmtId="165" fontId="72" fillId="5" borderId="20" applyAlignment="1" pivotButton="0" quotePrefix="0" xfId="1">
      <alignment horizontal="center" vertical="center" wrapText="1"/>
    </xf>
    <xf numFmtId="0" fontId="0" fillId="0" borderId="25" pivotButton="0" quotePrefix="0" xfId="0"/>
    <xf numFmtId="0" fontId="0" fillId="0" borderId="53" pivotButton="0" quotePrefix="0" xfId="0"/>
    <xf numFmtId="0" fontId="0" fillId="0" borderId="54" pivotButton="0" quotePrefix="0" xfId="0"/>
    <xf numFmtId="165" fontId="72" fillId="4" borderId="48" applyAlignment="1" pivotButton="0" quotePrefix="0" xfId="1">
      <alignment horizontal="center" vertical="center"/>
    </xf>
    <xf numFmtId="167" fontId="72" fillId="4" borderId="48" applyAlignment="1" pivotButton="0" quotePrefix="0" xfId="1">
      <alignment horizontal="center" vertical="center"/>
    </xf>
    <xf numFmtId="0" fontId="0" fillId="0" borderId="58" pivotButton="0" quotePrefix="0" xfId="0"/>
    <xf numFmtId="0" fontId="0" fillId="0" borderId="59" pivotButton="0" quotePrefix="0" xfId="0"/>
    <xf numFmtId="0" fontId="0" fillId="0" borderId="60" pivotButton="0" quotePrefix="0" xfId="0"/>
    <xf numFmtId="0" fontId="0" fillId="0" borderId="48" pivotButton="0" quotePrefix="0" xfId="0"/>
    <xf numFmtId="165" fontId="72" fillId="4" borderId="25" applyAlignment="1" pivotButton="0" quotePrefix="0" xfId="1">
      <alignment horizontal="center" vertical="center"/>
    </xf>
    <xf numFmtId="167" fontId="72" fillId="4" borderId="25" applyAlignment="1" pivotButton="0" quotePrefix="0" xfId="1">
      <alignment horizontal="center" vertical="center"/>
    </xf>
    <xf numFmtId="170" fontId="93" fillId="0" borderId="5" applyAlignment="1" pivotButton="0" quotePrefix="0" xfId="2">
      <alignment horizontal="center" vertical="center"/>
    </xf>
    <xf numFmtId="170" fontId="68" fillId="0" borderId="5" applyAlignment="1" pivotButton="0" quotePrefix="0" xfId="2">
      <alignment horizontal="center" vertical="center"/>
    </xf>
    <xf numFmtId="0" fontId="0" fillId="0" borderId="20" applyAlignment="1" pivotButton="0" quotePrefix="0" xfId="0">
      <alignment horizontal="center" vertical="center"/>
    </xf>
    <xf numFmtId="167" fontId="72" fillId="5" borderId="35" applyAlignment="1" pivotButton="0" quotePrefix="0" xfId="1">
      <alignment horizontal="center" vertical="center"/>
    </xf>
    <xf numFmtId="166" fontId="70" fillId="0" borderId="5" applyAlignment="1" pivotButton="0" quotePrefix="0" xfId="1">
      <alignment horizontal="center" vertical="center"/>
    </xf>
    <xf numFmtId="166" fontId="68" fillId="0" borderId="5" applyAlignment="1" pivotButton="0" quotePrefix="0" xfId="2">
      <alignment horizontal="center" vertical="center"/>
    </xf>
    <xf numFmtId="0" fontId="72" fillId="5" borderId="22" applyAlignment="1" pivotButton="0" quotePrefix="0" xfId="1">
      <alignment horizontal="center" vertical="center"/>
    </xf>
    <xf numFmtId="169" fontId="68" fillId="0" borderId="4" applyAlignment="1" pivotButton="0" quotePrefix="0" xfId="2">
      <alignment horizontal="center" vertical="center"/>
    </xf>
    <xf numFmtId="165" fontId="68" fillId="0" borderId="0" applyAlignment="1" pivotButton="0" quotePrefix="0" xfId="2">
      <alignment horizontal="center" vertical="center"/>
    </xf>
    <xf numFmtId="0" fontId="72" fillId="5" borderId="20" applyAlignment="1" pivotButton="0" quotePrefix="0" xfId="1">
      <alignment horizontal="center" vertical="center"/>
    </xf>
    <xf numFmtId="165" fontId="72" fillId="4" borderId="43" applyAlignment="1" pivotButton="0" quotePrefix="0" xfId="1">
      <alignment horizontal="center" vertical="center"/>
    </xf>
    <xf numFmtId="167" fontId="72" fillId="4" borderId="43" applyAlignment="1" pivotButton="0" quotePrefix="0" xfId="1">
      <alignment horizontal="center" vertical="center"/>
    </xf>
    <xf numFmtId="165" fontId="72" fillId="4" borderId="44" applyAlignment="1" pivotButton="0" quotePrefix="0" xfId="1">
      <alignment horizontal="center" vertical="center"/>
    </xf>
    <xf numFmtId="167" fontId="72" fillId="4" borderId="44" applyAlignment="1" pivotButton="0" quotePrefix="0" xfId="1">
      <alignment horizontal="center" vertical="center"/>
    </xf>
    <xf numFmtId="3" fontId="72" fillId="4" borderId="23" applyAlignment="1" pivotButton="0" quotePrefix="0" xfId="1">
      <alignment horizontal="center" vertical="center" wrapText="1"/>
    </xf>
    <xf numFmtId="0" fontId="0" fillId="0" borderId="9" pivotButton="0" quotePrefix="0" xfId="0"/>
    <xf numFmtId="170" fontId="70" fillId="12" borderId="0" applyAlignment="1" pivotButton="0" quotePrefix="0" xfId="1">
      <alignment horizontal="center" vertical="center" wrapText="1"/>
    </xf>
    <xf numFmtId="177" fontId="72" fillId="5" borderId="24" applyAlignment="1" pivotButton="0" quotePrefix="0" xfId="1">
      <alignment horizontal="left" vertical="center"/>
    </xf>
    <xf numFmtId="175" fontId="70" fillId="0" borderId="5" applyAlignment="1" pivotButton="0" quotePrefix="0" xfId="1">
      <alignment horizontal="center" vertical="center" wrapText="1"/>
    </xf>
    <xf numFmtId="170" fontId="0" fillId="0" borderId="0" pivotButton="0" quotePrefix="0" xfId="0"/>
    <xf numFmtId="168" fontId="0" fillId="0" borderId="0" pivotButton="0" quotePrefix="0" xfId="0"/>
    <xf numFmtId="174" fontId="0" fillId="0" borderId="0" pivotButton="0" quotePrefix="0" xfId="0"/>
    <xf numFmtId="168" fontId="83" fillId="11" borderId="36" applyAlignment="1" pivotButton="0" quotePrefix="0" xfId="0">
      <alignment horizontal="center" vertical="center" wrapText="1"/>
    </xf>
    <xf numFmtId="178" fontId="0" fillId="0" borderId="0" pivotButton="0" quotePrefix="0" xfId="0"/>
    <xf numFmtId="173" fontId="0" fillId="0" borderId="0" applyAlignment="1" pivotButton="0" quotePrefix="0" xfId="0">
      <alignment vertical="center"/>
    </xf>
    <xf numFmtId="172" fontId="79" fillId="0" borderId="0" pivotButton="0" quotePrefix="0" xfId="0"/>
    <xf numFmtId="165" fontId="72" fillId="0" borderId="0" pivotButton="0" quotePrefix="0" xfId="0"/>
    <xf numFmtId="165" fontId="0" fillId="0" borderId="0" pivotButton="0" quotePrefix="0" xfId="0"/>
    <xf numFmtId="165" fontId="72" fillId="0" borderId="30" pivotButton="0" quotePrefix="0" xfId="0"/>
    <xf numFmtId="173" fontId="0" fillId="8" borderId="0" applyAlignment="1" pivotButton="0" quotePrefix="0" xfId="0">
      <alignment vertical="center"/>
    </xf>
    <xf numFmtId="172" fontId="79" fillId="8" borderId="0" pivotButton="0" quotePrefix="0" xfId="0"/>
    <xf numFmtId="165" fontId="72" fillId="8" borderId="0" pivotButton="0" quotePrefix="0" xfId="0"/>
    <xf numFmtId="165" fontId="0" fillId="8" borderId="0" pivotButton="0" quotePrefix="0" xfId="0"/>
    <xf numFmtId="165" fontId="72" fillId="0" borderId="32" pivotButton="0" quotePrefix="0" xfId="0"/>
    <xf numFmtId="173" fontId="0" fillId="4" borderId="0" applyAlignment="1" pivotButton="0" quotePrefix="0" xfId="0">
      <alignment vertical="center"/>
    </xf>
    <xf numFmtId="172" fontId="79" fillId="4" borderId="0" pivotButton="0" quotePrefix="0" xfId="0"/>
    <xf numFmtId="165" fontId="72" fillId="4" borderId="0" pivotButton="0" quotePrefix="0" xfId="0"/>
    <xf numFmtId="165" fontId="0" fillId="4" borderId="0" pivotButton="0" quotePrefix="0" xfId="0"/>
    <xf numFmtId="173" fontId="0" fillId="13" borderId="0" applyAlignment="1" pivotButton="0" quotePrefix="0" xfId="0">
      <alignment vertical="center"/>
    </xf>
    <xf numFmtId="172" fontId="79" fillId="13" borderId="0" pivotButton="0" quotePrefix="0" xfId="0"/>
    <xf numFmtId="165" fontId="72" fillId="13" borderId="0" pivotButton="0" quotePrefix="0" xfId="0"/>
    <xf numFmtId="165" fontId="0" fillId="13" borderId="0" pivotButton="0" quotePrefix="0" xfId="0"/>
    <xf numFmtId="165" fontId="78" fillId="0" borderId="0" applyAlignment="1" pivotButton="0" quotePrefix="0" xfId="0">
      <alignment vertical="center"/>
    </xf>
    <xf numFmtId="173" fontId="0" fillId="9" borderId="0" applyAlignment="1" pivotButton="0" quotePrefix="0" xfId="0">
      <alignment vertical="center"/>
    </xf>
    <xf numFmtId="172" fontId="79" fillId="9" borderId="0" pivotButton="0" quotePrefix="0" xfId="0"/>
    <xf numFmtId="165" fontId="72" fillId="9" borderId="0" pivotButton="0" quotePrefix="0" xfId="0"/>
    <xf numFmtId="165" fontId="0" fillId="9" borderId="0" pivotButton="0" quotePrefix="0" xfId="0"/>
    <xf numFmtId="172" fontId="0" fillId="9" borderId="0" pivotButton="0" quotePrefix="0" xfId="0"/>
    <xf numFmtId="165" fontId="0" fillId="0" borderId="0" applyAlignment="1" pivotButton="0" quotePrefix="0" xfId="0">
      <alignment vertical="center"/>
    </xf>
    <xf numFmtId="172" fontId="0" fillId="0" borderId="0" pivotButton="0" quotePrefix="0" xfId="0"/>
    <xf numFmtId="176" fontId="72" fillId="17" borderId="0" applyAlignment="1" pivotButton="0" quotePrefix="0" xfId="0">
      <alignment horizontal="center" vertical="center"/>
    </xf>
    <xf numFmtId="176" fontId="79" fillId="0" borderId="0" pivotButton="0" quotePrefix="0" xfId="0"/>
    <xf numFmtId="176" fontId="72" fillId="0" borderId="0" applyAlignment="1" pivotButton="0" quotePrefix="0" xfId="0">
      <alignment vertical="center"/>
    </xf>
    <xf numFmtId="176" fontId="72" fillId="0" borderId="0" pivotButton="0" quotePrefix="0" xfId="0"/>
    <xf numFmtId="176" fontId="79" fillId="8" borderId="0" pivotButton="0" quotePrefix="0" xfId="0"/>
    <xf numFmtId="176" fontId="78" fillId="8" borderId="0" applyAlignment="1" pivotButton="0" quotePrefix="0" xfId="0">
      <alignment vertical="center"/>
    </xf>
    <xf numFmtId="176" fontId="72" fillId="8" borderId="0" pivotButton="0" quotePrefix="0" xfId="0"/>
    <xf numFmtId="176" fontId="78" fillId="0" borderId="0" applyAlignment="1" pivotButton="0" quotePrefix="0" xfId="0">
      <alignment vertical="center"/>
    </xf>
    <xf numFmtId="176" fontId="79" fillId="4" borderId="0" pivotButton="0" quotePrefix="0" xfId="0"/>
    <xf numFmtId="176" fontId="78" fillId="4" borderId="0" applyAlignment="1" pivotButton="0" quotePrefix="0" xfId="0">
      <alignment vertical="center"/>
    </xf>
    <xf numFmtId="176" fontId="72" fillId="4" borderId="0" pivotButton="0" quotePrefix="0" xfId="0"/>
    <xf numFmtId="176" fontId="79" fillId="13" borderId="0" pivotButton="0" quotePrefix="0" xfId="0"/>
    <xf numFmtId="176" fontId="78" fillId="13" borderId="0" applyAlignment="1" pivotButton="0" quotePrefix="0" xfId="0">
      <alignment vertical="center"/>
    </xf>
    <xf numFmtId="176" fontId="72" fillId="13" borderId="0" pivotButton="0" quotePrefix="0" xfId="0"/>
    <xf numFmtId="176" fontId="79" fillId="9" borderId="0" pivotButton="0" quotePrefix="0" xfId="0"/>
    <xf numFmtId="176" fontId="72" fillId="9" borderId="0" applyAlignment="1" pivotButton="0" quotePrefix="0" xfId="0">
      <alignment vertical="center"/>
    </xf>
    <xf numFmtId="176" fontId="72" fillId="9" borderId="0" pivotButton="0" quotePrefix="0" xfId="0"/>
    <xf numFmtId="176" fontId="0" fillId="9" borderId="0" pivotButton="0" quotePrefix="0" xfId="0"/>
    <xf numFmtId="165" fontId="94" fillId="0" borderId="19" pivotButton="0" quotePrefix="0" xfId="0"/>
    <xf numFmtId="176" fontId="94" fillId="0" borderId="19" pivotButton="0" quotePrefix="0" xfId="0"/>
    <xf numFmtId="175" fontId="94" fillId="0" borderId="19" pivotButton="0" quotePrefix="0" xfId="0"/>
    <xf numFmtId="176" fontId="0" fillId="0" borderId="0" pivotButton="0" quotePrefix="0" xfId="0"/>
    <xf numFmtId="176" fontId="72" fillId="0" borderId="0" applyAlignment="1" pivotButton="0" quotePrefix="0" xfId="0">
      <alignment horizontal="center" vertical="center"/>
    </xf>
    <xf numFmtId="175" fontId="72" fillId="13" borderId="0" pivotButton="0" quotePrefix="0" xfId="0"/>
    <xf numFmtId="175" fontId="72" fillId="0" borderId="0" pivotButton="0" quotePrefix="0" xfId="0"/>
    <xf numFmtId="175" fontId="72" fillId="8" borderId="0" pivotButton="0" quotePrefix="0" xfId="0"/>
    <xf numFmtId="173" fontId="0" fillId="16" borderId="0" applyAlignment="1" pivotButton="0" quotePrefix="0" xfId="0">
      <alignment vertical="center"/>
    </xf>
    <xf numFmtId="172" fontId="79" fillId="16" borderId="0" pivotButton="0" quotePrefix="0" xfId="0"/>
    <xf numFmtId="165" fontId="72" fillId="16" borderId="0" pivotButton="0" quotePrefix="0" xfId="0"/>
    <xf numFmtId="176" fontId="79" fillId="16" borderId="0" pivotButton="0" quotePrefix="0" xfId="0"/>
    <xf numFmtId="175" fontId="72" fillId="16" borderId="0" pivotButton="0" quotePrefix="0" xfId="0"/>
    <xf numFmtId="175" fontId="72" fillId="4" borderId="0" pivotButton="0" quotePrefix="0" xfId="0"/>
  </cellXfs>
  <cellStyles count="41">
    <cellStyle name="一般" xfId="0" builtinId="0"/>
    <cellStyle name="一般 2" xfId="1"/>
    <cellStyle name="一般 3" xfId="2"/>
    <cellStyle name="好_運彩交易紀錄" xfId="3"/>
    <cellStyle name="一般 4" xfId="4"/>
    <cellStyle name="一般 3 2" xfId="5"/>
    <cellStyle name="一般 4 2" xfId="6"/>
    <cellStyle name="一般 5" xfId="7"/>
    <cellStyle name="一般 6" xfId="8"/>
    <cellStyle name="一般 7" xfId="9"/>
    <cellStyle name="一般 3 3" xfId="10"/>
    <cellStyle name="一般 4 3" xfId="11"/>
    <cellStyle name="一般 3 2 2" xfId="12"/>
    <cellStyle name="一般 4 2 2" xfId="13"/>
    <cellStyle name="一般 5 2" xfId="14"/>
    <cellStyle name="一般 6 2" xfId="15"/>
    <cellStyle name="一般 7 2" xfId="16"/>
    <cellStyle name="一般 8" xfId="17"/>
    <cellStyle name="一般 9" xfId="18"/>
    <cellStyle name="一般 10" xfId="19"/>
    <cellStyle name="一般 11" xfId="20"/>
    <cellStyle name="一般 12" xfId="21"/>
    <cellStyle name="一般 13" xfId="22"/>
    <cellStyle name="一般 14" xfId="23"/>
    <cellStyle name="一般 15" xfId="24"/>
    <cellStyle name="一般 16" xfId="25"/>
    <cellStyle name="一般 17" xfId="26"/>
    <cellStyle name="一般 18" xfId="27"/>
    <cellStyle name="一般 19" xfId="28"/>
    <cellStyle name="一般 20" xfId="29"/>
    <cellStyle name="一般 21" xfId="30"/>
    <cellStyle name="一般 22" xfId="31"/>
    <cellStyle name="一般 23" xfId="32"/>
    <cellStyle name="一般 4 4" xfId="33"/>
    <cellStyle name="一般 24" xfId="34"/>
    <cellStyle name="一般 3 4" xfId="35"/>
    <cellStyle name="一般 25" xfId="36"/>
    <cellStyle name="超連結" xfId="37" builtinId="8"/>
    <cellStyle name="一般 26" xfId="38"/>
    <cellStyle name="一般 27" xfId="39"/>
    <cellStyle name="一般 28" xfId="40"/>
  </cellStyles>
  <dxfs count="2745"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"/>
        </right>
      </border>
    </dxf>
    <dxf>
      <numFmt numFmtId="190" formatCode="[$-409]h:mm\ AM/PM;@"/>
    </dxf>
    <dxf>
      <alignment horizontal="general" vertical="center"/>
    </dxf>
    <dxf>
      <alignment horizontal="general" vertical="center"/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 val="1"/>
        <color rgb="FF00B050"/>
      </font>
    </dxf>
    <dxf>
      <font>
        <b val="1"/>
        <color rgb="FFFF0000"/>
      </font>
    </dxf>
    <dxf>
      <font>
        <b val="1"/>
        <color rgb="FF00B050"/>
      </font>
    </dxf>
    <dxf>
      <font>
        <b val="1"/>
        <color rgb="FFFF0000"/>
      </font>
    </dxf>
    <dxf>
      <font>
        <color rgb="FF9C0006"/>
      </font>
    </dxf>
    <dxf>
      <font>
        <color rgb="FF00B050"/>
      </font>
      <fill>
        <patternFill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 val="1"/>
        <color rgb="FF00B050"/>
      </font>
    </dxf>
    <dxf>
      <font>
        <b val="1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總投報率!$C$1</f>
              <strCache>
                <ptCount val="1"/>
                <pt idx="0">
                  <v>投資損益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總投報率!$A$2:$A$9</f>
              <numCache>
                <formatCode>General</formatCode>
                <ptCount val="8"/>
                <pt idx="0">
                  <v>2019</v>
                </pt>
                <pt idx="1">
                  <v>2020</v>
                </pt>
                <pt idx="2">
                  <v>2021</v>
                </pt>
                <pt idx="3">
                  <v>2022</v>
                </pt>
                <pt idx="4">
                  <v>2023</v>
                </pt>
                <pt idx="5">
                  <v>2024</v>
                </pt>
                <pt idx="6">
                  <v>2025</v>
                </pt>
                <pt idx="7">
                  <v>2026</v>
                </pt>
              </numCache>
            </numRef>
          </cat>
          <val>
            <numRef>
              <f>總投報率!$C$2:$C$9</f>
              <numCache>
                <formatCode xml:space="preserve">0_ ;[Red]\-0\ </formatCode>
                <ptCount val="8"/>
                <pt idx="0">
                  <v>33817.65</v>
                </pt>
                <pt idx="1">
                  <v>76267</v>
                </pt>
                <pt idx="2">
                  <v>71433.40999999999</v>
                </pt>
                <pt idx="3">
                  <v>272512.2</v>
                </pt>
                <pt idx="4">
                  <v>17288.59999999999</v>
                </pt>
                <pt idx="5">
                  <v>43577.76000000001</v>
                </pt>
                <pt idx="6">
                  <v>52967.01000000001</v>
                </pt>
                <pt idx="7">
                  <v>1052054.73278425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40219439"/>
        <axId val="1040217519"/>
      </barChart>
      <lineChart>
        <grouping val="standard"/>
        <varyColors val="0"/>
        <ser>
          <idx val="1"/>
          <order val="1"/>
          <tx>
            <strRef>
              <f>總投報率!$I$1</f>
              <strCache>
                <ptCount val="1"/>
                <pt idx="0">
                  <v>累積收益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總投報率!$A$1:$A$9</f>
              <strCache>
                <ptCount val="9"/>
                <pt idx="0">
                  <v>年度</v>
                </pt>
                <pt idx="1">
                  <v>2019</v>
                </pt>
                <pt idx="2">
                  <v>2020</v>
                </pt>
                <pt idx="3">
                  <v>2021</v>
                </pt>
                <pt idx="4">
                  <v>2022</v>
                </pt>
                <pt idx="5">
                  <v>2023</v>
                </pt>
                <pt idx="6">
                  <v>2024</v>
                </pt>
                <pt idx="7">
                  <v>2025</v>
                </pt>
                <pt idx="8">
                  <v>2026</v>
                </pt>
              </strCache>
            </strRef>
          </cat>
          <val>
            <numRef>
              <f>總投報率!$I$2:$I$9</f>
              <numCache>
                <formatCode xml:space="preserve">0_ ;[Red]\-0\ </formatCode>
                <ptCount val="8"/>
                <pt idx="0">
                  <v>33817.65</v>
                </pt>
                <pt idx="1">
                  <v>110084.65</v>
                </pt>
                <pt idx="2">
                  <v>181518.06</v>
                </pt>
                <pt idx="3">
                  <v>454030.26</v>
                </pt>
                <pt idx="4">
                  <v>471318.86</v>
                </pt>
                <pt idx="5">
                  <v>514896.62</v>
                </pt>
                <pt idx="6">
                  <v>567863.63</v>
                </pt>
                <pt idx="7">
                  <v>1619918.36278425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40219439"/>
        <axId val="1040217519"/>
      </lineChart>
      <catAx>
        <axId val="104021943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TW"/>
          </a:p>
        </txPr>
        <crossAx val="1040217519"/>
        <crosses val="autoZero"/>
        <auto val="1"/>
        <lblAlgn val="ctr"/>
        <lblOffset val="100"/>
        <noMultiLvlLbl val="0"/>
      </catAx>
      <valAx>
        <axId val="1040217519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_ ;[Red]\-0\ 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TW"/>
          </a:p>
        </txPr>
        <crossAx val="1040219439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rich>
      </tx>
      <layout>
        <manualLayout>
          <xMode val="edge"/>
          <yMode val="edge"/>
          <wMode val="factor"/>
          <hMode val="factor"/>
          <x val="0.02808381992480967"/>
          <y val="0.0339783710764041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6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TW"/>
        </a:p>
      </txPr>
    </title>
    <plotArea>
      <layout/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gradFill xmlns:a="http://schemas.openxmlformats.org/drawingml/2006/main"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xmlns:a="http://schemas.openxmlformats.org/drawingml/2006/main">
                <a:noFill/>
                <a:prstDash val="solid"/>
              </a:ln>
              <scene3d>
                <camera prst="orthographicFront">
                  <rot lat="0" lon="0" rev="0"/>
                </camera>
                <lightRig rig="threePt" dir="t">
                  <rot lat="0" lon="0" rev="1200000"/>
                </lightRig>
              </scene3d>
              <a:sp3d xmlns:a="http://schemas.openxmlformats.org/drawingml/2006/main">
                <bevelT w="63500" h="25400"/>
              </a:sp3d>
            </spPr>
          </dPt>
          <dPt>
            <idx val="1"/>
            <bubble3D val="0"/>
            <spPr>
              <a:gradFill xmlns:a="http://schemas.openxmlformats.org/drawingml/2006/main"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xmlns:a="http://schemas.openxmlformats.org/drawingml/2006/main">
                <a:noFill/>
                <a:prstDash val="solid"/>
              </a:ln>
              <scene3d>
                <camera prst="orthographicFront">
                  <rot lat="0" lon="0" rev="0"/>
                </camera>
                <lightRig rig="threePt" dir="t">
                  <rot lat="0" lon="0" rev="1200000"/>
                </lightRig>
              </scene3d>
              <a:sp3d xmlns:a="http://schemas.openxmlformats.org/drawingml/2006/main">
                <bevelT w="63500" h="25400"/>
              </a:sp3d>
            </spPr>
          </dPt>
          <dPt>
            <idx val="2"/>
            <bubble3D val="0"/>
            <spPr>
              <a:gradFill xmlns:a="http://schemas.openxmlformats.org/drawingml/2006/main"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xmlns:a="http://schemas.openxmlformats.org/drawingml/2006/main">
                <a:noFill/>
                <a:prstDash val="solid"/>
              </a:ln>
              <scene3d>
                <camera prst="orthographicFront">
                  <rot lat="0" lon="0" rev="0"/>
                </camera>
                <lightRig rig="threePt" dir="t">
                  <rot lat="0" lon="0" rev="1200000"/>
                </lightRig>
              </scene3d>
              <a:sp3d xmlns:a="http://schemas.openxmlformats.org/drawingml/2006/main">
                <bevelT w="63500" h="25400"/>
              </a:sp3d>
            </spPr>
          </dPt>
          <dPt>
            <idx val="3"/>
            <bubble3D val="0"/>
            <spPr>
              <a:gradFill xmlns:a="http://schemas.openxmlformats.org/drawingml/2006/main"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xmlns:a="http://schemas.openxmlformats.org/drawingml/2006/main">
                <a:noFill/>
                <a:prstDash val="solid"/>
              </a:ln>
              <scene3d>
                <camera prst="orthographicFront">
                  <rot lat="0" lon="0" rev="0"/>
                </camera>
                <lightRig rig="threePt" dir="t">
                  <rot lat="0" lon="0" rev="1200000"/>
                </lightRig>
              </scene3d>
              <a:sp3d xmlns:a="http://schemas.openxmlformats.org/drawingml/2006/main">
                <bevelT w="63500" h="25400"/>
              </a:sp3d>
            </spPr>
          </dPt>
          <dPt>
            <idx val="4"/>
            <bubble3D val="0"/>
            <spPr>
              <a:gradFill xmlns:a="http://schemas.openxmlformats.org/drawingml/2006/main"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xmlns:a="http://schemas.openxmlformats.org/drawingml/2006/main">
                <a:noFill/>
                <a:prstDash val="solid"/>
              </a:ln>
              <scene3d>
                <camera prst="orthographicFront">
                  <rot lat="0" lon="0" rev="0"/>
                </camera>
                <lightRig rig="threePt" dir="t">
                  <rot lat="0" lon="0" rev="1200000"/>
                </lightRig>
              </scene3d>
              <a:sp3d xmlns:a="http://schemas.openxmlformats.org/drawingml/2006/main">
                <bevelT w="63500" h="25400"/>
              </a:sp3d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zh-TW"/>
              </a:p>
            </txPr>
            <dLblPos val="out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Family!$D$333:$D$337</f>
              <strCache>
                <ptCount val="5"/>
                <pt idx="0">
                  <v>台幣活儲</v>
                </pt>
                <pt idx="1">
                  <v>台股</v>
                </pt>
                <pt idx="2">
                  <v>台股 ETF</v>
                </pt>
                <pt idx="3">
                  <v>美股</v>
                </pt>
                <pt idx="4">
                  <v>美金儲蓄</v>
                </pt>
              </strCache>
            </strRef>
          </cat>
          <val>
            <numRef>
              <f>Family!$O$333:$O$337</f>
              <numCache>
                <formatCode>#,##0</formatCode>
                <ptCount val="5"/>
                <pt idx="0">
                  <v>1421548</v>
                </pt>
                <pt idx="1">
                  <v>3473424.79</v>
                </pt>
                <pt idx="2">
                  <v>372788.61</v>
                </pt>
                <pt idx="3">
                  <v>544423.1456</v>
                </pt>
                <pt idx="4">
                  <formatCode>#,##0.00</formatCode>
                  <v>823.2199999999995</v>
                </pt>
              </numCache>
            </numRef>
          </val>
        </ser>
        <dLbls>
          <dLblPos val="outEnd"/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800" b="1" i="0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rich>
      </tx>
      <layout>
        <manualLayout>
          <xMode val="edge"/>
          <yMode val="edge"/>
          <wMode val="factor"/>
          <hMode val="factor"/>
          <x val="0.03238399454221712"/>
          <y val="0.03706732291718858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800" b="1" i="0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TW"/>
        </a:p>
      </txPr>
    </title>
    <plotArea>
      <layout/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zh-TW"/>
              </a:p>
            </txPr>
            <dLblPos val="bestFit"/>
            <showLegendKey val="0"/>
            <showVal val="1"/>
            <showCatName val="1"/>
            <showSerName val="0"/>
            <showPercent val="1"/>
            <showBubbleSize val="0"/>
            <showLeaderLines val="1"/>
          </dLbls>
          <cat>
            <strRef>
              <f>Richard!$D$107:$D$111</f>
              <strCache>
                <ptCount val="5"/>
                <pt idx="0">
                  <v>台幣活儲</v>
                </pt>
                <pt idx="1">
                  <v>台股</v>
                </pt>
                <pt idx="2">
                  <v>台股 ETF</v>
                </pt>
                <pt idx="3">
                  <v>美股</v>
                </pt>
                <pt idx="4">
                  <v>美金儲蓄</v>
                </pt>
              </strCache>
            </strRef>
          </cat>
          <val>
            <numRef>
              <f>Richard!$O$107:$O$111</f>
              <numCache>
                <formatCode>#,##0</formatCode>
                <ptCount val="5"/>
                <pt idx="0">
                  <v>410725</v>
                </pt>
                <pt idx="1">
                  <v>765100</v>
                </pt>
                <pt idx="2">
                  <v>335685.1400000001</v>
                </pt>
                <pt idx="3">
                  <v>489344.7460074474</v>
                </pt>
                <pt idx="4">
                  <v>82677.69197999997</v>
                </pt>
              </numCache>
            </numRef>
          </val>
        </ser>
        <dLbls>
          <dLblPos val="inEnd"/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</pieChart>
    </plotArea>
    <legend>
      <legendPos val="l"/>
      <overlay val="0"/>
      <spPr>
        <a:solidFill xmlns:a="http://schemas.openxmlformats.org/drawingml/2006/main">
          <a:schemeClr val="lt1">
            <a:alpha val="78000"/>
          </a:schemeClr>
        </a:solidFill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2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TW"/>
        </a:p>
      </txPr>
    </legend>
    <plotVisOnly val="0"/>
    <dispBlanksAs val="gap"/>
  </chart>
  <spPr>
    <a:pattFill xmlns:a="http://schemas.openxmlformats.org/drawingml/2006/main" prst="dkDnDiag">
      <a:fgClr>
        <a:schemeClr val="lt1">
          <a:lumMod val="95000"/>
        </a:schemeClr>
      </a:fgClr>
      <a:bgClr>
        <a:schemeClr val="lt1"/>
      </a:bgClr>
    </a:pattFill>
    <a:ln xmlns:a="http://schemas.openxmlformats.org/drawingml/2006/main" w="9525" cap="flat" cmpd="sng" algn="ctr">
      <a:solidFill>
        <a:schemeClr val="dk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台幣資金水位圖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TW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'Richard-帳戶紀錄'!$D$1</f>
              <strCache>
                <ptCount val="1"/>
                <pt idx="0">
                  <v>結餘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'Richard-帳戶紀錄'!$A$1:$A$284</f>
              <strCache>
                <ptCount val="281"/>
                <pt idx="0">
                  <v>日期</v>
                </pt>
                <pt idx="1">
                  <v>2016/12/18</v>
                </pt>
                <pt idx="2">
                  <v>2016/12/31</v>
                </pt>
                <pt idx="3">
                  <v>2017/01/27</v>
                </pt>
                <pt idx="4">
                  <v>2017/12/21</v>
                </pt>
                <pt idx="5">
                  <v>2018/02/15</v>
                </pt>
                <pt idx="6">
                  <v>2018/06/21</v>
                </pt>
                <pt idx="7">
                  <v>2018/12/18</v>
                </pt>
                <pt idx="8">
                  <v>2018/12/21</v>
                </pt>
                <pt idx="9">
                  <v>2019/02/14</v>
                </pt>
                <pt idx="10">
                  <v>2019/06/21</v>
                </pt>
                <pt idx="11">
                  <v>2019/12/18</v>
                </pt>
                <pt idx="12">
                  <v>2019/12/21</v>
                </pt>
                <pt idx="13">
                  <v>2020/02/21</v>
                </pt>
                <pt idx="14">
                  <v>2020/06/21</v>
                </pt>
                <pt idx="15">
                  <v>2020/12/21</v>
                </pt>
                <pt idx="16">
                  <v>2021/02/20</v>
                </pt>
                <pt idx="17">
                  <v>2021/06/21</v>
                </pt>
                <pt idx="18">
                  <v>2021/07/10</v>
                </pt>
                <pt idx="19">
                  <v>2021/10/08</v>
                </pt>
                <pt idx="20">
                  <v>2021/12/21</v>
                </pt>
                <pt idx="21">
                  <v>2021/12/22</v>
                </pt>
                <pt idx="22">
                  <v>2021/12/23</v>
                </pt>
                <pt idx="23">
                  <v>2022/01/10</v>
                </pt>
                <pt idx="24">
                  <v>2022/02/07</v>
                </pt>
                <pt idx="25">
                  <v>2022/04/14</v>
                </pt>
                <pt idx="26">
                  <v>2022/06/21</v>
                </pt>
                <pt idx="27">
                  <v>2022/07/14</v>
                </pt>
                <pt idx="28">
                  <v>2022/08/18</v>
                </pt>
                <pt idx="29">
                  <v>2022/09/07</v>
                </pt>
                <pt idx="30">
                  <v>2022/10/13</v>
                </pt>
                <pt idx="31">
                  <v>2022/11/08</v>
                </pt>
                <pt idx="32">
                  <v>2022/11/21</v>
                </pt>
                <pt idx="33">
                  <v>2022/11/21</v>
                </pt>
                <pt idx="34">
                  <v>2022/12/19</v>
                </pt>
                <pt idx="35">
                  <v>2022/12/21</v>
                </pt>
                <pt idx="36">
                  <v>2022/12/27</v>
                </pt>
                <pt idx="37">
                  <v>2023/01/05</v>
                </pt>
                <pt idx="38">
                  <v>2023/01/06</v>
                </pt>
                <pt idx="39">
                  <v>2023/01/09</v>
                </pt>
                <pt idx="40">
                  <v>2023/01/12</v>
                </pt>
                <pt idx="41">
                  <v>2023/01/30</v>
                </pt>
                <pt idx="42">
                  <v>2023/02/10</v>
                </pt>
                <pt idx="43">
                  <v>2023/03/04</v>
                </pt>
                <pt idx="44">
                  <v>2023/03/18</v>
                </pt>
                <pt idx="45">
                  <v>2023/03/18</v>
                </pt>
                <pt idx="46">
                  <v>2023/03/18</v>
                </pt>
                <pt idx="47">
                  <v>2023/04/13</v>
                </pt>
                <pt idx="48">
                  <v>2023/05/12</v>
                </pt>
                <pt idx="49">
                  <v>2023/05/29</v>
                </pt>
                <pt idx="50">
                  <v>2023/06/04</v>
                </pt>
                <pt idx="51">
                  <v>2023/06/04</v>
                </pt>
                <pt idx="52">
                  <v>2023/06/21</v>
                </pt>
                <pt idx="53">
                  <v>2023/06/21</v>
                </pt>
                <pt idx="54">
                  <v>2023/07/13</v>
                </pt>
                <pt idx="55">
                  <v>2023/07/22</v>
                </pt>
                <pt idx="56">
                  <v>2023/07/22</v>
                </pt>
                <pt idx="57">
                  <v>2023/07/27</v>
                </pt>
                <pt idx="58">
                  <v>2023/08/07</v>
                </pt>
                <pt idx="59">
                  <v>2023/08/09</v>
                </pt>
                <pt idx="60">
                  <v>2023/08/11</v>
                </pt>
                <pt idx="61">
                  <v>2023/08/30</v>
                </pt>
                <pt idx="62">
                  <v>2023/08/30</v>
                </pt>
                <pt idx="63">
                  <v>2023/08/30</v>
                </pt>
                <pt idx="64">
                  <v>2023/09/05</v>
                </pt>
                <pt idx="65">
                  <v>2023/09/12</v>
                </pt>
                <pt idx="66">
                  <v>2023/10/03</v>
                </pt>
                <pt idx="67">
                  <v>2023/10/04</v>
                </pt>
                <pt idx="68">
                  <v>2023/10/06</v>
                </pt>
                <pt idx="69">
                  <v>2023/10/12</v>
                </pt>
                <pt idx="70">
                  <v>2023/10/18</v>
                </pt>
                <pt idx="71">
                  <v>2023/11/17</v>
                </pt>
                <pt idx="72">
                  <v>2023/12/12</v>
                </pt>
                <pt idx="73">
                  <v>2023/12/15</v>
                </pt>
                <pt idx="74">
                  <v>2023/12/19</v>
                </pt>
                <pt idx="75">
                  <v>2023/12/20</v>
                </pt>
                <pt idx="76">
                  <v>2023/12/21</v>
                </pt>
                <pt idx="77">
                  <v>2023/12/21</v>
                </pt>
                <pt idx="78">
                  <v>2023/12/21</v>
                </pt>
                <pt idx="79">
                  <v>2023/12/27</v>
                </pt>
                <pt idx="80">
                  <v>2023/12/31</v>
                </pt>
                <pt idx="81">
                  <v>2024/01/05</v>
                </pt>
                <pt idx="82">
                  <v>2024/01/11</v>
                </pt>
                <pt idx="83">
                  <v>2024/01/15</v>
                </pt>
                <pt idx="84">
                  <v>2024/01/19</v>
                </pt>
                <pt idx="85">
                  <v>2024/02/21</v>
                </pt>
                <pt idx="86">
                  <v>2024/02/23</v>
                </pt>
                <pt idx="87">
                  <v>2024/02/27</v>
                </pt>
                <pt idx="88">
                  <v>2024/03/05</v>
                </pt>
                <pt idx="89">
                  <v>2024/03/14</v>
                </pt>
                <pt idx="90">
                  <v>2024/03/26</v>
                </pt>
                <pt idx="91">
                  <v>2024/04/11</v>
                </pt>
                <pt idx="92">
                  <v>2024/04/15</v>
                </pt>
                <pt idx="93">
                  <v>2024/04/16</v>
                </pt>
                <pt idx="94">
                  <v>2024/05/05</v>
                </pt>
                <pt idx="95">
                  <v>2024/05/20</v>
                </pt>
                <pt idx="96">
                  <v>2024/05/27</v>
                </pt>
                <pt idx="97">
                  <v>2024/05/29</v>
                </pt>
                <pt idx="98">
                  <v>2024/05/27</v>
                </pt>
                <pt idx="99">
                  <v>2024/06/17</v>
                </pt>
                <pt idx="100">
                  <v>2024/06/21</v>
                </pt>
                <pt idx="101">
                  <v>2024/06/21</v>
                </pt>
                <pt idx="102">
                  <v>2024/07/04</v>
                </pt>
                <pt idx="103">
                  <v>2024/07/08</v>
                </pt>
                <pt idx="104">
                  <v>2024/07/11</v>
                </pt>
                <pt idx="105">
                  <v>2024/07/16</v>
                </pt>
                <pt idx="106">
                  <v>2024/08/09</v>
                </pt>
                <pt idx="107">
                  <v>2024/08/12</v>
                </pt>
                <pt idx="108">
                  <v>2024/09/13</v>
                </pt>
                <pt idx="109">
                  <v>2024/10/04</v>
                </pt>
                <pt idx="110">
                  <v>2024/10/09</v>
                </pt>
                <pt idx="111">
                  <v>2024/10/16</v>
                </pt>
                <pt idx="112">
                  <v>2024/11/07</v>
                </pt>
                <pt idx="113">
                  <v>2024/11/10</v>
                </pt>
                <pt idx="114">
                  <v>2024/11/15</v>
                </pt>
                <pt idx="115">
                  <v>2024/11/10</v>
                </pt>
                <pt idx="116">
                  <v>2024/11/26</v>
                </pt>
                <pt idx="117">
                  <v>2024/11/30</v>
                </pt>
                <pt idx="118">
                  <v>2024/12/05</v>
                </pt>
                <pt idx="119">
                  <v>2024/12/10</v>
                </pt>
                <pt idx="120">
                  <v>2024/12/12</v>
                </pt>
                <pt idx="121">
                  <v>2024/12/13</v>
                </pt>
                <pt idx="122">
                  <v>2024/12/16</v>
                </pt>
                <pt idx="123">
                  <v>2024/12/20</v>
                </pt>
                <pt idx="124">
                  <v>2024/12/21</v>
                </pt>
                <pt idx="125">
                  <v>2024/12/21</v>
                </pt>
                <pt idx="126">
                  <v>2024/12/23</v>
                </pt>
                <pt idx="127">
                  <v>2024/12/23</v>
                </pt>
                <pt idx="128">
                  <v>2024/12/27</v>
                </pt>
                <pt idx="129">
                  <v>2024/12/26</v>
                </pt>
                <pt idx="130">
                  <v>2024/12/26</v>
                </pt>
                <pt idx="131">
                  <v>2024/12/26</v>
                </pt>
                <pt idx="132">
                  <v>2024/12/30</v>
                </pt>
                <pt idx="133">
                  <v>2024/12/31</v>
                </pt>
                <pt idx="134">
                  <v>2024/12/31</v>
                </pt>
                <pt idx="135">
                  <v>2024/12/31</v>
                </pt>
                <pt idx="136">
                  <v>2025/01/03</v>
                </pt>
                <pt idx="137">
                  <v>2025/01/09</v>
                </pt>
                <pt idx="138">
                  <v>2025/01/10</v>
                </pt>
                <pt idx="139">
                  <v>2025/01/13</v>
                </pt>
                <pt idx="140">
                  <v>2025/01/14</v>
                </pt>
                <pt idx="141">
                  <v>2025/01/16</v>
                </pt>
                <pt idx="142">
                  <v>2025/01/16</v>
                </pt>
                <pt idx="143">
                  <v>2025/02/02</v>
                </pt>
                <pt idx="144">
                  <v>2025/02/02</v>
                </pt>
                <pt idx="145">
                  <v>2025/02/03</v>
                </pt>
                <pt idx="146">
                  <v>2025/02/05</v>
                </pt>
                <pt idx="147">
                  <v>2025/02/10</v>
                </pt>
                <pt idx="148">
                  <v>2025/02/17</v>
                </pt>
                <pt idx="149">
                  <v>2025/02/17</v>
                </pt>
                <pt idx="150">
                  <v>2025/02/20</v>
                </pt>
                <pt idx="151">
                  <v>2025/02/20</v>
                </pt>
                <pt idx="152">
                  <v>2025/02/26</v>
                </pt>
                <pt idx="153">
                  <v>2025/03/09</v>
                </pt>
                <pt idx="154">
                  <v>2025/03/10</v>
                </pt>
                <pt idx="155">
                  <v>2025/03/17</v>
                </pt>
                <pt idx="156">
                  <v>2025/03/17</v>
                </pt>
                <pt idx="157">
                  <v>2025/03/18</v>
                </pt>
                <pt idx="158">
                  <v>2025/03/26</v>
                </pt>
                <pt idx="159">
                  <v>2025/03/27</v>
                </pt>
                <pt idx="160">
                  <v>2025/04/07</v>
                </pt>
                <pt idx="161">
                  <v>2025/04/10</v>
                </pt>
                <pt idx="162">
                  <v>2025/04/15</v>
                </pt>
                <pt idx="163">
                  <v>2025/04/16</v>
                </pt>
                <pt idx="164">
                  <v>2025/04/16</v>
                </pt>
                <pt idx="165">
                  <v>2025/04/28</v>
                </pt>
                <pt idx="166">
                  <v>2025/05/10</v>
                </pt>
                <pt idx="167">
                  <v>2025/05/14</v>
                </pt>
                <pt idx="168">
                  <v>2025/05/16</v>
                </pt>
                <pt idx="169">
                  <v>2025/05/16</v>
                </pt>
                <pt idx="170">
                  <v>2025/05/26</v>
                </pt>
                <pt idx="171">
                  <v>2025/06/10</v>
                </pt>
                <pt idx="172">
                  <v>2025/06/10</v>
                </pt>
                <pt idx="173">
                  <v>2025/06/10</v>
                </pt>
                <pt idx="174">
                  <v>2025/06/13</v>
                </pt>
                <pt idx="175">
                  <v>2025/06/16</v>
                </pt>
                <pt idx="176">
                  <v>2025/06/21</v>
                </pt>
                <pt idx="177">
                  <v>2025/06/21</v>
                </pt>
                <pt idx="178">
                  <v>2025/06/26</v>
                </pt>
                <pt idx="179">
                  <v>2025/07/04</v>
                </pt>
                <pt idx="180">
                  <v>2025/07/04</v>
                </pt>
                <pt idx="181">
                  <v>2025/07/10</v>
                </pt>
                <pt idx="182">
                  <v>2025/07/11</v>
                </pt>
                <pt idx="183">
                  <v>2025/07/11</v>
                </pt>
                <pt idx="184">
                  <v>2025/07/11</v>
                </pt>
                <pt idx="185">
                  <v>2025/07/16</v>
                </pt>
                <pt idx="186">
                  <v>2025/07/16</v>
                </pt>
                <pt idx="187">
                  <v>2025/07/16</v>
                </pt>
                <pt idx="188">
                  <v>2025/07/28</v>
                </pt>
                <pt idx="189">
                  <v>2025/08/01</v>
                </pt>
                <pt idx="190">
                  <v>2025/08/08</v>
                </pt>
                <pt idx="191">
                  <v>2025/08/08</v>
                </pt>
                <pt idx="192">
                  <v>2025/08/08</v>
                </pt>
                <pt idx="193">
                  <v>2025/08/10</v>
                </pt>
                <pt idx="194">
                  <v>2025/08/18</v>
                </pt>
                <pt idx="195">
                  <v>2025/08/18</v>
                </pt>
                <pt idx="196">
                  <v>2025/08/26</v>
                </pt>
                <pt idx="197">
                  <v>2025/09/03</v>
                </pt>
                <pt idx="198">
                  <v>2025/09/08</v>
                </pt>
                <pt idx="199">
                  <v>2025/09/10</v>
                </pt>
                <pt idx="200">
                  <v>2025/09/11</v>
                </pt>
                <pt idx="201">
                  <v>2025/09/16</v>
                </pt>
                <pt idx="202">
                  <v>2025/09/16</v>
                </pt>
                <pt idx="203">
                  <v>2025/09/26</v>
                </pt>
                <pt idx="204">
                  <v>2025/10/02</v>
                </pt>
                <pt idx="205">
                  <v>2025/10/03</v>
                </pt>
                <pt idx="206">
                  <v>2025/10/10</v>
                </pt>
                <pt idx="207">
                  <v>2025/10/15</v>
                </pt>
                <pt idx="208">
                  <v>2025/10/15</v>
                </pt>
                <pt idx="209">
                  <v>2025/10/15</v>
                </pt>
                <pt idx="210">
                  <v>2025/10/16</v>
                </pt>
                <pt idx="211">
                  <v>2025/10/16</v>
                </pt>
                <pt idx="212">
                  <v>2025/10/27</v>
                </pt>
                <pt idx="213">
                  <v>2025/11/10</v>
                </pt>
                <pt idx="214">
                  <v>2025/11/14</v>
                </pt>
                <pt idx="215">
                  <v>2025/11/17</v>
                </pt>
                <pt idx="216">
                  <v>2025/11/17</v>
                </pt>
                <pt idx="217">
                  <v>2025/11/26</v>
                </pt>
                <pt idx="218">
                  <v>2025/12/10</v>
                </pt>
                <pt idx="219">
                  <v>2025/12/11</v>
                </pt>
                <pt idx="220">
                  <v>2025/12/11</v>
                </pt>
                <pt idx="221">
                  <v>2025/12/12</v>
                </pt>
                <pt idx="222">
                  <v>2025/12/15</v>
                </pt>
                <pt idx="223">
                  <v>2025/12/16</v>
                </pt>
                <pt idx="224">
                  <v>2025/12/16</v>
                </pt>
                <pt idx="225">
                  <v>2025/12/18</v>
                </pt>
                <pt idx="226">
                  <v>2025/12/18</v>
                </pt>
                <pt idx="227">
                  <v>2025/12/19</v>
                </pt>
                <pt idx="228">
                  <v>2025/12/21</v>
                </pt>
                <pt idx="229">
                  <v>2025/12/21</v>
                </pt>
                <pt idx="230">
                  <v>2025/12/26</v>
                </pt>
                <pt idx="231">
                  <v>2025/12/26</v>
                </pt>
                <pt idx="232">
                  <v>2025/12/30</v>
                </pt>
                <pt idx="233">
                  <v>2025/12/31</v>
                </pt>
                <pt idx="234">
                  <v>2026/01/04</v>
                </pt>
                <pt idx="235">
                  <v>2026/01/10</v>
                </pt>
                <pt idx="236">
                  <v>2026/01/12</v>
                </pt>
                <pt idx="237">
                  <v>2026/01/13</v>
                </pt>
                <pt idx="238">
                  <v>2026/01/13</v>
                </pt>
                <pt idx="239">
                  <v>2026/01/16</v>
                </pt>
                <pt idx="240">
                  <v>2026/01/16</v>
                </pt>
                <pt idx="241">
                  <v>2026/01/18</v>
                </pt>
                <pt idx="242">
                  <v>2026/01/20</v>
                </pt>
                <pt idx="243">
                  <v>2026/01/21</v>
                </pt>
                <pt idx="244">
                  <v>2026/01/22</v>
                </pt>
                <pt idx="245">
                  <v>2026/01/26</v>
                </pt>
                <pt idx="246">
                  <v>2026/01/27</v>
                </pt>
                <pt idx="247">
                  <v>2026/01/30</v>
                </pt>
                <pt idx="248">
                  <v>2026/02/02</v>
                </pt>
                <pt idx="249">
                  <v>2026/02/05</v>
                </pt>
                <pt idx="250">
                  <v>2026/02/05</v>
                </pt>
                <pt idx="251">
                  <v>2026/02/06</v>
                </pt>
                <pt idx="252">
                  <v>2026/02/10</v>
                </pt>
                <pt idx="253">
                  <v>2026/02/11</v>
                </pt>
                <pt idx="254">
                  <v>2026/02/11</v>
                </pt>
                <pt idx="255">
                  <v>2026/02/23</v>
                </pt>
                <pt idx="256">
                  <v>2026/02/26</v>
                </pt>
                <pt idx="257">
                  <v>2026/03/05</v>
                </pt>
                <pt idx="258">
                  <v>2026/03/10</v>
                </pt>
                <pt idx="259">
                  <v>2026/03/10</v>
                </pt>
                <pt idx="260">
                  <v>2026/03/11</v>
                </pt>
                <pt idx="261">
                  <v>2026/03/12</v>
                </pt>
                <pt idx="262">
                  <v>2026/03/12</v>
                </pt>
                <pt idx="263">
                  <v>2026/03/15</v>
                </pt>
                <pt idx="264">
                  <v>2026/03/16</v>
                </pt>
                <pt idx="265">
                  <v>2026/03/23</v>
                </pt>
                <pt idx="266">
                  <v>2026/04/02</v>
                </pt>
                <pt idx="267">
                  <v>2026/04/02</v>
                </pt>
                <pt idx="268">
                  <v>2026/04/07</v>
                </pt>
                <pt idx="269">
                  <v>2026/04/10</v>
                </pt>
                <pt idx="270">
                  <v>2026/04/10</v>
                </pt>
                <pt idx="271">
                  <v>2026/04/16</v>
                </pt>
                <pt idx="272">
                  <v>2026/04/20</v>
                </pt>
                <pt idx="273">
                  <v>2026/04/20</v>
                </pt>
                <pt idx="274">
                  <v>2026/04/24</v>
                </pt>
                <pt idx="275">
                  <v>2026/04/28</v>
                </pt>
                <pt idx="276">
                  <v>2026/05/05</v>
                </pt>
                <pt idx="277">
                  <v>2026/05/05</v>
                </pt>
                <pt idx="278">
                  <v>2026/05/07</v>
                </pt>
                <pt idx="279">
                  <v>2026/05/10</v>
                </pt>
                <pt idx="280">
                  <v>2026/05/18</v>
                </pt>
              </strCache>
            </strRef>
          </cat>
          <val>
            <numRef>
              <f>'Richard-帳戶紀錄'!$D$2:$D$284</f>
              <numCache>
                <formatCode xml:space="preserve">0_ ;[Red]\-0\ </formatCode>
                <ptCount val="283"/>
                <pt idx="0">
                  <v>8888</v>
                </pt>
                <pt idx="1">
                  <v>67088</v>
                </pt>
                <pt idx="2">
                  <v>74288</v>
                </pt>
                <pt idx="3">
                  <v>74324</v>
                </pt>
                <pt idx="4">
                  <v>85824</v>
                </pt>
                <pt idx="5">
                  <v>85864</v>
                </pt>
                <pt idx="6">
                  <v>95864</v>
                </pt>
                <pt idx="7">
                  <v>95906</v>
                </pt>
                <pt idx="8">
                  <v>111906</v>
                </pt>
                <pt idx="9">
                  <v>111959</v>
                </pt>
                <pt idx="10">
                  <v>123959</v>
                </pt>
                <pt idx="11">
                  <v>124015</v>
                </pt>
                <pt idx="12">
                  <v>135815</v>
                </pt>
                <pt idx="13">
                  <v>135864</v>
                </pt>
                <pt idx="14">
                  <v>135898</v>
                </pt>
                <pt idx="15">
                  <v>146098</v>
                </pt>
                <pt idx="16">
                  <v>146134</v>
                </pt>
                <pt idx="17">
                  <v>161794</v>
                </pt>
                <pt idx="18">
                  <v>171794</v>
                </pt>
                <pt idx="19">
                  <v>171835</v>
                </pt>
                <pt idx="20">
                  <v>267110</v>
                </pt>
                <pt idx="21">
                  <v>171835</v>
                </pt>
                <pt idx="22">
                  <v>171889</v>
                </pt>
                <pt idx="23">
                  <v>184889</v>
                </pt>
                <pt idx="24">
                  <v>185159</v>
                </pt>
                <pt idx="25">
                  <v>185214</v>
                </pt>
                <pt idx="26">
                  <v>185484</v>
                </pt>
                <pt idx="27">
                  <v>186957</v>
                </pt>
                <pt idx="28">
                  <v>237204</v>
                </pt>
                <pt idx="29">
                  <v>237474</v>
                </pt>
                <pt idx="30">
                  <v>259634</v>
                </pt>
                <pt idx="31">
                  <v>286194</v>
                </pt>
                <pt idx="32">
                  <v>313254</v>
                </pt>
                <pt idx="33">
                  <v>313794</v>
                </pt>
                <pt idx="34">
                  <v>314097</v>
                </pt>
                <pt idx="35">
                  <v>314097</v>
                </pt>
                <pt idx="36">
                  <v>386419</v>
                </pt>
                <pt idx="37">
                  <v>341205</v>
                </pt>
                <pt idx="38">
                  <v>314097</v>
                </pt>
                <pt idx="39">
                  <v>314367</v>
                </pt>
                <pt idx="40">
                  <v>328777</v>
                </pt>
                <pt idx="41">
                  <v>328817</v>
                </pt>
                <pt idx="42">
                  <v>329705</v>
                </pt>
                <pt idx="43">
                  <v>330593</v>
                </pt>
                <pt idx="44">
                  <v>331481</v>
                </pt>
                <pt idx="45">
                  <v>332369</v>
                </pt>
                <pt idx="46">
                  <v>332913</v>
                </pt>
                <pt idx="47">
                  <v>338913</v>
                </pt>
                <pt idx="48">
                  <v>339413</v>
                </pt>
                <pt idx="49">
                  <v>340301</v>
                </pt>
                <pt idx="50">
                  <v>341189</v>
                </pt>
                <pt idx="51">
                  <v>341996</v>
                </pt>
                <pt idx="52">
                  <v>341996</v>
                </pt>
                <pt idx="53">
                  <v>342540</v>
                </pt>
                <pt idx="54">
                  <v>343428</v>
                </pt>
                <pt idx="55">
                  <v>344316</v>
                </pt>
                <pt idx="56">
                  <v>317146</v>
                </pt>
                <pt idx="57">
                  <v>300623</v>
                </pt>
                <pt idx="58">
                  <v>331089</v>
                </pt>
                <pt idx="59">
                  <v>332543</v>
                </pt>
                <pt idx="60">
                  <v>333431</v>
                </pt>
                <pt idx="61">
                  <v>334319</v>
                </pt>
                <pt idx="62">
                  <v>335207</v>
                </pt>
                <pt idx="63">
                  <v>335233</v>
                </pt>
                <pt idx="64">
                  <v>335343</v>
                </pt>
                <pt idx="65">
                  <v>356593</v>
                </pt>
                <pt idx="66">
                  <v>359496</v>
                </pt>
                <pt idx="67">
                  <v>385256</v>
                </pt>
                <pt idx="68">
                  <v>385851</v>
                </pt>
                <pt idx="69">
                  <v>385961</v>
                </pt>
                <pt idx="70">
                  <v>386071</v>
                </pt>
                <pt idx="71">
                  <v>388185</v>
                </pt>
                <pt idx="72">
                  <v>388295</v>
                </pt>
                <pt idx="73">
                  <v>478763</v>
                </pt>
                <pt idx="74">
                  <v>446678</v>
                </pt>
                <pt idx="75">
                  <v>388295</v>
                </pt>
                <pt idx="76">
                  <v>389197</v>
                </pt>
                <pt idx="77">
                  <v>389197</v>
                </pt>
                <pt idx="78">
                  <v>389197</v>
                </pt>
                <pt idx="79">
                  <v>388277</v>
                </pt>
                <pt idx="80">
                  <v>388328</v>
                </pt>
                <pt idx="81">
                  <v>388923</v>
                </pt>
                <pt idx="82">
                  <v>389033</v>
                </pt>
                <pt idx="83">
                  <v>389921</v>
                </pt>
                <pt idx="84">
                  <v>370834</v>
                </pt>
                <pt idx="85">
                  <v>370964</v>
                </pt>
                <pt idx="86">
                  <v>382164</v>
                </pt>
                <pt idx="87">
                  <v>382174</v>
                </pt>
                <pt idx="88">
                  <v>383062</v>
                </pt>
                <pt idx="89">
                  <v>383322</v>
                </pt>
                <pt idx="90">
                  <v>384366</v>
                </pt>
                <pt idx="91">
                  <v>546645</v>
                </pt>
                <pt idx="92">
                  <v>546905</v>
                </pt>
                <pt idx="93">
                  <v>546997</v>
                </pt>
                <pt idx="94">
                  <v>547397</v>
                </pt>
                <pt idx="95">
                  <v>547397</v>
                </pt>
                <pt idx="96">
                  <v>401813</v>
                </pt>
                <pt idx="97">
                  <v>401813</v>
                </pt>
                <pt idx="98">
                  <v>402213</v>
                </pt>
                <pt idx="99">
                  <v>403504</v>
                </pt>
                <pt idx="100">
                  <v>403504</v>
                </pt>
                <pt idx="101">
                  <v>403504</v>
                </pt>
                <pt idx="102">
                  <v>404392</v>
                </pt>
                <pt idx="103">
                  <v>404736</v>
                </pt>
                <pt idx="104">
                  <v>405136</v>
                </pt>
                <pt idx="105">
                  <v>406371</v>
                </pt>
                <pt idx="106">
                  <v>406731</v>
                </pt>
                <pt idx="107">
                  <v>407091</v>
                </pt>
                <pt idx="108">
                  <v>407091</v>
                </pt>
                <pt idx="109">
                  <v>407486</v>
                </pt>
                <pt idx="110">
                  <v>407806</v>
                </pt>
                <pt idx="111">
                  <v>512342</v>
                </pt>
                <pt idx="112">
                  <v>517342</v>
                </pt>
                <pt idx="113">
                  <v>517622</v>
                </pt>
                <pt idx="114">
                  <v>512642</v>
                </pt>
                <pt idx="115">
                  <v>506713</v>
                </pt>
                <pt idx="116">
                  <v>508713</v>
                </pt>
                <pt idx="117">
                  <v>508772</v>
                </pt>
                <pt idx="118">
                  <v>513772</v>
                </pt>
                <pt idx="119">
                  <v>515562</v>
                </pt>
                <pt idx="120">
                  <v>515782</v>
                </pt>
                <pt idx="121">
                  <v>510797</v>
                </pt>
                <pt idx="122">
                  <v>591160</v>
                </pt>
                <pt idx="123">
                  <v>592457</v>
                </pt>
                <pt idx="124">
                  <v>592457</v>
                </pt>
                <pt idx="125">
                  <v>556687</v>
                </pt>
                <pt idx="126">
                  <v>512094</v>
                </pt>
                <pt idx="127">
                  <v>512094</v>
                </pt>
                <pt idx="128">
                  <v>510128</v>
                </pt>
                <pt idx="129">
                  <v>508132</v>
                </pt>
                <pt idx="130">
                  <v>506139</v>
                </pt>
                <pt idx="131">
                  <v>507027</v>
                </pt>
                <pt idx="132">
                  <v>507027</v>
                </pt>
                <pt idx="133">
                  <v>507915</v>
                </pt>
                <pt idx="134">
                  <v>506475</v>
                </pt>
                <pt idx="135">
                  <v>506520</v>
                </pt>
                <pt idx="136">
                  <v>579623</v>
                </pt>
                <pt idx="137">
                  <v>584623</v>
                </pt>
                <pt idx="138">
                  <v>584661</v>
                </pt>
                <pt idx="139">
                  <v>584761</v>
                </pt>
                <pt idx="140">
                  <v>579799</v>
                </pt>
                <pt idx="141">
                  <v>574807</v>
                </pt>
                <pt idx="142">
                  <v>575407</v>
                </pt>
                <pt idx="143">
                  <v>583207</v>
                </pt>
                <pt idx="144">
                  <v>578232</v>
                </pt>
                <pt idx="145">
                  <v>578273</v>
                </pt>
                <pt idx="146">
                  <v>583273</v>
                </pt>
                <pt idx="147">
                  <v>578364</v>
                </pt>
                <pt idx="148">
                  <v>573390</v>
                </pt>
                <pt idx="149">
                  <v>573494</v>
                </pt>
                <pt idx="150">
                  <v>573551</v>
                </pt>
                <pt idx="151">
                  <v>568595</v>
                </pt>
                <pt idx="152">
                  <v>570615</v>
                </pt>
                <pt idx="153">
                  <v>575615</v>
                </pt>
                <pt idx="154">
                  <v>570683</v>
                </pt>
                <pt idx="155">
                  <v>565702</v>
                </pt>
                <pt idx="156">
                  <v>565782</v>
                </pt>
                <pt idx="157">
                  <v>560784</v>
                </pt>
                <pt idx="158">
                  <v>560784</v>
                </pt>
                <pt idx="159">
                  <v>560784</v>
                </pt>
                <pt idx="160">
                  <v>565784</v>
                </pt>
                <pt idx="161">
                  <v>566132</v>
                </pt>
                <pt idx="162">
                  <v>561260</v>
                </pt>
                <pt idx="163">
                  <v>556272</v>
                </pt>
                <pt idx="164">
                  <v>551271</v>
                </pt>
                <pt idx="165">
                  <v>556271</v>
                </pt>
                <pt idx="166">
                  <v>556374</v>
                </pt>
                <pt idx="167">
                  <v>551440</v>
                </pt>
                <pt idx="168">
                  <v>546460</v>
                </pt>
                <pt idx="169">
                  <v>541510</v>
                </pt>
                <pt idx="170">
                  <v>431454</v>
                </pt>
                <pt idx="171">
                  <v>321398</v>
                </pt>
                <pt idx="172">
                  <v>326398</v>
                </pt>
                <pt idx="173">
                  <v>326472</v>
                </pt>
                <pt idx="174">
                  <v>321483</v>
                </pt>
                <pt idx="175">
                  <v>323266</v>
                </pt>
                <pt idx="176">
                  <v>323266</v>
                </pt>
                <pt idx="177">
                  <v>318285</v>
                </pt>
                <pt idx="178">
                  <v>318409</v>
                </pt>
                <pt idx="179">
                  <v>318409</v>
                </pt>
                <pt idx="180">
                  <v>323409</v>
                </pt>
                <pt idx="181">
                  <v>326899</v>
                </pt>
                <pt idx="182">
                  <v>327486</v>
                </pt>
                <pt idx="183">
                  <v>331076</v>
                </pt>
                <pt idx="184">
                  <v>326119</v>
                </pt>
                <pt idx="185">
                  <v>321136</v>
                </pt>
                <pt idx="186">
                  <v>321736</v>
                </pt>
                <pt idx="187">
                  <v>316779</v>
                </pt>
                <pt idx="188">
                  <v>317667</v>
                </pt>
                <pt idx="189">
                  <v>320169</v>
                </pt>
                <pt idx="190">
                  <v>320387</v>
                </pt>
                <pt idx="191">
                  <v>320469</v>
                </pt>
                <pt idx="192">
                  <v>325469</v>
                </pt>
                <pt idx="193">
                  <v>320469</v>
                </pt>
                <pt idx="194">
                  <v>315496</v>
                </pt>
                <pt idx="195">
                  <v>310543</v>
                </pt>
                <pt idx="196">
                  <v>310543</v>
                </pt>
                <pt idx="197">
                  <v>315543</v>
                </pt>
                <pt idx="198">
                  <v>320543</v>
                </pt>
                <pt idx="199">
                  <v>320605</v>
                </pt>
                <pt idx="200">
                  <v>315615</v>
                </pt>
                <pt idx="201">
                  <v>310626</v>
                </pt>
                <pt idx="202">
                  <v>305665</v>
                </pt>
                <pt idx="203">
                  <v>305665</v>
                </pt>
                <pt idx="204">
                  <v>305665</v>
                </pt>
                <pt idx="205">
                  <v>310665</v>
                </pt>
                <pt idx="206">
                  <v>311308</v>
                </pt>
                <pt idx="207">
                  <v>313998</v>
                </pt>
                <pt idx="208">
                  <v>316588</v>
                </pt>
                <pt idx="209">
                  <v>311643</v>
                </pt>
                <pt idx="210">
                  <v>306664</v>
                </pt>
                <pt idx="211">
                  <v>301695</v>
                </pt>
                <pt idx="212">
                  <v>306695</v>
                </pt>
                <pt idx="213">
                  <v>306777</v>
                </pt>
                <pt idx="214">
                  <v>301816</v>
                </pt>
                <pt idx="215">
                  <v>296832</v>
                </pt>
                <pt idx="216">
                  <v>291847</v>
                </pt>
                <pt idx="217">
                  <v>296847</v>
                </pt>
                <pt idx="218">
                  <v>301845</v>
                </pt>
                <pt idx="219">
                  <v>301845</v>
                </pt>
                <pt idx="220">
                  <v>301907</v>
                </pt>
                <pt idx="221">
                  <v>303907</v>
                </pt>
                <pt idx="222">
                  <v>298951</v>
                </pt>
                <pt idx="223">
                  <v>293969</v>
                </pt>
                <pt idx="224">
                  <v>293969</v>
                </pt>
                <pt idx="225">
                  <v>294969</v>
                </pt>
                <pt idx="226">
                  <v>214899</v>
                </pt>
                <pt idx="227">
                  <v>215840</v>
                </pt>
                <pt idx="228">
                  <v>215840</v>
                </pt>
                <pt idx="229">
                  <v>210857</v>
                </pt>
                <pt idx="230">
                  <v>210857</v>
                </pt>
                <pt idx="231">
                  <v>210857</v>
                </pt>
                <pt idx="232">
                  <v>209637</v>
                </pt>
                <pt idx="233">
                  <v>210525</v>
                </pt>
                <pt idx="234">
                  <v>215525</v>
                </pt>
                <pt idx="235">
                  <v>216395</v>
                </pt>
                <pt idx="236">
                  <v>219210</v>
                </pt>
                <pt idx="237">
                  <v>221900</v>
                </pt>
                <pt idx="238">
                  <v>216953</v>
                </pt>
                <pt idx="239">
                  <v>211968</v>
                </pt>
                <pt idx="240">
                  <v>215568</v>
                </pt>
                <pt idx="241">
                  <v>265568</v>
                </pt>
                <pt idx="242">
                  <v>415568</v>
                </pt>
                <pt idx="243">
                  <v>270663</v>
                </pt>
                <pt idx="244">
                  <v>265675</v>
                </pt>
                <pt idx="245">
                  <v>265675</v>
                </pt>
                <pt idx="246">
                  <v>487137</v>
                </pt>
                <pt idx="247">
                  <v>591042</v>
                </pt>
                <pt idx="248">
                  <v>591328</v>
                </pt>
                <pt idx="249">
                  <v>586328</v>
                </pt>
                <pt idx="250">
                  <v>596328</v>
                </pt>
                <pt idx="251">
                  <v>601328</v>
                </pt>
                <pt idx="252">
                  <v>604442</v>
                </pt>
                <pt idx="253">
                  <v>604524</v>
                </pt>
                <pt idx="254">
                  <v>599556</v>
                </pt>
                <pt idx="255">
                  <v>594589</v>
                </pt>
                <pt idx="256">
                  <v>589599</v>
                </pt>
                <pt idx="257">
                  <v>594599</v>
                </pt>
                <pt idx="258">
                  <v>594599</v>
                </pt>
                <pt idx="259">
                  <v>1039074</v>
                </pt>
                <pt idx="260">
                  <v>1068325</v>
                </pt>
                <pt idx="261">
                  <v>1068325</v>
                </pt>
                <pt idx="262">
                  <v>1081425</v>
                </pt>
                <pt idx="263">
                  <v>1076424</v>
                </pt>
                <pt idx="264">
                  <v>1076489</v>
                </pt>
                <pt idx="265">
                  <v>1076756</v>
                </pt>
                <pt idx="266">
                  <v>1076756</v>
                </pt>
                <pt idx="267">
                  <v>1071760</v>
                </pt>
                <pt idx="268">
                  <v>1072376</v>
                </pt>
                <pt idx="269">
                  <v>1077376</v>
                </pt>
                <pt idx="270">
                  <v>1072418</v>
                </pt>
                <pt idx="271">
                  <v>1071618</v>
                </pt>
                <pt idx="272">
                  <v>866326</v>
                </pt>
                <pt idx="273">
                  <v>866326</v>
                </pt>
                <pt idx="274">
                  <v>410329</v>
                </pt>
                <pt idx="275">
                  <v>410703</v>
                </pt>
                <pt idx="276">
                  <v>405725</v>
                </pt>
                <pt idx="277">
                  <v>405725</v>
                </pt>
                <pt idx="278">
                  <v>410725</v>
                </pt>
                <pt idx="279">
                  <v>405756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37379456"/>
        <axId val="391142672"/>
      </lineChart>
      <catAx>
        <axId val="37379456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TW"/>
          </a:p>
        </txPr>
        <crossAx val="391142672"/>
        <crosses val="autoZero"/>
        <auto val="1"/>
        <lblAlgn val="ctr"/>
        <lblOffset val="100"/>
        <noMultiLvlLbl val="1"/>
      </catAx>
      <valAx>
        <axId val="3911426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_ ;[Red]\-0\ 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TW"/>
          </a:p>
        </txPr>
        <crossAx val="37379456"/>
        <crosses val="autoZero"/>
        <crossBetween val="between"/>
      </valAx>
    </plotArea>
    <plotVisOnly val="0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TW"/>
        </a:p>
      </txPr>
    </title>
    <plotArea>
      <layout/>
      <lineChart>
        <grouping val="standard"/>
        <varyColors val="0"/>
        <ser>
          <idx val="0"/>
          <order val="0"/>
          <tx>
            <strRef>
              <f>匯率!$J$2</f>
              <strCache>
                <ptCount val="1"/>
                <pt idx="0">
                  <v>現鈔買入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匯率!$I$3:$I$610</f>
              <numCache>
                <formatCode>m/d/yyyy</formatCode>
                <ptCount val="608"/>
                <pt idx="0">
                  <v>46057</v>
                </pt>
                <pt idx="1">
                  <v>46056</v>
                </pt>
                <pt idx="2">
                  <v>46055</v>
                </pt>
                <pt idx="3">
                  <v>46052</v>
                </pt>
                <pt idx="4">
                  <v>46051</v>
                </pt>
                <pt idx="5">
                  <v>46050</v>
                </pt>
                <pt idx="6">
                  <v>46049</v>
                </pt>
                <pt idx="7">
                  <v>46048</v>
                </pt>
                <pt idx="8">
                  <v>46045</v>
                </pt>
                <pt idx="9">
                  <v>46044</v>
                </pt>
                <pt idx="10">
                  <v>46043</v>
                </pt>
                <pt idx="11">
                  <v>46042</v>
                </pt>
                <pt idx="12">
                  <v>46041</v>
                </pt>
                <pt idx="13">
                  <v>46038</v>
                </pt>
                <pt idx="14">
                  <v>46037</v>
                </pt>
                <pt idx="15">
                  <v>46036</v>
                </pt>
                <pt idx="16">
                  <v>46035</v>
                </pt>
                <pt idx="17">
                  <v>46034</v>
                </pt>
                <pt idx="18">
                  <v>46031</v>
                </pt>
                <pt idx="19">
                  <v>46030</v>
                </pt>
                <pt idx="20">
                  <v>46029</v>
                </pt>
                <pt idx="21">
                  <v>46028</v>
                </pt>
                <pt idx="22">
                  <v>46027</v>
                </pt>
                <pt idx="23">
                  <v>46024</v>
                </pt>
                <pt idx="24">
                  <v>46022</v>
                </pt>
                <pt idx="25">
                  <v>46021</v>
                </pt>
                <pt idx="26">
                  <v>46020</v>
                </pt>
                <pt idx="27">
                  <v>46017</v>
                </pt>
                <pt idx="28">
                  <v>46015</v>
                </pt>
                <pt idx="29">
                  <v>46014</v>
                </pt>
                <pt idx="30">
                  <v>46013</v>
                </pt>
                <pt idx="31">
                  <v>46010</v>
                </pt>
                <pt idx="32">
                  <v>46009</v>
                </pt>
                <pt idx="33">
                  <v>46008</v>
                </pt>
                <pt idx="34">
                  <v>46007</v>
                </pt>
                <pt idx="35">
                  <v>46006</v>
                </pt>
                <pt idx="36">
                  <v>46003</v>
                </pt>
                <pt idx="37">
                  <v>46002</v>
                </pt>
                <pt idx="38">
                  <v>46001</v>
                </pt>
                <pt idx="39">
                  <v>46000</v>
                </pt>
                <pt idx="40">
                  <v>45999</v>
                </pt>
                <pt idx="41">
                  <v>45996</v>
                </pt>
                <pt idx="42">
                  <v>45995</v>
                </pt>
                <pt idx="43">
                  <v>45994</v>
                </pt>
                <pt idx="44">
                  <v>45993</v>
                </pt>
                <pt idx="45">
                  <v>45992</v>
                </pt>
                <pt idx="46">
                  <v>45989</v>
                </pt>
                <pt idx="47">
                  <v>45988</v>
                </pt>
                <pt idx="48">
                  <v>45987</v>
                </pt>
                <pt idx="49">
                  <v>45986</v>
                </pt>
                <pt idx="50">
                  <v>45985</v>
                </pt>
                <pt idx="51">
                  <v>45982</v>
                </pt>
                <pt idx="52">
                  <v>45981</v>
                </pt>
                <pt idx="53">
                  <v>45980</v>
                </pt>
                <pt idx="54">
                  <v>45979</v>
                </pt>
                <pt idx="55">
                  <v>45978</v>
                </pt>
                <pt idx="56">
                  <v>45975</v>
                </pt>
                <pt idx="57">
                  <v>45974</v>
                </pt>
                <pt idx="58">
                  <v>45973</v>
                </pt>
                <pt idx="59">
                  <v>45972</v>
                </pt>
                <pt idx="60">
                  <v>45971</v>
                </pt>
                <pt idx="61">
                  <v>45968</v>
                </pt>
                <pt idx="62">
                  <v>45967</v>
                </pt>
                <pt idx="63">
                  <v>45966</v>
                </pt>
                <pt idx="64">
                  <v>45965</v>
                </pt>
                <pt idx="65">
                  <v>45964</v>
                </pt>
                <pt idx="66">
                  <v>45961</v>
                </pt>
                <pt idx="67">
                  <v>45960</v>
                </pt>
                <pt idx="68">
                  <v>45959</v>
                </pt>
                <pt idx="69">
                  <v>45958</v>
                </pt>
                <pt idx="70">
                  <v>45957</v>
                </pt>
                <pt idx="71">
                  <v>45953</v>
                </pt>
                <pt idx="72">
                  <v>45952</v>
                </pt>
                <pt idx="73">
                  <v>45951</v>
                </pt>
                <pt idx="74">
                  <v>45950</v>
                </pt>
                <pt idx="75">
                  <v>45947</v>
                </pt>
                <pt idx="76">
                  <v>45946</v>
                </pt>
                <pt idx="77">
                  <v>45945</v>
                </pt>
                <pt idx="78">
                  <v>45944</v>
                </pt>
                <pt idx="79">
                  <v>45943</v>
                </pt>
                <pt idx="80">
                  <v>45939</v>
                </pt>
                <pt idx="81">
                  <v>45938</v>
                </pt>
                <pt idx="82">
                  <v>45937</v>
                </pt>
                <pt idx="83">
                  <v>45933</v>
                </pt>
                <pt idx="84">
                  <v>45932</v>
                </pt>
                <pt idx="85">
                  <v>45931</v>
                </pt>
                <pt idx="86">
                  <v>45930</v>
                </pt>
                <pt idx="87">
                  <v>45926</v>
                </pt>
                <pt idx="88">
                  <v>45925</v>
                </pt>
                <pt idx="89">
                  <v>45924</v>
                </pt>
                <pt idx="90">
                  <v>45923</v>
                </pt>
                <pt idx="91">
                  <v>45922</v>
                </pt>
                <pt idx="92">
                  <v>45919</v>
                </pt>
                <pt idx="93">
                  <v>45918</v>
                </pt>
                <pt idx="94">
                  <v>45917</v>
                </pt>
                <pt idx="95">
                  <v>45916</v>
                </pt>
                <pt idx="96">
                  <v>45915</v>
                </pt>
                <pt idx="97">
                  <v>45912</v>
                </pt>
                <pt idx="98">
                  <v>45911</v>
                </pt>
                <pt idx="99">
                  <v>45910</v>
                </pt>
                <pt idx="100">
                  <v>45909</v>
                </pt>
                <pt idx="101">
                  <v>45908</v>
                </pt>
                <pt idx="102">
                  <v>45905</v>
                </pt>
                <pt idx="103">
                  <v>45904</v>
                </pt>
                <pt idx="104">
                  <v>45903</v>
                </pt>
                <pt idx="105">
                  <v>45902</v>
                </pt>
                <pt idx="106">
                  <v>45901</v>
                </pt>
                <pt idx="107">
                  <v>45898</v>
                </pt>
                <pt idx="108">
                  <v>45897</v>
                </pt>
                <pt idx="109">
                  <v>45896</v>
                </pt>
                <pt idx="110">
                  <v>45895</v>
                </pt>
                <pt idx="111">
                  <v>45894</v>
                </pt>
                <pt idx="112">
                  <v>45891</v>
                </pt>
                <pt idx="113">
                  <v>45890</v>
                </pt>
                <pt idx="114">
                  <v>45889</v>
                </pt>
                <pt idx="115">
                  <v>45888</v>
                </pt>
                <pt idx="116">
                  <v>45887</v>
                </pt>
                <pt idx="117">
                  <v>45884</v>
                </pt>
                <pt idx="118">
                  <v>45883</v>
                </pt>
                <pt idx="119">
                  <v>45882</v>
                </pt>
                <pt idx="120">
                  <v>45763</v>
                </pt>
                <pt idx="121">
                  <v>45762</v>
                </pt>
                <pt idx="122">
                  <v>45761</v>
                </pt>
                <pt idx="123">
                  <v>45758</v>
                </pt>
                <pt idx="124">
                  <v>45757</v>
                </pt>
                <pt idx="125">
                  <v>45756</v>
                </pt>
                <pt idx="126">
                  <v>45755</v>
                </pt>
                <pt idx="127">
                  <v>45754</v>
                </pt>
                <pt idx="128">
                  <v>45749</v>
                </pt>
                <pt idx="129">
                  <v>45748</v>
                </pt>
                <pt idx="130">
                  <v>45747</v>
                </pt>
                <pt idx="131">
                  <v>45744</v>
                </pt>
                <pt idx="132">
                  <v>45743</v>
                </pt>
                <pt idx="133">
                  <v>45742</v>
                </pt>
                <pt idx="134">
                  <v>45741</v>
                </pt>
                <pt idx="135">
                  <v>45740</v>
                </pt>
                <pt idx="136">
                  <v>45737</v>
                </pt>
                <pt idx="137">
                  <v>45736</v>
                </pt>
                <pt idx="138">
                  <v>45735</v>
                </pt>
                <pt idx="139">
                  <v>45734</v>
                </pt>
                <pt idx="140">
                  <v>45733</v>
                </pt>
                <pt idx="141">
                  <v>45730</v>
                </pt>
                <pt idx="142">
                  <v>45729</v>
                </pt>
                <pt idx="143">
                  <v>45728</v>
                </pt>
                <pt idx="144">
                  <v>45727</v>
                </pt>
                <pt idx="145">
                  <v>45726</v>
                </pt>
                <pt idx="146">
                  <v>45723</v>
                </pt>
                <pt idx="147">
                  <v>45722</v>
                </pt>
                <pt idx="148">
                  <v>45721</v>
                </pt>
                <pt idx="149">
                  <v>45720</v>
                </pt>
                <pt idx="150">
                  <v>45719</v>
                </pt>
                <pt idx="151">
                  <v>45715</v>
                </pt>
                <pt idx="152">
                  <v>45714</v>
                </pt>
                <pt idx="153">
                  <v>45713</v>
                </pt>
                <pt idx="154">
                  <v>45712</v>
                </pt>
                <pt idx="155">
                  <v>45709</v>
                </pt>
                <pt idx="156">
                  <v>45708</v>
                </pt>
                <pt idx="157">
                  <v>45707</v>
                </pt>
                <pt idx="158">
                  <v>45706</v>
                </pt>
                <pt idx="159">
                  <v>45705</v>
                </pt>
                <pt idx="160">
                  <v>45702</v>
                </pt>
                <pt idx="161">
                  <v>45701</v>
                </pt>
                <pt idx="162">
                  <v>45700</v>
                </pt>
                <pt idx="163">
                  <v>45699</v>
                </pt>
                <pt idx="164">
                  <v>45698</v>
                </pt>
                <pt idx="165">
                  <v>45696</v>
                </pt>
                <pt idx="166">
                  <v>45695</v>
                </pt>
                <pt idx="167">
                  <v>45694</v>
                </pt>
                <pt idx="168">
                  <v>45693</v>
                </pt>
                <pt idx="169">
                  <v>45692</v>
                </pt>
                <pt idx="170">
                  <v>45691</v>
                </pt>
                <pt idx="171">
                  <v>45681</v>
                </pt>
                <pt idx="172">
                  <v>45680</v>
                </pt>
                <pt idx="173">
                  <v>45679</v>
                </pt>
                <pt idx="174">
                  <v>45678</v>
                </pt>
                <pt idx="175">
                  <v>45677</v>
                </pt>
                <pt idx="176">
                  <v>45674</v>
                </pt>
                <pt idx="177">
                  <v>45673</v>
                </pt>
                <pt idx="178">
                  <v>45672</v>
                </pt>
                <pt idx="179">
                  <v>45671</v>
                </pt>
                <pt idx="180">
                  <v>45670</v>
                </pt>
                <pt idx="181">
                  <v>45667</v>
                </pt>
                <pt idx="182">
                  <v>45666</v>
                </pt>
                <pt idx="183">
                  <v>45665</v>
                </pt>
                <pt idx="184">
                  <v>45664</v>
                </pt>
                <pt idx="185">
                  <v>45663</v>
                </pt>
                <pt idx="186">
                  <v>45660</v>
                </pt>
                <pt idx="187">
                  <v>45659</v>
                </pt>
                <pt idx="188">
                  <v>45657</v>
                </pt>
                <pt idx="189">
                  <v>45656</v>
                </pt>
                <pt idx="190">
                  <v>45653</v>
                </pt>
                <pt idx="191">
                  <v>45652</v>
                </pt>
                <pt idx="192">
                  <v>45651</v>
                </pt>
                <pt idx="193">
                  <v>45650</v>
                </pt>
                <pt idx="194">
                  <v>45649</v>
                </pt>
                <pt idx="195">
                  <v>45646</v>
                </pt>
                <pt idx="196">
                  <v>45645</v>
                </pt>
                <pt idx="197">
                  <v>45644</v>
                </pt>
                <pt idx="198">
                  <v>45643</v>
                </pt>
                <pt idx="199">
                  <v>45642</v>
                </pt>
                <pt idx="200">
                  <v>45639</v>
                </pt>
                <pt idx="201">
                  <v>45638</v>
                </pt>
                <pt idx="202">
                  <v>45637</v>
                </pt>
                <pt idx="203">
                  <v>45636</v>
                </pt>
                <pt idx="204">
                  <v>45635</v>
                </pt>
                <pt idx="205">
                  <v>45632</v>
                </pt>
                <pt idx="206">
                  <v>45631</v>
                </pt>
                <pt idx="207">
                  <v>45630</v>
                </pt>
                <pt idx="208">
                  <v>45629</v>
                </pt>
                <pt idx="209">
                  <v>45628</v>
                </pt>
                <pt idx="210">
                  <v>45625</v>
                </pt>
                <pt idx="211">
                  <v>45624</v>
                </pt>
                <pt idx="212">
                  <v>45623</v>
                </pt>
                <pt idx="213">
                  <v>45622</v>
                </pt>
                <pt idx="214">
                  <v>45621</v>
                </pt>
                <pt idx="215">
                  <v>45618</v>
                </pt>
                <pt idx="216">
                  <v>45617</v>
                </pt>
                <pt idx="217">
                  <v>45616</v>
                </pt>
                <pt idx="218">
                  <v>45615</v>
                </pt>
                <pt idx="219">
                  <v>45614</v>
                </pt>
                <pt idx="220">
                  <v>45611</v>
                </pt>
                <pt idx="221">
                  <v>45610</v>
                </pt>
                <pt idx="222">
                  <v>45609</v>
                </pt>
                <pt idx="223">
                  <v>45608</v>
                </pt>
                <pt idx="224">
                  <v>45607</v>
                </pt>
                <pt idx="225">
                  <v>45604</v>
                </pt>
                <pt idx="226">
                  <v>45603</v>
                </pt>
                <pt idx="227">
                  <v>45602</v>
                </pt>
                <pt idx="228">
                  <v>45601</v>
                </pt>
                <pt idx="229">
                  <v>45600</v>
                </pt>
                <pt idx="230">
                  <v>45597</v>
                </pt>
                <pt idx="231">
                  <v>45596</v>
                </pt>
                <pt idx="232">
                  <v>45595</v>
                </pt>
                <pt idx="233">
                  <v>45594</v>
                </pt>
                <pt idx="234">
                  <v>45593</v>
                </pt>
                <pt idx="235">
                  <v>45590</v>
                </pt>
                <pt idx="236">
                  <v>45589</v>
                </pt>
                <pt idx="237">
                  <v>45588</v>
                </pt>
                <pt idx="238">
                  <v>45587</v>
                </pt>
                <pt idx="239">
                  <v>45586</v>
                </pt>
                <pt idx="240">
                  <v>45583</v>
                </pt>
                <pt idx="241">
                  <v>45582</v>
                </pt>
                <pt idx="242">
                  <v>45581</v>
                </pt>
                <pt idx="243">
                  <v>45580</v>
                </pt>
                <pt idx="244">
                  <v>45579</v>
                </pt>
                <pt idx="245">
                  <v>45576</v>
                </pt>
                <pt idx="246">
                  <v>45574</v>
                </pt>
                <pt idx="247">
                  <v>45573</v>
                </pt>
                <pt idx="248">
                  <v>45572</v>
                </pt>
                <pt idx="249">
                  <v>45569</v>
                </pt>
                <pt idx="250">
                  <v>45566</v>
                </pt>
                <pt idx="251">
                  <v>45565</v>
                </pt>
                <pt idx="252">
                  <v>45562</v>
                </pt>
                <pt idx="253">
                  <v>45561</v>
                </pt>
                <pt idx="254">
                  <v>45560</v>
                </pt>
                <pt idx="255">
                  <v>45559</v>
                </pt>
                <pt idx="256">
                  <v>45558</v>
                </pt>
                <pt idx="257">
                  <v>45555</v>
                </pt>
                <pt idx="258">
                  <v>45554</v>
                </pt>
                <pt idx="259">
                  <v>45553</v>
                </pt>
                <pt idx="260">
                  <v>45551</v>
                </pt>
                <pt idx="261">
                  <v>45548</v>
                </pt>
                <pt idx="262">
                  <v>45547</v>
                </pt>
                <pt idx="263">
                  <v>45546</v>
                </pt>
                <pt idx="264">
                  <v>45545</v>
                </pt>
                <pt idx="265">
                  <v>45544</v>
                </pt>
                <pt idx="266">
                  <v>45541</v>
                </pt>
                <pt idx="267">
                  <v>45540</v>
                </pt>
                <pt idx="268">
                  <v>45539</v>
                </pt>
                <pt idx="269">
                  <v>45538</v>
                </pt>
                <pt idx="270">
                  <v>45537</v>
                </pt>
                <pt idx="271">
                  <v>45534</v>
                </pt>
                <pt idx="272">
                  <v>45533</v>
                </pt>
                <pt idx="273">
                  <v>45532</v>
                </pt>
                <pt idx="274">
                  <v>45531</v>
                </pt>
                <pt idx="275">
                  <v>45530</v>
                </pt>
                <pt idx="276">
                  <v>45527</v>
                </pt>
                <pt idx="277">
                  <v>45526</v>
                </pt>
                <pt idx="278">
                  <v>45525</v>
                </pt>
                <pt idx="279">
                  <v>45524</v>
                </pt>
                <pt idx="280">
                  <v>45523</v>
                </pt>
                <pt idx="281">
                  <v>45520</v>
                </pt>
                <pt idx="282">
                  <v>45519</v>
                </pt>
                <pt idx="283">
                  <v>45518</v>
                </pt>
                <pt idx="284">
                  <v>45517</v>
                </pt>
                <pt idx="285">
                  <v>45516</v>
                </pt>
                <pt idx="286">
                  <v>45513</v>
                </pt>
                <pt idx="287">
                  <v>45512</v>
                </pt>
                <pt idx="288">
                  <v>45511</v>
                </pt>
                <pt idx="289">
                  <v>45510</v>
                </pt>
                <pt idx="290">
                  <v>45509</v>
                </pt>
                <pt idx="291">
                  <v>45506</v>
                </pt>
                <pt idx="292">
                  <v>45505</v>
                </pt>
                <pt idx="293">
                  <v>45504</v>
                </pt>
                <pt idx="294">
                  <v>45503</v>
                </pt>
                <pt idx="295">
                  <v>45502</v>
                </pt>
                <pt idx="296">
                  <v>45499</v>
                </pt>
                <pt idx="297">
                  <v>45497</v>
                </pt>
                <pt idx="298">
                  <v>45496</v>
                </pt>
                <pt idx="299">
                  <v>45495</v>
                </pt>
                <pt idx="300">
                  <v>45492</v>
                </pt>
                <pt idx="301">
                  <v>45491</v>
                </pt>
                <pt idx="302">
                  <v>45490</v>
                </pt>
                <pt idx="303">
                  <v>45489</v>
                </pt>
                <pt idx="304">
                  <v>45488</v>
                </pt>
                <pt idx="305">
                  <v>45485</v>
                </pt>
                <pt idx="306">
                  <v>45484</v>
                </pt>
                <pt idx="307">
                  <v>45483</v>
                </pt>
                <pt idx="308">
                  <v>45482</v>
                </pt>
                <pt idx="309">
                  <v>45481</v>
                </pt>
                <pt idx="310">
                  <v>45478</v>
                </pt>
                <pt idx="311">
                  <v>45477</v>
                </pt>
                <pt idx="312">
                  <v>45476</v>
                </pt>
                <pt idx="313">
                  <v>45475</v>
                </pt>
                <pt idx="314">
                  <v>45474</v>
                </pt>
                <pt idx="315">
                  <v>45471</v>
                </pt>
                <pt idx="316">
                  <v>45470</v>
                </pt>
                <pt idx="317">
                  <v>45469</v>
                </pt>
                <pt idx="318">
                  <v>45468</v>
                </pt>
                <pt idx="319">
                  <v>45467</v>
                </pt>
                <pt idx="320">
                  <v>45464</v>
                </pt>
                <pt idx="321">
                  <v>45463</v>
                </pt>
                <pt idx="322">
                  <v>45462</v>
                </pt>
                <pt idx="323">
                  <v>45461</v>
                </pt>
                <pt idx="324">
                  <v>45460</v>
                </pt>
                <pt idx="325">
                  <v>45457</v>
                </pt>
                <pt idx="326">
                  <v>45456</v>
                </pt>
                <pt idx="327">
                  <v>45455</v>
                </pt>
                <pt idx="328">
                  <v>45454</v>
                </pt>
                <pt idx="329">
                  <v>45450</v>
                </pt>
                <pt idx="330">
                  <v>45449</v>
                </pt>
                <pt idx="331">
                  <v>45448</v>
                </pt>
                <pt idx="332">
                  <v>45447</v>
                </pt>
                <pt idx="333">
                  <v>45446</v>
                </pt>
                <pt idx="334">
                  <v>45443</v>
                </pt>
                <pt idx="335">
                  <v>45442</v>
                </pt>
                <pt idx="336">
                  <v>45441</v>
                </pt>
                <pt idx="337">
                  <v>45440</v>
                </pt>
                <pt idx="338">
                  <v>45439</v>
                </pt>
                <pt idx="339">
                  <v>45436</v>
                </pt>
                <pt idx="340">
                  <v>45435</v>
                </pt>
                <pt idx="341">
                  <v>45434</v>
                </pt>
                <pt idx="342">
                  <v>45433</v>
                </pt>
                <pt idx="343">
                  <v>45432</v>
                </pt>
                <pt idx="344">
                  <v>45429</v>
                </pt>
                <pt idx="345">
                  <v>45428</v>
                </pt>
                <pt idx="346">
                  <v>45427</v>
                </pt>
                <pt idx="347">
                  <v>45426</v>
                </pt>
                <pt idx="348">
                  <v>45425</v>
                </pt>
                <pt idx="349">
                  <v>45422</v>
                </pt>
                <pt idx="350">
                  <v>45421</v>
                </pt>
                <pt idx="351">
                  <v>45420</v>
                </pt>
                <pt idx="352">
                  <v>45419</v>
                </pt>
                <pt idx="353">
                  <v>45418</v>
                </pt>
                <pt idx="354">
                  <v>45415</v>
                </pt>
                <pt idx="355">
                  <v>45414</v>
                </pt>
                <pt idx="356">
                  <v>45412</v>
                </pt>
                <pt idx="357">
                  <v>45411</v>
                </pt>
                <pt idx="358">
                  <v>45408</v>
                </pt>
                <pt idx="359">
                  <v>45407</v>
                </pt>
                <pt idx="360">
                  <v>45406</v>
                </pt>
                <pt idx="361">
                  <v>45405</v>
                </pt>
                <pt idx="362">
                  <v>45404</v>
                </pt>
                <pt idx="363">
                  <v>45401</v>
                </pt>
                <pt idx="364">
                  <v>45400</v>
                </pt>
                <pt idx="365">
                  <v>45399</v>
                </pt>
                <pt idx="366">
                  <v>45398</v>
                </pt>
                <pt idx="367">
                  <v>45397</v>
                </pt>
                <pt idx="368">
                  <v>45394</v>
                </pt>
                <pt idx="369">
                  <v>45393</v>
                </pt>
                <pt idx="370">
                  <v>45392</v>
                </pt>
                <pt idx="371">
                  <v>45391</v>
                </pt>
                <pt idx="372">
                  <v>45390</v>
                </pt>
                <pt idx="373">
                  <v>45385</v>
                </pt>
                <pt idx="374">
                  <v>45384</v>
                </pt>
                <pt idx="375">
                  <v>45383</v>
                </pt>
                <pt idx="376">
                  <v>45380</v>
                </pt>
                <pt idx="377">
                  <v>45379</v>
                </pt>
                <pt idx="378">
                  <v>45378</v>
                </pt>
                <pt idx="379">
                  <v>45377</v>
                </pt>
                <pt idx="380">
                  <v>45376</v>
                </pt>
                <pt idx="381">
                  <v>45373</v>
                </pt>
                <pt idx="382">
                  <v>45372</v>
                </pt>
                <pt idx="383">
                  <v>45371</v>
                </pt>
                <pt idx="384">
                  <v>45370</v>
                </pt>
                <pt idx="385">
                  <v>45369</v>
                </pt>
                <pt idx="386">
                  <v>45366</v>
                </pt>
                <pt idx="387">
                  <v>45365</v>
                </pt>
                <pt idx="388">
                  <v>45364</v>
                </pt>
                <pt idx="389">
                  <v>45363</v>
                </pt>
                <pt idx="390">
                  <v>45362</v>
                </pt>
                <pt idx="391">
                  <v>45359</v>
                </pt>
                <pt idx="392">
                  <v>45358</v>
                </pt>
                <pt idx="393">
                  <v>45357</v>
                </pt>
                <pt idx="394">
                  <v>45356</v>
                </pt>
                <pt idx="395">
                  <v>45355</v>
                </pt>
                <pt idx="396">
                  <v>45352</v>
                </pt>
                <pt idx="397">
                  <v>45351</v>
                </pt>
                <pt idx="398">
                  <v>45349</v>
                </pt>
                <pt idx="399">
                  <v>45348</v>
                </pt>
                <pt idx="400">
                  <v>45345</v>
                </pt>
                <pt idx="401">
                  <v>45344</v>
                </pt>
                <pt idx="402">
                  <v>45343</v>
                </pt>
                <pt idx="403">
                  <v>45342</v>
                </pt>
                <pt idx="404">
                  <v>45341</v>
                </pt>
                <pt idx="405">
                  <v>45339</v>
                </pt>
                <pt idx="406">
                  <v>45338</v>
                </pt>
                <pt idx="407">
                  <v>45337</v>
                </pt>
                <pt idx="408">
                  <v>45329</v>
                </pt>
                <pt idx="409">
                  <v>45328</v>
                </pt>
                <pt idx="410">
                  <v>45327</v>
                </pt>
                <pt idx="411">
                  <v>45324</v>
                </pt>
                <pt idx="412">
                  <v>45323</v>
                </pt>
                <pt idx="413">
                  <v>45322</v>
                </pt>
                <pt idx="414">
                  <v>45321</v>
                </pt>
                <pt idx="415">
                  <v>45320</v>
                </pt>
                <pt idx="416">
                  <v>45317</v>
                </pt>
                <pt idx="417">
                  <v>45316</v>
                </pt>
                <pt idx="418">
                  <v>45315</v>
                </pt>
                <pt idx="419">
                  <v>45314</v>
                </pt>
                <pt idx="420">
                  <v>45313</v>
                </pt>
                <pt idx="421">
                  <v>45310</v>
                </pt>
                <pt idx="422">
                  <v>45309</v>
                </pt>
                <pt idx="423">
                  <v>45308</v>
                </pt>
                <pt idx="424">
                  <v>45307</v>
                </pt>
                <pt idx="425">
                  <v>45306</v>
                </pt>
                <pt idx="426">
                  <v>45303</v>
                </pt>
                <pt idx="427">
                  <v>45302</v>
                </pt>
                <pt idx="428">
                  <v>45301</v>
                </pt>
                <pt idx="429">
                  <v>45300</v>
                </pt>
                <pt idx="430">
                  <v>45299</v>
                </pt>
                <pt idx="431">
                  <v>45296</v>
                </pt>
                <pt idx="432">
                  <v>45295</v>
                </pt>
                <pt idx="433">
                  <v>45294</v>
                </pt>
                <pt idx="434">
                  <v>45293</v>
                </pt>
                <pt idx="435">
                  <v>45289</v>
                </pt>
                <pt idx="436">
                  <v>45288</v>
                </pt>
                <pt idx="437">
                  <v>45287</v>
                </pt>
                <pt idx="438">
                  <v>45286</v>
                </pt>
                <pt idx="439">
                  <v>45285</v>
                </pt>
                <pt idx="440">
                  <v>45282</v>
                </pt>
                <pt idx="441">
                  <v>45281</v>
                </pt>
                <pt idx="442">
                  <v>45280</v>
                </pt>
                <pt idx="443">
                  <v>45279</v>
                </pt>
                <pt idx="444">
                  <v>45278</v>
                </pt>
                <pt idx="445">
                  <v>45275</v>
                </pt>
                <pt idx="446">
                  <v>45274</v>
                </pt>
                <pt idx="447">
                  <v>45273</v>
                </pt>
                <pt idx="448">
                  <v>45272</v>
                </pt>
                <pt idx="449">
                  <v>45271</v>
                </pt>
                <pt idx="450">
                  <v>45268</v>
                </pt>
                <pt idx="451">
                  <v>45267</v>
                </pt>
                <pt idx="452">
                  <v>45266</v>
                </pt>
                <pt idx="453">
                  <v>45265</v>
                </pt>
                <pt idx="454">
                  <v>45264</v>
                </pt>
                <pt idx="455">
                  <v>45261</v>
                </pt>
                <pt idx="456">
                  <v>45260</v>
                </pt>
                <pt idx="457">
                  <v>45259</v>
                </pt>
                <pt idx="458">
                  <v>45258</v>
                </pt>
                <pt idx="459">
                  <v>45257</v>
                </pt>
                <pt idx="460">
                  <v>45254</v>
                </pt>
                <pt idx="461">
                  <v>45253</v>
                </pt>
                <pt idx="462">
                  <v>45252</v>
                </pt>
                <pt idx="463">
                  <v>45251</v>
                </pt>
                <pt idx="464">
                  <v>45250</v>
                </pt>
                <pt idx="465">
                  <v>45247</v>
                </pt>
                <pt idx="466">
                  <v>45246</v>
                </pt>
                <pt idx="467">
                  <v>45245</v>
                </pt>
                <pt idx="468">
                  <v>45244</v>
                </pt>
                <pt idx="469">
                  <v>45243</v>
                </pt>
                <pt idx="470">
                  <v>45240</v>
                </pt>
                <pt idx="471">
                  <v>45239</v>
                </pt>
                <pt idx="472">
                  <v>45238</v>
                </pt>
                <pt idx="473">
                  <v>45237</v>
                </pt>
                <pt idx="474">
                  <v>45236</v>
                </pt>
                <pt idx="475">
                  <v>45233</v>
                </pt>
                <pt idx="476">
                  <v>45232</v>
                </pt>
                <pt idx="477">
                  <v>45231</v>
                </pt>
                <pt idx="478">
                  <v>45230</v>
                </pt>
                <pt idx="479">
                  <v>45229</v>
                </pt>
                <pt idx="480">
                  <v>45226</v>
                </pt>
                <pt idx="481">
                  <v>45225</v>
                </pt>
                <pt idx="482">
                  <v>45224</v>
                </pt>
                <pt idx="483">
                  <v>45223</v>
                </pt>
                <pt idx="484">
                  <v>45222</v>
                </pt>
                <pt idx="485">
                  <v>45219</v>
                </pt>
                <pt idx="486">
                  <v>45218</v>
                </pt>
                <pt idx="487">
                  <v>45217</v>
                </pt>
                <pt idx="488">
                  <v>45216</v>
                </pt>
                <pt idx="489">
                  <v>45215</v>
                </pt>
                <pt idx="490">
                  <v>45212</v>
                </pt>
                <pt idx="491">
                  <v>45211</v>
                </pt>
                <pt idx="492">
                  <v>45210</v>
                </pt>
                <pt idx="493">
                  <v>45205</v>
                </pt>
                <pt idx="494">
                  <v>45204</v>
                </pt>
                <pt idx="495">
                  <v>45203</v>
                </pt>
                <pt idx="496">
                  <v>45202</v>
                </pt>
                <pt idx="497">
                  <v>45201</v>
                </pt>
                <pt idx="498">
                  <v>45197</v>
                </pt>
                <pt idx="499">
                  <v>45196</v>
                </pt>
                <pt idx="500">
                  <v>45195</v>
                </pt>
                <pt idx="501">
                  <v>45194</v>
                </pt>
                <pt idx="502">
                  <v>45192</v>
                </pt>
                <pt idx="503">
                  <v>45191</v>
                </pt>
                <pt idx="504">
                  <v>45190</v>
                </pt>
                <pt idx="505">
                  <v>45189</v>
                </pt>
                <pt idx="506">
                  <v>45188</v>
                </pt>
                <pt idx="507">
                  <v>45187</v>
                </pt>
                <pt idx="508">
                  <v>45184</v>
                </pt>
                <pt idx="509">
                  <v>45183</v>
                </pt>
                <pt idx="510">
                  <v>45182</v>
                </pt>
                <pt idx="511">
                  <v>45181</v>
                </pt>
                <pt idx="512">
                  <v>45180</v>
                </pt>
                <pt idx="513">
                  <v>45177</v>
                </pt>
                <pt idx="514">
                  <v>45176</v>
                </pt>
                <pt idx="515">
                  <v>45175</v>
                </pt>
                <pt idx="516">
                  <v>45174</v>
                </pt>
                <pt idx="517">
                  <v>45173</v>
                </pt>
                <pt idx="518">
                  <v>45170</v>
                </pt>
                <pt idx="519">
                  <v>45169</v>
                </pt>
                <pt idx="520">
                  <v>45168</v>
                </pt>
                <pt idx="521">
                  <v>45167</v>
                </pt>
                <pt idx="522">
                  <v>45166</v>
                </pt>
                <pt idx="523">
                  <v>45163</v>
                </pt>
                <pt idx="524">
                  <v>45162</v>
                </pt>
                <pt idx="525">
                  <v>45161</v>
                </pt>
                <pt idx="526">
                  <v>45160</v>
                </pt>
                <pt idx="527">
                  <v>45159</v>
                </pt>
                <pt idx="528">
                  <v>45156</v>
                </pt>
                <pt idx="529">
                  <v>45155</v>
                </pt>
                <pt idx="530">
                  <v>45154</v>
                </pt>
                <pt idx="531">
                  <v>45153</v>
                </pt>
                <pt idx="532">
                  <v>45152</v>
                </pt>
                <pt idx="533">
                  <v>45149</v>
                </pt>
                <pt idx="534">
                  <v>45148</v>
                </pt>
                <pt idx="535">
                  <v>45147</v>
                </pt>
                <pt idx="536">
                  <v>45146</v>
                </pt>
                <pt idx="537">
                  <v>45145</v>
                </pt>
                <pt idx="538">
                  <v>45142</v>
                </pt>
                <pt idx="539">
                  <v>45141</v>
                </pt>
                <pt idx="540">
                  <v>45140</v>
                </pt>
                <pt idx="541">
                  <v>45139</v>
                </pt>
                <pt idx="542">
                  <v>45138</v>
                </pt>
                <pt idx="543">
                  <v>45135</v>
                </pt>
                <pt idx="544">
                  <v>45134</v>
                </pt>
                <pt idx="545">
                  <v>45133</v>
                </pt>
                <pt idx="546">
                  <v>45132</v>
                </pt>
                <pt idx="547">
                  <v>45131</v>
                </pt>
                <pt idx="548">
                  <v>45128</v>
                </pt>
                <pt idx="549">
                  <v>45127</v>
                </pt>
                <pt idx="550">
                  <v>45126</v>
                </pt>
                <pt idx="551">
                  <v>45125</v>
                </pt>
                <pt idx="552">
                  <v>45124</v>
                </pt>
                <pt idx="553">
                  <v>45121</v>
                </pt>
                <pt idx="554">
                  <v>45120</v>
                </pt>
                <pt idx="555">
                  <v>45119</v>
                </pt>
                <pt idx="556">
                  <v>45118</v>
                </pt>
                <pt idx="557">
                  <v>45117</v>
                </pt>
                <pt idx="558">
                  <v>45114</v>
                </pt>
                <pt idx="559">
                  <v>45113</v>
                </pt>
                <pt idx="560">
                  <v>45112</v>
                </pt>
                <pt idx="561">
                  <v>45111</v>
                </pt>
                <pt idx="562">
                  <v>45110</v>
                </pt>
                <pt idx="563">
                  <v>45107</v>
                </pt>
                <pt idx="564">
                  <v>45106</v>
                </pt>
                <pt idx="565">
                  <v>45105</v>
                </pt>
                <pt idx="566">
                  <v>45104</v>
                </pt>
                <pt idx="567">
                  <v>45103</v>
                </pt>
                <pt idx="568">
                  <v>45098</v>
                </pt>
                <pt idx="569">
                  <v>45097</v>
                </pt>
                <pt idx="570">
                  <v>45096</v>
                </pt>
                <pt idx="571">
                  <v>45094</v>
                </pt>
                <pt idx="572">
                  <v>45093</v>
                </pt>
                <pt idx="573">
                  <v>45092</v>
                </pt>
                <pt idx="574">
                  <v>45091</v>
                </pt>
                <pt idx="575">
                  <v>45090</v>
                </pt>
                <pt idx="576">
                  <v>45089</v>
                </pt>
                <pt idx="577">
                  <v>45086</v>
                </pt>
                <pt idx="578">
                  <v>45085</v>
                </pt>
                <pt idx="579">
                  <v>45084</v>
                </pt>
                <pt idx="580">
                  <v>45083</v>
                </pt>
                <pt idx="581">
                  <v>45082</v>
                </pt>
                <pt idx="582">
                  <v>45079</v>
                </pt>
                <pt idx="583">
                  <v>45078</v>
                </pt>
                <pt idx="584">
                  <v>45077</v>
                </pt>
                <pt idx="585">
                  <v>45076</v>
                </pt>
                <pt idx="586">
                  <v>45075</v>
                </pt>
                <pt idx="587">
                  <v>45072</v>
                </pt>
                <pt idx="588">
                  <v>45071</v>
                </pt>
                <pt idx="589">
                  <v>45070</v>
                </pt>
                <pt idx="590">
                  <v>45069</v>
                </pt>
                <pt idx="591">
                  <v>45068</v>
                </pt>
                <pt idx="592">
                  <v>45065</v>
                </pt>
                <pt idx="593">
                  <v>45064</v>
                </pt>
                <pt idx="594">
                  <v>45063</v>
                </pt>
                <pt idx="595">
                  <v>45062</v>
                </pt>
                <pt idx="596">
                  <v>45061</v>
                </pt>
                <pt idx="597">
                  <v>45058</v>
                </pt>
                <pt idx="598">
                  <v>45057</v>
                </pt>
                <pt idx="599">
                  <v>45056</v>
                </pt>
                <pt idx="600">
                  <v>45055</v>
                </pt>
                <pt idx="601">
                  <v>45054</v>
                </pt>
                <pt idx="602">
                  <v>45051</v>
                </pt>
                <pt idx="603">
                  <v>45050</v>
                </pt>
                <pt idx="604">
                  <v>45049</v>
                </pt>
                <pt idx="605">
                  <v>45048</v>
                </pt>
                <pt idx="606">
                  <v>45044</v>
                </pt>
                <pt idx="607">
                  <v>45043</v>
                </pt>
              </numCache>
            </numRef>
          </cat>
          <val>
            <numRef>
              <f>匯率!$J$3:$J$610</f>
              <numCache>
                <formatCode>General</formatCode>
                <ptCount val="608"/>
                <pt idx="0">
                  <v>31.165</v>
                </pt>
                <pt idx="1">
                  <v>31.155</v>
                </pt>
                <pt idx="2">
                  <v>31.2</v>
                </pt>
                <pt idx="3">
                  <v>31.065</v>
                </pt>
                <pt idx="4">
                  <v>30.9</v>
                </pt>
                <pt idx="5">
                  <v>30.89</v>
                </pt>
                <pt idx="6">
                  <v>31.03</v>
                </pt>
                <pt idx="7">
                  <v>31.095</v>
                </pt>
                <pt idx="8">
                  <v>31.15</v>
                </pt>
                <pt idx="9">
                  <v>31.2</v>
                </pt>
                <pt idx="10">
                  <v>31.24</v>
                </pt>
                <pt idx="11">
                  <v>31.205</v>
                </pt>
                <pt idx="12">
                  <v>31.195</v>
                </pt>
                <pt idx="13">
                  <v>31.16</v>
                </pt>
                <pt idx="14">
                  <v>31.175</v>
                </pt>
                <pt idx="15">
                  <v>31.23</v>
                </pt>
                <pt idx="16">
                  <v>31.25</v>
                </pt>
                <pt idx="17">
                  <v>31.24</v>
                </pt>
                <pt idx="18">
                  <v>31.2</v>
                </pt>
                <pt idx="19">
                  <v>31.175</v>
                </pt>
                <pt idx="20">
                  <v>31.11</v>
                </pt>
                <pt idx="21">
                  <v>31.12</v>
                </pt>
                <pt idx="22">
                  <v>31.14</v>
                </pt>
                <pt idx="23">
                  <v>31.02</v>
                </pt>
                <pt idx="24">
                  <v>31.03</v>
                </pt>
                <pt idx="25">
                  <v>30.975</v>
                </pt>
                <pt idx="26">
                  <v>31.04</v>
                </pt>
                <pt idx="27">
                  <v>31.045</v>
                </pt>
                <pt idx="28">
                  <v>31.075</v>
                </pt>
                <pt idx="29">
                  <v>31.12</v>
                </pt>
                <pt idx="30">
                  <v>31.13</v>
                </pt>
                <pt idx="31">
                  <v>31.135</v>
                </pt>
                <pt idx="32">
                  <v>31.12</v>
                </pt>
                <pt idx="33">
                  <v>31.135</v>
                </pt>
                <pt idx="34">
                  <v>31.07</v>
                </pt>
                <pt idx="35">
                  <v>30.98</v>
                </pt>
                <pt idx="36">
                  <v>30.76</v>
                </pt>
                <pt idx="37">
                  <v>30.855</v>
                </pt>
                <pt idx="38">
                  <v>30.79</v>
                </pt>
                <pt idx="39">
                  <v>30.795</v>
                </pt>
                <pt idx="40">
                  <v>30.79</v>
                </pt>
                <pt idx="41">
                  <v>30.84</v>
                </pt>
                <pt idx="42">
                  <v>30.925</v>
                </pt>
                <pt idx="43">
                  <v>30.92</v>
                </pt>
                <pt idx="44">
                  <v>31.01</v>
                </pt>
                <pt idx="45">
                  <v>31.03</v>
                </pt>
                <pt idx="46">
                  <v>31</v>
                </pt>
                <pt idx="47">
                  <v>30.925</v>
                </pt>
                <pt idx="48">
                  <v>30.94</v>
                </pt>
                <pt idx="49">
                  <v>31.04</v>
                </pt>
                <pt idx="50">
                  <v>31.035</v>
                </pt>
                <pt idx="51">
                  <v>31.02</v>
                </pt>
                <pt idx="52">
                  <v>30.89</v>
                </pt>
                <pt idx="53">
                  <v>30.84</v>
                </pt>
                <pt idx="54">
                  <v>30.79</v>
                </pt>
                <pt idx="55">
                  <v>30.76</v>
                </pt>
                <pt idx="56">
                  <v>30.74</v>
                </pt>
                <pt idx="57">
                  <v>30.66</v>
                </pt>
                <pt idx="58">
                  <v>30.655</v>
                </pt>
                <pt idx="59">
                  <v>30.64</v>
                </pt>
                <pt idx="60">
                  <v>30.6</v>
                </pt>
                <pt idx="61">
                  <v>30.63</v>
                </pt>
                <pt idx="62">
                  <v>30.545</v>
                </pt>
                <pt idx="63">
                  <v>30.535</v>
                </pt>
                <pt idx="64">
                  <v>30.495</v>
                </pt>
                <pt idx="65">
                  <v>30.43</v>
                </pt>
                <pt idx="66">
                  <v>30.33</v>
                </pt>
                <pt idx="67">
                  <v>30.29</v>
                </pt>
                <pt idx="68">
                  <v>30.215</v>
                </pt>
                <pt idx="69">
                  <v>30.22</v>
                </pt>
                <pt idx="70">
                  <v>30.3</v>
                </pt>
                <pt idx="71">
                  <v>30.405</v>
                </pt>
                <pt idx="72">
                  <v>30.32</v>
                </pt>
                <pt idx="73">
                  <v>30.275</v>
                </pt>
                <pt idx="74">
                  <v>30.225</v>
                </pt>
                <pt idx="75">
                  <v>30.26</v>
                </pt>
                <pt idx="76">
                  <v>30.235</v>
                </pt>
                <pt idx="77">
                  <v>30.225</v>
                </pt>
                <pt idx="78">
                  <v>30.355</v>
                </pt>
                <pt idx="79">
                  <v>30.295</v>
                </pt>
                <pt idx="80">
                  <v>30.13</v>
                </pt>
                <pt idx="81">
                  <v>30.13</v>
                </pt>
                <pt idx="82">
                  <v>30.115</v>
                </pt>
                <pt idx="83">
                  <v>29.96</v>
                </pt>
                <pt idx="84">
                  <v>30.01</v>
                </pt>
                <pt idx="85">
                  <v>30.04</v>
                </pt>
                <pt idx="86">
                  <v>30.045</v>
                </pt>
                <pt idx="87">
                  <v>30.115</v>
                </pt>
                <pt idx="88">
                  <v>30.03</v>
                </pt>
                <pt idx="89">
                  <v>29.91</v>
                </pt>
                <pt idx="90">
                  <v>29.88</v>
                </pt>
                <pt idx="91">
                  <v>29.845</v>
                </pt>
                <pt idx="92">
                  <v>29.81</v>
                </pt>
                <pt idx="93">
                  <v>29.675</v>
                </pt>
                <pt idx="94">
                  <v>29.64</v>
                </pt>
                <pt idx="95">
                  <v>29.665</v>
                </pt>
                <pt idx="96">
                  <v>29.805</v>
                </pt>
                <pt idx="97">
                  <v>29.815</v>
                </pt>
                <pt idx="98">
                  <v>29.905</v>
                </pt>
                <pt idx="99">
                  <v>29.87</v>
                </pt>
                <pt idx="100">
                  <v>29.95</v>
                </pt>
                <pt idx="101">
                  <v>30.095</v>
                </pt>
                <pt idx="102">
                  <v>30.165</v>
                </pt>
                <pt idx="103">
                  <v>30.295</v>
                </pt>
                <pt idx="104">
                  <v>30.315</v>
                </pt>
                <pt idx="105">
                  <v>30.275</v>
                </pt>
                <pt idx="106">
                  <v>30.215</v>
                </pt>
                <pt idx="107">
                  <v>30.19</v>
                </pt>
                <pt idx="108">
                  <v>30.18</v>
                </pt>
                <pt idx="109">
                  <v>30.17</v>
                </pt>
                <pt idx="110">
                  <v>30.14</v>
                </pt>
                <pt idx="111">
                  <v>30.035</v>
                </pt>
                <pt idx="112">
                  <v>30.185</v>
                </pt>
                <pt idx="113">
                  <v>30.1</v>
                </pt>
                <pt idx="114">
                  <v>29.9</v>
                </pt>
                <pt idx="115">
                  <v>29.71</v>
                </pt>
                <pt idx="116">
                  <v>29.645</v>
                </pt>
                <pt idx="117">
                  <v>29.59</v>
                </pt>
                <pt idx="118">
                  <v>29.575</v>
                </pt>
                <pt idx="119">
                  <v>29.545</v>
                </pt>
                <pt idx="120">
                  <v>32.11</v>
                </pt>
                <pt idx="121">
                  <v>32.1</v>
                </pt>
                <pt idx="122">
                  <v>32.085</v>
                </pt>
                <pt idx="123">
                  <v>32.27</v>
                </pt>
                <pt idx="124">
                  <v>32.465</v>
                </pt>
                <pt idx="125">
                  <v>32.61</v>
                </pt>
                <pt idx="126">
                  <v>32.605</v>
                </pt>
                <pt idx="127">
                  <v>32.65</v>
                </pt>
                <pt idx="128">
                  <v>32.69</v>
                </pt>
                <pt idx="129">
                  <v>32.8</v>
                </pt>
                <pt idx="130">
                  <v>32.805</v>
                </pt>
                <pt idx="131">
                  <v>32.7</v>
                </pt>
                <pt idx="132">
                  <v>32.71</v>
                </pt>
                <pt idx="133">
                  <v>32.695</v>
                </pt>
                <pt idx="134">
                  <v>32.68</v>
                </pt>
                <pt idx="135">
                  <v>32.635</v>
                </pt>
                <pt idx="136">
                  <v>32.6</v>
                </pt>
                <pt idx="137">
                  <v>32.61</v>
                </pt>
                <pt idx="138">
                  <v>32.645</v>
                </pt>
                <pt idx="139">
                  <v>32.6</v>
                </pt>
                <pt idx="140">
                  <v>32.615</v>
                </pt>
                <pt idx="141">
                  <v>32.56</v>
                </pt>
                <pt idx="142">
                  <v>32.57</v>
                </pt>
                <pt idx="143">
                  <v>32.56</v>
                </pt>
                <pt idx="144">
                  <v>32.49</v>
                </pt>
                <pt idx="145">
                  <v>32.52</v>
                </pt>
                <pt idx="146">
                  <v>32.44</v>
                </pt>
                <pt idx="147">
                  <v>32.455</v>
                </pt>
                <pt idx="148">
                  <v>32.425</v>
                </pt>
                <pt idx="149">
                  <v>32.515</v>
                </pt>
                <pt idx="150">
                  <v>32.525</v>
                </pt>
                <pt idx="151">
                  <v>32.42</v>
                </pt>
                <pt idx="152">
                  <v>32.395</v>
                </pt>
                <pt idx="153">
                  <v>32.405</v>
                </pt>
                <pt idx="154">
                  <v>32.315</v>
                </pt>
                <pt idx="155">
                  <v>32.35</v>
                </pt>
                <pt idx="156">
                  <v>32.395</v>
                </pt>
                <pt idx="157">
                  <v>32.35</v>
                </pt>
                <pt idx="158">
                  <v>32.37</v>
                </pt>
                <pt idx="159">
                  <v>32.305</v>
                </pt>
                <pt idx="160">
                  <v>32.385</v>
                </pt>
                <pt idx="161">
                  <v>32.41</v>
                </pt>
                <pt idx="162">
                  <v>32.46</v>
                </pt>
                <pt idx="163">
                  <v>32.445</v>
                </pt>
                <pt idx="164">
                  <v>32.445</v>
                </pt>
                <pt idx="165">
                  <v>32.39</v>
                </pt>
                <pt idx="166">
                  <v>32.355</v>
                </pt>
                <pt idx="167">
                  <v>32.43</v>
                </pt>
                <pt idx="168">
                  <v>32.45</v>
                </pt>
                <pt idx="169">
                  <v>32.585</v>
                </pt>
                <pt idx="170">
                  <v>32.57</v>
                </pt>
                <pt idx="171">
                  <v>32.285</v>
                </pt>
                <pt idx="172">
                  <v>32.37</v>
                </pt>
                <pt idx="173">
                  <v>32.375</v>
                </pt>
                <pt idx="174">
                  <v>32.38</v>
                </pt>
                <pt idx="175">
                  <v>32.405</v>
                </pt>
                <pt idx="176">
                  <v>32.53</v>
                </pt>
                <pt idx="177">
                  <v>32.53</v>
                </pt>
                <pt idx="178">
                  <v>32.665</v>
                </pt>
                <pt idx="179">
                  <v>32.57</v>
                </pt>
                <pt idx="180">
                  <v>32.72</v>
                </pt>
                <pt idx="181">
                  <v>32.565</v>
                </pt>
                <pt idx="182">
                  <v>32.55</v>
                </pt>
                <pt idx="183">
                  <v>32.49</v>
                </pt>
                <pt idx="184">
                  <v>32.335</v>
                </pt>
                <pt idx="185">
                  <v>32.465</v>
                </pt>
                <pt idx="186">
                  <v>32.515</v>
                </pt>
                <pt idx="187">
                  <v>32.48</v>
                </pt>
                <pt idx="188">
                  <v>32.385</v>
                </pt>
                <pt idx="189">
                  <v>32.325</v>
                </pt>
                <pt idx="190">
                  <v>32.32</v>
                </pt>
                <pt idx="191">
                  <v>32.3</v>
                </pt>
                <pt idx="192">
                  <v>32.275</v>
                </pt>
                <pt idx="193">
                  <v>32.28</v>
                </pt>
                <pt idx="194">
                  <v>32.29</v>
                </pt>
                <pt idx="195">
                  <v>32.295</v>
                </pt>
                <pt idx="196">
                  <v>32.27</v>
                </pt>
                <pt idx="197">
                  <v>32.09</v>
                </pt>
                <pt idx="198">
                  <v>32.115</v>
                </pt>
                <pt idx="199">
                  <v>32.085</v>
                </pt>
                <pt idx="200">
                  <v>32.105</v>
                </pt>
                <pt idx="201">
                  <v>32.09</v>
                </pt>
                <pt idx="202">
                  <v>32.11</v>
                </pt>
                <pt idx="203">
                  <v>32.045</v>
                </pt>
                <pt idx="204">
                  <v>32.075</v>
                </pt>
                <pt idx="205">
                  <v>32.005</v>
                </pt>
                <pt idx="206">
                  <v>32.04</v>
                </pt>
                <pt idx="207">
                  <v>32.035</v>
                </pt>
                <pt idx="208">
                  <v>32.14</v>
                </pt>
                <pt idx="209">
                  <v>32.2</v>
                </pt>
                <pt idx="210">
                  <v>32.07</v>
                </pt>
                <pt idx="211">
                  <v>32.13</v>
                </pt>
                <pt idx="212">
                  <v>32.135</v>
                </pt>
                <pt idx="213">
                  <v>32.11</v>
                </pt>
                <pt idx="214">
                  <v>32.08</v>
                </pt>
                <pt idx="215">
                  <v>32.19</v>
                </pt>
                <pt idx="216">
                  <v>32.145</v>
                </pt>
                <pt idx="217">
                  <v>32.095</v>
                </pt>
                <pt idx="218">
                  <v>32.01</v>
                </pt>
                <pt idx="219">
                  <v>32.135</v>
                </pt>
                <pt idx="220">
                  <v>32.07</v>
                </pt>
                <pt idx="221">
                  <v>32.165</v>
                </pt>
                <pt idx="222">
                  <v>32.05</v>
                </pt>
                <pt idx="223">
                  <v>32.035</v>
                </pt>
                <pt idx="224">
                  <v>31.85</v>
                </pt>
                <pt idx="225">
                  <v>31.715</v>
                </pt>
                <pt idx="226">
                  <v>31.84</v>
                </pt>
                <pt idx="227">
                  <v>31.775</v>
                </pt>
                <pt idx="228">
                  <v>31.57</v>
                </pt>
                <pt idx="229">
                  <v>31.57</v>
                </pt>
                <pt idx="230">
                  <v>31.565</v>
                </pt>
                <pt idx="231">
                  <v>31.64</v>
                </pt>
                <pt idx="232">
                  <v>31.64</v>
                </pt>
                <pt idx="233">
                  <v>31.7</v>
                </pt>
                <pt idx="234">
                  <v>31.695</v>
                </pt>
                <pt idx="235">
                  <v>31.67</v>
                </pt>
                <pt idx="236">
                  <v>31.69</v>
                </pt>
                <pt idx="237">
                  <v>31.68</v>
                </pt>
                <pt idx="238">
                  <v>31.66</v>
                </pt>
                <pt idx="239">
                  <v>31.57</v>
                </pt>
                <pt idx="240">
                  <v>31.67</v>
                </pt>
                <pt idx="241">
                  <v>31.765</v>
                </pt>
                <pt idx="242">
                  <v>31.785</v>
                </pt>
                <pt idx="243">
                  <v>31.78</v>
                </pt>
                <pt idx="244">
                  <v>31.77</v>
                </pt>
                <pt idx="245">
                  <v>31.785</v>
                </pt>
                <pt idx="246">
                  <v>31.78</v>
                </pt>
                <pt idx="247">
                  <v>31.82</v>
                </pt>
                <pt idx="248">
                  <v>31.73</v>
                </pt>
                <pt idx="249">
                  <v>31.56</v>
                </pt>
                <pt idx="250">
                  <v>31.44</v>
                </pt>
                <pt idx="251">
                  <v>31.25</v>
                </pt>
                <pt idx="252">
                  <v>31.29</v>
                </pt>
                <pt idx="253">
                  <v>31.465</v>
                </pt>
                <pt idx="254">
                  <v>31.44</v>
                </pt>
                <pt idx="255">
                  <v>31.57</v>
                </pt>
                <pt idx="256">
                  <v>31.635</v>
                </pt>
                <pt idx="257">
                  <v>31.565</v>
                </pt>
                <pt idx="258">
                  <v>31.535</v>
                </pt>
                <pt idx="259">
                  <v>31.54</v>
                </pt>
                <pt idx="260">
                  <v>31.51</v>
                </pt>
                <pt idx="261">
                  <v>31.595</v>
                </pt>
                <pt idx="262">
                  <v>31.73</v>
                </pt>
                <pt idx="263">
                  <v>31.725</v>
                </pt>
                <pt idx="264">
                  <v>31.78</v>
                </pt>
                <pt idx="265">
                  <v>31.69</v>
                </pt>
                <pt idx="266">
                  <v>31.53</v>
                </pt>
                <pt idx="267">
                  <v>31.67</v>
                </pt>
                <pt idx="268">
                  <v>31.79</v>
                </pt>
                <pt idx="269">
                  <v>31.66</v>
                </pt>
                <pt idx="270">
                  <v>31.62</v>
                </pt>
                <pt idx="271">
                  <v>31.54</v>
                </pt>
                <pt idx="272">
                  <v>31.51</v>
                </pt>
                <pt idx="273">
                  <v>31.55</v>
                </pt>
                <pt idx="274">
                  <v>31.53</v>
                </pt>
                <pt idx="275">
                  <v>31.41</v>
                </pt>
                <pt idx="276">
                  <v>31.56</v>
                </pt>
                <pt idx="277">
                  <v>31.565</v>
                </pt>
                <pt idx="278">
                  <v>31.535</v>
                </pt>
                <pt idx="279">
                  <v>31.58</v>
                </pt>
                <pt idx="280">
                  <v>31.625</v>
                </pt>
                <pt idx="281">
                  <v>31.88</v>
                </pt>
                <pt idx="282">
                  <v>31.88</v>
                </pt>
                <pt idx="283">
                  <v>31.9</v>
                </pt>
                <pt idx="284">
                  <v>32.075</v>
                </pt>
                <pt idx="285">
                  <v>32.06</v>
                </pt>
                <pt idx="286">
                  <v>32.03</v>
                </pt>
                <pt idx="287">
                  <v>32.17</v>
                </pt>
                <pt idx="288">
                  <v>32.285</v>
                </pt>
                <pt idx="289">
                  <v>32.29</v>
                </pt>
                <pt idx="290">
                  <v>32.245</v>
                </pt>
                <pt idx="291">
                  <v>32.415</v>
                </pt>
                <pt idx="292">
                  <v>32.375</v>
                </pt>
                <pt idx="293">
                  <v>32.435</v>
                </pt>
                <pt idx="294">
                  <v>32.45</v>
                </pt>
                <pt idx="295">
                  <v>32.47</v>
                </pt>
                <pt idx="296">
                  <v>32.43</v>
                </pt>
                <pt idx="297">
                  <v>32.43</v>
                </pt>
                <pt idx="298">
                  <v>32.44</v>
                </pt>
                <pt idx="299">
                  <v>32.45</v>
                </pt>
                <pt idx="300">
                  <v>32.33</v>
                </pt>
                <pt idx="301">
                  <v>32.205</v>
                </pt>
                <pt idx="302">
                  <v>32.215</v>
                </pt>
                <pt idx="303">
                  <v>32.225</v>
                </pt>
                <pt idx="304">
                  <v>32.175</v>
                </pt>
                <pt idx="305">
                  <v>32.16</v>
                </pt>
                <pt idx="306">
                  <v>32.11</v>
                </pt>
                <pt idx="307">
                  <v>32.185</v>
                </pt>
                <pt idx="308">
                  <v>32.15</v>
                </pt>
                <pt idx="309">
                  <v>32.095</v>
                </pt>
                <pt idx="310">
                  <v>32.075</v>
                </pt>
                <pt idx="311">
                  <v>32.075</v>
                </pt>
                <pt idx="312">
                  <v>32.23</v>
                </pt>
                <pt idx="313">
                  <v>32.22</v>
                </pt>
                <pt idx="314">
                  <v>32.145</v>
                </pt>
                <pt idx="315">
                  <v>32.05</v>
                </pt>
                <pt idx="316">
                  <v>32.13</v>
                </pt>
                <pt idx="317">
                  <v>32.15</v>
                </pt>
                <pt idx="318">
                  <v>32.045</v>
                </pt>
                <pt idx="319">
                  <v>31.99</v>
                </pt>
                <pt idx="320">
                  <v>31.97</v>
                </pt>
                <pt idx="321">
                  <v>31.925</v>
                </pt>
                <pt idx="322">
                  <v>31.955</v>
                </pt>
                <pt idx="323">
                  <v>31.995</v>
                </pt>
                <pt idx="324">
                  <v>31.985</v>
                </pt>
                <pt idx="325">
                  <v>31.945</v>
                </pt>
                <pt idx="326">
                  <v>31.93</v>
                </pt>
                <pt idx="327">
                  <v>31.985</v>
                </pt>
                <pt idx="328">
                  <v>31.995</v>
                </pt>
                <pt idx="329">
                  <v>31.85</v>
                </pt>
                <pt idx="330">
                  <v>31.87</v>
                </pt>
                <pt idx="331">
                  <v>31.94</v>
                </pt>
                <pt idx="332">
                  <v>31.995</v>
                </pt>
                <pt idx="333">
                  <v>31.995</v>
                </pt>
                <pt idx="334">
                  <v>32</v>
                </pt>
                <pt idx="335">
                  <v>32.04</v>
                </pt>
                <pt idx="336">
                  <v>31.895</v>
                </pt>
                <pt idx="337">
                  <v>31.77</v>
                </pt>
                <pt idx="338">
                  <v>31.78</v>
                </pt>
                <pt idx="339">
                  <v>31.865</v>
                </pt>
                <pt idx="340">
                  <v>31.84</v>
                </pt>
                <pt idx="341">
                  <v>31.875</v>
                </pt>
                <pt idx="342">
                  <v>31.89</v>
                </pt>
                <pt idx="343">
                  <v>31.835</v>
                </pt>
                <pt idx="344">
                  <v>31.81</v>
                </pt>
                <pt idx="345">
                  <v>31.705</v>
                </pt>
                <pt idx="346">
                  <v>31.905</v>
                </pt>
                <pt idx="347">
                  <v>32.015</v>
                </pt>
                <pt idx="348">
                  <v>32.015</v>
                </pt>
                <pt idx="349">
                  <v>32.015</v>
                </pt>
                <pt idx="350">
                  <v>32.055</v>
                </pt>
                <pt idx="351">
                  <v>32.01</v>
                </pt>
                <pt idx="352">
                  <v>31.97</v>
                </pt>
                <pt idx="353">
                  <v>31.95</v>
                </pt>
                <pt idx="354">
                  <v>31.975</v>
                </pt>
                <pt idx="355">
                  <v>32.1</v>
                </pt>
                <pt idx="356">
                  <v>32.145</v>
                </pt>
                <pt idx="357">
                  <v>32.16</v>
                </pt>
                <pt idx="358">
                  <v>32.17</v>
                </pt>
                <pt idx="359">
                  <v>32.18</v>
                </pt>
                <pt idx="360">
                  <v>32.135</v>
                </pt>
                <pt idx="361">
                  <v>32.195</v>
                </pt>
                <pt idx="362">
                  <v>32.24</v>
                </pt>
                <pt idx="363">
                  <v>32.115</v>
                </pt>
                <pt idx="364">
                  <v>31.975</v>
                </pt>
                <pt idx="365">
                  <v>32.09</v>
                </pt>
                <pt idx="366">
                  <v>32.095</v>
                </pt>
                <pt idx="367">
                  <v>31.98</v>
                </pt>
                <pt idx="368">
                  <v>31.895</v>
                </pt>
                <pt idx="369">
                  <v>31.83</v>
                </pt>
                <pt idx="370">
                  <v>31.61</v>
                </pt>
                <pt idx="371">
                  <v>31.705</v>
                </pt>
                <pt idx="372">
                  <v>31.7</v>
                </pt>
                <pt idx="373">
                  <v>31.66</v>
                </pt>
                <pt idx="374">
                  <v>31.675</v>
                </pt>
                <pt idx="375">
                  <v>31.58</v>
                </pt>
                <pt idx="376">
                  <v>31.6</v>
                </pt>
                <pt idx="377">
                  <v>31.59</v>
                </pt>
                <pt idx="378">
                  <v>31.6</v>
                </pt>
                <pt idx="379">
                  <v>31.505</v>
                </pt>
                <pt idx="380">
                  <v>31.465</v>
                </pt>
                <pt idx="381">
                  <v>31.56</v>
                </pt>
                <pt idx="382">
                  <v>31.435</v>
                </pt>
                <pt idx="383">
                  <v>31.47</v>
                </pt>
                <pt idx="384">
                  <v>31.38</v>
                </pt>
                <pt idx="385">
                  <v>31.26</v>
                </pt>
                <pt idx="386">
                  <v>31.2</v>
                </pt>
                <pt idx="387">
                  <v>31.1</v>
                </pt>
                <pt idx="388">
                  <v>31.065</v>
                </pt>
                <pt idx="389">
                  <v>31.02</v>
                </pt>
                <pt idx="390">
                  <v>31.02</v>
                </pt>
                <pt idx="391">
                  <v>31.03</v>
                </pt>
                <pt idx="392">
                  <v>31.14</v>
                </pt>
                <pt idx="393">
                  <v>31.175</v>
                </pt>
                <pt idx="394">
                  <v>31.165</v>
                </pt>
                <pt idx="395">
                  <v>31.125</v>
                </pt>
                <pt idx="396">
                  <v>31.21</v>
                </pt>
                <pt idx="397">
                  <v>31.18</v>
                </pt>
                <pt idx="398">
                  <v>31.17</v>
                </pt>
                <pt idx="399">
                  <v>31.15</v>
                </pt>
                <pt idx="400">
                  <v>31.155</v>
                </pt>
                <pt idx="401">
                  <v>31.11</v>
                </pt>
                <pt idx="402">
                  <v>31.13</v>
                </pt>
                <pt idx="403">
                  <v>31.1</v>
                </pt>
                <pt idx="404">
                  <v>31</v>
                </pt>
                <pt idx="405">
                  <v>30.985</v>
                </pt>
                <pt idx="406">
                  <v>30.96</v>
                </pt>
                <pt idx="407">
                  <v>31.03</v>
                </pt>
                <pt idx="408">
                  <v>30.95</v>
                </pt>
                <pt idx="409">
                  <v>30.93</v>
                </pt>
                <pt idx="410">
                  <v>30.97</v>
                </pt>
                <pt idx="411">
                  <v>30.835</v>
                </pt>
                <pt idx="412">
                  <v>30.93</v>
                </pt>
                <pt idx="413">
                  <v>30.89</v>
                </pt>
                <pt idx="414">
                  <v>30.74</v>
                </pt>
                <pt idx="415">
                  <v>30.85</v>
                </pt>
                <pt idx="416">
                  <v>30.89</v>
                </pt>
                <pt idx="417">
                  <v>30.91</v>
                </pt>
                <pt idx="418">
                  <v>30.94</v>
                </pt>
                <pt idx="419">
                  <v>30.925</v>
                </pt>
                <pt idx="420">
                  <v>30.94</v>
                </pt>
                <pt idx="421">
                  <v>31.035</v>
                </pt>
                <pt idx="422">
                  <v>31.175</v>
                </pt>
                <pt idx="423">
                  <v>31.19</v>
                </pt>
                <pt idx="424">
                  <v>30.995</v>
                </pt>
                <pt idx="425">
                  <v>30.82</v>
                </pt>
                <pt idx="426">
                  <v>30.725</v>
                </pt>
                <pt idx="427">
                  <v>30.695</v>
                </pt>
                <pt idx="428">
                  <v>30.72</v>
                </pt>
                <pt idx="429">
                  <v>30.62</v>
                </pt>
                <pt idx="430">
                  <v>30.595</v>
                </pt>
                <pt idx="431">
                  <v>30.61</v>
                </pt>
                <pt idx="432">
                  <v>30.595</v>
                </pt>
                <pt idx="433">
                  <v>30.61</v>
                </pt>
                <pt idx="434">
                  <v>30.465</v>
                </pt>
                <pt idx="435">
                  <v>30.305</v>
                </pt>
                <pt idx="436">
                  <v>30.305</v>
                </pt>
                <pt idx="437">
                  <v>30.465</v>
                </pt>
                <pt idx="438">
                  <v>30.655</v>
                </pt>
                <pt idx="439">
                  <v>30.73</v>
                </pt>
                <pt idx="440">
                  <v>30.795</v>
                </pt>
                <pt idx="441">
                  <v>30.87</v>
                </pt>
                <pt idx="442">
                  <v>30.9</v>
                </pt>
                <pt idx="443">
                  <v>30.95</v>
                </pt>
                <pt idx="444">
                  <v>30.91</v>
                </pt>
                <pt idx="445">
                  <v>30.835</v>
                </pt>
                <pt idx="446">
                  <v>30.925</v>
                </pt>
                <pt idx="447">
                  <v>31.115</v>
                </pt>
                <pt idx="448">
                  <v>31.1</v>
                </pt>
                <pt idx="449">
                  <v>31.1</v>
                </pt>
                <pt idx="450">
                  <v>30.97</v>
                </pt>
                <pt idx="451">
                  <v>31.12</v>
                </pt>
                <pt idx="452">
                  <v>31.095</v>
                </pt>
                <pt idx="453">
                  <v>31.08</v>
                </pt>
                <pt idx="454">
                  <v>31.005</v>
                </pt>
                <pt idx="455">
                  <v>31.07</v>
                </pt>
                <pt idx="456">
                  <v>30.855</v>
                </pt>
                <pt idx="457">
                  <v>30.845</v>
                </pt>
                <pt idx="458">
                  <v>31.06</v>
                </pt>
                <pt idx="459">
                  <v>31.16</v>
                </pt>
                <pt idx="460">
                  <v>31.225</v>
                </pt>
                <pt idx="461">
                  <v>31.13</v>
                </pt>
                <pt idx="462">
                  <v>31.195</v>
                </pt>
                <pt idx="463">
                  <v>31.025</v>
                </pt>
                <pt idx="464">
                  <v>31.24</v>
                </pt>
                <pt idx="465">
                  <v>31.45</v>
                </pt>
                <pt idx="466">
                  <v>31.61</v>
                </pt>
                <pt idx="467">
                  <v>31.695</v>
                </pt>
                <pt idx="468">
                  <v>31.94</v>
                </pt>
                <pt idx="469">
                  <v>31.935</v>
                </pt>
                <pt idx="470">
                  <v>31.96</v>
                </pt>
                <pt idx="471">
                  <v>31.865</v>
                </pt>
                <pt idx="472">
                  <v>31.85</v>
                </pt>
                <pt idx="473">
                  <v>31.805</v>
                </pt>
                <pt idx="474">
                  <v>31.75</v>
                </pt>
                <pt idx="475">
                  <v>31.895</v>
                </pt>
                <pt idx="476">
                  <v>31.965</v>
                </pt>
                <pt idx="477">
                  <v>32.085</v>
                </pt>
                <pt idx="478">
                  <v>32.025</v>
                </pt>
                <pt idx="479">
                  <v>32.035</v>
                </pt>
                <pt idx="480">
                  <v>32.03</v>
                </pt>
                <pt idx="481">
                  <v>32.05</v>
                </pt>
                <pt idx="482">
                  <v>31.96</v>
                </pt>
                <pt idx="483">
                  <v>31.92</v>
                </pt>
                <pt idx="484">
                  <v>31.955</v>
                </pt>
                <pt idx="485">
                  <v>31.93</v>
                </pt>
                <pt idx="486">
                  <v>31.925</v>
                </pt>
                <pt idx="487">
                  <v>31.9</v>
                </pt>
                <pt idx="488">
                  <v>31.9</v>
                </pt>
                <pt idx="489">
                  <v>31.88</v>
                </pt>
                <pt idx="490">
                  <v>31.825</v>
                </pt>
                <pt idx="491">
                  <v>31.725</v>
                </pt>
                <pt idx="492">
                  <v>31.71</v>
                </pt>
                <pt idx="493">
                  <v>31.815</v>
                </pt>
                <pt idx="494">
                  <v>31.875</v>
                </pt>
                <pt idx="495">
                  <v>31.93</v>
                </pt>
                <pt idx="496">
                  <v>31.935</v>
                </pt>
                <pt idx="497">
                  <v>31.85</v>
                </pt>
                <pt idx="498">
                  <v>31.87</v>
                </pt>
                <pt idx="499">
                  <v>31.845</v>
                </pt>
                <pt idx="500">
                  <v>31.83</v>
                </pt>
                <pt idx="501">
                  <v>31.76</v>
                </pt>
                <pt idx="502">
                  <v>31.715</v>
                </pt>
                <pt idx="503">
                  <v>31.73</v>
                </pt>
                <pt idx="504">
                  <v>31.71</v>
                </pt>
                <pt idx="505">
                  <v>31.62</v>
                </pt>
                <pt idx="506">
                  <v>31.595</v>
                </pt>
                <pt idx="507">
                  <v>31.58</v>
                </pt>
                <pt idx="508">
                  <v>31.525</v>
                </pt>
                <pt idx="509">
                  <v>31.505</v>
                </pt>
                <pt idx="510">
                  <v>31.58</v>
                </pt>
                <pt idx="511">
                  <v>31.63</v>
                </pt>
                <pt idx="512">
                  <v>31.595</v>
                </pt>
                <pt idx="513">
                  <v>31.605</v>
                </pt>
                <pt idx="514">
                  <v>31.595</v>
                </pt>
                <pt idx="515">
                  <v>31.565</v>
                </pt>
                <pt idx="516">
                  <v>31.495</v>
                </pt>
                <pt idx="517">
                  <v>31.48</v>
                </pt>
                <pt idx="518">
                  <v>31.46</v>
                </pt>
                <pt idx="519">
                  <v>31.46</v>
                </pt>
                <pt idx="520">
                  <v>31.46</v>
                </pt>
                <pt idx="521">
                  <v>31.485</v>
                </pt>
                <pt idx="522">
                  <v>31.48</v>
                </pt>
                <pt idx="523">
                  <v>31.45</v>
                </pt>
                <pt idx="524">
                  <v>31.385</v>
                </pt>
                <pt idx="525">
                  <v>31.53</v>
                </pt>
                <pt idx="526">
                  <v>31.54</v>
                </pt>
                <pt idx="527">
                  <v>31.57</v>
                </pt>
                <pt idx="528">
                  <v>31.55</v>
                </pt>
                <pt idx="529">
                  <v>31.575</v>
                </pt>
                <pt idx="530">
                  <v>31.495</v>
                </pt>
                <pt idx="531">
                  <v>31.525</v>
                </pt>
                <pt idx="532">
                  <v>31.53</v>
                </pt>
                <pt idx="533">
                  <v>31.4</v>
                </pt>
                <pt idx="534">
                  <v>31.365</v>
                </pt>
                <pt idx="535">
                  <v>31.34</v>
                </pt>
                <pt idx="536">
                  <v>31.41</v>
                </pt>
                <pt idx="537">
                  <v>31.27</v>
                </pt>
                <pt idx="538">
                  <v>31.29</v>
                </pt>
                <pt idx="539">
                  <v>31.235</v>
                </pt>
                <pt idx="540">
                  <v>31.225</v>
                </pt>
                <pt idx="541">
                  <v>31.11</v>
                </pt>
                <pt idx="542">
                  <v>31.02</v>
                </pt>
                <pt idx="543">
                  <v>30.995</v>
                </pt>
                <pt idx="544">
                  <v>30.825</v>
                </pt>
                <pt idx="545">
                  <v>30.835</v>
                </pt>
                <pt idx="546">
                  <v>30.905</v>
                </pt>
                <pt idx="547">
                  <v>30.96</v>
                </pt>
                <pt idx="548">
                  <v>30.835</v>
                </pt>
                <pt idx="549">
                  <v>30.67</v>
                </pt>
                <pt idx="550">
                  <v>30.66</v>
                </pt>
                <pt idx="551">
                  <v>30.585</v>
                </pt>
                <pt idx="552">
                  <v>30.645</v>
                </pt>
                <pt idx="553">
                  <v>30.485</v>
                </pt>
                <pt idx="554">
                  <v>30.67</v>
                </pt>
                <pt idx="555">
                  <v>30.83</v>
                </pt>
                <pt idx="556">
                  <v>30.915</v>
                </pt>
                <pt idx="557">
                  <v>30.985</v>
                </pt>
                <pt idx="558">
                  <v>30.935</v>
                </pt>
                <pt idx="559">
                  <v>30.83</v>
                </pt>
                <pt idx="560">
                  <v>30.75</v>
                </pt>
                <pt idx="561">
                  <v>30.715</v>
                </pt>
                <pt idx="562">
                  <v>30.735</v>
                </pt>
                <pt idx="563">
                  <v>30.74</v>
                </pt>
                <pt idx="564">
                  <v>30.67</v>
                </pt>
                <pt idx="565">
                  <v>30.67</v>
                </pt>
                <pt idx="566">
                  <v>30.625</v>
                </pt>
                <pt idx="567">
                  <v>30.61</v>
                </pt>
                <pt idx="568">
                  <v>30.51</v>
                </pt>
                <pt idx="569">
                  <v>30.495</v>
                </pt>
                <pt idx="570">
                  <v>30.395</v>
                </pt>
                <pt idx="571">
                  <v>30.335</v>
                </pt>
                <pt idx="572">
                  <v>30.3</v>
                </pt>
                <pt idx="573">
                  <v>30.315</v>
                </pt>
                <pt idx="574">
                  <v>30.31</v>
                </pt>
                <pt idx="575">
                  <v>30.3</v>
                </pt>
                <pt idx="576">
                  <v>30.345</v>
                </pt>
                <pt idx="577">
                  <v>30.32</v>
                </pt>
                <pt idx="578">
                  <v>30.355</v>
                </pt>
                <pt idx="579">
                  <v>30.305</v>
                </pt>
                <pt idx="580">
                  <v>30.325</v>
                </pt>
                <pt idx="581">
                  <v>30.29</v>
                </pt>
                <pt idx="582">
                  <v>30.26</v>
                </pt>
                <pt idx="583">
                  <v>30.335</v>
                </pt>
                <pt idx="584">
                  <v>30.35</v>
                </pt>
                <pt idx="585">
                  <v>30.245</v>
                </pt>
                <pt idx="586">
                  <v>30.245</v>
                </pt>
                <pt idx="587">
                  <v>30.345</v>
                </pt>
                <pt idx="588">
                  <v>30.385</v>
                </pt>
                <pt idx="589">
                  <v>30.395</v>
                </pt>
                <pt idx="590">
                  <v>30.35</v>
                </pt>
                <pt idx="591">
                  <v>30.28</v>
                </pt>
                <pt idx="592">
                  <v>30.275</v>
                </pt>
                <pt idx="593">
                  <v>30.365</v>
                </pt>
                <pt idx="594">
                  <v>30.415</v>
                </pt>
                <pt idx="595">
                  <v>30.405</v>
                </pt>
                <pt idx="596">
                  <v>30.405</v>
                </pt>
                <pt idx="597">
                  <v>30.35</v>
                </pt>
                <pt idx="598">
                  <v>30.33</v>
                </pt>
                <pt idx="599">
                  <v>30.325</v>
                </pt>
                <pt idx="600">
                  <v>30.295</v>
                </pt>
                <pt idx="601">
                  <v>30.275</v>
                </pt>
                <pt idx="602">
                  <v>30.235</v>
                </pt>
                <pt idx="603">
                  <v>30.27</v>
                </pt>
                <pt idx="604">
                  <v>30.345</v>
                </pt>
                <pt idx="605">
                  <v>30.375</v>
                </pt>
                <pt idx="606">
                  <v>30.34</v>
                </pt>
                <pt idx="607">
                  <v>30.305</v>
                </pt>
              </numCache>
            </numRef>
          </val>
          <smooth val="0"/>
        </ser>
        <ser>
          <idx val="1"/>
          <order val="1"/>
          <tx>
            <strRef>
              <f>匯率!$K$2</f>
              <strCache>
                <ptCount val="1"/>
                <pt idx="0">
                  <v>現鈔賣出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匯率!$I$3:$I$610</f>
              <numCache>
                <formatCode>m/d/yyyy</formatCode>
                <ptCount val="608"/>
                <pt idx="0">
                  <v>46057</v>
                </pt>
                <pt idx="1">
                  <v>46056</v>
                </pt>
                <pt idx="2">
                  <v>46055</v>
                </pt>
                <pt idx="3">
                  <v>46052</v>
                </pt>
                <pt idx="4">
                  <v>46051</v>
                </pt>
                <pt idx="5">
                  <v>46050</v>
                </pt>
                <pt idx="6">
                  <v>46049</v>
                </pt>
                <pt idx="7">
                  <v>46048</v>
                </pt>
                <pt idx="8">
                  <v>46045</v>
                </pt>
                <pt idx="9">
                  <v>46044</v>
                </pt>
                <pt idx="10">
                  <v>46043</v>
                </pt>
                <pt idx="11">
                  <v>46042</v>
                </pt>
                <pt idx="12">
                  <v>46041</v>
                </pt>
                <pt idx="13">
                  <v>46038</v>
                </pt>
                <pt idx="14">
                  <v>46037</v>
                </pt>
                <pt idx="15">
                  <v>46036</v>
                </pt>
                <pt idx="16">
                  <v>46035</v>
                </pt>
                <pt idx="17">
                  <v>46034</v>
                </pt>
                <pt idx="18">
                  <v>46031</v>
                </pt>
                <pt idx="19">
                  <v>46030</v>
                </pt>
                <pt idx="20">
                  <v>46029</v>
                </pt>
                <pt idx="21">
                  <v>46028</v>
                </pt>
                <pt idx="22">
                  <v>46027</v>
                </pt>
                <pt idx="23">
                  <v>46024</v>
                </pt>
                <pt idx="24">
                  <v>46022</v>
                </pt>
                <pt idx="25">
                  <v>46021</v>
                </pt>
                <pt idx="26">
                  <v>46020</v>
                </pt>
                <pt idx="27">
                  <v>46017</v>
                </pt>
                <pt idx="28">
                  <v>46015</v>
                </pt>
                <pt idx="29">
                  <v>46014</v>
                </pt>
                <pt idx="30">
                  <v>46013</v>
                </pt>
                <pt idx="31">
                  <v>46010</v>
                </pt>
                <pt idx="32">
                  <v>46009</v>
                </pt>
                <pt idx="33">
                  <v>46008</v>
                </pt>
                <pt idx="34">
                  <v>46007</v>
                </pt>
                <pt idx="35">
                  <v>46006</v>
                </pt>
                <pt idx="36">
                  <v>46003</v>
                </pt>
                <pt idx="37">
                  <v>46002</v>
                </pt>
                <pt idx="38">
                  <v>46001</v>
                </pt>
                <pt idx="39">
                  <v>46000</v>
                </pt>
                <pt idx="40">
                  <v>45999</v>
                </pt>
                <pt idx="41">
                  <v>45996</v>
                </pt>
                <pt idx="42">
                  <v>45995</v>
                </pt>
                <pt idx="43">
                  <v>45994</v>
                </pt>
                <pt idx="44">
                  <v>45993</v>
                </pt>
                <pt idx="45">
                  <v>45992</v>
                </pt>
                <pt idx="46">
                  <v>45989</v>
                </pt>
                <pt idx="47">
                  <v>45988</v>
                </pt>
                <pt idx="48">
                  <v>45987</v>
                </pt>
                <pt idx="49">
                  <v>45986</v>
                </pt>
                <pt idx="50">
                  <v>45985</v>
                </pt>
                <pt idx="51">
                  <v>45982</v>
                </pt>
                <pt idx="52">
                  <v>45981</v>
                </pt>
                <pt idx="53">
                  <v>45980</v>
                </pt>
                <pt idx="54">
                  <v>45979</v>
                </pt>
                <pt idx="55">
                  <v>45978</v>
                </pt>
                <pt idx="56">
                  <v>45975</v>
                </pt>
                <pt idx="57">
                  <v>45974</v>
                </pt>
                <pt idx="58">
                  <v>45973</v>
                </pt>
                <pt idx="59">
                  <v>45972</v>
                </pt>
                <pt idx="60">
                  <v>45971</v>
                </pt>
                <pt idx="61">
                  <v>45968</v>
                </pt>
                <pt idx="62">
                  <v>45967</v>
                </pt>
                <pt idx="63">
                  <v>45966</v>
                </pt>
                <pt idx="64">
                  <v>45965</v>
                </pt>
                <pt idx="65">
                  <v>45964</v>
                </pt>
                <pt idx="66">
                  <v>45961</v>
                </pt>
                <pt idx="67">
                  <v>45960</v>
                </pt>
                <pt idx="68">
                  <v>45959</v>
                </pt>
                <pt idx="69">
                  <v>45958</v>
                </pt>
                <pt idx="70">
                  <v>45957</v>
                </pt>
                <pt idx="71">
                  <v>45953</v>
                </pt>
                <pt idx="72">
                  <v>45952</v>
                </pt>
                <pt idx="73">
                  <v>45951</v>
                </pt>
                <pt idx="74">
                  <v>45950</v>
                </pt>
                <pt idx="75">
                  <v>45947</v>
                </pt>
                <pt idx="76">
                  <v>45946</v>
                </pt>
                <pt idx="77">
                  <v>45945</v>
                </pt>
                <pt idx="78">
                  <v>45944</v>
                </pt>
                <pt idx="79">
                  <v>45943</v>
                </pt>
                <pt idx="80">
                  <v>45939</v>
                </pt>
                <pt idx="81">
                  <v>45938</v>
                </pt>
                <pt idx="82">
                  <v>45937</v>
                </pt>
                <pt idx="83">
                  <v>45933</v>
                </pt>
                <pt idx="84">
                  <v>45932</v>
                </pt>
                <pt idx="85">
                  <v>45931</v>
                </pt>
                <pt idx="86">
                  <v>45930</v>
                </pt>
                <pt idx="87">
                  <v>45926</v>
                </pt>
                <pt idx="88">
                  <v>45925</v>
                </pt>
                <pt idx="89">
                  <v>45924</v>
                </pt>
                <pt idx="90">
                  <v>45923</v>
                </pt>
                <pt idx="91">
                  <v>45922</v>
                </pt>
                <pt idx="92">
                  <v>45919</v>
                </pt>
                <pt idx="93">
                  <v>45918</v>
                </pt>
                <pt idx="94">
                  <v>45917</v>
                </pt>
                <pt idx="95">
                  <v>45916</v>
                </pt>
                <pt idx="96">
                  <v>45915</v>
                </pt>
                <pt idx="97">
                  <v>45912</v>
                </pt>
                <pt idx="98">
                  <v>45911</v>
                </pt>
                <pt idx="99">
                  <v>45910</v>
                </pt>
                <pt idx="100">
                  <v>45909</v>
                </pt>
                <pt idx="101">
                  <v>45908</v>
                </pt>
                <pt idx="102">
                  <v>45905</v>
                </pt>
                <pt idx="103">
                  <v>45904</v>
                </pt>
                <pt idx="104">
                  <v>45903</v>
                </pt>
                <pt idx="105">
                  <v>45902</v>
                </pt>
                <pt idx="106">
                  <v>45901</v>
                </pt>
                <pt idx="107">
                  <v>45898</v>
                </pt>
                <pt idx="108">
                  <v>45897</v>
                </pt>
                <pt idx="109">
                  <v>45896</v>
                </pt>
                <pt idx="110">
                  <v>45895</v>
                </pt>
                <pt idx="111">
                  <v>45894</v>
                </pt>
                <pt idx="112">
                  <v>45891</v>
                </pt>
                <pt idx="113">
                  <v>45890</v>
                </pt>
                <pt idx="114">
                  <v>45889</v>
                </pt>
                <pt idx="115">
                  <v>45888</v>
                </pt>
                <pt idx="116">
                  <v>45887</v>
                </pt>
                <pt idx="117">
                  <v>45884</v>
                </pt>
                <pt idx="118">
                  <v>45883</v>
                </pt>
                <pt idx="119">
                  <v>45882</v>
                </pt>
                <pt idx="120">
                  <v>45763</v>
                </pt>
                <pt idx="121">
                  <v>45762</v>
                </pt>
                <pt idx="122">
                  <v>45761</v>
                </pt>
                <pt idx="123">
                  <v>45758</v>
                </pt>
                <pt idx="124">
                  <v>45757</v>
                </pt>
                <pt idx="125">
                  <v>45756</v>
                </pt>
                <pt idx="126">
                  <v>45755</v>
                </pt>
                <pt idx="127">
                  <v>45754</v>
                </pt>
                <pt idx="128">
                  <v>45749</v>
                </pt>
                <pt idx="129">
                  <v>45748</v>
                </pt>
                <pt idx="130">
                  <v>45747</v>
                </pt>
                <pt idx="131">
                  <v>45744</v>
                </pt>
                <pt idx="132">
                  <v>45743</v>
                </pt>
                <pt idx="133">
                  <v>45742</v>
                </pt>
                <pt idx="134">
                  <v>45741</v>
                </pt>
                <pt idx="135">
                  <v>45740</v>
                </pt>
                <pt idx="136">
                  <v>45737</v>
                </pt>
                <pt idx="137">
                  <v>45736</v>
                </pt>
                <pt idx="138">
                  <v>45735</v>
                </pt>
                <pt idx="139">
                  <v>45734</v>
                </pt>
                <pt idx="140">
                  <v>45733</v>
                </pt>
                <pt idx="141">
                  <v>45730</v>
                </pt>
                <pt idx="142">
                  <v>45729</v>
                </pt>
                <pt idx="143">
                  <v>45728</v>
                </pt>
                <pt idx="144">
                  <v>45727</v>
                </pt>
                <pt idx="145">
                  <v>45726</v>
                </pt>
                <pt idx="146">
                  <v>45723</v>
                </pt>
                <pt idx="147">
                  <v>45722</v>
                </pt>
                <pt idx="148">
                  <v>45721</v>
                </pt>
                <pt idx="149">
                  <v>45720</v>
                </pt>
                <pt idx="150">
                  <v>45719</v>
                </pt>
                <pt idx="151">
                  <v>45715</v>
                </pt>
                <pt idx="152">
                  <v>45714</v>
                </pt>
                <pt idx="153">
                  <v>45713</v>
                </pt>
                <pt idx="154">
                  <v>45712</v>
                </pt>
                <pt idx="155">
                  <v>45709</v>
                </pt>
                <pt idx="156">
                  <v>45708</v>
                </pt>
                <pt idx="157">
                  <v>45707</v>
                </pt>
                <pt idx="158">
                  <v>45706</v>
                </pt>
                <pt idx="159">
                  <v>45705</v>
                </pt>
                <pt idx="160">
                  <v>45702</v>
                </pt>
                <pt idx="161">
                  <v>45701</v>
                </pt>
                <pt idx="162">
                  <v>45700</v>
                </pt>
                <pt idx="163">
                  <v>45699</v>
                </pt>
                <pt idx="164">
                  <v>45698</v>
                </pt>
                <pt idx="165">
                  <v>45696</v>
                </pt>
                <pt idx="166">
                  <v>45695</v>
                </pt>
                <pt idx="167">
                  <v>45694</v>
                </pt>
                <pt idx="168">
                  <v>45693</v>
                </pt>
                <pt idx="169">
                  <v>45692</v>
                </pt>
                <pt idx="170">
                  <v>45691</v>
                </pt>
                <pt idx="171">
                  <v>45681</v>
                </pt>
                <pt idx="172">
                  <v>45680</v>
                </pt>
                <pt idx="173">
                  <v>45679</v>
                </pt>
                <pt idx="174">
                  <v>45678</v>
                </pt>
                <pt idx="175">
                  <v>45677</v>
                </pt>
                <pt idx="176">
                  <v>45674</v>
                </pt>
                <pt idx="177">
                  <v>45673</v>
                </pt>
                <pt idx="178">
                  <v>45672</v>
                </pt>
                <pt idx="179">
                  <v>45671</v>
                </pt>
                <pt idx="180">
                  <v>45670</v>
                </pt>
                <pt idx="181">
                  <v>45667</v>
                </pt>
                <pt idx="182">
                  <v>45666</v>
                </pt>
                <pt idx="183">
                  <v>45665</v>
                </pt>
                <pt idx="184">
                  <v>45664</v>
                </pt>
                <pt idx="185">
                  <v>45663</v>
                </pt>
                <pt idx="186">
                  <v>45660</v>
                </pt>
                <pt idx="187">
                  <v>45659</v>
                </pt>
                <pt idx="188">
                  <v>45657</v>
                </pt>
                <pt idx="189">
                  <v>45656</v>
                </pt>
                <pt idx="190">
                  <v>45653</v>
                </pt>
                <pt idx="191">
                  <v>45652</v>
                </pt>
                <pt idx="192">
                  <v>45651</v>
                </pt>
                <pt idx="193">
                  <v>45650</v>
                </pt>
                <pt idx="194">
                  <v>45649</v>
                </pt>
                <pt idx="195">
                  <v>45646</v>
                </pt>
                <pt idx="196">
                  <v>45645</v>
                </pt>
                <pt idx="197">
                  <v>45644</v>
                </pt>
                <pt idx="198">
                  <v>45643</v>
                </pt>
                <pt idx="199">
                  <v>45642</v>
                </pt>
                <pt idx="200">
                  <v>45639</v>
                </pt>
                <pt idx="201">
                  <v>45638</v>
                </pt>
                <pt idx="202">
                  <v>45637</v>
                </pt>
                <pt idx="203">
                  <v>45636</v>
                </pt>
                <pt idx="204">
                  <v>45635</v>
                </pt>
                <pt idx="205">
                  <v>45632</v>
                </pt>
                <pt idx="206">
                  <v>45631</v>
                </pt>
                <pt idx="207">
                  <v>45630</v>
                </pt>
                <pt idx="208">
                  <v>45629</v>
                </pt>
                <pt idx="209">
                  <v>45628</v>
                </pt>
                <pt idx="210">
                  <v>45625</v>
                </pt>
                <pt idx="211">
                  <v>45624</v>
                </pt>
                <pt idx="212">
                  <v>45623</v>
                </pt>
                <pt idx="213">
                  <v>45622</v>
                </pt>
                <pt idx="214">
                  <v>45621</v>
                </pt>
                <pt idx="215">
                  <v>45618</v>
                </pt>
                <pt idx="216">
                  <v>45617</v>
                </pt>
                <pt idx="217">
                  <v>45616</v>
                </pt>
                <pt idx="218">
                  <v>45615</v>
                </pt>
                <pt idx="219">
                  <v>45614</v>
                </pt>
                <pt idx="220">
                  <v>45611</v>
                </pt>
                <pt idx="221">
                  <v>45610</v>
                </pt>
                <pt idx="222">
                  <v>45609</v>
                </pt>
                <pt idx="223">
                  <v>45608</v>
                </pt>
                <pt idx="224">
                  <v>45607</v>
                </pt>
                <pt idx="225">
                  <v>45604</v>
                </pt>
                <pt idx="226">
                  <v>45603</v>
                </pt>
                <pt idx="227">
                  <v>45602</v>
                </pt>
                <pt idx="228">
                  <v>45601</v>
                </pt>
                <pt idx="229">
                  <v>45600</v>
                </pt>
                <pt idx="230">
                  <v>45597</v>
                </pt>
                <pt idx="231">
                  <v>45596</v>
                </pt>
                <pt idx="232">
                  <v>45595</v>
                </pt>
                <pt idx="233">
                  <v>45594</v>
                </pt>
                <pt idx="234">
                  <v>45593</v>
                </pt>
                <pt idx="235">
                  <v>45590</v>
                </pt>
                <pt idx="236">
                  <v>45589</v>
                </pt>
                <pt idx="237">
                  <v>45588</v>
                </pt>
                <pt idx="238">
                  <v>45587</v>
                </pt>
                <pt idx="239">
                  <v>45586</v>
                </pt>
                <pt idx="240">
                  <v>45583</v>
                </pt>
                <pt idx="241">
                  <v>45582</v>
                </pt>
                <pt idx="242">
                  <v>45581</v>
                </pt>
                <pt idx="243">
                  <v>45580</v>
                </pt>
                <pt idx="244">
                  <v>45579</v>
                </pt>
                <pt idx="245">
                  <v>45576</v>
                </pt>
                <pt idx="246">
                  <v>45574</v>
                </pt>
                <pt idx="247">
                  <v>45573</v>
                </pt>
                <pt idx="248">
                  <v>45572</v>
                </pt>
                <pt idx="249">
                  <v>45569</v>
                </pt>
                <pt idx="250">
                  <v>45566</v>
                </pt>
                <pt idx="251">
                  <v>45565</v>
                </pt>
                <pt idx="252">
                  <v>45562</v>
                </pt>
                <pt idx="253">
                  <v>45561</v>
                </pt>
                <pt idx="254">
                  <v>45560</v>
                </pt>
                <pt idx="255">
                  <v>45559</v>
                </pt>
                <pt idx="256">
                  <v>45558</v>
                </pt>
                <pt idx="257">
                  <v>45555</v>
                </pt>
                <pt idx="258">
                  <v>45554</v>
                </pt>
                <pt idx="259">
                  <v>45553</v>
                </pt>
                <pt idx="260">
                  <v>45551</v>
                </pt>
                <pt idx="261">
                  <v>45548</v>
                </pt>
                <pt idx="262">
                  <v>45547</v>
                </pt>
                <pt idx="263">
                  <v>45546</v>
                </pt>
                <pt idx="264">
                  <v>45545</v>
                </pt>
                <pt idx="265">
                  <v>45544</v>
                </pt>
                <pt idx="266">
                  <v>45541</v>
                </pt>
                <pt idx="267">
                  <v>45540</v>
                </pt>
                <pt idx="268">
                  <v>45539</v>
                </pt>
                <pt idx="269">
                  <v>45538</v>
                </pt>
                <pt idx="270">
                  <v>45537</v>
                </pt>
                <pt idx="271">
                  <v>45534</v>
                </pt>
                <pt idx="272">
                  <v>45533</v>
                </pt>
                <pt idx="273">
                  <v>45532</v>
                </pt>
                <pt idx="274">
                  <v>45531</v>
                </pt>
                <pt idx="275">
                  <v>45530</v>
                </pt>
                <pt idx="276">
                  <v>45527</v>
                </pt>
                <pt idx="277">
                  <v>45526</v>
                </pt>
                <pt idx="278">
                  <v>45525</v>
                </pt>
                <pt idx="279">
                  <v>45524</v>
                </pt>
                <pt idx="280">
                  <v>45523</v>
                </pt>
                <pt idx="281">
                  <v>45520</v>
                </pt>
                <pt idx="282">
                  <v>45519</v>
                </pt>
                <pt idx="283">
                  <v>45518</v>
                </pt>
                <pt idx="284">
                  <v>45517</v>
                </pt>
                <pt idx="285">
                  <v>45516</v>
                </pt>
                <pt idx="286">
                  <v>45513</v>
                </pt>
                <pt idx="287">
                  <v>45512</v>
                </pt>
                <pt idx="288">
                  <v>45511</v>
                </pt>
                <pt idx="289">
                  <v>45510</v>
                </pt>
                <pt idx="290">
                  <v>45509</v>
                </pt>
                <pt idx="291">
                  <v>45506</v>
                </pt>
                <pt idx="292">
                  <v>45505</v>
                </pt>
                <pt idx="293">
                  <v>45504</v>
                </pt>
                <pt idx="294">
                  <v>45503</v>
                </pt>
                <pt idx="295">
                  <v>45502</v>
                </pt>
                <pt idx="296">
                  <v>45499</v>
                </pt>
                <pt idx="297">
                  <v>45497</v>
                </pt>
                <pt idx="298">
                  <v>45496</v>
                </pt>
                <pt idx="299">
                  <v>45495</v>
                </pt>
                <pt idx="300">
                  <v>45492</v>
                </pt>
                <pt idx="301">
                  <v>45491</v>
                </pt>
                <pt idx="302">
                  <v>45490</v>
                </pt>
                <pt idx="303">
                  <v>45489</v>
                </pt>
                <pt idx="304">
                  <v>45488</v>
                </pt>
                <pt idx="305">
                  <v>45485</v>
                </pt>
                <pt idx="306">
                  <v>45484</v>
                </pt>
                <pt idx="307">
                  <v>45483</v>
                </pt>
                <pt idx="308">
                  <v>45482</v>
                </pt>
                <pt idx="309">
                  <v>45481</v>
                </pt>
                <pt idx="310">
                  <v>45478</v>
                </pt>
                <pt idx="311">
                  <v>45477</v>
                </pt>
                <pt idx="312">
                  <v>45476</v>
                </pt>
                <pt idx="313">
                  <v>45475</v>
                </pt>
                <pt idx="314">
                  <v>45474</v>
                </pt>
                <pt idx="315">
                  <v>45471</v>
                </pt>
                <pt idx="316">
                  <v>45470</v>
                </pt>
                <pt idx="317">
                  <v>45469</v>
                </pt>
                <pt idx="318">
                  <v>45468</v>
                </pt>
                <pt idx="319">
                  <v>45467</v>
                </pt>
                <pt idx="320">
                  <v>45464</v>
                </pt>
                <pt idx="321">
                  <v>45463</v>
                </pt>
                <pt idx="322">
                  <v>45462</v>
                </pt>
                <pt idx="323">
                  <v>45461</v>
                </pt>
                <pt idx="324">
                  <v>45460</v>
                </pt>
                <pt idx="325">
                  <v>45457</v>
                </pt>
                <pt idx="326">
                  <v>45456</v>
                </pt>
                <pt idx="327">
                  <v>45455</v>
                </pt>
                <pt idx="328">
                  <v>45454</v>
                </pt>
                <pt idx="329">
                  <v>45450</v>
                </pt>
                <pt idx="330">
                  <v>45449</v>
                </pt>
                <pt idx="331">
                  <v>45448</v>
                </pt>
                <pt idx="332">
                  <v>45447</v>
                </pt>
                <pt idx="333">
                  <v>45446</v>
                </pt>
                <pt idx="334">
                  <v>45443</v>
                </pt>
                <pt idx="335">
                  <v>45442</v>
                </pt>
                <pt idx="336">
                  <v>45441</v>
                </pt>
                <pt idx="337">
                  <v>45440</v>
                </pt>
                <pt idx="338">
                  <v>45439</v>
                </pt>
                <pt idx="339">
                  <v>45436</v>
                </pt>
                <pt idx="340">
                  <v>45435</v>
                </pt>
                <pt idx="341">
                  <v>45434</v>
                </pt>
                <pt idx="342">
                  <v>45433</v>
                </pt>
                <pt idx="343">
                  <v>45432</v>
                </pt>
                <pt idx="344">
                  <v>45429</v>
                </pt>
                <pt idx="345">
                  <v>45428</v>
                </pt>
                <pt idx="346">
                  <v>45427</v>
                </pt>
                <pt idx="347">
                  <v>45426</v>
                </pt>
                <pt idx="348">
                  <v>45425</v>
                </pt>
                <pt idx="349">
                  <v>45422</v>
                </pt>
                <pt idx="350">
                  <v>45421</v>
                </pt>
                <pt idx="351">
                  <v>45420</v>
                </pt>
                <pt idx="352">
                  <v>45419</v>
                </pt>
                <pt idx="353">
                  <v>45418</v>
                </pt>
                <pt idx="354">
                  <v>45415</v>
                </pt>
                <pt idx="355">
                  <v>45414</v>
                </pt>
                <pt idx="356">
                  <v>45412</v>
                </pt>
                <pt idx="357">
                  <v>45411</v>
                </pt>
                <pt idx="358">
                  <v>45408</v>
                </pt>
                <pt idx="359">
                  <v>45407</v>
                </pt>
                <pt idx="360">
                  <v>45406</v>
                </pt>
                <pt idx="361">
                  <v>45405</v>
                </pt>
                <pt idx="362">
                  <v>45404</v>
                </pt>
                <pt idx="363">
                  <v>45401</v>
                </pt>
                <pt idx="364">
                  <v>45400</v>
                </pt>
                <pt idx="365">
                  <v>45399</v>
                </pt>
                <pt idx="366">
                  <v>45398</v>
                </pt>
                <pt idx="367">
                  <v>45397</v>
                </pt>
                <pt idx="368">
                  <v>45394</v>
                </pt>
                <pt idx="369">
                  <v>45393</v>
                </pt>
                <pt idx="370">
                  <v>45392</v>
                </pt>
                <pt idx="371">
                  <v>45391</v>
                </pt>
                <pt idx="372">
                  <v>45390</v>
                </pt>
                <pt idx="373">
                  <v>45385</v>
                </pt>
                <pt idx="374">
                  <v>45384</v>
                </pt>
                <pt idx="375">
                  <v>45383</v>
                </pt>
                <pt idx="376">
                  <v>45380</v>
                </pt>
                <pt idx="377">
                  <v>45379</v>
                </pt>
                <pt idx="378">
                  <v>45378</v>
                </pt>
                <pt idx="379">
                  <v>45377</v>
                </pt>
                <pt idx="380">
                  <v>45376</v>
                </pt>
                <pt idx="381">
                  <v>45373</v>
                </pt>
                <pt idx="382">
                  <v>45372</v>
                </pt>
                <pt idx="383">
                  <v>45371</v>
                </pt>
                <pt idx="384">
                  <v>45370</v>
                </pt>
                <pt idx="385">
                  <v>45369</v>
                </pt>
                <pt idx="386">
                  <v>45366</v>
                </pt>
                <pt idx="387">
                  <v>45365</v>
                </pt>
                <pt idx="388">
                  <v>45364</v>
                </pt>
                <pt idx="389">
                  <v>45363</v>
                </pt>
                <pt idx="390">
                  <v>45362</v>
                </pt>
                <pt idx="391">
                  <v>45359</v>
                </pt>
                <pt idx="392">
                  <v>45358</v>
                </pt>
                <pt idx="393">
                  <v>45357</v>
                </pt>
                <pt idx="394">
                  <v>45356</v>
                </pt>
                <pt idx="395">
                  <v>45355</v>
                </pt>
                <pt idx="396">
                  <v>45352</v>
                </pt>
                <pt idx="397">
                  <v>45351</v>
                </pt>
                <pt idx="398">
                  <v>45349</v>
                </pt>
                <pt idx="399">
                  <v>45348</v>
                </pt>
                <pt idx="400">
                  <v>45345</v>
                </pt>
                <pt idx="401">
                  <v>45344</v>
                </pt>
                <pt idx="402">
                  <v>45343</v>
                </pt>
                <pt idx="403">
                  <v>45342</v>
                </pt>
                <pt idx="404">
                  <v>45341</v>
                </pt>
                <pt idx="405">
                  <v>45339</v>
                </pt>
                <pt idx="406">
                  <v>45338</v>
                </pt>
                <pt idx="407">
                  <v>45337</v>
                </pt>
                <pt idx="408">
                  <v>45329</v>
                </pt>
                <pt idx="409">
                  <v>45328</v>
                </pt>
                <pt idx="410">
                  <v>45327</v>
                </pt>
                <pt idx="411">
                  <v>45324</v>
                </pt>
                <pt idx="412">
                  <v>45323</v>
                </pt>
                <pt idx="413">
                  <v>45322</v>
                </pt>
                <pt idx="414">
                  <v>45321</v>
                </pt>
                <pt idx="415">
                  <v>45320</v>
                </pt>
                <pt idx="416">
                  <v>45317</v>
                </pt>
                <pt idx="417">
                  <v>45316</v>
                </pt>
                <pt idx="418">
                  <v>45315</v>
                </pt>
                <pt idx="419">
                  <v>45314</v>
                </pt>
                <pt idx="420">
                  <v>45313</v>
                </pt>
                <pt idx="421">
                  <v>45310</v>
                </pt>
                <pt idx="422">
                  <v>45309</v>
                </pt>
                <pt idx="423">
                  <v>45308</v>
                </pt>
                <pt idx="424">
                  <v>45307</v>
                </pt>
                <pt idx="425">
                  <v>45306</v>
                </pt>
                <pt idx="426">
                  <v>45303</v>
                </pt>
                <pt idx="427">
                  <v>45302</v>
                </pt>
                <pt idx="428">
                  <v>45301</v>
                </pt>
                <pt idx="429">
                  <v>45300</v>
                </pt>
                <pt idx="430">
                  <v>45299</v>
                </pt>
                <pt idx="431">
                  <v>45296</v>
                </pt>
                <pt idx="432">
                  <v>45295</v>
                </pt>
                <pt idx="433">
                  <v>45294</v>
                </pt>
                <pt idx="434">
                  <v>45293</v>
                </pt>
                <pt idx="435">
                  <v>45289</v>
                </pt>
                <pt idx="436">
                  <v>45288</v>
                </pt>
                <pt idx="437">
                  <v>45287</v>
                </pt>
                <pt idx="438">
                  <v>45286</v>
                </pt>
                <pt idx="439">
                  <v>45285</v>
                </pt>
                <pt idx="440">
                  <v>45282</v>
                </pt>
                <pt idx="441">
                  <v>45281</v>
                </pt>
                <pt idx="442">
                  <v>45280</v>
                </pt>
                <pt idx="443">
                  <v>45279</v>
                </pt>
                <pt idx="444">
                  <v>45278</v>
                </pt>
                <pt idx="445">
                  <v>45275</v>
                </pt>
                <pt idx="446">
                  <v>45274</v>
                </pt>
                <pt idx="447">
                  <v>45273</v>
                </pt>
                <pt idx="448">
                  <v>45272</v>
                </pt>
                <pt idx="449">
                  <v>45271</v>
                </pt>
                <pt idx="450">
                  <v>45268</v>
                </pt>
                <pt idx="451">
                  <v>45267</v>
                </pt>
                <pt idx="452">
                  <v>45266</v>
                </pt>
                <pt idx="453">
                  <v>45265</v>
                </pt>
                <pt idx="454">
                  <v>45264</v>
                </pt>
                <pt idx="455">
                  <v>45261</v>
                </pt>
                <pt idx="456">
                  <v>45260</v>
                </pt>
                <pt idx="457">
                  <v>45259</v>
                </pt>
                <pt idx="458">
                  <v>45258</v>
                </pt>
                <pt idx="459">
                  <v>45257</v>
                </pt>
                <pt idx="460">
                  <v>45254</v>
                </pt>
                <pt idx="461">
                  <v>45253</v>
                </pt>
                <pt idx="462">
                  <v>45252</v>
                </pt>
                <pt idx="463">
                  <v>45251</v>
                </pt>
                <pt idx="464">
                  <v>45250</v>
                </pt>
                <pt idx="465">
                  <v>45247</v>
                </pt>
                <pt idx="466">
                  <v>45246</v>
                </pt>
                <pt idx="467">
                  <v>45245</v>
                </pt>
                <pt idx="468">
                  <v>45244</v>
                </pt>
                <pt idx="469">
                  <v>45243</v>
                </pt>
                <pt idx="470">
                  <v>45240</v>
                </pt>
                <pt idx="471">
                  <v>45239</v>
                </pt>
                <pt idx="472">
                  <v>45238</v>
                </pt>
                <pt idx="473">
                  <v>45237</v>
                </pt>
                <pt idx="474">
                  <v>45236</v>
                </pt>
                <pt idx="475">
                  <v>45233</v>
                </pt>
                <pt idx="476">
                  <v>45232</v>
                </pt>
                <pt idx="477">
                  <v>45231</v>
                </pt>
                <pt idx="478">
                  <v>45230</v>
                </pt>
                <pt idx="479">
                  <v>45229</v>
                </pt>
                <pt idx="480">
                  <v>45226</v>
                </pt>
                <pt idx="481">
                  <v>45225</v>
                </pt>
                <pt idx="482">
                  <v>45224</v>
                </pt>
                <pt idx="483">
                  <v>45223</v>
                </pt>
                <pt idx="484">
                  <v>45222</v>
                </pt>
                <pt idx="485">
                  <v>45219</v>
                </pt>
                <pt idx="486">
                  <v>45218</v>
                </pt>
                <pt idx="487">
                  <v>45217</v>
                </pt>
                <pt idx="488">
                  <v>45216</v>
                </pt>
                <pt idx="489">
                  <v>45215</v>
                </pt>
                <pt idx="490">
                  <v>45212</v>
                </pt>
                <pt idx="491">
                  <v>45211</v>
                </pt>
                <pt idx="492">
                  <v>45210</v>
                </pt>
                <pt idx="493">
                  <v>45205</v>
                </pt>
                <pt idx="494">
                  <v>45204</v>
                </pt>
                <pt idx="495">
                  <v>45203</v>
                </pt>
                <pt idx="496">
                  <v>45202</v>
                </pt>
                <pt idx="497">
                  <v>45201</v>
                </pt>
                <pt idx="498">
                  <v>45197</v>
                </pt>
                <pt idx="499">
                  <v>45196</v>
                </pt>
                <pt idx="500">
                  <v>45195</v>
                </pt>
                <pt idx="501">
                  <v>45194</v>
                </pt>
                <pt idx="502">
                  <v>45192</v>
                </pt>
                <pt idx="503">
                  <v>45191</v>
                </pt>
                <pt idx="504">
                  <v>45190</v>
                </pt>
                <pt idx="505">
                  <v>45189</v>
                </pt>
                <pt idx="506">
                  <v>45188</v>
                </pt>
                <pt idx="507">
                  <v>45187</v>
                </pt>
                <pt idx="508">
                  <v>45184</v>
                </pt>
                <pt idx="509">
                  <v>45183</v>
                </pt>
                <pt idx="510">
                  <v>45182</v>
                </pt>
                <pt idx="511">
                  <v>45181</v>
                </pt>
                <pt idx="512">
                  <v>45180</v>
                </pt>
                <pt idx="513">
                  <v>45177</v>
                </pt>
                <pt idx="514">
                  <v>45176</v>
                </pt>
                <pt idx="515">
                  <v>45175</v>
                </pt>
                <pt idx="516">
                  <v>45174</v>
                </pt>
                <pt idx="517">
                  <v>45173</v>
                </pt>
                <pt idx="518">
                  <v>45170</v>
                </pt>
                <pt idx="519">
                  <v>45169</v>
                </pt>
                <pt idx="520">
                  <v>45168</v>
                </pt>
                <pt idx="521">
                  <v>45167</v>
                </pt>
                <pt idx="522">
                  <v>45166</v>
                </pt>
                <pt idx="523">
                  <v>45163</v>
                </pt>
                <pt idx="524">
                  <v>45162</v>
                </pt>
                <pt idx="525">
                  <v>45161</v>
                </pt>
                <pt idx="526">
                  <v>45160</v>
                </pt>
                <pt idx="527">
                  <v>45159</v>
                </pt>
                <pt idx="528">
                  <v>45156</v>
                </pt>
                <pt idx="529">
                  <v>45155</v>
                </pt>
                <pt idx="530">
                  <v>45154</v>
                </pt>
                <pt idx="531">
                  <v>45153</v>
                </pt>
                <pt idx="532">
                  <v>45152</v>
                </pt>
                <pt idx="533">
                  <v>45149</v>
                </pt>
                <pt idx="534">
                  <v>45148</v>
                </pt>
                <pt idx="535">
                  <v>45147</v>
                </pt>
                <pt idx="536">
                  <v>45146</v>
                </pt>
                <pt idx="537">
                  <v>45145</v>
                </pt>
                <pt idx="538">
                  <v>45142</v>
                </pt>
                <pt idx="539">
                  <v>45141</v>
                </pt>
                <pt idx="540">
                  <v>45140</v>
                </pt>
                <pt idx="541">
                  <v>45139</v>
                </pt>
                <pt idx="542">
                  <v>45138</v>
                </pt>
                <pt idx="543">
                  <v>45135</v>
                </pt>
                <pt idx="544">
                  <v>45134</v>
                </pt>
                <pt idx="545">
                  <v>45133</v>
                </pt>
                <pt idx="546">
                  <v>45132</v>
                </pt>
                <pt idx="547">
                  <v>45131</v>
                </pt>
                <pt idx="548">
                  <v>45128</v>
                </pt>
                <pt idx="549">
                  <v>45127</v>
                </pt>
                <pt idx="550">
                  <v>45126</v>
                </pt>
                <pt idx="551">
                  <v>45125</v>
                </pt>
                <pt idx="552">
                  <v>45124</v>
                </pt>
                <pt idx="553">
                  <v>45121</v>
                </pt>
                <pt idx="554">
                  <v>45120</v>
                </pt>
                <pt idx="555">
                  <v>45119</v>
                </pt>
                <pt idx="556">
                  <v>45118</v>
                </pt>
                <pt idx="557">
                  <v>45117</v>
                </pt>
                <pt idx="558">
                  <v>45114</v>
                </pt>
                <pt idx="559">
                  <v>45113</v>
                </pt>
                <pt idx="560">
                  <v>45112</v>
                </pt>
                <pt idx="561">
                  <v>45111</v>
                </pt>
                <pt idx="562">
                  <v>45110</v>
                </pt>
                <pt idx="563">
                  <v>45107</v>
                </pt>
                <pt idx="564">
                  <v>45106</v>
                </pt>
                <pt idx="565">
                  <v>45105</v>
                </pt>
                <pt idx="566">
                  <v>45104</v>
                </pt>
                <pt idx="567">
                  <v>45103</v>
                </pt>
                <pt idx="568">
                  <v>45098</v>
                </pt>
                <pt idx="569">
                  <v>45097</v>
                </pt>
                <pt idx="570">
                  <v>45096</v>
                </pt>
                <pt idx="571">
                  <v>45094</v>
                </pt>
                <pt idx="572">
                  <v>45093</v>
                </pt>
                <pt idx="573">
                  <v>45092</v>
                </pt>
                <pt idx="574">
                  <v>45091</v>
                </pt>
                <pt idx="575">
                  <v>45090</v>
                </pt>
                <pt idx="576">
                  <v>45089</v>
                </pt>
                <pt idx="577">
                  <v>45086</v>
                </pt>
                <pt idx="578">
                  <v>45085</v>
                </pt>
                <pt idx="579">
                  <v>45084</v>
                </pt>
                <pt idx="580">
                  <v>45083</v>
                </pt>
                <pt idx="581">
                  <v>45082</v>
                </pt>
                <pt idx="582">
                  <v>45079</v>
                </pt>
                <pt idx="583">
                  <v>45078</v>
                </pt>
                <pt idx="584">
                  <v>45077</v>
                </pt>
                <pt idx="585">
                  <v>45076</v>
                </pt>
                <pt idx="586">
                  <v>45075</v>
                </pt>
                <pt idx="587">
                  <v>45072</v>
                </pt>
                <pt idx="588">
                  <v>45071</v>
                </pt>
                <pt idx="589">
                  <v>45070</v>
                </pt>
                <pt idx="590">
                  <v>45069</v>
                </pt>
                <pt idx="591">
                  <v>45068</v>
                </pt>
                <pt idx="592">
                  <v>45065</v>
                </pt>
                <pt idx="593">
                  <v>45064</v>
                </pt>
                <pt idx="594">
                  <v>45063</v>
                </pt>
                <pt idx="595">
                  <v>45062</v>
                </pt>
                <pt idx="596">
                  <v>45061</v>
                </pt>
                <pt idx="597">
                  <v>45058</v>
                </pt>
                <pt idx="598">
                  <v>45057</v>
                </pt>
                <pt idx="599">
                  <v>45056</v>
                </pt>
                <pt idx="600">
                  <v>45055</v>
                </pt>
                <pt idx="601">
                  <v>45054</v>
                </pt>
                <pt idx="602">
                  <v>45051</v>
                </pt>
                <pt idx="603">
                  <v>45050</v>
                </pt>
                <pt idx="604">
                  <v>45049</v>
                </pt>
                <pt idx="605">
                  <v>45048</v>
                </pt>
                <pt idx="606">
                  <v>45044</v>
                </pt>
                <pt idx="607">
                  <v>45043</v>
                </pt>
              </numCache>
            </numRef>
          </cat>
          <val>
            <numRef>
              <f>匯率!$K$3:$K$610</f>
              <numCache>
                <formatCode>General</formatCode>
                <ptCount val="608"/>
                <pt idx="0">
                  <v>31.835</v>
                </pt>
                <pt idx="1">
                  <v>31.825</v>
                </pt>
                <pt idx="2">
                  <v>31.87</v>
                </pt>
                <pt idx="3">
                  <v>31.735</v>
                </pt>
                <pt idx="4">
                  <v>31.57</v>
                </pt>
                <pt idx="5">
                  <v>31.56</v>
                </pt>
                <pt idx="6">
                  <v>31.7</v>
                </pt>
                <pt idx="7">
                  <v>31.765</v>
                </pt>
                <pt idx="8">
                  <v>31.82</v>
                </pt>
                <pt idx="9">
                  <v>31.87</v>
                </pt>
                <pt idx="10">
                  <v>31.91</v>
                </pt>
                <pt idx="11">
                  <v>31.875</v>
                </pt>
                <pt idx="12">
                  <v>31.865</v>
                </pt>
                <pt idx="13">
                  <v>31.83</v>
                </pt>
                <pt idx="14">
                  <v>31.845</v>
                </pt>
                <pt idx="15">
                  <v>31.9</v>
                </pt>
                <pt idx="16">
                  <v>31.92</v>
                </pt>
                <pt idx="17">
                  <v>31.91</v>
                </pt>
                <pt idx="18">
                  <v>31.87</v>
                </pt>
                <pt idx="19">
                  <v>31.845</v>
                </pt>
                <pt idx="20">
                  <v>31.78</v>
                </pt>
                <pt idx="21">
                  <v>31.79</v>
                </pt>
                <pt idx="22">
                  <v>31.81</v>
                </pt>
                <pt idx="23">
                  <v>31.69</v>
                </pt>
                <pt idx="24">
                  <v>31.7</v>
                </pt>
                <pt idx="25">
                  <v>31.645</v>
                </pt>
                <pt idx="26">
                  <v>31.71</v>
                </pt>
                <pt idx="27">
                  <v>31.715</v>
                </pt>
                <pt idx="28">
                  <v>31.745</v>
                </pt>
                <pt idx="29">
                  <v>31.79</v>
                </pt>
                <pt idx="30">
                  <v>31.8</v>
                </pt>
                <pt idx="31">
                  <v>31.805</v>
                </pt>
                <pt idx="32">
                  <v>31.79</v>
                </pt>
                <pt idx="33">
                  <v>31.805</v>
                </pt>
                <pt idx="34">
                  <v>31.74</v>
                </pt>
                <pt idx="35">
                  <v>31.65</v>
                </pt>
                <pt idx="36">
                  <v>31.43</v>
                </pt>
                <pt idx="37">
                  <v>31.525</v>
                </pt>
                <pt idx="38">
                  <v>31.46</v>
                </pt>
                <pt idx="39">
                  <v>31.465</v>
                </pt>
                <pt idx="40">
                  <v>31.46</v>
                </pt>
                <pt idx="41">
                  <v>31.51</v>
                </pt>
                <pt idx="42">
                  <v>31.595</v>
                </pt>
                <pt idx="43">
                  <v>31.59</v>
                </pt>
                <pt idx="44">
                  <v>31.68</v>
                </pt>
                <pt idx="45">
                  <v>31.7</v>
                </pt>
                <pt idx="46">
                  <v>31.67</v>
                </pt>
                <pt idx="47">
                  <v>31.595</v>
                </pt>
                <pt idx="48">
                  <v>31.61</v>
                </pt>
                <pt idx="49">
                  <v>31.71</v>
                </pt>
                <pt idx="50">
                  <v>31.705</v>
                </pt>
                <pt idx="51">
                  <v>31.69</v>
                </pt>
                <pt idx="52">
                  <v>31.56</v>
                </pt>
                <pt idx="53">
                  <v>31.51</v>
                </pt>
                <pt idx="54">
                  <v>31.46</v>
                </pt>
                <pt idx="55">
                  <v>31.43</v>
                </pt>
                <pt idx="56">
                  <v>31.41</v>
                </pt>
                <pt idx="57">
                  <v>31.33</v>
                </pt>
                <pt idx="58">
                  <v>31.325</v>
                </pt>
                <pt idx="59">
                  <v>31.31</v>
                </pt>
                <pt idx="60">
                  <v>31.27</v>
                </pt>
                <pt idx="61">
                  <v>31.3</v>
                </pt>
                <pt idx="62">
                  <v>31.215</v>
                </pt>
                <pt idx="63">
                  <v>31.205</v>
                </pt>
                <pt idx="64">
                  <v>31.165</v>
                </pt>
                <pt idx="65">
                  <v>31.1</v>
                </pt>
                <pt idx="66">
                  <v>31</v>
                </pt>
                <pt idx="67">
                  <v>30.96</v>
                </pt>
                <pt idx="68">
                  <v>30.885</v>
                </pt>
                <pt idx="69">
                  <v>30.89</v>
                </pt>
                <pt idx="70">
                  <v>30.97</v>
                </pt>
                <pt idx="71">
                  <v>31.075</v>
                </pt>
                <pt idx="72">
                  <v>30.99</v>
                </pt>
                <pt idx="73">
                  <v>30.945</v>
                </pt>
                <pt idx="74">
                  <v>30.895</v>
                </pt>
                <pt idx="75">
                  <v>30.93</v>
                </pt>
                <pt idx="76">
                  <v>30.905</v>
                </pt>
                <pt idx="77">
                  <v>30.895</v>
                </pt>
                <pt idx="78">
                  <v>31.025</v>
                </pt>
                <pt idx="79">
                  <v>30.965</v>
                </pt>
                <pt idx="80">
                  <v>30.8</v>
                </pt>
                <pt idx="81">
                  <v>30.8</v>
                </pt>
                <pt idx="82">
                  <v>30.785</v>
                </pt>
                <pt idx="83">
                  <v>30.63</v>
                </pt>
                <pt idx="84">
                  <v>30.68</v>
                </pt>
                <pt idx="85">
                  <v>30.71</v>
                </pt>
                <pt idx="86">
                  <v>30.715</v>
                </pt>
                <pt idx="87">
                  <v>30.785</v>
                </pt>
                <pt idx="88">
                  <v>30.7</v>
                </pt>
                <pt idx="89">
                  <v>30.58</v>
                </pt>
                <pt idx="90">
                  <v>30.55</v>
                </pt>
                <pt idx="91">
                  <v>30.515</v>
                </pt>
                <pt idx="92">
                  <v>30.48</v>
                </pt>
                <pt idx="93">
                  <v>30.345</v>
                </pt>
                <pt idx="94">
                  <v>30.31</v>
                </pt>
                <pt idx="95">
                  <v>30.335</v>
                </pt>
                <pt idx="96">
                  <v>30.475</v>
                </pt>
                <pt idx="97">
                  <v>30.485</v>
                </pt>
                <pt idx="98">
                  <v>30.575</v>
                </pt>
                <pt idx="99">
                  <v>30.54</v>
                </pt>
                <pt idx="100">
                  <v>30.62</v>
                </pt>
                <pt idx="101">
                  <v>30.765</v>
                </pt>
                <pt idx="102">
                  <v>30.835</v>
                </pt>
                <pt idx="103">
                  <v>30.965</v>
                </pt>
                <pt idx="104">
                  <v>30.985</v>
                </pt>
                <pt idx="105">
                  <v>30.945</v>
                </pt>
                <pt idx="106">
                  <v>30.885</v>
                </pt>
                <pt idx="107">
                  <v>30.86</v>
                </pt>
                <pt idx="108">
                  <v>30.85</v>
                </pt>
                <pt idx="109">
                  <v>30.84</v>
                </pt>
                <pt idx="110">
                  <v>30.81</v>
                </pt>
                <pt idx="111">
                  <v>30.705</v>
                </pt>
                <pt idx="112">
                  <v>30.855</v>
                </pt>
                <pt idx="113">
                  <v>30.77</v>
                </pt>
                <pt idx="114">
                  <v>30.57</v>
                </pt>
                <pt idx="115">
                  <v>30.38</v>
                </pt>
                <pt idx="116">
                  <v>30.315</v>
                </pt>
                <pt idx="117">
                  <v>30.26</v>
                </pt>
                <pt idx="118">
                  <v>30.245</v>
                </pt>
                <pt idx="119">
                  <v>30.215</v>
                </pt>
                <pt idx="120">
                  <v>32.78</v>
                </pt>
                <pt idx="121">
                  <v>32.77</v>
                </pt>
                <pt idx="122">
                  <v>32.755</v>
                </pt>
                <pt idx="123">
                  <v>32.94</v>
                </pt>
                <pt idx="124">
                  <v>33.135</v>
                </pt>
                <pt idx="125">
                  <v>33.28</v>
                </pt>
                <pt idx="126">
                  <v>33.275</v>
                </pt>
                <pt idx="127">
                  <v>33.32</v>
                </pt>
                <pt idx="128">
                  <v>33.36</v>
                </pt>
                <pt idx="129">
                  <v>33.47</v>
                </pt>
                <pt idx="130">
                  <v>33.475</v>
                </pt>
                <pt idx="131">
                  <v>33.37</v>
                </pt>
                <pt idx="132">
                  <v>33.38</v>
                </pt>
                <pt idx="133">
                  <v>33.365</v>
                </pt>
                <pt idx="134">
                  <v>33.35</v>
                </pt>
                <pt idx="135">
                  <v>33.305</v>
                </pt>
                <pt idx="136">
                  <v>33.27</v>
                </pt>
                <pt idx="137">
                  <v>33.28</v>
                </pt>
                <pt idx="138">
                  <v>33.315</v>
                </pt>
                <pt idx="139">
                  <v>33.27</v>
                </pt>
                <pt idx="140">
                  <v>33.285</v>
                </pt>
                <pt idx="141">
                  <v>33.23</v>
                </pt>
                <pt idx="142">
                  <v>33.24</v>
                </pt>
                <pt idx="143">
                  <v>33.23</v>
                </pt>
                <pt idx="144">
                  <v>33.16</v>
                </pt>
                <pt idx="145">
                  <v>33.19</v>
                </pt>
                <pt idx="146">
                  <v>33.11</v>
                </pt>
                <pt idx="147">
                  <v>33.125</v>
                </pt>
                <pt idx="148">
                  <v>33.095</v>
                </pt>
                <pt idx="149">
                  <v>33.185</v>
                </pt>
                <pt idx="150">
                  <v>33.195</v>
                </pt>
                <pt idx="151">
                  <v>33.09</v>
                </pt>
                <pt idx="152">
                  <v>33.065</v>
                </pt>
                <pt idx="153">
                  <v>33.075</v>
                </pt>
                <pt idx="154">
                  <v>32.985</v>
                </pt>
                <pt idx="155">
                  <v>33.02</v>
                </pt>
                <pt idx="156">
                  <v>33.065</v>
                </pt>
                <pt idx="157">
                  <v>33.02</v>
                </pt>
                <pt idx="158">
                  <v>33.04</v>
                </pt>
                <pt idx="159">
                  <v>32.975</v>
                </pt>
                <pt idx="160">
                  <v>33.055</v>
                </pt>
                <pt idx="161">
                  <v>33.08</v>
                </pt>
                <pt idx="162">
                  <v>33.13</v>
                </pt>
                <pt idx="163">
                  <v>33.115</v>
                </pt>
                <pt idx="164">
                  <v>33.115</v>
                </pt>
                <pt idx="165">
                  <v>33.06</v>
                </pt>
                <pt idx="166">
                  <v>33.025</v>
                </pt>
                <pt idx="167">
                  <v>33.1</v>
                </pt>
                <pt idx="168">
                  <v>33.12</v>
                </pt>
                <pt idx="169">
                  <v>33.255</v>
                </pt>
                <pt idx="170">
                  <v>33.24</v>
                </pt>
                <pt idx="171">
                  <v>32.955</v>
                </pt>
                <pt idx="172">
                  <v>33.04</v>
                </pt>
                <pt idx="173">
                  <v>33.045</v>
                </pt>
                <pt idx="174">
                  <v>33.05</v>
                </pt>
                <pt idx="175">
                  <v>33.075</v>
                </pt>
                <pt idx="176">
                  <v>33.2</v>
                </pt>
                <pt idx="177">
                  <v>33.2</v>
                </pt>
                <pt idx="178">
                  <v>33.335</v>
                </pt>
                <pt idx="179">
                  <v>33.24</v>
                </pt>
                <pt idx="180">
                  <v>33.39</v>
                </pt>
                <pt idx="181">
                  <v>33.235</v>
                </pt>
                <pt idx="182">
                  <v>33.22</v>
                </pt>
                <pt idx="183">
                  <v>33.16</v>
                </pt>
                <pt idx="184">
                  <v>33.005</v>
                </pt>
                <pt idx="185">
                  <v>33.135</v>
                </pt>
                <pt idx="186">
                  <v>33.185</v>
                </pt>
                <pt idx="187">
                  <v>33.15</v>
                </pt>
                <pt idx="188">
                  <v>33.055</v>
                </pt>
                <pt idx="189">
                  <v>32.995</v>
                </pt>
                <pt idx="190">
                  <v>32.99</v>
                </pt>
                <pt idx="191">
                  <v>32.97</v>
                </pt>
                <pt idx="192">
                  <v>32.945</v>
                </pt>
                <pt idx="193">
                  <v>32.95</v>
                </pt>
                <pt idx="194">
                  <v>32.96</v>
                </pt>
                <pt idx="195">
                  <v>32.965</v>
                </pt>
                <pt idx="196">
                  <v>32.94</v>
                </pt>
                <pt idx="197">
                  <v>32.76</v>
                </pt>
                <pt idx="198">
                  <v>32.785</v>
                </pt>
                <pt idx="199">
                  <v>32.755</v>
                </pt>
                <pt idx="200">
                  <v>32.775</v>
                </pt>
                <pt idx="201">
                  <v>32.76</v>
                </pt>
                <pt idx="202">
                  <v>32.78</v>
                </pt>
                <pt idx="203">
                  <v>32.715</v>
                </pt>
                <pt idx="204">
                  <v>32.745</v>
                </pt>
                <pt idx="205">
                  <v>32.675</v>
                </pt>
                <pt idx="206">
                  <v>32.71</v>
                </pt>
                <pt idx="207">
                  <v>32.705</v>
                </pt>
                <pt idx="208">
                  <v>32.81</v>
                </pt>
                <pt idx="209">
                  <v>32.87</v>
                </pt>
                <pt idx="210">
                  <v>32.74</v>
                </pt>
                <pt idx="211">
                  <v>32.8</v>
                </pt>
                <pt idx="212">
                  <v>32.805</v>
                </pt>
                <pt idx="213">
                  <v>32.78</v>
                </pt>
                <pt idx="214">
                  <v>32.75</v>
                </pt>
                <pt idx="215">
                  <v>32.86</v>
                </pt>
                <pt idx="216">
                  <v>32.815</v>
                </pt>
                <pt idx="217">
                  <v>32.765</v>
                </pt>
                <pt idx="218">
                  <v>32.68</v>
                </pt>
                <pt idx="219">
                  <v>32.805</v>
                </pt>
                <pt idx="220">
                  <v>32.74</v>
                </pt>
                <pt idx="221">
                  <v>32.835</v>
                </pt>
                <pt idx="222">
                  <v>32.72</v>
                </pt>
                <pt idx="223">
                  <v>32.705</v>
                </pt>
                <pt idx="224">
                  <v>32.52</v>
                </pt>
                <pt idx="225">
                  <v>32.385</v>
                </pt>
                <pt idx="226">
                  <v>32.51</v>
                </pt>
                <pt idx="227">
                  <v>32.445</v>
                </pt>
                <pt idx="228">
                  <v>32.24</v>
                </pt>
                <pt idx="229">
                  <v>32.24</v>
                </pt>
                <pt idx="230">
                  <v>32.235</v>
                </pt>
                <pt idx="231">
                  <v>32.31</v>
                </pt>
                <pt idx="232">
                  <v>32.31</v>
                </pt>
                <pt idx="233">
                  <v>32.37</v>
                </pt>
                <pt idx="234">
                  <v>32.365</v>
                </pt>
                <pt idx="235">
                  <v>32.34</v>
                </pt>
                <pt idx="236">
                  <v>32.36</v>
                </pt>
                <pt idx="237">
                  <v>32.35</v>
                </pt>
                <pt idx="238">
                  <v>32.33</v>
                </pt>
                <pt idx="239">
                  <v>32.24</v>
                </pt>
                <pt idx="240">
                  <v>32.34</v>
                </pt>
                <pt idx="241">
                  <v>32.435</v>
                </pt>
                <pt idx="242">
                  <v>32.455</v>
                </pt>
                <pt idx="243">
                  <v>32.45</v>
                </pt>
                <pt idx="244">
                  <v>32.44</v>
                </pt>
                <pt idx="245">
                  <v>32.455</v>
                </pt>
                <pt idx="246">
                  <v>32.45</v>
                </pt>
                <pt idx="247">
                  <v>32.49</v>
                </pt>
                <pt idx="248">
                  <v>32.4</v>
                </pt>
                <pt idx="249">
                  <v>32.23</v>
                </pt>
                <pt idx="250">
                  <v>32.11</v>
                </pt>
                <pt idx="251">
                  <v>31.92</v>
                </pt>
                <pt idx="252">
                  <v>31.96</v>
                </pt>
                <pt idx="253">
                  <v>32.135</v>
                </pt>
                <pt idx="254">
                  <v>32.11</v>
                </pt>
                <pt idx="255">
                  <v>32.24</v>
                </pt>
                <pt idx="256">
                  <v>32.305</v>
                </pt>
                <pt idx="257">
                  <v>32.235</v>
                </pt>
                <pt idx="258">
                  <v>32.205</v>
                </pt>
                <pt idx="259">
                  <v>32.21</v>
                </pt>
                <pt idx="260">
                  <v>32.18</v>
                </pt>
                <pt idx="261">
                  <v>32.265</v>
                </pt>
                <pt idx="262">
                  <v>32.4</v>
                </pt>
                <pt idx="263">
                  <v>32.395</v>
                </pt>
                <pt idx="264">
                  <v>32.45</v>
                </pt>
                <pt idx="265">
                  <v>32.36</v>
                </pt>
                <pt idx="266">
                  <v>32.2</v>
                </pt>
                <pt idx="267">
                  <v>32.34</v>
                </pt>
                <pt idx="268">
                  <v>32.46</v>
                </pt>
                <pt idx="269">
                  <v>32.33</v>
                </pt>
                <pt idx="270">
                  <v>32.29</v>
                </pt>
                <pt idx="271">
                  <v>32.21</v>
                </pt>
                <pt idx="272">
                  <v>32.18</v>
                </pt>
                <pt idx="273">
                  <v>32.22</v>
                </pt>
                <pt idx="274">
                  <v>32.2</v>
                </pt>
                <pt idx="275">
                  <v>32.08</v>
                </pt>
                <pt idx="276">
                  <v>32.23</v>
                </pt>
                <pt idx="277">
                  <v>32.235</v>
                </pt>
                <pt idx="278">
                  <v>32.205</v>
                </pt>
                <pt idx="279">
                  <v>32.25</v>
                </pt>
                <pt idx="280">
                  <v>32.295</v>
                </pt>
                <pt idx="281">
                  <v>32.55</v>
                </pt>
                <pt idx="282">
                  <v>32.55</v>
                </pt>
                <pt idx="283">
                  <v>32.57</v>
                </pt>
                <pt idx="284">
                  <v>32.745</v>
                </pt>
                <pt idx="285">
                  <v>32.73</v>
                </pt>
                <pt idx="286">
                  <v>32.7</v>
                </pt>
                <pt idx="287">
                  <v>32.84</v>
                </pt>
                <pt idx="288">
                  <v>32.955</v>
                </pt>
                <pt idx="289">
                  <v>32.96</v>
                </pt>
                <pt idx="290">
                  <v>32.915</v>
                </pt>
                <pt idx="291">
                  <v>33.085</v>
                </pt>
                <pt idx="292">
                  <v>33.045</v>
                </pt>
                <pt idx="293">
                  <v>33.105</v>
                </pt>
                <pt idx="294">
                  <v>33.12</v>
                </pt>
                <pt idx="295">
                  <v>33.14</v>
                </pt>
                <pt idx="296">
                  <v>33.1</v>
                </pt>
                <pt idx="297">
                  <v>33.1</v>
                </pt>
                <pt idx="298">
                  <v>33.11</v>
                </pt>
                <pt idx="299">
                  <v>33.12</v>
                </pt>
                <pt idx="300">
                  <v>33</v>
                </pt>
                <pt idx="301">
                  <v>32.875</v>
                </pt>
                <pt idx="302">
                  <v>32.885</v>
                </pt>
                <pt idx="303">
                  <v>32.895</v>
                </pt>
                <pt idx="304">
                  <v>32.845</v>
                </pt>
                <pt idx="305">
                  <v>32.83</v>
                </pt>
                <pt idx="306">
                  <v>32.78</v>
                </pt>
                <pt idx="307">
                  <v>32.855</v>
                </pt>
                <pt idx="308">
                  <v>32.82</v>
                </pt>
                <pt idx="309">
                  <v>32.765</v>
                </pt>
                <pt idx="310">
                  <v>32.745</v>
                </pt>
                <pt idx="311">
                  <v>32.745</v>
                </pt>
                <pt idx="312">
                  <v>32.9</v>
                </pt>
                <pt idx="313">
                  <v>32.89</v>
                </pt>
                <pt idx="314">
                  <v>32.815</v>
                </pt>
                <pt idx="315">
                  <v>32.72</v>
                </pt>
                <pt idx="316">
                  <v>32.8</v>
                </pt>
                <pt idx="317">
                  <v>32.82</v>
                </pt>
                <pt idx="318">
                  <v>32.715</v>
                </pt>
                <pt idx="319">
                  <v>32.66</v>
                </pt>
                <pt idx="320">
                  <v>32.64</v>
                </pt>
                <pt idx="321">
                  <v>32.595</v>
                </pt>
                <pt idx="322">
                  <v>32.625</v>
                </pt>
                <pt idx="323">
                  <v>32.665</v>
                </pt>
                <pt idx="324">
                  <v>32.655</v>
                </pt>
                <pt idx="325">
                  <v>32.615</v>
                </pt>
                <pt idx="326">
                  <v>32.6</v>
                </pt>
                <pt idx="327">
                  <v>32.655</v>
                </pt>
                <pt idx="328">
                  <v>32.665</v>
                </pt>
                <pt idx="329">
                  <v>32.52</v>
                </pt>
                <pt idx="330">
                  <v>32.54</v>
                </pt>
                <pt idx="331">
                  <v>32.61</v>
                </pt>
                <pt idx="332">
                  <v>32.665</v>
                </pt>
                <pt idx="333">
                  <v>32.665</v>
                </pt>
                <pt idx="334">
                  <v>32.67</v>
                </pt>
                <pt idx="335">
                  <v>32.71</v>
                </pt>
                <pt idx="336">
                  <v>32.565</v>
                </pt>
                <pt idx="337">
                  <v>32.44</v>
                </pt>
                <pt idx="338">
                  <v>32.45</v>
                </pt>
                <pt idx="339">
                  <v>32.535</v>
                </pt>
                <pt idx="340">
                  <v>32.51</v>
                </pt>
                <pt idx="341">
                  <v>32.545</v>
                </pt>
                <pt idx="342">
                  <v>32.56</v>
                </pt>
                <pt idx="343">
                  <v>32.505</v>
                </pt>
                <pt idx="344">
                  <v>32.48</v>
                </pt>
                <pt idx="345">
                  <v>32.375</v>
                </pt>
                <pt idx="346">
                  <v>32.575</v>
                </pt>
                <pt idx="347">
                  <v>32.685</v>
                </pt>
                <pt idx="348">
                  <v>32.685</v>
                </pt>
                <pt idx="349">
                  <v>32.685</v>
                </pt>
                <pt idx="350">
                  <v>32.725</v>
                </pt>
                <pt idx="351">
                  <v>32.68</v>
                </pt>
                <pt idx="352">
                  <v>32.64</v>
                </pt>
                <pt idx="353">
                  <v>32.62</v>
                </pt>
                <pt idx="354">
                  <v>32.645</v>
                </pt>
                <pt idx="355">
                  <v>32.77</v>
                </pt>
                <pt idx="356">
                  <v>32.815</v>
                </pt>
                <pt idx="357">
                  <v>32.83</v>
                </pt>
                <pt idx="358">
                  <v>32.84</v>
                </pt>
                <pt idx="359">
                  <v>32.85</v>
                </pt>
                <pt idx="360">
                  <v>32.805</v>
                </pt>
                <pt idx="361">
                  <v>32.865</v>
                </pt>
                <pt idx="362">
                  <v>32.91</v>
                </pt>
                <pt idx="363">
                  <v>32.785</v>
                </pt>
                <pt idx="364">
                  <v>32.645</v>
                </pt>
                <pt idx="365">
                  <v>32.76</v>
                </pt>
                <pt idx="366">
                  <v>32.765</v>
                </pt>
                <pt idx="367">
                  <v>32.65</v>
                </pt>
                <pt idx="368">
                  <v>32.565</v>
                </pt>
                <pt idx="369">
                  <v>32.5</v>
                </pt>
                <pt idx="370">
                  <v>32.28</v>
                </pt>
                <pt idx="371">
                  <v>32.375</v>
                </pt>
                <pt idx="372">
                  <v>32.37</v>
                </pt>
                <pt idx="373">
                  <v>32.33</v>
                </pt>
                <pt idx="374">
                  <v>32.345</v>
                </pt>
                <pt idx="375">
                  <v>32.25</v>
                </pt>
                <pt idx="376">
                  <v>32.27</v>
                </pt>
                <pt idx="377">
                  <v>32.26</v>
                </pt>
                <pt idx="378">
                  <v>32.27</v>
                </pt>
                <pt idx="379">
                  <v>32.175</v>
                </pt>
                <pt idx="380">
                  <v>32.135</v>
                </pt>
                <pt idx="381">
                  <v>32.23</v>
                </pt>
                <pt idx="382">
                  <v>32.105</v>
                </pt>
                <pt idx="383">
                  <v>32.14</v>
                </pt>
                <pt idx="384">
                  <v>32.05</v>
                </pt>
                <pt idx="385">
                  <v>31.93</v>
                </pt>
                <pt idx="386">
                  <v>31.87</v>
                </pt>
                <pt idx="387">
                  <v>31.77</v>
                </pt>
                <pt idx="388">
                  <v>31.735</v>
                </pt>
                <pt idx="389">
                  <v>31.69</v>
                </pt>
                <pt idx="390">
                  <v>31.69</v>
                </pt>
                <pt idx="391">
                  <v>31.7</v>
                </pt>
                <pt idx="392">
                  <v>31.81</v>
                </pt>
                <pt idx="393">
                  <v>31.845</v>
                </pt>
                <pt idx="394">
                  <v>31.835</v>
                </pt>
                <pt idx="395">
                  <v>31.795</v>
                </pt>
                <pt idx="396">
                  <v>31.88</v>
                </pt>
                <pt idx="397">
                  <v>31.85</v>
                </pt>
                <pt idx="398">
                  <v>31.84</v>
                </pt>
                <pt idx="399">
                  <v>31.82</v>
                </pt>
                <pt idx="400">
                  <v>31.825</v>
                </pt>
                <pt idx="401">
                  <v>31.78</v>
                </pt>
                <pt idx="402">
                  <v>31.8</v>
                </pt>
                <pt idx="403">
                  <v>31.77</v>
                </pt>
                <pt idx="404">
                  <v>31.67</v>
                </pt>
                <pt idx="405">
                  <v>31.655</v>
                </pt>
                <pt idx="406">
                  <v>31.63</v>
                </pt>
                <pt idx="407">
                  <v>31.7</v>
                </pt>
                <pt idx="408">
                  <v>31.62</v>
                </pt>
                <pt idx="409">
                  <v>31.6</v>
                </pt>
                <pt idx="410">
                  <v>31.64</v>
                </pt>
                <pt idx="411">
                  <v>31.505</v>
                </pt>
                <pt idx="412">
                  <v>31.6</v>
                </pt>
                <pt idx="413">
                  <v>31.56</v>
                </pt>
                <pt idx="414">
                  <v>31.41</v>
                </pt>
                <pt idx="415">
                  <v>31.52</v>
                </pt>
                <pt idx="416">
                  <v>31.56</v>
                </pt>
                <pt idx="417">
                  <v>31.58</v>
                </pt>
                <pt idx="418">
                  <v>31.61</v>
                </pt>
                <pt idx="419">
                  <v>31.595</v>
                </pt>
                <pt idx="420">
                  <v>31.61</v>
                </pt>
                <pt idx="421">
                  <v>31.705</v>
                </pt>
                <pt idx="422">
                  <v>31.845</v>
                </pt>
                <pt idx="423">
                  <v>31.86</v>
                </pt>
                <pt idx="424">
                  <v>31.665</v>
                </pt>
                <pt idx="425">
                  <v>31.49</v>
                </pt>
                <pt idx="426">
                  <v>31.395</v>
                </pt>
                <pt idx="427">
                  <v>31.365</v>
                </pt>
                <pt idx="428">
                  <v>31.39</v>
                </pt>
                <pt idx="429">
                  <v>31.29</v>
                </pt>
                <pt idx="430">
                  <v>31.265</v>
                </pt>
                <pt idx="431">
                  <v>31.28</v>
                </pt>
                <pt idx="432">
                  <v>31.265</v>
                </pt>
                <pt idx="433">
                  <v>31.28</v>
                </pt>
                <pt idx="434">
                  <v>31.135</v>
                </pt>
                <pt idx="435">
                  <v>30.975</v>
                </pt>
                <pt idx="436">
                  <v>30.975</v>
                </pt>
                <pt idx="437">
                  <v>31.135</v>
                </pt>
                <pt idx="438">
                  <v>31.325</v>
                </pt>
                <pt idx="439">
                  <v>31.4</v>
                </pt>
                <pt idx="440">
                  <v>31.465</v>
                </pt>
                <pt idx="441">
                  <v>31.54</v>
                </pt>
                <pt idx="442">
                  <v>31.57</v>
                </pt>
                <pt idx="443">
                  <v>31.62</v>
                </pt>
                <pt idx="444">
                  <v>31.58</v>
                </pt>
                <pt idx="445">
                  <v>31.505</v>
                </pt>
                <pt idx="446">
                  <v>31.595</v>
                </pt>
                <pt idx="447">
                  <v>31.785</v>
                </pt>
                <pt idx="448">
                  <v>31.77</v>
                </pt>
                <pt idx="449">
                  <v>31.77</v>
                </pt>
                <pt idx="450">
                  <v>31.64</v>
                </pt>
                <pt idx="451">
                  <v>31.79</v>
                </pt>
                <pt idx="452">
                  <v>31.765</v>
                </pt>
                <pt idx="453">
                  <v>31.75</v>
                </pt>
                <pt idx="454">
                  <v>31.675</v>
                </pt>
                <pt idx="455">
                  <v>31.74</v>
                </pt>
                <pt idx="456">
                  <v>31.525</v>
                </pt>
                <pt idx="457">
                  <v>31.515</v>
                </pt>
                <pt idx="458">
                  <v>31.73</v>
                </pt>
                <pt idx="459">
                  <v>31.83</v>
                </pt>
                <pt idx="460">
                  <v>31.895</v>
                </pt>
                <pt idx="461">
                  <v>31.8</v>
                </pt>
                <pt idx="462">
                  <v>31.865</v>
                </pt>
                <pt idx="463">
                  <v>31.695</v>
                </pt>
                <pt idx="464">
                  <v>31.91</v>
                </pt>
                <pt idx="465">
                  <v>32.12</v>
                </pt>
                <pt idx="466">
                  <v>32.28</v>
                </pt>
                <pt idx="467">
                  <v>32.365</v>
                </pt>
                <pt idx="468">
                  <v>32.61</v>
                </pt>
                <pt idx="469">
                  <v>32.605</v>
                </pt>
                <pt idx="470">
                  <v>32.63</v>
                </pt>
                <pt idx="471">
                  <v>32.535</v>
                </pt>
                <pt idx="472">
                  <v>32.52</v>
                </pt>
                <pt idx="473">
                  <v>32.475</v>
                </pt>
                <pt idx="474">
                  <v>32.42</v>
                </pt>
                <pt idx="475">
                  <v>32.565</v>
                </pt>
                <pt idx="476">
                  <v>32.635</v>
                </pt>
                <pt idx="477">
                  <v>32.755</v>
                </pt>
                <pt idx="478">
                  <v>32.695</v>
                </pt>
                <pt idx="479">
                  <v>32.705</v>
                </pt>
                <pt idx="480">
                  <v>32.7</v>
                </pt>
                <pt idx="481">
                  <v>32.72</v>
                </pt>
                <pt idx="482">
                  <v>32.63</v>
                </pt>
                <pt idx="483">
                  <v>32.59</v>
                </pt>
                <pt idx="484">
                  <v>32.625</v>
                </pt>
                <pt idx="485">
                  <v>32.6</v>
                </pt>
                <pt idx="486">
                  <v>32.595</v>
                </pt>
                <pt idx="487">
                  <v>32.57</v>
                </pt>
                <pt idx="488">
                  <v>32.57</v>
                </pt>
                <pt idx="489">
                  <v>32.55</v>
                </pt>
                <pt idx="490">
                  <v>32.495</v>
                </pt>
                <pt idx="491">
                  <v>32.395</v>
                </pt>
                <pt idx="492">
                  <v>32.38</v>
                </pt>
                <pt idx="493">
                  <v>32.485</v>
                </pt>
                <pt idx="494">
                  <v>32.545</v>
                </pt>
                <pt idx="495">
                  <v>32.6</v>
                </pt>
                <pt idx="496">
                  <v>32.605</v>
                </pt>
                <pt idx="497">
                  <v>32.52</v>
                </pt>
                <pt idx="498">
                  <v>32.54</v>
                </pt>
                <pt idx="499">
                  <v>32.515</v>
                </pt>
                <pt idx="500">
                  <v>32.5</v>
                </pt>
                <pt idx="501">
                  <v>32.43</v>
                </pt>
                <pt idx="502">
                  <v>32.385</v>
                </pt>
                <pt idx="503">
                  <v>32.4</v>
                </pt>
                <pt idx="504">
                  <v>32.38</v>
                </pt>
                <pt idx="505">
                  <v>32.29</v>
                </pt>
                <pt idx="506">
                  <v>32.265</v>
                </pt>
                <pt idx="507">
                  <v>32.25</v>
                </pt>
                <pt idx="508">
                  <v>32.195</v>
                </pt>
                <pt idx="509">
                  <v>32.175</v>
                </pt>
                <pt idx="510">
                  <v>32.25</v>
                </pt>
                <pt idx="511">
                  <v>32.3</v>
                </pt>
                <pt idx="512">
                  <v>32.265</v>
                </pt>
                <pt idx="513">
                  <v>32.275</v>
                </pt>
                <pt idx="514">
                  <v>32.265</v>
                </pt>
                <pt idx="515">
                  <v>32.235</v>
                </pt>
                <pt idx="516">
                  <v>32.165</v>
                </pt>
                <pt idx="517">
                  <v>32.15</v>
                </pt>
                <pt idx="518">
                  <v>32.13</v>
                </pt>
                <pt idx="519">
                  <v>32.13</v>
                </pt>
                <pt idx="520">
                  <v>32.13</v>
                </pt>
                <pt idx="521">
                  <v>32.155</v>
                </pt>
                <pt idx="522">
                  <v>32.15</v>
                </pt>
                <pt idx="523">
                  <v>32.12</v>
                </pt>
                <pt idx="524">
                  <v>32.055</v>
                </pt>
                <pt idx="525">
                  <v>32.2</v>
                </pt>
                <pt idx="526">
                  <v>32.21</v>
                </pt>
                <pt idx="527">
                  <v>32.24</v>
                </pt>
                <pt idx="528">
                  <v>32.22</v>
                </pt>
                <pt idx="529">
                  <v>32.245</v>
                </pt>
                <pt idx="530">
                  <v>32.165</v>
                </pt>
                <pt idx="531">
                  <v>32.195</v>
                </pt>
                <pt idx="532">
                  <v>32.2</v>
                </pt>
                <pt idx="533">
                  <v>32.07</v>
                </pt>
                <pt idx="534">
                  <v>32.035</v>
                </pt>
                <pt idx="535">
                  <v>32.01</v>
                </pt>
                <pt idx="536">
                  <v>32.08</v>
                </pt>
                <pt idx="537">
                  <v>31.94</v>
                </pt>
                <pt idx="538">
                  <v>31.96</v>
                </pt>
                <pt idx="539">
                  <v>31.905</v>
                </pt>
                <pt idx="540">
                  <v>31.895</v>
                </pt>
                <pt idx="541">
                  <v>31.78</v>
                </pt>
                <pt idx="542">
                  <v>31.69</v>
                </pt>
                <pt idx="543">
                  <v>31.665</v>
                </pt>
                <pt idx="544">
                  <v>31.495</v>
                </pt>
                <pt idx="545">
                  <v>31.505</v>
                </pt>
                <pt idx="546">
                  <v>31.575</v>
                </pt>
                <pt idx="547">
                  <v>31.63</v>
                </pt>
                <pt idx="548">
                  <v>31.505</v>
                </pt>
                <pt idx="549">
                  <v>31.34</v>
                </pt>
                <pt idx="550">
                  <v>31.33</v>
                </pt>
                <pt idx="551">
                  <v>31.255</v>
                </pt>
                <pt idx="552">
                  <v>31.315</v>
                </pt>
                <pt idx="553">
                  <v>31.155</v>
                </pt>
                <pt idx="554">
                  <v>31.34</v>
                </pt>
                <pt idx="555">
                  <v>31.5</v>
                </pt>
                <pt idx="556">
                  <v>31.585</v>
                </pt>
                <pt idx="557">
                  <v>31.655</v>
                </pt>
                <pt idx="558">
                  <v>31.605</v>
                </pt>
                <pt idx="559">
                  <v>31.5</v>
                </pt>
                <pt idx="560">
                  <v>31.42</v>
                </pt>
                <pt idx="561">
                  <v>31.385</v>
                </pt>
                <pt idx="562">
                  <v>31.405</v>
                </pt>
                <pt idx="563">
                  <v>31.41</v>
                </pt>
                <pt idx="564">
                  <v>31.34</v>
                </pt>
                <pt idx="565">
                  <v>31.34</v>
                </pt>
                <pt idx="566">
                  <v>31.295</v>
                </pt>
                <pt idx="567">
                  <v>31.28</v>
                </pt>
                <pt idx="568">
                  <v>31.18</v>
                </pt>
                <pt idx="569">
                  <v>31.165</v>
                </pt>
                <pt idx="570">
                  <v>31.065</v>
                </pt>
                <pt idx="571">
                  <v>31.005</v>
                </pt>
                <pt idx="572">
                  <v>30.97</v>
                </pt>
                <pt idx="573">
                  <v>30.985</v>
                </pt>
                <pt idx="574">
                  <v>30.98</v>
                </pt>
                <pt idx="575">
                  <v>30.97</v>
                </pt>
                <pt idx="576">
                  <v>31.015</v>
                </pt>
                <pt idx="577">
                  <v>30.99</v>
                </pt>
                <pt idx="578">
                  <v>31.025</v>
                </pt>
                <pt idx="579">
                  <v>30.975</v>
                </pt>
                <pt idx="580">
                  <v>30.995</v>
                </pt>
                <pt idx="581">
                  <v>30.96</v>
                </pt>
                <pt idx="582">
                  <v>30.93</v>
                </pt>
                <pt idx="583">
                  <v>31.005</v>
                </pt>
                <pt idx="584">
                  <v>31.02</v>
                </pt>
                <pt idx="585">
                  <v>30.915</v>
                </pt>
                <pt idx="586">
                  <v>30.915</v>
                </pt>
                <pt idx="587">
                  <v>31.015</v>
                </pt>
                <pt idx="588">
                  <v>31.055</v>
                </pt>
                <pt idx="589">
                  <v>31.065</v>
                </pt>
                <pt idx="590">
                  <v>31.02</v>
                </pt>
                <pt idx="591">
                  <v>30.95</v>
                </pt>
                <pt idx="592">
                  <v>30.945</v>
                </pt>
                <pt idx="593">
                  <v>31.035</v>
                </pt>
                <pt idx="594">
                  <v>31.085</v>
                </pt>
                <pt idx="595">
                  <v>31.075</v>
                </pt>
                <pt idx="596">
                  <v>31.075</v>
                </pt>
                <pt idx="597">
                  <v>31.02</v>
                </pt>
                <pt idx="598">
                  <v>31</v>
                </pt>
                <pt idx="599">
                  <v>30.995</v>
                </pt>
                <pt idx="600">
                  <v>30.965</v>
                </pt>
                <pt idx="601">
                  <v>30.945</v>
                </pt>
                <pt idx="602">
                  <v>30.905</v>
                </pt>
                <pt idx="603">
                  <v>30.94</v>
                </pt>
                <pt idx="604">
                  <v>31.015</v>
                </pt>
                <pt idx="605">
                  <v>31.045</v>
                </pt>
                <pt idx="606">
                  <v>31.01</v>
                </pt>
                <pt idx="607">
                  <v>30.975</v>
                </pt>
              </numCache>
            </numRef>
          </val>
          <smooth val="0"/>
        </ser>
        <ser>
          <idx val="2"/>
          <order val="2"/>
          <tx>
            <strRef>
              <f>匯率!$L$2</f>
              <strCache>
                <ptCount val="1"/>
                <pt idx="0">
                  <v>即期買入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匯率!$I$3:$I$610</f>
              <numCache>
                <formatCode>m/d/yyyy</formatCode>
                <ptCount val="608"/>
                <pt idx="0">
                  <v>46057</v>
                </pt>
                <pt idx="1">
                  <v>46056</v>
                </pt>
                <pt idx="2">
                  <v>46055</v>
                </pt>
                <pt idx="3">
                  <v>46052</v>
                </pt>
                <pt idx="4">
                  <v>46051</v>
                </pt>
                <pt idx="5">
                  <v>46050</v>
                </pt>
                <pt idx="6">
                  <v>46049</v>
                </pt>
                <pt idx="7">
                  <v>46048</v>
                </pt>
                <pt idx="8">
                  <v>46045</v>
                </pt>
                <pt idx="9">
                  <v>46044</v>
                </pt>
                <pt idx="10">
                  <v>46043</v>
                </pt>
                <pt idx="11">
                  <v>46042</v>
                </pt>
                <pt idx="12">
                  <v>46041</v>
                </pt>
                <pt idx="13">
                  <v>46038</v>
                </pt>
                <pt idx="14">
                  <v>46037</v>
                </pt>
                <pt idx="15">
                  <v>46036</v>
                </pt>
                <pt idx="16">
                  <v>46035</v>
                </pt>
                <pt idx="17">
                  <v>46034</v>
                </pt>
                <pt idx="18">
                  <v>46031</v>
                </pt>
                <pt idx="19">
                  <v>46030</v>
                </pt>
                <pt idx="20">
                  <v>46029</v>
                </pt>
                <pt idx="21">
                  <v>46028</v>
                </pt>
                <pt idx="22">
                  <v>46027</v>
                </pt>
                <pt idx="23">
                  <v>46024</v>
                </pt>
                <pt idx="24">
                  <v>46022</v>
                </pt>
                <pt idx="25">
                  <v>46021</v>
                </pt>
                <pt idx="26">
                  <v>46020</v>
                </pt>
                <pt idx="27">
                  <v>46017</v>
                </pt>
                <pt idx="28">
                  <v>46015</v>
                </pt>
                <pt idx="29">
                  <v>46014</v>
                </pt>
                <pt idx="30">
                  <v>46013</v>
                </pt>
                <pt idx="31">
                  <v>46010</v>
                </pt>
                <pt idx="32">
                  <v>46009</v>
                </pt>
                <pt idx="33">
                  <v>46008</v>
                </pt>
                <pt idx="34">
                  <v>46007</v>
                </pt>
                <pt idx="35">
                  <v>46006</v>
                </pt>
                <pt idx="36">
                  <v>46003</v>
                </pt>
                <pt idx="37">
                  <v>46002</v>
                </pt>
                <pt idx="38">
                  <v>46001</v>
                </pt>
                <pt idx="39">
                  <v>46000</v>
                </pt>
                <pt idx="40">
                  <v>45999</v>
                </pt>
                <pt idx="41">
                  <v>45996</v>
                </pt>
                <pt idx="42">
                  <v>45995</v>
                </pt>
                <pt idx="43">
                  <v>45994</v>
                </pt>
                <pt idx="44">
                  <v>45993</v>
                </pt>
                <pt idx="45">
                  <v>45992</v>
                </pt>
                <pt idx="46">
                  <v>45989</v>
                </pt>
                <pt idx="47">
                  <v>45988</v>
                </pt>
                <pt idx="48">
                  <v>45987</v>
                </pt>
                <pt idx="49">
                  <v>45986</v>
                </pt>
                <pt idx="50">
                  <v>45985</v>
                </pt>
                <pt idx="51">
                  <v>45982</v>
                </pt>
                <pt idx="52">
                  <v>45981</v>
                </pt>
                <pt idx="53">
                  <v>45980</v>
                </pt>
                <pt idx="54">
                  <v>45979</v>
                </pt>
                <pt idx="55">
                  <v>45978</v>
                </pt>
                <pt idx="56">
                  <v>45975</v>
                </pt>
                <pt idx="57">
                  <v>45974</v>
                </pt>
                <pt idx="58">
                  <v>45973</v>
                </pt>
                <pt idx="59">
                  <v>45972</v>
                </pt>
                <pt idx="60">
                  <v>45971</v>
                </pt>
                <pt idx="61">
                  <v>45968</v>
                </pt>
                <pt idx="62">
                  <v>45967</v>
                </pt>
                <pt idx="63">
                  <v>45966</v>
                </pt>
                <pt idx="64">
                  <v>45965</v>
                </pt>
                <pt idx="65">
                  <v>45964</v>
                </pt>
                <pt idx="66">
                  <v>45961</v>
                </pt>
                <pt idx="67">
                  <v>45960</v>
                </pt>
                <pt idx="68">
                  <v>45959</v>
                </pt>
                <pt idx="69">
                  <v>45958</v>
                </pt>
                <pt idx="70">
                  <v>45957</v>
                </pt>
                <pt idx="71">
                  <v>45953</v>
                </pt>
                <pt idx="72">
                  <v>45952</v>
                </pt>
                <pt idx="73">
                  <v>45951</v>
                </pt>
                <pt idx="74">
                  <v>45950</v>
                </pt>
                <pt idx="75">
                  <v>45947</v>
                </pt>
                <pt idx="76">
                  <v>45946</v>
                </pt>
                <pt idx="77">
                  <v>45945</v>
                </pt>
                <pt idx="78">
                  <v>45944</v>
                </pt>
                <pt idx="79">
                  <v>45943</v>
                </pt>
                <pt idx="80">
                  <v>45939</v>
                </pt>
                <pt idx="81">
                  <v>45938</v>
                </pt>
                <pt idx="82">
                  <v>45937</v>
                </pt>
                <pt idx="83">
                  <v>45933</v>
                </pt>
                <pt idx="84">
                  <v>45932</v>
                </pt>
                <pt idx="85">
                  <v>45931</v>
                </pt>
                <pt idx="86">
                  <v>45930</v>
                </pt>
                <pt idx="87">
                  <v>45926</v>
                </pt>
                <pt idx="88">
                  <v>45925</v>
                </pt>
                <pt idx="89">
                  <v>45924</v>
                </pt>
                <pt idx="90">
                  <v>45923</v>
                </pt>
                <pt idx="91">
                  <v>45922</v>
                </pt>
                <pt idx="92">
                  <v>45919</v>
                </pt>
                <pt idx="93">
                  <v>45918</v>
                </pt>
                <pt idx="94">
                  <v>45917</v>
                </pt>
                <pt idx="95">
                  <v>45916</v>
                </pt>
                <pt idx="96">
                  <v>45915</v>
                </pt>
                <pt idx="97">
                  <v>45912</v>
                </pt>
                <pt idx="98">
                  <v>45911</v>
                </pt>
                <pt idx="99">
                  <v>45910</v>
                </pt>
                <pt idx="100">
                  <v>45909</v>
                </pt>
                <pt idx="101">
                  <v>45908</v>
                </pt>
                <pt idx="102">
                  <v>45905</v>
                </pt>
                <pt idx="103">
                  <v>45904</v>
                </pt>
                <pt idx="104">
                  <v>45903</v>
                </pt>
                <pt idx="105">
                  <v>45902</v>
                </pt>
                <pt idx="106">
                  <v>45901</v>
                </pt>
                <pt idx="107">
                  <v>45898</v>
                </pt>
                <pt idx="108">
                  <v>45897</v>
                </pt>
                <pt idx="109">
                  <v>45896</v>
                </pt>
                <pt idx="110">
                  <v>45895</v>
                </pt>
                <pt idx="111">
                  <v>45894</v>
                </pt>
                <pt idx="112">
                  <v>45891</v>
                </pt>
                <pt idx="113">
                  <v>45890</v>
                </pt>
                <pt idx="114">
                  <v>45889</v>
                </pt>
                <pt idx="115">
                  <v>45888</v>
                </pt>
                <pt idx="116">
                  <v>45887</v>
                </pt>
                <pt idx="117">
                  <v>45884</v>
                </pt>
                <pt idx="118">
                  <v>45883</v>
                </pt>
                <pt idx="119">
                  <v>45882</v>
                </pt>
                <pt idx="120">
                  <v>45763</v>
                </pt>
                <pt idx="121">
                  <v>45762</v>
                </pt>
                <pt idx="122">
                  <v>45761</v>
                </pt>
                <pt idx="123">
                  <v>45758</v>
                </pt>
                <pt idx="124">
                  <v>45757</v>
                </pt>
                <pt idx="125">
                  <v>45756</v>
                </pt>
                <pt idx="126">
                  <v>45755</v>
                </pt>
                <pt idx="127">
                  <v>45754</v>
                </pt>
                <pt idx="128">
                  <v>45749</v>
                </pt>
                <pt idx="129">
                  <v>45748</v>
                </pt>
                <pt idx="130">
                  <v>45747</v>
                </pt>
                <pt idx="131">
                  <v>45744</v>
                </pt>
                <pt idx="132">
                  <v>45743</v>
                </pt>
                <pt idx="133">
                  <v>45742</v>
                </pt>
                <pt idx="134">
                  <v>45741</v>
                </pt>
                <pt idx="135">
                  <v>45740</v>
                </pt>
                <pt idx="136">
                  <v>45737</v>
                </pt>
                <pt idx="137">
                  <v>45736</v>
                </pt>
                <pt idx="138">
                  <v>45735</v>
                </pt>
                <pt idx="139">
                  <v>45734</v>
                </pt>
                <pt idx="140">
                  <v>45733</v>
                </pt>
                <pt idx="141">
                  <v>45730</v>
                </pt>
                <pt idx="142">
                  <v>45729</v>
                </pt>
                <pt idx="143">
                  <v>45728</v>
                </pt>
                <pt idx="144">
                  <v>45727</v>
                </pt>
                <pt idx="145">
                  <v>45726</v>
                </pt>
                <pt idx="146">
                  <v>45723</v>
                </pt>
                <pt idx="147">
                  <v>45722</v>
                </pt>
                <pt idx="148">
                  <v>45721</v>
                </pt>
                <pt idx="149">
                  <v>45720</v>
                </pt>
                <pt idx="150">
                  <v>45719</v>
                </pt>
                <pt idx="151">
                  <v>45715</v>
                </pt>
                <pt idx="152">
                  <v>45714</v>
                </pt>
                <pt idx="153">
                  <v>45713</v>
                </pt>
                <pt idx="154">
                  <v>45712</v>
                </pt>
                <pt idx="155">
                  <v>45709</v>
                </pt>
                <pt idx="156">
                  <v>45708</v>
                </pt>
                <pt idx="157">
                  <v>45707</v>
                </pt>
                <pt idx="158">
                  <v>45706</v>
                </pt>
                <pt idx="159">
                  <v>45705</v>
                </pt>
                <pt idx="160">
                  <v>45702</v>
                </pt>
                <pt idx="161">
                  <v>45701</v>
                </pt>
                <pt idx="162">
                  <v>45700</v>
                </pt>
                <pt idx="163">
                  <v>45699</v>
                </pt>
                <pt idx="164">
                  <v>45698</v>
                </pt>
                <pt idx="165">
                  <v>45696</v>
                </pt>
                <pt idx="166">
                  <v>45695</v>
                </pt>
                <pt idx="167">
                  <v>45694</v>
                </pt>
                <pt idx="168">
                  <v>45693</v>
                </pt>
                <pt idx="169">
                  <v>45692</v>
                </pt>
                <pt idx="170">
                  <v>45691</v>
                </pt>
                <pt idx="171">
                  <v>45681</v>
                </pt>
                <pt idx="172">
                  <v>45680</v>
                </pt>
                <pt idx="173">
                  <v>45679</v>
                </pt>
                <pt idx="174">
                  <v>45678</v>
                </pt>
                <pt idx="175">
                  <v>45677</v>
                </pt>
                <pt idx="176">
                  <v>45674</v>
                </pt>
                <pt idx="177">
                  <v>45673</v>
                </pt>
                <pt idx="178">
                  <v>45672</v>
                </pt>
                <pt idx="179">
                  <v>45671</v>
                </pt>
                <pt idx="180">
                  <v>45670</v>
                </pt>
                <pt idx="181">
                  <v>45667</v>
                </pt>
                <pt idx="182">
                  <v>45666</v>
                </pt>
                <pt idx="183">
                  <v>45665</v>
                </pt>
                <pt idx="184">
                  <v>45664</v>
                </pt>
                <pt idx="185">
                  <v>45663</v>
                </pt>
                <pt idx="186">
                  <v>45660</v>
                </pt>
                <pt idx="187">
                  <v>45659</v>
                </pt>
                <pt idx="188">
                  <v>45657</v>
                </pt>
                <pt idx="189">
                  <v>45656</v>
                </pt>
                <pt idx="190">
                  <v>45653</v>
                </pt>
                <pt idx="191">
                  <v>45652</v>
                </pt>
                <pt idx="192">
                  <v>45651</v>
                </pt>
                <pt idx="193">
                  <v>45650</v>
                </pt>
                <pt idx="194">
                  <v>45649</v>
                </pt>
                <pt idx="195">
                  <v>45646</v>
                </pt>
                <pt idx="196">
                  <v>45645</v>
                </pt>
                <pt idx="197">
                  <v>45644</v>
                </pt>
                <pt idx="198">
                  <v>45643</v>
                </pt>
                <pt idx="199">
                  <v>45642</v>
                </pt>
                <pt idx="200">
                  <v>45639</v>
                </pt>
                <pt idx="201">
                  <v>45638</v>
                </pt>
                <pt idx="202">
                  <v>45637</v>
                </pt>
                <pt idx="203">
                  <v>45636</v>
                </pt>
                <pt idx="204">
                  <v>45635</v>
                </pt>
                <pt idx="205">
                  <v>45632</v>
                </pt>
                <pt idx="206">
                  <v>45631</v>
                </pt>
                <pt idx="207">
                  <v>45630</v>
                </pt>
                <pt idx="208">
                  <v>45629</v>
                </pt>
                <pt idx="209">
                  <v>45628</v>
                </pt>
                <pt idx="210">
                  <v>45625</v>
                </pt>
                <pt idx="211">
                  <v>45624</v>
                </pt>
                <pt idx="212">
                  <v>45623</v>
                </pt>
                <pt idx="213">
                  <v>45622</v>
                </pt>
                <pt idx="214">
                  <v>45621</v>
                </pt>
                <pt idx="215">
                  <v>45618</v>
                </pt>
                <pt idx="216">
                  <v>45617</v>
                </pt>
                <pt idx="217">
                  <v>45616</v>
                </pt>
                <pt idx="218">
                  <v>45615</v>
                </pt>
                <pt idx="219">
                  <v>45614</v>
                </pt>
                <pt idx="220">
                  <v>45611</v>
                </pt>
                <pt idx="221">
                  <v>45610</v>
                </pt>
                <pt idx="222">
                  <v>45609</v>
                </pt>
                <pt idx="223">
                  <v>45608</v>
                </pt>
                <pt idx="224">
                  <v>45607</v>
                </pt>
                <pt idx="225">
                  <v>45604</v>
                </pt>
                <pt idx="226">
                  <v>45603</v>
                </pt>
                <pt idx="227">
                  <v>45602</v>
                </pt>
                <pt idx="228">
                  <v>45601</v>
                </pt>
                <pt idx="229">
                  <v>45600</v>
                </pt>
                <pt idx="230">
                  <v>45597</v>
                </pt>
                <pt idx="231">
                  <v>45596</v>
                </pt>
                <pt idx="232">
                  <v>45595</v>
                </pt>
                <pt idx="233">
                  <v>45594</v>
                </pt>
                <pt idx="234">
                  <v>45593</v>
                </pt>
                <pt idx="235">
                  <v>45590</v>
                </pt>
                <pt idx="236">
                  <v>45589</v>
                </pt>
                <pt idx="237">
                  <v>45588</v>
                </pt>
                <pt idx="238">
                  <v>45587</v>
                </pt>
                <pt idx="239">
                  <v>45586</v>
                </pt>
                <pt idx="240">
                  <v>45583</v>
                </pt>
                <pt idx="241">
                  <v>45582</v>
                </pt>
                <pt idx="242">
                  <v>45581</v>
                </pt>
                <pt idx="243">
                  <v>45580</v>
                </pt>
                <pt idx="244">
                  <v>45579</v>
                </pt>
                <pt idx="245">
                  <v>45576</v>
                </pt>
                <pt idx="246">
                  <v>45574</v>
                </pt>
                <pt idx="247">
                  <v>45573</v>
                </pt>
                <pt idx="248">
                  <v>45572</v>
                </pt>
                <pt idx="249">
                  <v>45569</v>
                </pt>
                <pt idx="250">
                  <v>45566</v>
                </pt>
                <pt idx="251">
                  <v>45565</v>
                </pt>
                <pt idx="252">
                  <v>45562</v>
                </pt>
                <pt idx="253">
                  <v>45561</v>
                </pt>
                <pt idx="254">
                  <v>45560</v>
                </pt>
                <pt idx="255">
                  <v>45559</v>
                </pt>
                <pt idx="256">
                  <v>45558</v>
                </pt>
                <pt idx="257">
                  <v>45555</v>
                </pt>
                <pt idx="258">
                  <v>45554</v>
                </pt>
                <pt idx="259">
                  <v>45553</v>
                </pt>
                <pt idx="260">
                  <v>45551</v>
                </pt>
                <pt idx="261">
                  <v>45548</v>
                </pt>
                <pt idx="262">
                  <v>45547</v>
                </pt>
                <pt idx="263">
                  <v>45546</v>
                </pt>
                <pt idx="264">
                  <v>45545</v>
                </pt>
                <pt idx="265">
                  <v>45544</v>
                </pt>
                <pt idx="266">
                  <v>45541</v>
                </pt>
                <pt idx="267">
                  <v>45540</v>
                </pt>
                <pt idx="268">
                  <v>45539</v>
                </pt>
                <pt idx="269">
                  <v>45538</v>
                </pt>
                <pt idx="270">
                  <v>45537</v>
                </pt>
                <pt idx="271">
                  <v>45534</v>
                </pt>
                <pt idx="272">
                  <v>45533</v>
                </pt>
                <pt idx="273">
                  <v>45532</v>
                </pt>
                <pt idx="274">
                  <v>45531</v>
                </pt>
                <pt idx="275">
                  <v>45530</v>
                </pt>
                <pt idx="276">
                  <v>45527</v>
                </pt>
                <pt idx="277">
                  <v>45526</v>
                </pt>
                <pt idx="278">
                  <v>45525</v>
                </pt>
                <pt idx="279">
                  <v>45524</v>
                </pt>
                <pt idx="280">
                  <v>45523</v>
                </pt>
                <pt idx="281">
                  <v>45520</v>
                </pt>
                <pt idx="282">
                  <v>45519</v>
                </pt>
                <pt idx="283">
                  <v>45518</v>
                </pt>
                <pt idx="284">
                  <v>45517</v>
                </pt>
                <pt idx="285">
                  <v>45516</v>
                </pt>
                <pt idx="286">
                  <v>45513</v>
                </pt>
                <pt idx="287">
                  <v>45512</v>
                </pt>
                <pt idx="288">
                  <v>45511</v>
                </pt>
                <pt idx="289">
                  <v>45510</v>
                </pt>
                <pt idx="290">
                  <v>45509</v>
                </pt>
                <pt idx="291">
                  <v>45506</v>
                </pt>
                <pt idx="292">
                  <v>45505</v>
                </pt>
                <pt idx="293">
                  <v>45504</v>
                </pt>
                <pt idx="294">
                  <v>45503</v>
                </pt>
                <pt idx="295">
                  <v>45502</v>
                </pt>
                <pt idx="296">
                  <v>45499</v>
                </pt>
                <pt idx="297">
                  <v>45497</v>
                </pt>
                <pt idx="298">
                  <v>45496</v>
                </pt>
                <pt idx="299">
                  <v>45495</v>
                </pt>
                <pt idx="300">
                  <v>45492</v>
                </pt>
                <pt idx="301">
                  <v>45491</v>
                </pt>
                <pt idx="302">
                  <v>45490</v>
                </pt>
                <pt idx="303">
                  <v>45489</v>
                </pt>
                <pt idx="304">
                  <v>45488</v>
                </pt>
                <pt idx="305">
                  <v>45485</v>
                </pt>
                <pt idx="306">
                  <v>45484</v>
                </pt>
                <pt idx="307">
                  <v>45483</v>
                </pt>
                <pt idx="308">
                  <v>45482</v>
                </pt>
                <pt idx="309">
                  <v>45481</v>
                </pt>
                <pt idx="310">
                  <v>45478</v>
                </pt>
                <pt idx="311">
                  <v>45477</v>
                </pt>
                <pt idx="312">
                  <v>45476</v>
                </pt>
                <pt idx="313">
                  <v>45475</v>
                </pt>
                <pt idx="314">
                  <v>45474</v>
                </pt>
                <pt idx="315">
                  <v>45471</v>
                </pt>
                <pt idx="316">
                  <v>45470</v>
                </pt>
                <pt idx="317">
                  <v>45469</v>
                </pt>
                <pt idx="318">
                  <v>45468</v>
                </pt>
                <pt idx="319">
                  <v>45467</v>
                </pt>
                <pt idx="320">
                  <v>45464</v>
                </pt>
                <pt idx="321">
                  <v>45463</v>
                </pt>
                <pt idx="322">
                  <v>45462</v>
                </pt>
                <pt idx="323">
                  <v>45461</v>
                </pt>
                <pt idx="324">
                  <v>45460</v>
                </pt>
                <pt idx="325">
                  <v>45457</v>
                </pt>
                <pt idx="326">
                  <v>45456</v>
                </pt>
                <pt idx="327">
                  <v>45455</v>
                </pt>
                <pt idx="328">
                  <v>45454</v>
                </pt>
                <pt idx="329">
                  <v>45450</v>
                </pt>
                <pt idx="330">
                  <v>45449</v>
                </pt>
                <pt idx="331">
                  <v>45448</v>
                </pt>
                <pt idx="332">
                  <v>45447</v>
                </pt>
                <pt idx="333">
                  <v>45446</v>
                </pt>
                <pt idx="334">
                  <v>45443</v>
                </pt>
                <pt idx="335">
                  <v>45442</v>
                </pt>
                <pt idx="336">
                  <v>45441</v>
                </pt>
                <pt idx="337">
                  <v>45440</v>
                </pt>
                <pt idx="338">
                  <v>45439</v>
                </pt>
                <pt idx="339">
                  <v>45436</v>
                </pt>
                <pt idx="340">
                  <v>45435</v>
                </pt>
                <pt idx="341">
                  <v>45434</v>
                </pt>
                <pt idx="342">
                  <v>45433</v>
                </pt>
                <pt idx="343">
                  <v>45432</v>
                </pt>
                <pt idx="344">
                  <v>45429</v>
                </pt>
                <pt idx="345">
                  <v>45428</v>
                </pt>
                <pt idx="346">
                  <v>45427</v>
                </pt>
                <pt idx="347">
                  <v>45426</v>
                </pt>
                <pt idx="348">
                  <v>45425</v>
                </pt>
                <pt idx="349">
                  <v>45422</v>
                </pt>
                <pt idx="350">
                  <v>45421</v>
                </pt>
                <pt idx="351">
                  <v>45420</v>
                </pt>
                <pt idx="352">
                  <v>45419</v>
                </pt>
                <pt idx="353">
                  <v>45418</v>
                </pt>
                <pt idx="354">
                  <v>45415</v>
                </pt>
                <pt idx="355">
                  <v>45414</v>
                </pt>
                <pt idx="356">
                  <v>45412</v>
                </pt>
                <pt idx="357">
                  <v>45411</v>
                </pt>
                <pt idx="358">
                  <v>45408</v>
                </pt>
                <pt idx="359">
                  <v>45407</v>
                </pt>
                <pt idx="360">
                  <v>45406</v>
                </pt>
                <pt idx="361">
                  <v>45405</v>
                </pt>
                <pt idx="362">
                  <v>45404</v>
                </pt>
                <pt idx="363">
                  <v>45401</v>
                </pt>
                <pt idx="364">
                  <v>45400</v>
                </pt>
                <pt idx="365">
                  <v>45399</v>
                </pt>
                <pt idx="366">
                  <v>45398</v>
                </pt>
                <pt idx="367">
                  <v>45397</v>
                </pt>
                <pt idx="368">
                  <v>45394</v>
                </pt>
                <pt idx="369">
                  <v>45393</v>
                </pt>
                <pt idx="370">
                  <v>45392</v>
                </pt>
                <pt idx="371">
                  <v>45391</v>
                </pt>
                <pt idx="372">
                  <v>45390</v>
                </pt>
                <pt idx="373">
                  <v>45385</v>
                </pt>
                <pt idx="374">
                  <v>45384</v>
                </pt>
                <pt idx="375">
                  <v>45383</v>
                </pt>
                <pt idx="376">
                  <v>45380</v>
                </pt>
                <pt idx="377">
                  <v>45379</v>
                </pt>
                <pt idx="378">
                  <v>45378</v>
                </pt>
                <pt idx="379">
                  <v>45377</v>
                </pt>
                <pt idx="380">
                  <v>45376</v>
                </pt>
                <pt idx="381">
                  <v>45373</v>
                </pt>
                <pt idx="382">
                  <v>45372</v>
                </pt>
                <pt idx="383">
                  <v>45371</v>
                </pt>
                <pt idx="384">
                  <v>45370</v>
                </pt>
                <pt idx="385">
                  <v>45369</v>
                </pt>
                <pt idx="386">
                  <v>45366</v>
                </pt>
                <pt idx="387">
                  <v>45365</v>
                </pt>
                <pt idx="388">
                  <v>45364</v>
                </pt>
                <pt idx="389">
                  <v>45363</v>
                </pt>
                <pt idx="390">
                  <v>45362</v>
                </pt>
                <pt idx="391">
                  <v>45359</v>
                </pt>
                <pt idx="392">
                  <v>45358</v>
                </pt>
                <pt idx="393">
                  <v>45357</v>
                </pt>
                <pt idx="394">
                  <v>45356</v>
                </pt>
                <pt idx="395">
                  <v>45355</v>
                </pt>
                <pt idx="396">
                  <v>45352</v>
                </pt>
                <pt idx="397">
                  <v>45351</v>
                </pt>
                <pt idx="398">
                  <v>45349</v>
                </pt>
                <pt idx="399">
                  <v>45348</v>
                </pt>
                <pt idx="400">
                  <v>45345</v>
                </pt>
                <pt idx="401">
                  <v>45344</v>
                </pt>
                <pt idx="402">
                  <v>45343</v>
                </pt>
                <pt idx="403">
                  <v>45342</v>
                </pt>
                <pt idx="404">
                  <v>45341</v>
                </pt>
                <pt idx="405">
                  <v>45339</v>
                </pt>
                <pt idx="406">
                  <v>45338</v>
                </pt>
                <pt idx="407">
                  <v>45337</v>
                </pt>
                <pt idx="408">
                  <v>45329</v>
                </pt>
                <pt idx="409">
                  <v>45328</v>
                </pt>
                <pt idx="410">
                  <v>45327</v>
                </pt>
                <pt idx="411">
                  <v>45324</v>
                </pt>
                <pt idx="412">
                  <v>45323</v>
                </pt>
                <pt idx="413">
                  <v>45322</v>
                </pt>
                <pt idx="414">
                  <v>45321</v>
                </pt>
                <pt idx="415">
                  <v>45320</v>
                </pt>
                <pt idx="416">
                  <v>45317</v>
                </pt>
                <pt idx="417">
                  <v>45316</v>
                </pt>
                <pt idx="418">
                  <v>45315</v>
                </pt>
                <pt idx="419">
                  <v>45314</v>
                </pt>
                <pt idx="420">
                  <v>45313</v>
                </pt>
                <pt idx="421">
                  <v>45310</v>
                </pt>
                <pt idx="422">
                  <v>45309</v>
                </pt>
                <pt idx="423">
                  <v>45308</v>
                </pt>
                <pt idx="424">
                  <v>45307</v>
                </pt>
                <pt idx="425">
                  <v>45306</v>
                </pt>
                <pt idx="426">
                  <v>45303</v>
                </pt>
                <pt idx="427">
                  <v>45302</v>
                </pt>
                <pt idx="428">
                  <v>45301</v>
                </pt>
                <pt idx="429">
                  <v>45300</v>
                </pt>
                <pt idx="430">
                  <v>45299</v>
                </pt>
                <pt idx="431">
                  <v>45296</v>
                </pt>
                <pt idx="432">
                  <v>45295</v>
                </pt>
                <pt idx="433">
                  <v>45294</v>
                </pt>
                <pt idx="434">
                  <v>45293</v>
                </pt>
                <pt idx="435">
                  <v>45289</v>
                </pt>
                <pt idx="436">
                  <v>45288</v>
                </pt>
                <pt idx="437">
                  <v>45287</v>
                </pt>
                <pt idx="438">
                  <v>45286</v>
                </pt>
                <pt idx="439">
                  <v>45285</v>
                </pt>
                <pt idx="440">
                  <v>45282</v>
                </pt>
                <pt idx="441">
                  <v>45281</v>
                </pt>
                <pt idx="442">
                  <v>45280</v>
                </pt>
                <pt idx="443">
                  <v>45279</v>
                </pt>
                <pt idx="444">
                  <v>45278</v>
                </pt>
                <pt idx="445">
                  <v>45275</v>
                </pt>
                <pt idx="446">
                  <v>45274</v>
                </pt>
                <pt idx="447">
                  <v>45273</v>
                </pt>
                <pt idx="448">
                  <v>45272</v>
                </pt>
                <pt idx="449">
                  <v>45271</v>
                </pt>
                <pt idx="450">
                  <v>45268</v>
                </pt>
                <pt idx="451">
                  <v>45267</v>
                </pt>
                <pt idx="452">
                  <v>45266</v>
                </pt>
                <pt idx="453">
                  <v>45265</v>
                </pt>
                <pt idx="454">
                  <v>45264</v>
                </pt>
                <pt idx="455">
                  <v>45261</v>
                </pt>
                <pt idx="456">
                  <v>45260</v>
                </pt>
                <pt idx="457">
                  <v>45259</v>
                </pt>
                <pt idx="458">
                  <v>45258</v>
                </pt>
                <pt idx="459">
                  <v>45257</v>
                </pt>
                <pt idx="460">
                  <v>45254</v>
                </pt>
                <pt idx="461">
                  <v>45253</v>
                </pt>
                <pt idx="462">
                  <v>45252</v>
                </pt>
                <pt idx="463">
                  <v>45251</v>
                </pt>
                <pt idx="464">
                  <v>45250</v>
                </pt>
                <pt idx="465">
                  <v>45247</v>
                </pt>
                <pt idx="466">
                  <v>45246</v>
                </pt>
                <pt idx="467">
                  <v>45245</v>
                </pt>
                <pt idx="468">
                  <v>45244</v>
                </pt>
                <pt idx="469">
                  <v>45243</v>
                </pt>
                <pt idx="470">
                  <v>45240</v>
                </pt>
                <pt idx="471">
                  <v>45239</v>
                </pt>
                <pt idx="472">
                  <v>45238</v>
                </pt>
                <pt idx="473">
                  <v>45237</v>
                </pt>
                <pt idx="474">
                  <v>45236</v>
                </pt>
                <pt idx="475">
                  <v>45233</v>
                </pt>
                <pt idx="476">
                  <v>45232</v>
                </pt>
                <pt idx="477">
                  <v>45231</v>
                </pt>
                <pt idx="478">
                  <v>45230</v>
                </pt>
                <pt idx="479">
                  <v>45229</v>
                </pt>
                <pt idx="480">
                  <v>45226</v>
                </pt>
                <pt idx="481">
                  <v>45225</v>
                </pt>
                <pt idx="482">
                  <v>45224</v>
                </pt>
                <pt idx="483">
                  <v>45223</v>
                </pt>
                <pt idx="484">
                  <v>45222</v>
                </pt>
                <pt idx="485">
                  <v>45219</v>
                </pt>
                <pt idx="486">
                  <v>45218</v>
                </pt>
                <pt idx="487">
                  <v>45217</v>
                </pt>
                <pt idx="488">
                  <v>45216</v>
                </pt>
                <pt idx="489">
                  <v>45215</v>
                </pt>
                <pt idx="490">
                  <v>45212</v>
                </pt>
                <pt idx="491">
                  <v>45211</v>
                </pt>
                <pt idx="492">
                  <v>45210</v>
                </pt>
                <pt idx="493">
                  <v>45205</v>
                </pt>
                <pt idx="494">
                  <v>45204</v>
                </pt>
                <pt idx="495">
                  <v>45203</v>
                </pt>
                <pt idx="496">
                  <v>45202</v>
                </pt>
                <pt idx="497">
                  <v>45201</v>
                </pt>
                <pt idx="498">
                  <v>45197</v>
                </pt>
                <pt idx="499">
                  <v>45196</v>
                </pt>
                <pt idx="500">
                  <v>45195</v>
                </pt>
                <pt idx="501">
                  <v>45194</v>
                </pt>
                <pt idx="502">
                  <v>45192</v>
                </pt>
                <pt idx="503">
                  <v>45191</v>
                </pt>
                <pt idx="504">
                  <v>45190</v>
                </pt>
                <pt idx="505">
                  <v>45189</v>
                </pt>
                <pt idx="506">
                  <v>45188</v>
                </pt>
                <pt idx="507">
                  <v>45187</v>
                </pt>
                <pt idx="508">
                  <v>45184</v>
                </pt>
                <pt idx="509">
                  <v>45183</v>
                </pt>
                <pt idx="510">
                  <v>45182</v>
                </pt>
                <pt idx="511">
                  <v>45181</v>
                </pt>
                <pt idx="512">
                  <v>45180</v>
                </pt>
                <pt idx="513">
                  <v>45177</v>
                </pt>
                <pt idx="514">
                  <v>45176</v>
                </pt>
                <pt idx="515">
                  <v>45175</v>
                </pt>
                <pt idx="516">
                  <v>45174</v>
                </pt>
                <pt idx="517">
                  <v>45173</v>
                </pt>
                <pt idx="518">
                  <v>45170</v>
                </pt>
                <pt idx="519">
                  <v>45169</v>
                </pt>
                <pt idx="520">
                  <v>45168</v>
                </pt>
                <pt idx="521">
                  <v>45167</v>
                </pt>
                <pt idx="522">
                  <v>45166</v>
                </pt>
                <pt idx="523">
                  <v>45163</v>
                </pt>
                <pt idx="524">
                  <v>45162</v>
                </pt>
                <pt idx="525">
                  <v>45161</v>
                </pt>
                <pt idx="526">
                  <v>45160</v>
                </pt>
                <pt idx="527">
                  <v>45159</v>
                </pt>
                <pt idx="528">
                  <v>45156</v>
                </pt>
                <pt idx="529">
                  <v>45155</v>
                </pt>
                <pt idx="530">
                  <v>45154</v>
                </pt>
                <pt idx="531">
                  <v>45153</v>
                </pt>
                <pt idx="532">
                  <v>45152</v>
                </pt>
                <pt idx="533">
                  <v>45149</v>
                </pt>
                <pt idx="534">
                  <v>45148</v>
                </pt>
                <pt idx="535">
                  <v>45147</v>
                </pt>
                <pt idx="536">
                  <v>45146</v>
                </pt>
                <pt idx="537">
                  <v>45145</v>
                </pt>
                <pt idx="538">
                  <v>45142</v>
                </pt>
                <pt idx="539">
                  <v>45141</v>
                </pt>
                <pt idx="540">
                  <v>45140</v>
                </pt>
                <pt idx="541">
                  <v>45139</v>
                </pt>
                <pt idx="542">
                  <v>45138</v>
                </pt>
                <pt idx="543">
                  <v>45135</v>
                </pt>
                <pt idx="544">
                  <v>45134</v>
                </pt>
                <pt idx="545">
                  <v>45133</v>
                </pt>
                <pt idx="546">
                  <v>45132</v>
                </pt>
                <pt idx="547">
                  <v>45131</v>
                </pt>
                <pt idx="548">
                  <v>45128</v>
                </pt>
                <pt idx="549">
                  <v>45127</v>
                </pt>
                <pt idx="550">
                  <v>45126</v>
                </pt>
                <pt idx="551">
                  <v>45125</v>
                </pt>
                <pt idx="552">
                  <v>45124</v>
                </pt>
                <pt idx="553">
                  <v>45121</v>
                </pt>
                <pt idx="554">
                  <v>45120</v>
                </pt>
                <pt idx="555">
                  <v>45119</v>
                </pt>
                <pt idx="556">
                  <v>45118</v>
                </pt>
                <pt idx="557">
                  <v>45117</v>
                </pt>
                <pt idx="558">
                  <v>45114</v>
                </pt>
                <pt idx="559">
                  <v>45113</v>
                </pt>
                <pt idx="560">
                  <v>45112</v>
                </pt>
                <pt idx="561">
                  <v>45111</v>
                </pt>
                <pt idx="562">
                  <v>45110</v>
                </pt>
                <pt idx="563">
                  <v>45107</v>
                </pt>
                <pt idx="564">
                  <v>45106</v>
                </pt>
                <pt idx="565">
                  <v>45105</v>
                </pt>
                <pt idx="566">
                  <v>45104</v>
                </pt>
                <pt idx="567">
                  <v>45103</v>
                </pt>
                <pt idx="568">
                  <v>45098</v>
                </pt>
                <pt idx="569">
                  <v>45097</v>
                </pt>
                <pt idx="570">
                  <v>45096</v>
                </pt>
                <pt idx="571">
                  <v>45094</v>
                </pt>
                <pt idx="572">
                  <v>45093</v>
                </pt>
                <pt idx="573">
                  <v>45092</v>
                </pt>
                <pt idx="574">
                  <v>45091</v>
                </pt>
                <pt idx="575">
                  <v>45090</v>
                </pt>
                <pt idx="576">
                  <v>45089</v>
                </pt>
                <pt idx="577">
                  <v>45086</v>
                </pt>
                <pt idx="578">
                  <v>45085</v>
                </pt>
                <pt idx="579">
                  <v>45084</v>
                </pt>
                <pt idx="580">
                  <v>45083</v>
                </pt>
                <pt idx="581">
                  <v>45082</v>
                </pt>
                <pt idx="582">
                  <v>45079</v>
                </pt>
                <pt idx="583">
                  <v>45078</v>
                </pt>
                <pt idx="584">
                  <v>45077</v>
                </pt>
                <pt idx="585">
                  <v>45076</v>
                </pt>
                <pt idx="586">
                  <v>45075</v>
                </pt>
                <pt idx="587">
                  <v>45072</v>
                </pt>
                <pt idx="588">
                  <v>45071</v>
                </pt>
                <pt idx="589">
                  <v>45070</v>
                </pt>
                <pt idx="590">
                  <v>45069</v>
                </pt>
                <pt idx="591">
                  <v>45068</v>
                </pt>
                <pt idx="592">
                  <v>45065</v>
                </pt>
                <pt idx="593">
                  <v>45064</v>
                </pt>
                <pt idx="594">
                  <v>45063</v>
                </pt>
                <pt idx="595">
                  <v>45062</v>
                </pt>
                <pt idx="596">
                  <v>45061</v>
                </pt>
                <pt idx="597">
                  <v>45058</v>
                </pt>
                <pt idx="598">
                  <v>45057</v>
                </pt>
                <pt idx="599">
                  <v>45056</v>
                </pt>
                <pt idx="600">
                  <v>45055</v>
                </pt>
                <pt idx="601">
                  <v>45054</v>
                </pt>
                <pt idx="602">
                  <v>45051</v>
                </pt>
                <pt idx="603">
                  <v>45050</v>
                </pt>
                <pt idx="604">
                  <v>45049</v>
                </pt>
                <pt idx="605">
                  <v>45048</v>
                </pt>
                <pt idx="606">
                  <v>45044</v>
                </pt>
                <pt idx="607">
                  <v>45043</v>
                </pt>
              </numCache>
            </numRef>
          </cat>
          <val>
            <numRef>
              <f>匯率!$L$3:$L$610</f>
              <numCache>
                <formatCode>General</formatCode>
                <ptCount val="608"/>
                <pt idx="0">
                  <v>31.515</v>
                </pt>
                <pt idx="1">
                  <v>31.505</v>
                </pt>
                <pt idx="2">
                  <v>31.55</v>
                </pt>
                <pt idx="3">
                  <v>31.415</v>
                </pt>
                <pt idx="4">
                  <v>31.25</v>
                </pt>
                <pt idx="5">
                  <v>31.24</v>
                </pt>
                <pt idx="6">
                  <v>31.38</v>
                </pt>
                <pt idx="7">
                  <v>31.445</v>
                </pt>
                <pt idx="8">
                  <v>31.5</v>
                </pt>
                <pt idx="9">
                  <v>31.55</v>
                </pt>
                <pt idx="10">
                  <v>31.59</v>
                </pt>
                <pt idx="11">
                  <v>31.555</v>
                </pt>
                <pt idx="12">
                  <v>31.545</v>
                </pt>
                <pt idx="13">
                  <v>31.51</v>
                </pt>
                <pt idx="14">
                  <v>31.525</v>
                </pt>
                <pt idx="15">
                  <v>31.58</v>
                </pt>
                <pt idx="16">
                  <v>31.6</v>
                </pt>
                <pt idx="17">
                  <v>31.59</v>
                </pt>
                <pt idx="18">
                  <v>31.55</v>
                </pt>
                <pt idx="19">
                  <v>31.525</v>
                </pt>
                <pt idx="20">
                  <v>31.46</v>
                </pt>
                <pt idx="21">
                  <v>31.47</v>
                </pt>
                <pt idx="22">
                  <v>31.49</v>
                </pt>
                <pt idx="23">
                  <v>31.37</v>
                </pt>
                <pt idx="24">
                  <v>31.38</v>
                </pt>
                <pt idx="25">
                  <v>31.325</v>
                </pt>
                <pt idx="26">
                  <v>31.39</v>
                </pt>
                <pt idx="27">
                  <v>31.395</v>
                </pt>
                <pt idx="28">
                  <v>31.425</v>
                </pt>
                <pt idx="29">
                  <v>31.47</v>
                </pt>
                <pt idx="30">
                  <v>31.48</v>
                </pt>
                <pt idx="31">
                  <v>31.485</v>
                </pt>
                <pt idx="32">
                  <v>31.47</v>
                </pt>
                <pt idx="33">
                  <v>31.485</v>
                </pt>
                <pt idx="34">
                  <v>31.42</v>
                </pt>
                <pt idx="35">
                  <v>31.33</v>
                </pt>
                <pt idx="36">
                  <v>31.11</v>
                </pt>
                <pt idx="37">
                  <v>31.205</v>
                </pt>
                <pt idx="38">
                  <v>31.14</v>
                </pt>
                <pt idx="39">
                  <v>31.145</v>
                </pt>
                <pt idx="40">
                  <v>31.14</v>
                </pt>
                <pt idx="41">
                  <v>31.19</v>
                </pt>
                <pt idx="42">
                  <v>31.275</v>
                </pt>
                <pt idx="43">
                  <v>31.27</v>
                </pt>
                <pt idx="44">
                  <v>31.36</v>
                </pt>
                <pt idx="45">
                  <v>31.38</v>
                </pt>
                <pt idx="46">
                  <v>31.35</v>
                </pt>
                <pt idx="47">
                  <v>31.275</v>
                </pt>
                <pt idx="48">
                  <v>31.29</v>
                </pt>
                <pt idx="49">
                  <v>31.39</v>
                </pt>
                <pt idx="50">
                  <v>31.385</v>
                </pt>
                <pt idx="51">
                  <v>31.37</v>
                </pt>
                <pt idx="52">
                  <v>31.24</v>
                </pt>
                <pt idx="53">
                  <v>31.19</v>
                </pt>
                <pt idx="54">
                  <v>31.14</v>
                </pt>
                <pt idx="55">
                  <v>31.11</v>
                </pt>
                <pt idx="56">
                  <v>31.09</v>
                </pt>
                <pt idx="57">
                  <v>31.01</v>
                </pt>
                <pt idx="58">
                  <v>31.005</v>
                </pt>
                <pt idx="59">
                  <v>30.99</v>
                </pt>
                <pt idx="60">
                  <v>30.95</v>
                </pt>
                <pt idx="61">
                  <v>30.98</v>
                </pt>
                <pt idx="62">
                  <v>30.895</v>
                </pt>
                <pt idx="63">
                  <v>30.885</v>
                </pt>
                <pt idx="64">
                  <v>30.845</v>
                </pt>
                <pt idx="65">
                  <v>30.78</v>
                </pt>
                <pt idx="66">
                  <v>30.68</v>
                </pt>
                <pt idx="67">
                  <v>30.64</v>
                </pt>
                <pt idx="68">
                  <v>30.565</v>
                </pt>
                <pt idx="69">
                  <v>30.57</v>
                </pt>
                <pt idx="70">
                  <v>30.65</v>
                </pt>
                <pt idx="71">
                  <v>30.755</v>
                </pt>
                <pt idx="72">
                  <v>30.67</v>
                </pt>
                <pt idx="73">
                  <v>30.625</v>
                </pt>
                <pt idx="74">
                  <v>30.575</v>
                </pt>
                <pt idx="75">
                  <v>30.61</v>
                </pt>
                <pt idx="76">
                  <v>30.585</v>
                </pt>
                <pt idx="77">
                  <v>30.575</v>
                </pt>
                <pt idx="78">
                  <v>30.705</v>
                </pt>
                <pt idx="79">
                  <v>30.645</v>
                </pt>
                <pt idx="80">
                  <v>30.48</v>
                </pt>
                <pt idx="81">
                  <v>30.48</v>
                </pt>
                <pt idx="82">
                  <v>30.465</v>
                </pt>
                <pt idx="83">
                  <v>30.31</v>
                </pt>
                <pt idx="84">
                  <v>30.36</v>
                </pt>
                <pt idx="85">
                  <v>30.39</v>
                </pt>
                <pt idx="86">
                  <v>30.395</v>
                </pt>
                <pt idx="87">
                  <v>30.465</v>
                </pt>
                <pt idx="88">
                  <v>30.38</v>
                </pt>
                <pt idx="89">
                  <v>30.26</v>
                </pt>
                <pt idx="90">
                  <v>30.23</v>
                </pt>
                <pt idx="91">
                  <v>30.195</v>
                </pt>
                <pt idx="92">
                  <v>30.16</v>
                </pt>
                <pt idx="93">
                  <v>30.025</v>
                </pt>
                <pt idx="94">
                  <v>29.99</v>
                </pt>
                <pt idx="95">
                  <v>30.015</v>
                </pt>
                <pt idx="96">
                  <v>30.155</v>
                </pt>
                <pt idx="97">
                  <v>30.165</v>
                </pt>
                <pt idx="98">
                  <v>30.255</v>
                </pt>
                <pt idx="99">
                  <v>30.22</v>
                </pt>
                <pt idx="100">
                  <v>30.3</v>
                </pt>
                <pt idx="101">
                  <v>30.445</v>
                </pt>
                <pt idx="102">
                  <v>30.515</v>
                </pt>
                <pt idx="103">
                  <v>30.645</v>
                </pt>
                <pt idx="104">
                  <v>30.665</v>
                </pt>
                <pt idx="105">
                  <v>30.625</v>
                </pt>
                <pt idx="106">
                  <v>30.565</v>
                </pt>
                <pt idx="107">
                  <v>30.54</v>
                </pt>
                <pt idx="108">
                  <v>30.53</v>
                </pt>
                <pt idx="109">
                  <v>30.52</v>
                </pt>
                <pt idx="110">
                  <v>30.49</v>
                </pt>
                <pt idx="111">
                  <v>30.385</v>
                </pt>
                <pt idx="112">
                  <v>30.535</v>
                </pt>
                <pt idx="113">
                  <v>30.45</v>
                </pt>
                <pt idx="114">
                  <v>30.25</v>
                </pt>
                <pt idx="115">
                  <v>30.06</v>
                </pt>
                <pt idx="116">
                  <v>29.995</v>
                </pt>
                <pt idx="117">
                  <v>29.94</v>
                </pt>
                <pt idx="118">
                  <v>29.925</v>
                </pt>
                <pt idx="119">
                  <v>29.895</v>
                </pt>
                <pt idx="120">
                  <v>32.46</v>
                </pt>
                <pt idx="121">
                  <v>32.45</v>
                </pt>
                <pt idx="122">
                  <v>32.435</v>
                </pt>
                <pt idx="123">
                  <v>32.62</v>
                </pt>
                <pt idx="124">
                  <v>32.815</v>
                </pt>
                <pt idx="125">
                  <v>32.96</v>
                </pt>
                <pt idx="126">
                  <v>32.955</v>
                </pt>
                <pt idx="127">
                  <v>33</v>
                </pt>
                <pt idx="128">
                  <v>33.04</v>
                </pt>
                <pt idx="129">
                  <v>33.15</v>
                </pt>
                <pt idx="130">
                  <v>33.155</v>
                </pt>
                <pt idx="131">
                  <v>33.05</v>
                </pt>
                <pt idx="132">
                  <v>33.06</v>
                </pt>
                <pt idx="133">
                  <v>33.045</v>
                </pt>
                <pt idx="134">
                  <v>33.03</v>
                </pt>
                <pt idx="135">
                  <v>32.985</v>
                </pt>
                <pt idx="136">
                  <v>32.95</v>
                </pt>
                <pt idx="137">
                  <v>32.96</v>
                </pt>
                <pt idx="138">
                  <v>32.995</v>
                </pt>
                <pt idx="139">
                  <v>32.95</v>
                </pt>
                <pt idx="140">
                  <v>32.965</v>
                </pt>
                <pt idx="141">
                  <v>32.91</v>
                </pt>
                <pt idx="142">
                  <v>32.92</v>
                </pt>
                <pt idx="143">
                  <v>32.91</v>
                </pt>
                <pt idx="144">
                  <v>32.84</v>
                </pt>
                <pt idx="145">
                  <v>32.87</v>
                </pt>
                <pt idx="146">
                  <v>32.79</v>
                </pt>
                <pt idx="147">
                  <v>32.805</v>
                </pt>
                <pt idx="148">
                  <v>32.775</v>
                </pt>
                <pt idx="149">
                  <v>32.865</v>
                </pt>
                <pt idx="150">
                  <v>32.875</v>
                </pt>
                <pt idx="151">
                  <v>32.77</v>
                </pt>
                <pt idx="152">
                  <v>32.745</v>
                </pt>
                <pt idx="153">
                  <v>32.755</v>
                </pt>
                <pt idx="154">
                  <v>32.665</v>
                </pt>
                <pt idx="155">
                  <v>32.7</v>
                </pt>
                <pt idx="156">
                  <v>32.745</v>
                </pt>
                <pt idx="157">
                  <v>32.7</v>
                </pt>
                <pt idx="158">
                  <v>32.72</v>
                </pt>
                <pt idx="159">
                  <v>32.655</v>
                </pt>
                <pt idx="160">
                  <v>32.735</v>
                </pt>
                <pt idx="161">
                  <v>32.76</v>
                </pt>
                <pt idx="162">
                  <v>32.81</v>
                </pt>
                <pt idx="163">
                  <v>32.795</v>
                </pt>
                <pt idx="164">
                  <v>32.795</v>
                </pt>
                <pt idx="165">
                  <v>32.74</v>
                </pt>
                <pt idx="166">
                  <v>32.705</v>
                </pt>
                <pt idx="167">
                  <v>32.78</v>
                </pt>
                <pt idx="168">
                  <v>32.8</v>
                </pt>
                <pt idx="169">
                  <v>32.935</v>
                </pt>
                <pt idx="170">
                  <v>32.92</v>
                </pt>
                <pt idx="171">
                  <v>32.635</v>
                </pt>
                <pt idx="172">
                  <v>32.72</v>
                </pt>
                <pt idx="173">
                  <v>32.725</v>
                </pt>
                <pt idx="174">
                  <v>32.73</v>
                </pt>
                <pt idx="175">
                  <v>32.755</v>
                </pt>
                <pt idx="176">
                  <v>32.88</v>
                </pt>
                <pt idx="177">
                  <v>32.88</v>
                </pt>
                <pt idx="178">
                  <v>33.015</v>
                </pt>
                <pt idx="179">
                  <v>32.92</v>
                </pt>
                <pt idx="180">
                  <v>33.07</v>
                </pt>
                <pt idx="181">
                  <v>32.915</v>
                </pt>
                <pt idx="182">
                  <v>32.9</v>
                </pt>
                <pt idx="183">
                  <v>32.84</v>
                </pt>
                <pt idx="184">
                  <v>32.685</v>
                </pt>
                <pt idx="185">
                  <v>32.815</v>
                </pt>
                <pt idx="186">
                  <v>32.865</v>
                </pt>
                <pt idx="187">
                  <v>32.83</v>
                </pt>
                <pt idx="188">
                  <v>32.735</v>
                </pt>
                <pt idx="189">
                  <v>32.675</v>
                </pt>
                <pt idx="190">
                  <v>32.67</v>
                </pt>
                <pt idx="191">
                  <v>32.65</v>
                </pt>
                <pt idx="192">
                  <v>32.625</v>
                </pt>
                <pt idx="193">
                  <v>32.63</v>
                </pt>
                <pt idx="194">
                  <v>32.64</v>
                </pt>
                <pt idx="195">
                  <v>32.645</v>
                </pt>
                <pt idx="196">
                  <v>32.62</v>
                </pt>
                <pt idx="197">
                  <v>32.44</v>
                </pt>
                <pt idx="198">
                  <v>32.465</v>
                </pt>
                <pt idx="199">
                  <v>32.435</v>
                </pt>
                <pt idx="200">
                  <v>32.455</v>
                </pt>
                <pt idx="201">
                  <v>32.44</v>
                </pt>
                <pt idx="202">
                  <v>32.46</v>
                </pt>
                <pt idx="203">
                  <v>32.395</v>
                </pt>
                <pt idx="204">
                  <v>32.425</v>
                </pt>
                <pt idx="205">
                  <v>32.355</v>
                </pt>
                <pt idx="206">
                  <v>32.39</v>
                </pt>
                <pt idx="207">
                  <v>32.385</v>
                </pt>
                <pt idx="208">
                  <v>32.49</v>
                </pt>
                <pt idx="209">
                  <v>32.55</v>
                </pt>
                <pt idx="210">
                  <v>32.42</v>
                </pt>
                <pt idx="211">
                  <v>32.48</v>
                </pt>
                <pt idx="212">
                  <v>32.485</v>
                </pt>
                <pt idx="213">
                  <v>32.46</v>
                </pt>
                <pt idx="214">
                  <v>32.43</v>
                </pt>
                <pt idx="215">
                  <v>32.54</v>
                </pt>
                <pt idx="216">
                  <v>32.495</v>
                </pt>
                <pt idx="217">
                  <v>32.445</v>
                </pt>
                <pt idx="218">
                  <v>32.36</v>
                </pt>
                <pt idx="219">
                  <v>32.485</v>
                </pt>
                <pt idx="220">
                  <v>32.42</v>
                </pt>
                <pt idx="221">
                  <v>32.515</v>
                </pt>
                <pt idx="222">
                  <v>32.4</v>
                </pt>
                <pt idx="223">
                  <v>32.385</v>
                </pt>
                <pt idx="224">
                  <v>32.2</v>
                </pt>
                <pt idx="225">
                  <v>32.065</v>
                </pt>
                <pt idx="226">
                  <v>32.19</v>
                </pt>
                <pt idx="227">
                  <v>32.125</v>
                </pt>
                <pt idx="228">
                  <v>31.92</v>
                </pt>
                <pt idx="229">
                  <v>31.92</v>
                </pt>
                <pt idx="230">
                  <v>31.915</v>
                </pt>
                <pt idx="231">
                  <v>31.99</v>
                </pt>
                <pt idx="232">
                  <v>31.99</v>
                </pt>
                <pt idx="233">
                  <v>32.05</v>
                </pt>
                <pt idx="234">
                  <v>32.045</v>
                </pt>
                <pt idx="235">
                  <v>32.02</v>
                </pt>
                <pt idx="236">
                  <v>32.04</v>
                </pt>
                <pt idx="237">
                  <v>32.03</v>
                </pt>
                <pt idx="238">
                  <v>32.01</v>
                </pt>
                <pt idx="239">
                  <v>31.92</v>
                </pt>
                <pt idx="240">
                  <v>32.02</v>
                </pt>
                <pt idx="241">
                  <v>32.115</v>
                </pt>
                <pt idx="242">
                  <v>32.135</v>
                </pt>
                <pt idx="243">
                  <v>32.13</v>
                </pt>
                <pt idx="244">
                  <v>32.12</v>
                </pt>
                <pt idx="245">
                  <v>32.135</v>
                </pt>
                <pt idx="246">
                  <v>32.13</v>
                </pt>
                <pt idx="247">
                  <v>32.17</v>
                </pt>
                <pt idx="248">
                  <v>32.08</v>
                </pt>
                <pt idx="249">
                  <v>31.91</v>
                </pt>
                <pt idx="250">
                  <v>31.79</v>
                </pt>
                <pt idx="251">
                  <v>31.6</v>
                </pt>
                <pt idx="252">
                  <v>31.64</v>
                </pt>
                <pt idx="253">
                  <v>31.815</v>
                </pt>
                <pt idx="254">
                  <v>31.79</v>
                </pt>
                <pt idx="255">
                  <v>31.92</v>
                </pt>
                <pt idx="256">
                  <v>31.985</v>
                </pt>
                <pt idx="257">
                  <v>31.915</v>
                </pt>
                <pt idx="258">
                  <v>31.885</v>
                </pt>
                <pt idx="259">
                  <v>31.89</v>
                </pt>
                <pt idx="260">
                  <v>31.86</v>
                </pt>
                <pt idx="261">
                  <v>31.945</v>
                </pt>
                <pt idx="262">
                  <v>32.08</v>
                </pt>
                <pt idx="263">
                  <v>32.075</v>
                </pt>
                <pt idx="264">
                  <v>32.13</v>
                </pt>
                <pt idx="265">
                  <v>32.04</v>
                </pt>
                <pt idx="266">
                  <v>31.88</v>
                </pt>
                <pt idx="267">
                  <v>32.02</v>
                </pt>
                <pt idx="268">
                  <v>32.14</v>
                </pt>
                <pt idx="269">
                  <v>32.01</v>
                </pt>
                <pt idx="270">
                  <v>31.97</v>
                </pt>
                <pt idx="271">
                  <v>31.89</v>
                </pt>
                <pt idx="272">
                  <v>31.86</v>
                </pt>
                <pt idx="273">
                  <v>31.9</v>
                </pt>
                <pt idx="274">
                  <v>31.88</v>
                </pt>
                <pt idx="275">
                  <v>31.76</v>
                </pt>
                <pt idx="276">
                  <v>31.91</v>
                </pt>
                <pt idx="277">
                  <v>31.915</v>
                </pt>
                <pt idx="278">
                  <v>31.885</v>
                </pt>
                <pt idx="279">
                  <v>31.93</v>
                </pt>
                <pt idx="280">
                  <v>31.975</v>
                </pt>
                <pt idx="281">
                  <v>32.23</v>
                </pt>
                <pt idx="282">
                  <v>32.23</v>
                </pt>
                <pt idx="283">
                  <v>32.25</v>
                </pt>
                <pt idx="284">
                  <v>32.425</v>
                </pt>
                <pt idx="285">
                  <v>32.41</v>
                </pt>
                <pt idx="286">
                  <v>32.38</v>
                </pt>
                <pt idx="287">
                  <v>32.52</v>
                </pt>
                <pt idx="288">
                  <v>32.635</v>
                </pt>
                <pt idx="289">
                  <v>32.64</v>
                </pt>
                <pt idx="290">
                  <v>32.595</v>
                </pt>
                <pt idx="291">
                  <v>32.765</v>
                </pt>
                <pt idx="292">
                  <v>32.725</v>
                </pt>
                <pt idx="293">
                  <v>32.785</v>
                </pt>
                <pt idx="294">
                  <v>32.8</v>
                </pt>
                <pt idx="295">
                  <v>32.82</v>
                </pt>
                <pt idx="296">
                  <v>32.78</v>
                </pt>
                <pt idx="297">
                  <v>32.78</v>
                </pt>
                <pt idx="298">
                  <v>32.79</v>
                </pt>
                <pt idx="299">
                  <v>32.8</v>
                </pt>
                <pt idx="300">
                  <v>32.68</v>
                </pt>
                <pt idx="301">
                  <v>32.555</v>
                </pt>
                <pt idx="302">
                  <v>32.565</v>
                </pt>
                <pt idx="303">
                  <v>32.575</v>
                </pt>
                <pt idx="304">
                  <v>32.525</v>
                </pt>
                <pt idx="305">
                  <v>32.51</v>
                </pt>
                <pt idx="306">
                  <v>32.46</v>
                </pt>
                <pt idx="307">
                  <v>32.535</v>
                </pt>
                <pt idx="308">
                  <v>32.5</v>
                </pt>
                <pt idx="309">
                  <v>32.445</v>
                </pt>
                <pt idx="310">
                  <v>32.425</v>
                </pt>
                <pt idx="311">
                  <v>32.425</v>
                </pt>
                <pt idx="312">
                  <v>32.58</v>
                </pt>
                <pt idx="313">
                  <v>32.57</v>
                </pt>
                <pt idx="314">
                  <v>32.495</v>
                </pt>
                <pt idx="315">
                  <v>32.4</v>
                </pt>
                <pt idx="316">
                  <v>32.48</v>
                </pt>
                <pt idx="317">
                  <v>32.5</v>
                </pt>
                <pt idx="318">
                  <v>32.395</v>
                </pt>
                <pt idx="319">
                  <v>32.34</v>
                </pt>
                <pt idx="320">
                  <v>32.32</v>
                </pt>
                <pt idx="321">
                  <v>32.275</v>
                </pt>
                <pt idx="322">
                  <v>32.305</v>
                </pt>
                <pt idx="323">
                  <v>32.345</v>
                </pt>
                <pt idx="324">
                  <v>32.335</v>
                </pt>
                <pt idx="325">
                  <v>32.295</v>
                </pt>
                <pt idx="326">
                  <v>32.28</v>
                </pt>
                <pt idx="327">
                  <v>32.335</v>
                </pt>
                <pt idx="328">
                  <v>32.345</v>
                </pt>
                <pt idx="329">
                  <v>32.2</v>
                </pt>
                <pt idx="330">
                  <v>32.22</v>
                </pt>
                <pt idx="331">
                  <v>32.29</v>
                </pt>
                <pt idx="332">
                  <v>32.345</v>
                </pt>
                <pt idx="333">
                  <v>32.345</v>
                </pt>
                <pt idx="334">
                  <v>32.35</v>
                </pt>
                <pt idx="335">
                  <v>32.39</v>
                </pt>
                <pt idx="336">
                  <v>32.245</v>
                </pt>
                <pt idx="337">
                  <v>32.12</v>
                </pt>
                <pt idx="338">
                  <v>32.13</v>
                </pt>
                <pt idx="339">
                  <v>32.215</v>
                </pt>
                <pt idx="340">
                  <v>32.19</v>
                </pt>
                <pt idx="341">
                  <v>32.225</v>
                </pt>
                <pt idx="342">
                  <v>32.24</v>
                </pt>
                <pt idx="343">
                  <v>32.185</v>
                </pt>
                <pt idx="344">
                  <v>32.16</v>
                </pt>
                <pt idx="345">
                  <v>32.055</v>
                </pt>
                <pt idx="346">
                  <v>32.255</v>
                </pt>
                <pt idx="347">
                  <v>32.365</v>
                </pt>
                <pt idx="348">
                  <v>32.365</v>
                </pt>
                <pt idx="349">
                  <v>32.365</v>
                </pt>
                <pt idx="350">
                  <v>32.405</v>
                </pt>
                <pt idx="351">
                  <v>32.36</v>
                </pt>
                <pt idx="352">
                  <v>32.32</v>
                </pt>
                <pt idx="353">
                  <v>32.3</v>
                </pt>
                <pt idx="354">
                  <v>32.325</v>
                </pt>
                <pt idx="355">
                  <v>32.45</v>
                </pt>
                <pt idx="356">
                  <v>32.495</v>
                </pt>
                <pt idx="357">
                  <v>32.51</v>
                </pt>
                <pt idx="358">
                  <v>32.52</v>
                </pt>
                <pt idx="359">
                  <v>32.53</v>
                </pt>
                <pt idx="360">
                  <v>32.485</v>
                </pt>
                <pt idx="361">
                  <v>32.545</v>
                </pt>
                <pt idx="362">
                  <v>32.59</v>
                </pt>
                <pt idx="363">
                  <v>32.465</v>
                </pt>
                <pt idx="364">
                  <v>32.325</v>
                </pt>
                <pt idx="365">
                  <v>32.44</v>
                </pt>
                <pt idx="366">
                  <v>32.445</v>
                </pt>
                <pt idx="367">
                  <v>32.33</v>
                </pt>
                <pt idx="368">
                  <v>32.245</v>
                </pt>
                <pt idx="369">
                  <v>32.18</v>
                </pt>
                <pt idx="370">
                  <v>31.96</v>
                </pt>
                <pt idx="371">
                  <v>32.055</v>
                </pt>
                <pt idx="372">
                  <v>32.05</v>
                </pt>
                <pt idx="373">
                  <v>32.01</v>
                </pt>
                <pt idx="374">
                  <v>32.025</v>
                </pt>
                <pt idx="375">
                  <v>31.93</v>
                </pt>
                <pt idx="376">
                  <v>31.95</v>
                </pt>
                <pt idx="377">
                  <v>31.94</v>
                </pt>
                <pt idx="378">
                  <v>31.95</v>
                </pt>
                <pt idx="379">
                  <v>31.855</v>
                </pt>
                <pt idx="380">
                  <v>31.815</v>
                </pt>
                <pt idx="381">
                  <v>31.91</v>
                </pt>
                <pt idx="382">
                  <v>31.785</v>
                </pt>
                <pt idx="383">
                  <v>31.82</v>
                </pt>
                <pt idx="384">
                  <v>31.73</v>
                </pt>
                <pt idx="385">
                  <v>31.61</v>
                </pt>
                <pt idx="386">
                  <v>31.55</v>
                </pt>
                <pt idx="387">
                  <v>31.45</v>
                </pt>
                <pt idx="388">
                  <v>31.415</v>
                </pt>
                <pt idx="389">
                  <v>31.37</v>
                </pt>
                <pt idx="390">
                  <v>31.37</v>
                </pt>
                <pt idx="391">
                  <v>31.38</v>
                </pt>
                <pt idx="392">
                  <v>31.49</v>
                </pt>
                <pt idx="393">
                  <v>31.525</v>
                </pt>
                <pt idx="394">
                  <v>31.515</v>
                </pt>
                <pt idx="395">
                  <v>31.475</v>
                </pt>
                <pt idx="396">
                  <v>31.56</v>
                </pt>
                <pt idx="397">
                  <v>31.53</v>
                </pt>
                <pt idx="398">
                  <v>31.52</v>
                </pt>
                <pt idx="399">
                  <v>31.5</v>
                </pt>
                <pt idx="400">
                  <v>31.505</v>
                </pt>
                <pt idx="401">
                  <v>31.46</v>
                </pt>
                <pt idx="402">
                  <v>31.48</v>
                </pt>
                <pt idx="403">
                  <v>31.45</v>
                </pt>
                <pt idx="404">
                  <v>31.35</v>
                </pt>
                <pt idx="405">
                  <v>31.335</v>
                </pt>
                <pt idx="406">
                  <v>31.31</v>
                </pt>
                <pt idx="407">
                  <v>31.38</v>
                </pt>
                <pt idx="408">
                  <v>31.3</v>
                </pt>
                <pt idx="409">
                  <v>31.28</v>
                </pt>
                <pt idx="410">
                  <v>31.32</v>
                </pt>
                <pt idx="411">
                  <v>31.185</v>
                </pt>
                <pt idx="412">
                  <v>31.28</v>
                </pt>
                <pt idx="413">
                  <v>31.24</v>
                </pt>
                <pt idx="414">
                  <v>31.09</v>
                </pt>
                <pt idx="415">
                  <v>31.2</v>
                </pt>
                <pt idx="416">
                  <v>31.24</v>
                </pt>
                <pt idx="417">
                  <v>31.26</v>
                </pt>
                <pt idx="418">
                  <v>31.29</v>
                </pt>
                <pt idx="419">
                  <v>31.275</v>
                </pt>
                <pt idx="420">
                  <v>31.29</v>
                </pt>
                <pt idx="421">
                  <v>31.385</v>
                </pt>
                <pt idx="422">
                  <v>31.525</v>
                </pt>
                <pt idx="423">
                  <v>31.54</v>
                </pt>
                <pt idx="424">
                  <v>31.345</v>
                </pt>
                <pt idx="425">
                  <v>31.17</v>
                </pt>
                <pt idx="426">
                  <v>31.075</v>
                </pt>
                <pt idx="427">
                  <v>31.045</v>
                </pt>
                <pt idx="428">
                  <v>31.07</v>
                </pt>
                <pt idx="429">
                  <v>30.97</v>
                </pt>
                <pt idx="430">
                  <v>30.945</v>
                </pt>
                <pt idx="431">
                  <v>30.96</v>
                </pt>
                <pt idx="432">
                  <v>30.945</v>
                </pt>
                <pt idx="433">
                  <v>30.96</v>
                </pt>
                <pt idx="434">
                  <v>30.815</v>
                </pt>
                <pt idx="435">
                  <v>30.655</v>
                </pt>
                <pt idx="436">
                  <v>30.655</v>
                </pt>
                <pt idx="437">
                  <v>30.815</v>
                </pt>
                <pt idx="438">
                  <v>31.005</v>
                </pt>
                <pt idx="439">
                  <v>31.08</v>
                </pt>
                <pt idx="440">
                  <v>31.145</v>
                </pt>
                <pt idx="441">
                  <v>31.22</v>
                </pt>
                <pt idx="442">
                  <v>31.25</v>
                </pt>
                <pt idx="443">
                  <v>31.3</v>
                </pt>
                <pt idx="444">
                  <v>31.26</v>
                </pt>
                <pt idx="445">
                  <v>31.185</v>
                </pt>
                <pt idx="446">
                  <v>31.275</v>
                </pt>
                <pt idx="447">
                  <v>31.465</v>
                </pt>
                <pt idx="448">
                  <v>31.45</v>
                </pt>
                <pt idx="449">
                  <v>31.45</v>
                </pt>
                <pt idx="450">
                  <v>31.32</v>
                </pt>
                <pt idx="451">
                  <v>31.47</v>
                </pt>
                <pt idx="452">
                  <v>31.445</v>
                </pt>
                <pt idx="453">
                  <v>31.43</v>
                </pt>
                <pt idx="454">
                  <v>31.355</v>
                </pt>
                <pt idx="455">
                  <v>31.42</v>
                </pt>
                <pt idx="456">
                  <v>31.205</v>
                </pt>
                <pt idx="457">
                  <v>31.195</v>
                </pt>
                <pt idx="458">
                  <v>31.41</v>
                </pt>
                <pt idx="459">
                  <v>31.51</v>
                </pt>
                <pt idx="460">
                  <v>31.575</v>
                </pt>
                <pt idx="461">
                  <v>31.48</v>
                </pt>
                <pt idx="462">
                  <v>31.545</v>
                </pt>
                <pt idx="463">
                  <v>31.375</v>
                </pt>
                <pt idx="464">
                  <v>31.59</v>
                </pt>
                <pt idx="465">
                  <v>31.8</v>
                </pt>
                <pt idx="466">
                  <v>31.96</v>
                </pt>
                <pt idx="467">
                  <v>32.045</v>
                </pt>
                <pt idx="468">
                  <v>32.29</v>
                </pt>
                <pt idx="469">
                  <v>32.285</v>
                </pt>
                <pt idx="470">
                  <v>32.31</v>
                </pt>
                <pt idx="471">
                  <v>32.215</v>
                </pt>
                <pt idx="472">
                  <v>32.2</v>
                </pt>
                <pt idx="473">
                  <v>32.155</v>
                </pt>
                <pt idx="474">
                  <v>32.1</v>
                </pt>
                <pt idx="475">
                  <v>32.245</v>
                </pt>
                <pt idx="476">
                  <v>32.315</v>
                </pt>
                <pt idx="477">
                  <v>32.435</v>
                </pt>
                <pt idx="478">
                  <v>32.375</v>
                </pt>
                <pt idx="479">
                  <v>32.385</v>
                </pt>
                <pt idx="480">
                  <v>32.38</v>
                </pt>
                <pt idx="481">
                  <v>32.4</v>
                </pt>
                <pt idx="482">
                  <v>32.31</v>
                </pt>
                <pt idx="483">
                  <v>32.27</v>
                </pt>
                <pt idx="484">
                  <v>32.305</v>
                </pt>
                <pt idx="485">
                  <v>32.28</v>
                </pt>
                <pt idx="486">
                  <v>32.275</v>
                </pt>
                <pt idx="487">
                  <v>32.25</v>
                </pt>
                <pt idx="488">
                  <v>32.25</v>
                </pt>
                <pt idx="489">
                  <v>32.23</v>
                </pt>
                <pt idx="490">
                  <v>32.175</v>
                </pt>
                <pt idx="491">
                  <v>32.075</v>
                </pt>
                <pt idx="492">
                  <v>32.06</v>
                </pt>
                <pt idx="493">
                  <v>32.165</v>
                </pt>
                <pt idx="494">
                  <v>32.225</v>
                </pt>
                <pt idx="495">
                  <v>32.28</v>
                </pt>
                <pt idx="496">
                  <v>32.285</v>
                </pt>
                <pt idx="497">
                  <v>32.2</v>
                </pt>
                <pt idx="498">
                  <v>32.22</v>
                </pt>
                <pt idx="499">
                  <v>32.195</v>
                </pt>
                <pt idx="500">
                  <v>32.18</v>
                </pt>
                <pt idx="501">
                  <v>32.11</v>
                </pt>
                <pt idx="502">
                  <v>32.065</v>
                </pt>
                <pt idx="503">
                  <v>32.08</v>
                </pt>
                <pt idx="504">
                  <v>32.06</v>
                </pt>
                <pt idx="505">
                  <v>31.97</v>
                </pt>
                <pt idx="506">
                  <v>31.945</v>
                </pt>
                <pt idx="507">
                  <v>31.93</v>
                </pt>
                <pt idx="508">
                  <v>31.875</v>
                </pt>
                <pt idx="509">
                  <v>31.855</v>
                </pt>
                <pt idx="510">
                  <v>31.93</v>
                </pt>
                <pt idx="511">
                  <v>31.98</v>
                </pt>
                <pt idx="512">
                  <v>31.945</v>
                </pt>
                <pt idx="513">
                  <v>31.955</v>
                </pt>
                <pt idx="514">
                  <v>31.945</v>
                </pt>
                <pt idx="515">
                  <v>31.915</v>
                </pt>
                <pt idx="516">
                  <v>31.845</v>
                </pt>
                <pt idx="517">
                  <v>31.83</v>
                </pt>
                <pt idx="518">
                  <v>31.81</v>
                </pt>
                <pt idx="519">
                  <v>31.81</v>
                </pt>
                <pt idx="520">
                  <v>31.81</v>
                </pt>
                <pt idx="521">
                  <v>31.835</v>
                </pt>
                <pt idx="522">
                  <v>31.83</v>
                </pt>
                <pt idx="523">
                  <v>31.8</v>
                </pt>
                <pt idx="524">
                  <v>31.735</v>
                </pt>
                <pt idx="525">
                  <v>31.88</v>
                </pt>
                <pt idx="526">
                  <v>31.89</v>
                </pt>
                <pt idx="527">
                  <v>31.92</v>
                </pt>
                <pt idx="528">
                  <v>31.9</v>
                </pt>
                <pt idx="529">
                  <v>31.925</v>
                </pt>
                <pt idx="530">
                  <v>31.845</v>
                </pt>
                <pt idx="531">
                  <v>31.875</v>
                </pt>
                <pt idx="532">
                  <v>31.88</v>
                </pt>
                <pt idx="533">
                  <v>31.75</v>
                </pt>
                <pt idx="534">
                  <v>31.715</v>
                </pt>
                <pt idx="535">
                  <v>31.69</v>
                </pt>
                <pt idx="536">
                  <v>31.76</v>
                </pt>
                <pt idx="537">
                  <v>31.62</v>
                </pt>
                <pt idx="538">
                  <v>31.64</v>
                </pt>
                <pt idx="539">
                  <v>31.585</v>
                </pt>
                <pt idx="540">
                  <v>31.575</v>
                </pt>
                <pt idx="541">
                  <v>31.46</v>
                </pt>
                <pt idx="542">
                  <v>31.37</v>
                </pt>
                <pt idx="543">
                  <v>31.345</v>
                </pt>
                <pt idx="544">
                  <v>31.175</v>
                </pt>
                <pt idx="545">
                  <v>31.185</v>
                </pt>
                <pt idx="546">
                  <v>31.255</v>
                </pt>
                <pt idx="547">
                  <v>31.31</v>
                </pt>
                <pt idx="548">
                  <v>31.185</v>
                </pt>
                <pt idx="549">
                  <v>31.02</v>
                </pt>
                <pt idx="550">
                  <v>31.01</v>
                </pt>
                <pt idx="551">
                  <v>30.935</v>
                </pt>
                <pt idx="552">
                  <v>30.995</v>
                </pt>
                <pt idx="553">
                  <v>30.835</v>
                </pt>
                <pt idx="554">
                  <v>31.02</v>
                </pt>
                <pt idx="555">
                  <v>31.18</v>
                </pt>
                <pt idx="556">
                  <v>31.265</v>
                </pt>
                <pt idx="557">
                  <v>31.335</v>
                </pt>
                <pt idx="558">
                  <v>31.285</v>
                </pt>
                <pt idx="559">
                  <v>31.18</v>
                </pt>
                <pt idx="560">
                  <v>31.1</v>
                </pt>
                <pt idx="561">
                  <v>31.065</v>
                </pt>
                <pt idx="562">
                  <v>31.085</v>
                </pt>
                <pt idx="563">
                  <v>31.09</v>
                </pt>
                <pt idx="564">
                  <v>31.02</v>
                </pt>
                <pt idx="565">
                  <v>31.02</v>
                </pt>
                <pt idx="566">
                  <v>30.975</v>
                </pt>
                <pt idx="567">
                  <v>30.96</v>
                </pt>
                <pt idx="568">
                  <v>30.86</v>
                </pt>
                <pt idx="569">
                  <v>30.845</v>
                </pt>
                <pt idx="570">
                  <v>30.745</v>
                </pt>
                <pt idx="571">
                  <v>30.685</v>
                </pt>
                <pt idx="572">
                  <v>30.65</v>
                </pt>
                <pt idx="573">
                  <v>30.665</v>
                </pt>
                <pt idx="574">
                  <v>30.66</v>
                </pt>
                <pt idx="575">
                  <v>30.65</v>
                </pt>
                <pt idx="576">
                  <v>30.695</v>
                </pt>
                <pt idx="577">
                  <v>30.67</v>
                </pt>
                <pt idx="578">
                  <v>30.705</v>
                </pt>
                <pt idx="579">
                  <v>30.655</v>
                </pt>
                <pt idx="580">
                  <v>30.675</v>
                </pt>
                <pt idx="581">
                  <v>30.64</v>
                </pt>
                <pt idx="582">
                  <v>30.61</v>
                </pt>
                <pt idx="583">
                  <v>30.685</v>
                </pt>
                <pt idx="584">
                  <v>30.7</v>
                </pt>
                <pt idx="585">
                  <v>30.595</v>
                </pt>
                <pt idx="586">
                  <v>30.595</v>
                </pt>
                <pt idx="587">
                  <v>30.695</v>
                </pt>
                <pt idx="588">
                  <v>30.735</v>
                </pt>
                <pt idx="589">
                  <v>30.745</v>
                </pt>
                <pt idx="590">
                  <v>30.7</v>
                </pt>
                <pt idx="591">
                  <v>30.63</v>
                </pt>
                <pt idx="592">
                  <v>30.625</v>
                </pt>
                <pt idx="593">
                  <v>30.715</v>
                </pt>
                <pt idx="594">
                  <v>30.765</v>
                </pt>
                <pt idx="595">
                  <v>30.755</v>
                </pt>
                <pt idx="596">
                  <v>30.755</v>
                </pt>
                <pt idx="597">
                  <v>30.7</v>
                </pt>
                <pt idx="598">
                  <v>30.68</v>
                </pt>
                <pt idx="599">
                  <v>30.675</v>
                </pt>
                <pt idx="600">
                  <v>30.645</v>
                </pt>
                <pt idx="601">
                  <v>30.625</v>
                </pt>
                <pt idx="602">
                  <v>30.585</v>
                </pt>
                <pt idx="603">
                  <v>30.62</v>
                </pt>
                <pt idx="604">
                  <v>30.695</v>
                </pt>
                <pt idx="605">
                  <v>30.725</v>
                </pt>
                <pt idx="606">
                  <v>30.69</v>
                </pt>
                <pt idx="607">
                  <v>30.655</v>
                </pt>
              </numCache>
            </numRef>
          </val>
          <smooth val="0"/>
        </ser>
        <ser>
          <idx val="3"/>
          <order val="3"/>
          <tx>
            <strRef>
              <f>匯率!$M$2</f>
              <strCache>
                <ptCount val="1"/>
                <pt idx="0">
                  <v>即期賣出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匯率!$I$3:$I$610</f>
              <numCache>
                <formatCode>m/d/yyyy</formatCode>
                <ptCount val="608"/>
                <pt idx="0">
                  <v>46057</v>
                </pt>
                <pt idx="1">
                  <v>46056</v>
                </pt>
                <pt idx="2">
                  <v>46055</v>
                </pt>
                <pt idx="3">
                  <v>46052</v>
                </pt>
                <pt idx="4">
                  <v>46051</v>
                </pt>
                <pt idx="5">
                  <v>46050</v>
                </pt>
                <pt idx="6">
                  <v>46049</v>
                </pt>
                <pt idx="7">
                  <v>46048</v>
                </pt>
                <pt idx="8">
                  <v>46045</v>
                </pt>
                <pt idx="9">
                  <v>46044</v>
                </pt>
                <pt idx="10">
                  <v>46043</v>
                </pt>
                <pt idx="11">
                  <v>46042</v>
                </pt>
                <pt idx="12">
                  <v>46041</v>
                </pt>
                <pt idx="13">
                  <v>46038</v>
                </pt>
                <pt idx="14">
                  <v>46037</v>
                </pt>
                <pt idx="15">
                  <v>46036</v>
                </pt>
                <pt idx="16">
                  <v>46035</v>
                </pt>
                <pt idx="17">
                  <v>46034</v>
                </pt>
                <pt idx="18">
                  <v>46031</v>
                </pt>
                <pt idx="19">
                  <v>46030</v>
                </pt>
                <pt idx="20">
                  <v>46029</v>
                </pt>
                <pt idx="21">
                  <v>46028</v>
                </pt>
                <pt idx="22">
                  <v>46027</v>
                </pt>
                <pt idx="23">
                  <v>46024</v>
                </pt>
                <pt idx="24">
                  <v>46022</v>
                </pt>
                <pt idx="25">
                  <v>46021</v>
                </pt>
                <pt idx="26">
                  <v>46020</v>
                </pt>
                <pt idx="27">
                  <v>46017</v>
                </pt>
                <pt idx="28">
                  <v>46015</v>
                </pt>
                <pt idx="29">
                  <v>46014</v>
                </pt>
                <pt idx="30">
                  <v>46013</v>
                </pt>
                <pt idx="31">
                  <v>46010</v>
                </pt>
                <pt idx="32">
                  <v>46009</v>
                </pt>
                <pt idx="33">
                  <v>46008</v>
                </pt>
                <pt idx="34">
                  <v>46007</v>
                </pt>
                <pt idx="35">
                  <v>46006</v>
                </pt>
                <pt idx="36">
                  <v>46003</v>
                </pt>
                <pt idx="37">
                  <v>46002</v>
                </pt>
                <pt idx="38">
                  <v>46001</v>
                </pt>
                <pt idx="39">
                  <v>46000</v>
                </pt>
                <pt idx="40">
                  <v>45999</v>
                </pt>
                <pt idx="41">
                  <v>45996</v>
                </pt>
                <pt idx="42">
                  <v>45995</v>
                </pt>
                <pt idx="43">
                  <v>45994</v>
                </pt>
                <pt idx="44">
                  <v>45993</v>
                </pt>
                <pt idx="45">
                  <v>45992</v>
                </pt>
                <pt idx="46">
                  <v>45989</v>
                </pt>
                <pt idx="47">
                  <v>45988</v>
                </pt>
                <pt idx="48">
                  <v>45987</v>
                </pt>
                <pt idx="49">
                  <v>45986</v>
                </pt>
                <pt idx="50">
                  <v>45985</v>
                </pt>
                <pt idx="51">
                  <v>45982</v>
                </pt>
                <pt idx="52">
                  <v>45981</v>
                </pt>
                <pt idx="53">
                  <v>45980</v>
                </pt>
                <pt idx="54">
                  <v>45979</v>
                </pt>
                <pt idx="55">
                  <v>45978</v>
                </pt>
                <pt idx="56">
                  <v>45975</v>
                </pt>
                <pt idx="57">
                  <v>45974</v>
                </pt>
                <pt idx="58">
                  <v>45973</v>
                </pt>
                <pt idx="59">
                  <v>45972</v>
                </pt>
                <pt idx="60">
                  <v>45971</v>
                </pt>
                <pt idx="61">
                  <v>45968</v>
                </pt>
                <pt idx="62">
                  <v>45967</v>
                </pt>
                <pt idx="63">
                  <v>45966</v>
                </pt>
                <pt idx="64">
                  <v>45965</v>
                </pt>
                <pt idx="65">
                  <v>45964</v>
                </pt>
                <pt idx="66">
                  <v>45961</v>
                </pt>
                <pt idx="67">
                  <v>45960</v>
                </pt>
                <pt idx="68">
                  <v>45959</v>
                </pt>
                <pt idx="69">
                  <v>45958</v>
                </pt>
                <pt idx="70">
                  <v>45957</v>
                </pt>
                <pt idx="71">
                  <v>45953</v>
                </pt>
                <pt idx="72">
                  <v>45952</v>
                </pt>
                <pt idx="73">
                  <v>45951</v>
                </pt>
                <pt idx="74">
                  <v>45950</v>
                </pt>
                <pt idx="75">
                  <v>45947</v>
                </pt>
                <pt idx="76">
                  <v>45946</v>
                </pt>
                <pt idx="77">
                  <v>45945</v>
                </pt>
                <pt idx="78">
                  <v>45944</v>
                </pt>
                <pt idx="79">
                  <v>45943</v>
                </pt>
                <pt idx="80">
                  <v>45939</v>
                </pt>
                <pt idx="81">
                  <v>45938</v>
                </pt>
                <pt idx="82">
                  <v>45937</v>
                </pt>
                <pt idx="83">
                  <v>45933</v>
                </pt>
                <pt idx="84">
                  <v>45932</v>
                </pt>
                <pt idx="85">
                  <v>45931</v>
                </pt>
                <pt idx="86">
                  <v>45930</v>
                </pt>
                <pt idx="87">
                  <v>45926</v>
                </pt>
                <pt idx="88">
                  <v>45925</v>
                </pt>
                <pt idx="89">
                  <v>45924</v>
                </pt>
                <pt idx="90">
                  <v>45923</v>
                </pt>
                <pt idx="91">
                  <v>45922</v>
                </pt>
                <pt idx="92">
                  <v>45919</v>
                </pt>
                <pt idx="93">
                  <v>45918</v>
                </pt>
                <pt idx="94">
                  <v>45917</v>
                </pt>
                <pt idx="95">
                  <v>45916</v>
                </pt>
                <pt idx="96">
                  <v>45915</v>
                </pt>
                <pt idx="97">
                  <v>45912</v>
                </pt>
                <pt idx="98">
                  <v>45911</v>
                </pt>
                <pt idx="99">
                  <v>45910</v>
                </pt>
                <pt idx="100">
                  <v>45909</v>
                </pt>
                <pt idx="101">
                  <v>45908</v>
                </pt>
                <pt idx="102">
                  <v>45905</v>
                </pt>
                <pt idx="103">
                  <v>45904</v>
                </pt>
                <pt idx="104">
                  <v>45903</v>
                </pt>
                <pt idx="105">
                  <v>45902</v>
                </pt>
                <pt idx="106">
                  <v>45901</v>
                </pt>
                <pt idx="107">
                  <v>45898</v>
                </pt>
                <pt idx="108">
                  <v>45897</v>
                </pt>
                <pt idx="109">
                  <v>45896</v>
                </pt>
                <pt idx="110">
                  <v>45895</v>
                </pt>
                <pt idx="111">
                  <v>45894</v>
                </pt>
                <pt idx="112">
                  <v>45891</v>
                </pt>
                <pt idx="113">
                  <v>45890</v>
                </pt>
                <pt idx="114">
                  <v>45889</v>
                </pt>
                <pt idx="115">
                  <v>45888</v>
                </pt>
                <pt idx="116">
                  <v>45887</v>
                </pt>
                <pt idx="117">
                  <v>45884</v>
                </pt>
                <pt idx="118">
                  <v>45883</v>
                </pt>
                <pt idx="119">
                  <v>45882</v>
                </pt>
                <pt idx="120">
                  <v>45763</v>
                </pt>
                <pt idx="121">
                  <v>45762</v>
                </pt>
                <pt idx="122">
                  <v>45761</v>
                </pt>
                <pt idx="123">
                  <v>45758</v>
                </pt>
                <pt idx="124">
                  <v>45757</v>
                </pt>
                <pt idx="125">
                  <v>45756</v>
                </pt>
                <pt idx="126">
                  <v>45755</v>
                </pt>
                <pt idx="127">
                  <v>45754</v>
                </pt>
                <pt idx="128">
                  <v>45749</v>
                </pt>
                <pt idx="129">
                  <v>45748</v>
                </pt>
                <pt idx="130">
                  <v>45747</v>
                </pt>
                <pt idx="131">
                  <v>45744</v>
                </pt>
                <pt idx="132">
                  <v>45743</v>
                </pt>
                <pt idx="133">
                  <v>45742</v>
                </pt>
                <pt idx="134">
                  <v>45741</v>
                </pt>
                <pt idx="135">
                  <v>45740</v>
                </pt>
                <pt idx="136">
                  <v>45737</v>
                </pt>
                <pt idx="137">
                  <v>45736</v>
                </pt>
                <pt idx="138">
                  <v>45735</v>
                </pt>
                <pt idx="139">
                  <v>45734</v>
                </pt>
                <pt idx="140">
                  <v>45733</v>
                </pt>
                <pt idx="141">
                  <v>45730</v>
                </pt>
                <pt idx="142">
                  <v>45729</v>
                </pt>
                <pt idx="143">
                  <v>45728</v>
                </pt>
                <pt idx="144">
                  <v>45727</v>
                </pt>
                <pt idx="145">
                  <v>45726</v>
                </pt>
                <pt idx="146">
                  <v>45723</v>
                </pt>
                <pt idx="147">
                  <v>45722</v>
                </pt>
                <pt idx="148">
                  <v>45721</v>
                </pt>
                <pt idx="149">
                  <v>45720</v>
                </pt>
                <pt idx="150">
                  <v>45719</v>
                </pt>
                <pt idx="151">
                  <v>45715</v>
                </pt>
                <pt idx="152">
                  <v>45714</v>
                </pt>
                <pt idx="153">
                  <v>45713</v>
                </pt>
                <pt idx="154">
                  <v>45712</v>
                </pt>
                <pt idx="155">
                  <v>45709</v>
                </pt>
                <pt idx="156">
                  <v>45708</v>
                </pt>
                <pt idx="157">
                  <v>45707</v>
                </pt>
                <pt idx="158">
                  <v>45706</v>
                </pt>
                <pt idx="159">
                  <v>45705</v>
                </pt>
                <pt idx="160">
                  <v>45702</v>
                </pt>
                <pt idx="161">
                  <v>45701</v>
                </pt>
                <pt idx="162">
                  <v>45700</v>
                </pt>
                <pt idx="163">
                  <v>45699</v>
                </pt>
                <pt idx="164">
                  <v>45698</v>
                </pt>
                <pt idx="165">
                  <v>45696</v>
                </pt>
                <pt idx="166">
                  <v>45695</v>
                </pt>
                <pt idx="167">
                  <v>45694</v>
                </pt>
                <pt idx="168">
                  <v>45693</v>
                </pt>
                <pt idx="169">
                  <v>45692</v>
                </pt>
                <pt idx="170">
                  <v>45691</v>
                </pt>
                <pt idx="171">
                  <v>45681</v>
                </pt>
                <pt idx="172">
                  <v>45680</v>
                </pt>
                <pt idx="173">
                  <v>45679</v>
                </pt>
                <pt idx="174">
                  <v>45678</v>
                </pt>
                <pt idx="175">
                  <v>45677</v>
                </pt>
                <pt idx="176">
                  <v>45674</v>
                </pt>
                <pt idx="177">
                  <v>45673</v>
                </pt>
                <pt idx="178">
                  <v>45672</v>
                </pt>
                <pt idx="179">
                  <v>45671</v>
                </pt>
                <pt idx="180">
                  <v>45670</v>
                </pt>
                <pt idx="181">
                  <v>45667</v>
                </pt>
                <pt idx="182">
                  <v>45666</v>
                </pt>
                <pt idx="183">
                  <v>45665</v>
                </pt>
                <pt idx="184">
                  <v>45664</v>
                </pt>
                <pt idx="185">
                  <v>45663</v>
                </pt>
                <pt idx="186">
                  <v>45660</v>
                </pt>
                <pt idx="187">
                  <v>45659</v>
                </pt>
                <pt idx="188">
                  <v>45657</v>
                </pt>
                <pt idx="189">
                  <v>45656</v>
                </pt>
                <pt idx="190">
                  <v>45653</v>
                </pt>
                <pt idx="191">
                  <v>45652</v>
                </pt>
                <pt idx="192">
                  <v>45651</v>
                </pt>
                <pt idx="193">
                  <v>45650</v>
                </pt>
                <pt idx="194">
                  <v>45649</v>
                </pt>
                <pt idx="195">
                  <v>45646</v>
                </pt>
                <pt idx="196">
                  <v>45645</v>
                </pt>
                <pt idx="197">
                  <v>45644</v>
                </pt>
                <pt idx="198">
                  <v>45643</v>
                </pt>
                <pt idx="199">
                  <v>45642</v>
                </pt>
                <pt idx="200">
                  <v>45639</v>
                </pt>
                <pt idx="201">
                  <v>45638</v>
                </pt>
                <pt idx="202">
                  <v>45637</v>
                </pt>
                <pt idx="203">
                  <v>45636</v>
                </pt>
                <pt idx="204">
                  <v>45635</v>
                </pt>
                <pt idx="205">
                  <v>45632</v>
                </pt>
                <pt idx="206">
                  <v>45631</v>
                </pt>
                <pt idx="207">
                  <v>45630</v>
                </pt>
                <pt idx="208">
                  <v>45629</v>
                </pt>
                <pt idx="209">
                  <v>45628</v>
                </pt>
                <pt idx="210">
                  <v>45625</v>
                </pt>
                <pt idx="211">
                  <v>45624</v>
                </pt>
                <pt idx="212">
                  <v>45623</v>
                </pt>
                <pt idx="213">
                  <v>45622</v>
                </pt>
                <pt idx="214">
                  <v>45621</v>
                </pt>
                <pt idx="215">
                  <v>45618</v>
                </pt>
                <pt idx="216">
                  <v>45617</v>
                </pt>
                <pt idx="217">
                  <v>45616</v>
                </pt>
                <pt idx="218">
                  <v>45615</v>
                </pt>
                <pt idx="219">
                  <v>45614</v>
                </pt>
                <pt idx="220">
                  <v>45611</v>
                </pt>
                <pt idx="221">
                  <v>45610</v>
                </pt>
                <pt idx="222">
                  <v>45609</v>
                </pt>
                <pt idx="223">
                  <v>45608</v>
                </pt>
                <pt idx="224">
                  <v>45607</v>
                </pt>
                <pt idx="225">
                  <v>45604</v>
                </pt>
                <pt idx="226">
                  <v>45603</v>
                </pt>
                <pt idx="227">
                  <v>45602</v>
                </pt>
                <pt idx="228">
                  <v>45601</v>
                </pt>
                <pt idx="229">
                  <v>45600</v>
                </pt>
                <pt idx="230">
                  <v>45597</v>
                </pt>
                <pt idx="231">
                  <v>45596</v>
                </pt>
                <pt idx="232">
                  <v>45595</v>
                </pt>
                <pt idx="233">
                  <v>45594</v>
                </pt>
                <pt idx="234">
                  <v>45593</v>
                </pt>
                <pt idx="235">
                  <v>45590</v>
                </pt>
                <pt idx="236">
                  <v>45589</v>
                </pt>
                <pt idx="237">
                  <v>45588</v>
                </pt>
                <pt idx="238">
                  <v>45587</v>
                </pt>
                <pt idx="239">
                  <v>45586</v>
                </pt>
                <pt idx="240">
                  <v>45583</v>
                </pt>
                <pt idx="241">
                  <v>45582</v>
                </pt>
                <pt idx="242">
                  <v>45581</v>
                </pt>
                <pt idx="243">
                  <v>45580</v>
                </pt>
                <pt idx="244">
                  <v>45579</v>
                </pt>
                <pt idx="245">
                  <v>45576</v>
                </pt>
                <pt idx="246">
                  <v>45574</v>
                </pt>
                <pt idx="247">
                  <v>45573</v>
                </pt>
                <pt idx="248">
                  <v>45572</v>
                </pt>
                <pt idx="249">
                  <v>45569</v>
                </pt>
                <pt idx="250">
                  <v>45566</v>
                </pt>
                <pt idx="251">
                  <v>45565</v>
                </pt>
                <pt idx="252">
                  <v>45562</v>
                </pt>
                <pt idx="253">
                  <v>45561</v>
                </pt>
                <pt idx="254">
                  <v>45560</v>
                </pt>
                <pt idx="255">
                  <v>45559</v>
                </pt>
                <pt idx="256">
                  <v>45558</v>
                </pt>
                <pt idx="257">
                  <v>45555</v>
                </pt>
                <pt idx="258">
                  <v>45554</v>
                </pt>
                <pt idx="259">
                  <v>45553</v>
                </pt>
                <pt idx="260">
                  <v>45551</v>
                </pt>
                <pt idx="261">
                  <v>45548</v>
                </pt>
                <pt idx="262">
                  <v>45547</v>
                </pt>
                <pt idx="263">
                  <v>45546</v>
                </pt>
                <pt idx="264">
                  <v>45545</v>
                </pt>
                <pt idx="265">
                  <v>45544</v>
                </pt>
                <pt idx="266">
                  <v>45541</v>
                </pt>
                <pt idx="267">
                  <v>45540</v>
                </pt>
                <pt idx="268">
                  <v>45539</v>
                </pt>
                <pt idx="269">
                  <v>45538</v>
                </pt>
                <pt idx="270">
                  <v>45537</v>
                </pt>
                <pt idx="271">
                  <v>45534</v>
                </pt>
                <pt idx="272">
                  <v>45533</v>
                </pt>
                <pt idx="273">
                  <v>45532</v>
                </pt>
                <pt idx="274">
                  <v>45531</v>
                </pt>
                <pt idx="275">
                  <v>45530</v>
                </pt>
                <pt idx="276">
                  <v>45527</v>
                </pt>
                <pt idx="277">
                  <v>45526</v>
                </pt>
                <pt idx="278">
                  <v>45525</v>
                </pt>
                <pt idx="279">
                  <v>45524</v>
                </pt>
                <pt idx="280">
                  <v>45523</v>
                </pt>
                <pt idx="281">
                  <v>45520</v>
                </pt>
                <pt idx="282">
                  <v>45519</v>
                </pt>
                <pt idx="283">
                  <v>45518</v>
                </pt>
                <pt idx="284">
                  <v>45517</v>
                </pt>
                <pt idx="285">
                  <v>45516</v>
                </pt>
                <pt idx="286">
                  <v>45513</v>
                </pt>
                <pt idx="287">
                  <v>45512</v>
                </pt>
                <pt idx="288">
                  <v>45511</v>
                </pt>
                <pt idx="289">
                  <v>45510</v>
                </pt>
                <pt idx="290">
                  <v>45509</v>
                </pt>
                <pt idx="291">
                  <v>45506</v>
                </pt>
                <pt idx="292">
                  <v>45505</v>
                </pt>
                <pt idx="293">
                  <v>45504</v>
                </pt>
                <pt idx="294">
                  <v>45503</v>
                </pt>
                <pt idx="295">
                  <v>45502</v>
                </pt>
                <pt idx="296">
                  <v>45499</v>
                </pt>
                <pt idx="297">
                  <v>45497</v>
                </pt>
                <pt idx="298">
                  <v>45496</v>
                </pt>
                <pt idx="299">
                  <v>45495</v>
                </pt>
                <pt idx="300">
                  <v>45492</v>
                </pt>
                <pt idx="301">
                  <v>45491</v>
                </pt>
                <pt idx="302">
                  <v>45490</v>
                </pt>
                <pt idx="303">
                  <v>45489</v>
                </pt>
                <pt idx="304">
                  <v>45488</v>
                </pt>
                <pt idx="305">
                  <v>45485</v>
                </pt>
                <pt idx="306">
                  <v>45484</v>
                </pt>
                <pt idx="307">
                  <v>45483</v>
                </pt>
                <pt idx="308">
                  <v>45482</v>
                </pt>
                <pt idx="309">
                  <v>45481</v>
                </pt>
                <pt idx="310">
                  <v>45478</v>
                </pt>
                <pt idx="311">
                  <v>45477</v>
                </pt>
                <pt idx="312">
                  <v>45476</v>
                </pt>
                <pt idx="313">
                  <v>45475</v>
                </pt>
                <pt idx="314">
                  <v>45474</v>
                </pt>
                <pt idx="315">
                  <v>45471</v>
                </pt>
                <pt idx="316">
                  <v>45470</v>
                </pt>
                <pt idx="317">
                  <v>45469</v>
                </pt>
                <pt idx="318">
                  <v>45468</v>
                </pt>
                <pt idx="319">
                  <v>45467</v>
                </pt>
                <pt idx="320">
                  <v>45464</v>
                </pt>
                <pt idx="321">
                  <v>45463</v>
                </pt>
                <pt idx="322">
                  <v>45462</v>
                </pt>
                <pt idx="323">
                  <v>45461</v>
                </pt>
                <pt idx="324">
                  <v>45460</v>
                </pt>
                <pt idx="325">
                  <v>45457</v>
                </pt>
                <pt idx="326">
                  <v>45456</v>
                </pt>
                <pt idx="327">
                  <v>45455</v>
                </pt>
                <pt idx="328">
                  <v>45454</v>
                </pt>
                <pt idx="329">
                  <v>45450</v>
                </pt>
                <pt idx="330">
                  <v>45449</v>
                </pt>
                <pt idx="331">
                  <v>45448</v>
                </pt>
                <pt idx="332">
                  <v>45447</v>
                </pt>
                <pt idx="333">
                  <v>45446</v>
                </pt>
                <pt idx="334">
                  <v>45443</v>
                </pt>
                <pt idx="335">
                  <v>45442</v>
                </pt>
                <pt idx="336">
                  <v>45441</v>
                </pt>
                <pt idx="337">
                  <v>45440</v>
                </pt>
                <pt idx="338">
                  <v>45439</v>
                </pt>
                <pt idx="339">
                  <v>45436</v>
                </pt>
                <pt idx="340">
                  <v>45435</v>
                </pt>
                <pt idx="341">
                  <v>45434</v>
                </pt>
                <pt idx="342">
                  <v>45433</v>
                </pt>
                <pt idx="343">
                  <v>45432</v>
                </pt>
                <pt idx="344">
                  <v>45429</v>
                </pt>
                <pt idx="345">
                  <v>45428</v>
                </pt>
                <pt idx="346">
                  <v>45427</v>
                </pt>
                <pt idx="347">
                  <v>45426</v>
                </pt>
                <pt idx="348">
                  <v>45425</v>
                </pt>
                <pt idx="349">
                  <v>45422</v>
                </pt>
                <pt idx="350">
                  <v>45421</v>
                </pt>
                <pt idx="351">
                  <v>45420</v>
                </pt>
                <pt idx="352">
                  <v>45419</v>
                </pt>
                <pt idx="353">
                  <v>45418</v>
                </pt>
                <pt idx="354">
                  <v>45415</v>
                </pt>
                <pt idx="355">
                  <v>45414</v>
                </pt>
                <pt idx="356">
                  <v>45412</v>
                </pt>
                <pt idx="357">
                  <v>45411</v>
                </pt>
                <pt idx="358">
                  <v>45408</v>
                </pt>
                <pt idx="359">
                  <v>45407</v>
                </pt>
                <pt idx="360">
                  <v>45406</v>
                </pt>
                <pt idx="361">
                  <v>45405</v>
                </pt>
                <pt idx="362">
                  <v>45404</v>
                </pt>
                <pt idx="363">
                  <v>45401</v>
                </pt>
                <pt idx="364">
                  <v>45400</v>
                </pt>
                <pt idx="365">
                  <v>45399</v>
                </pt>
                <pt idx="366">
                  <v>45398</v>
                </pt>
                <pt idx="367">
                  <v>45397</v>
                </pt>
                <pt idx="368">
                  <v>45394</v>
                </pt>
                <pt idx="369">
                  <v>45393</v>
                </pt>
                <pt idx="370">
                  <v>45392</v>
                </pt>
                <pt idx="371">
                  <v>45391</v>
                </pt>
                <pt idx="372">
                  <v>45390</v>
                </pt>
                <pt idx="373">
                  <v>45385</v>
                </pt>
                <pt idx="374">
                  <v>45384</v>
                </pt>
                <pt idx="375">
                  <v>45383</v>
                </pt>
                <pt idx="376">
                  <v>45380</v>
                </pt>
                <pt idx="377">
                  <v>45379</v>
                </pt>
                <pt idx="378">
                  <v>45378</v>
                </pt>
                <pt idx="379">
                  <v>45377</v>
                </pt>
                <pt idx="380">
                  <v>45376</v>
                </pt>
                <pt idx="381">
                  <v>45373</v>
                </pt>
                <pt idx="382">
                  <v>45372</v>
                </pt>
                <pt idx="383">
                  <v>45371</v>
                </pt>
                <pt idx="384">
                  <v>45370</v>
                </pt>
                <pt idx="385">
                  <v>45369</v>
                </pt>
                <pt idx="386">
                  <v>45366</v>
                </pt>
                <pt idx="387">
                  <v>45365</v>
                </pt>
                <pt idx="388">
                  <v>45364</v>
                </pt>
                <pt idx="389">
                  <v>45363</v>
                </pt>
                <pt idx="390">
                  <v>45362</v>
                </pt>
                <pt idx="391">
                  <v>45359</v>
                </pt>
                <pt idx="392">
                  <v>45358</v>
                </pt>
                <pt idx="393">
                  <v>45357</v>
                </pt>
                <pt idx="394">
                  <v>45356</v>
                </pt>
                <pt idx="395">
                  <v>45355</v>
                </pt>
                <pt idx="396">
                  <v>45352</v>
                </pt>
                <pt idx="397">
                  <v>45351</v>
                </pt>
                <pt idx="398">
                  <v>45349</v>
                </pt>
                <pt idx="399">
                  <v>45348</v>
                </pt>
                <pt idx="400">
                  <v>45345</v>
                </pt>
                <pt idx="401">
                  <v>45344</v>
                </pt>
                <pt idx="402">
                  <v>45343</v>
                </pt>
                <pt idx="403">
                  <v>45342</v>
                </pt>
                <pt idx="404">
                  <v>45341</v>
                </pt>
                <pt idx="405">
                  <v>45339</v>
                </pt>
                <pt idx="406">
                  <v>45338</v>
                </pt>
                <pt idx="407">
                  <v>45337</v>
                </pt>
                <pt idx="408">
                  <v>45329</v>
                </pt>
                <pt idx="409">
                  <v>45328</v>
                </pt>
                <pt idx="410">
                  <v>45327</v>
                </pt>
                <pt idx="411">
                  <v>45324</v>
                </pt>
                <pt idx="412">
                  <v>45323</v>
                </pt>
                <pt idx="413">
                  <v>45322</v>
                </pt>
                <pt idx="414">
                  <v>45321</v>
                </pt>
                <pt idx="415">
                  <v>45320</v>
                </pt>
                <pt idx="416">
                  <v>45317</v>
                </pt>
                <pt idx="417">
                  <v>45316</v>
                </pt>
                <pt idx="418">
                  <v>45315</v>
                </pt>
                <pt idx="419">
                  <v>45314</v>
                </pt>
                <pt idx="420">
                  <v>45313</v>
                </pt>
                <pt idx="421">
                  <v>45310</v>
                </pt>
                <pt idx="422">
                  <v>45309</v>
                </pt>
                <pt idx="423">
                  <v>45308</v>
                </pt>
                <pt idx="424">
                  <v>45307</v>
                </pt>
                <pt idx="425">
                  <v>45306</v>
                </pt>
                <pt idx="426">
                  <v>45303</v>
                </pt>
                <pt idx="427">
                  <v>45302</v>
                </pt>
                <pt idx="428">
                  <v>45301</v>
                </pt>
                <pt idx="429">
                  <v>45300</v>
                </pt>
                <pt idx="430">
                  <v>45299</v>
                </pt>
                <pt idx="431">
                  <v>45296</v>
                </pt>
                <pt idx="432">
                  <v>45295</v>
                </pt>
                <pt idx="433">
                  <v>45294</v>
                </pt>
                <pt idx="434">
                  <v>45293</v>
                </pt>
                <pt idx="435">
                  <v>45289</v>
                </pt>
                <pt idx="436">
                  <v>45288</v>
                </pt>
                <pt idx="437">
                  <v>45287</v>
                </pt>
                <pt idx="438">
                  <v>45286</v>
                </pt>
                <pt idx="439">
                  <v>45285</v>
                </pt>
                <pt idx="440">
                  <v>45282</v>
                </pt>
                <pt idx="441">
                  <v>45281</v>
                </pt>
                <pt idx="442">
                  <v>45280</v>
                </pt>
                <pt idx="443">
                  <v>45279</v>
                </pt>
                <pt idx="444">
                  <v>45278</v>
                </pt>
                <pt idx="445">
                  <v>45275</v>
                </pt>
                <pt idx="446">
                  <v>45274</v>
                </pt>
                <pt idx="447">
                  <v>45273</v>
                </pt>
                <pt idx="448">
                  <v>45272</v>
                </pt>
                <pt idx="449">
                  <v>45271</v>
                </pt>
                <pt idx="450">
                  <v>45268</v>
                </pt>
                <pt idx="451">
                  <v>45267</v>
                </pt>
                <pt idx="452">
                  <v>45266</v>
                </pt>
                <pt idx="453">
                  <v>45265</v>
                </pt>
                <pt idx="454">
                  <v>45264</v>
                </pt>
                <pt idx="455">
                  <v>45261</v>
                </pt>
                <pt idx="456">
                  <v>45260</v>
                </pt>
                <pt idx="457">
                  <v>45259</v>
                </pt>
                <pt idx="458">
                  <v>45258</v>
                </pt>
                <pt idx="459">
                  <v>45257</v>
                </pt>
                <pt idx="460">
                  <v>45254</v>
                </pt>
                <pt idx="461">
                  <v>45253</v>
                </pt>
                <pt idx="462">
                  <v>45252</v>
                </pt>
                <pt idx="463">
                  <v>45251</v>
                </pt>
                <pt idx="464">
                  <v>45250</v>
                </pt>
                <pt idx="465">
                  <v>45247</v>
                </pt>
                <pt idx="466">
                  <v>45246</v>
                </pt>
                <pt idx="467">
                  <v>45245</v>
                </pt>
                <pt idx="468">
                  <v>45244</v>
                </pt>
                <pt idx="469">
                  <v>45243</v>
                </pt>
                <pt idx="470">
                  <v>45240</v>
                </pt>
                <pt idx="471">
                  <v>45239</v>
                </pt>
                <pt idx="472">
                  <v>45238</v>
                </pt>
                <pt idx="473">
                  <v>45237</v>
                </pt>
                <pt idx="474">
                  <v>45236</v>
                </pt>
                <pt idx="475">
                  <v>45233</v>
                </pt>
                <pt idx="476">
                  <v>45232</v>
                </pt>
                <pt idx="477">
                  <v>45231</v>
                </pt>
                <pt idx="478">
                  <v>45230</v>
                </pt>
                <pt idx="479">
                  <v>45229</v>
                </pt>
                <pt idx="480">
                  <v>45226</v>
                </pt>
                <pt idx="481">
                  <v>45225</v>
                </pt>
                <pt idx="482">
                  <v>45224</v>
                </pt>
                <pt idx="483">
                  <v>45223</v>
                </pt>
                <pt idx="484">
                  <v>45222</v>
                </pt>
                <pt idx="485">
                  <v>45219</v>
                </pt>
                <pt idx="486">
                  <v>45218</v>
                </pt>
                <pt idx="487">
                  <v>45217</v>
                </pt>
                <pt idx="488">
                  <v>45216</v>
                </pt>
                <pt idx="489">
                  <v>45215</v>
                </pt>
                <pt idx="490">
                  <v>45212</v>
                </pt>
                <pt idx="491">
                  <v>45211</v>
                </pt>
                <pt idx="492">
                  <v>45210</v>
                </pt>
                <pt idx="493">
                  <v>45205</v>
                </pt>
                <pt idx="494">
                  <v>45204</v>
                </pt>
                <pt idx="495">
                  <v>45203</v>
                </pt>
                <pt idx="496">
                  <v>45202</v>
                </pt>
                <pt idx="497">
                  <v>45201</v>
                </pt>
                <pt idx="498">
                  <v>45197</v>
                </pt>
                <pt idx="499">
                  <v>45196</v>
                </pt>
                <pt idx="500">
                  <v>45195</v>
                </pt>
                <pt idx="501">
                  <v>45194</v>
                </pt>
                <pt idx="502">
                  <v>45192</v>
                </pt>
                <pt idx="503">
                  <v>45191</v>
                </pt>
                <pt idx="504">
                  <v>45190</v>
                </pt>
                <pt idx="505">
                  <v>45189</v>
                </pt>
                <pt idx="506">
                  <v>45188</v>
                </pt>
                <pt idx="507">
                  <v>45187</v>
                </pt>
                <pt idx="508">
                  <v>45184</v>
                </pt>
                <pt idx="509">
                  <v>45183</v>
                </pt>
                <pt idx="510">
                  <v>45182</v>
                </pt>
                <pt idx="511">
                  <v>45181</v>
                </pt>
                <pt idx="512">
                  <v>45180</v>
                </pt>
                <pt idx="513">
                  <v>45177</v>
                </pt>
                <pt idx="514">
                  <v>45176</v>
                </pt>
                <pt idx="515">
                  <v>45175</v>
                </pt>
                <pt idx="516">
                  <v>45174</v>
                </pt>
                <pt idx="517">
                  <v>45173</v>
                </pt>
                <pt idx="518">
                  <v>45170</v>
                </pt>
                <pt idx="519">
                  <v>45169</v>
                </pt>
                <pt idx="520">
                  <v>45168</v>
                </pt>
                <pt idx="521">
                  <v>45167</v>
                </pt>
                <pt idx="522">
                  <v>45166</v>
                </pt>
                <pt idx="523">
                  <v>45163</v>
                </pt>
                <pt idx="524">
                  <v>45162</v>
                </pt>
                <pt idx="525">
                  <v>45161</v>
                </pt>
                <pt idx="526">
                  <v>45160</v>
                </pt>
                <pt idx="527">
                  <v>45159</v>
                </pt>
                <pt idx="528">
                  <v>45156</v>
                </pt>
                <pt idx="529">
                  <v>45155</v>
                </pt>
                <pt idx="530">
                  <v>45154</v>
                </pt>
                <pt idx="531">
                  <v>45153</v>
                </pt>
                <pt idx="532">
                  <v>45152</v>
                </pt>
                <pt idx="533">
                  <v>45149</v>
                </pt>
                <pt idx="534">
                  <v>45148</v>
                </pt>
                <pt idx="535">
                  <v>45147</v>
                </pt>
                <pt idx="536">
                  <v>45146</v>
                </pt>
                <pt idx="537">
                  <v>45145</v>
                </pt>
                <pt idx="538">
                  <v>45142</v>
                </pt>
                <pt idx="539">
                  <v>45141</v>
                </pt>
                <pt idx="540">
                  <v>45140</v>
                </pt>
                <pt idx="541">
                  <v>45139</v>
                </pt>
                <pt idx="542">
                  <v>45138</v>
                </pt>
                <pt idx="543">
                  <v>45135</v>
                </pt>
                <pt idx="544">
                  <v>45134</v>
                </pt>
                <pt idx="545">
                  <v>45133</v>
                </pt>
                <pt idx="546">
                  <v>45132</v>
                </pt>
                <pt idx="547">
                  <v>45131</v>
                </pt>
                <pt idx="548">
                  <v>45128</v>
                </pt>
                <pt idx="549">
                  <v>45127</v>
                </pt>
                <pt idx="550">
                  <v>45126</v>
                </pt>
                <pt idx="551">
                  <v>45125</v>
                </pt>
                <pt idx="552">
                  <v>45124</v>
                </pt>
                <pt idx="553">
                  <v>45121</v>
                </pt>
                <pt idx="554">
                  <v>45120</v>
                </pt>
                <pt idx="555">
                  <v>45119</v>
                </pt>
                <pt idx="556">
                  <v>45118</v>
                </pt>
                <pt idx="557">
                  <v>45117</v>
                </pt>
                <pt idx="558">
                  <v>45114</v>
                </pt>
                <pt idx="559">
                  <v>45113</v>
                </pt>
                <pt idx="560">
                  <v>45112</v>
                </pt>
                <pt idx="561">
                  <v>45111</v>
                </pt>
                <pt idx="562">
                  <v>45110</v>
                </pt>
                <pt idx="563">
                  <v>45107</v>
                </pt>
                <pt idx="564">
                  <v>45106</v>
                </pt>
                <pt idx="565">
                  <v>45105</v>
                </pt>
                <pt idx="566">
                  <v>45104</v>
                </pt>
                <pt idx="567">
                  <v>45103</v>
                </pt>
                <pt idx="568">
                  <v>45098</v>
                </pt>
                <pt idx="569">
                  <v>45097</v>
                </pt>
                <pt idx="570">
                  <v>45096</v>
                </pt>
                <pt idx="571">
                  <v>45094</v>
                </pt>
                <pt idx="572">
                  <v>45093</v>
                </pt>
                <pt idx="573">
                  <v>45092</v>
                </pt>
                <pt idx="574">
                  <v>45091</v>
                </pt>
                <pt idx="575">
                  <v>45090</v>
                </pt>
                <pt idx="576">
                  <v>45089</v>
                </pt>
                <pt idx="577">
                  <v>45086</v>
                </pt>
                <pt idx="578">
                  <v>45085</v>
                </pt>
                <pt idx="579">
                  <v>45084</v>
                </pt>
                <pt idx="580">
                  <v>45083</v>
                </pt>
                <pt idx="581">
                  <v>45082</v>
                </pt>
                <pt idx="582">
                  <v>45079</v>
                </pt>
                <pt idx="583">
                  <v>45078</v>
                </pt>
                <pt idx="584">
                  <v>45077</v>
                </pt>
                <pt idx="585">
                  <v>45076</v>
                </pt>
                <pt idx="586">
                  <v>45075</v>
                </pt>
                <pt idx="587">
                  <v>45072</v>
                </pt>
                <pt idx="588">
                  <v>45071</v>
                </pt>
                <pt idx="589">
                  <v>45070</v>
                </pt>
                <pt idx="590">
                  <v>45069</v>
                </pt>
                <pt idx="591">
                  <v>45068</v>
                </pt>
                <pt idx="592">
                  <v>45065</v>
                </pt>
                <pt idx="593">
                  <v>45064</v>
                </pt>
                <pt idx="594">
                  <v>45063</v>
                </pt>
                <pt idx="595">
                  <v>45062</v>
                </pt>
                <pt idx="596">
                  <v>45061</v>
                </pt>
                <pt idx="597">
                  <v>45058</v>
                </pt>
                <pt idx="598">
                  <v>45057</v>
                </pt>
                <pt idx="599">
                  <v>45056</v>
                </pt>
                <pt idx="600">
                  <v>45055</v>
                </pt>
                <pt idx="601">
                  <v>45054</v>
                </pt>
                <pt idx="602">
                  <v>45051</v>
                </pt>
                <pt idx="603">
                  <v>45050</v>
                </pt>
                <pt idx="604">
                  <v>45049</v>
                </pt>
                <pt idx="605">
                  <v>45048</v>
                </pt>
                <pt idx="606">
                  <v>45044</v>
                </pt>
                <pt idx="607">
                  <v>45043</v>
                </pt>
              </numCache>
            </numRef>
          </cat>
          <val>
            <numRef>
              <f>匯率!$M$3:$M$610</f>
              <numCache>
                <formatCode>General</formatCode>
                <ptCount val="608"/>
                <pt idx="0">
                  <v>31.615</v>
                </pt>
                <pt idx="1">
                  <v>31.605</v>
                </pt>
                <pt idx="2">
                  <v>31.65</v>
                </pt>
                <pt idx="3">
                  <v>31.515</v>
                </pt>
                <pt idx="4">
                  <v>31.35</v>
                </pt>
                <pt idx="5">
                  <v>31.34</v>
                </pt>
                <pt idx="6">
                  <v>31.48</v>
                </pt>
                <pt idx="7">
                  <v>31.545</v>
                </pt>
                <pt idx="8">
                  <v>31.6</v>
                </pt>
                <pt idx="9">
                  <v>31.65</v>
                </pt>
                <pt idx="10">
                  <v>31.69</v>
                </pt>
                <pt idx="11">
                  <v>31.655</v>
                </pt>
                <pt idx="12">
                  <v>31.645</v>
                </pt>
                <pt idx="13">
                  <v>31.61</v>
                </pt>
                <pt idx="14">
                  <v>31.625</v>
                </pt>
                <pt idx="15">
                  <v>31.68</v>
                </pt>
                <pt idx="16">
                  <v>31.7</v>
                </pt>
                <pt idx="17">
                  <v>31.69</v>
                </pt>
                <pt idx="18">
                  <v>31.65</v>
                </pt>
                <pt idx="19">
                  <v>31.625</v>
                </pt>
                <pt idx="20">
                  <v>31.56</v>
                </pt>
                <pt idx="21">
                  <v>31.57</v>
                </pt>
                <pt idx="22">
                  <v>31.59</v>
                </pt>
                <pt idx="23">
                  <v>31.47</v>
                </pt>
                <pt idx="24">
                  <v>31.48</v>
                </pt>
                <pt idx="25">
                  <v>31.425</v>
                </pt>
                <pt idx="26">
                  <v>31.49</v>
                </pt>
                <pt idx="27">
                  <v>31.495</v>
                </pt>
                <pt idx="28">
                  <v>31.525</v>
                </pt>
                <pt idx="29">
                  <v>31.57</v>
                </pt>
                <pt idx="30">
                  <v>31.58</v>
                </pt>
                <pt idx="31">
                  <v>31.585</v>
                </pt>
                <pt idx="32">
                  <v>31.57</v>
                </pt>
                <pt idx="33">
                  <v>31.585</v>
                </pt>
                <pt idx="34">
                  <v>31.52</v>
                </pt>
                <pt idx="35">
                  <v>31.43</v>
                </pt>
                <pt idx="36">
                  <v>31.21</v>
                </pt>
                <pt idx="37">
                  <v>31.305</v>
                </pt>
                <pt idx="38">
                  <v>31.24</v>
                </pt>
                <pt idx="39">
                  <v>31.245</v>
                </pt>
                <pt idx="40">
                  <v>31.24</v>
                </pt>
                <pt idx="41">
                  <v>31.29</v>
                </pt>
                <pt idx="42">
                  <v>31.375</v>
                </pt>
                <pt idx="43">
                  <v>31.37</v>
                </pt>
                <pt idx="44">
                  <v>31.46</v>
                </pt>
                <pt idx="45">
                  <v>31.48</v>
                </pt>
                <pt idx="46">
                  <v>31.45</v>
                </pt>
                <pt idx="47">
                  <v>31.375</v>
                </pt>
                <pt idx="48">
                  <v>31.39</v>
                </pt>
                <pt idx="49">
                  <v>31.49</v>
                </pt>
                <pt idx="50">
                  <v>31.485</v>
                </pt>
                <pt idx="51">
                  <v>31.47</v>
                </pt>
                <pt idx="52">
                  <v>31.34</v>
                </pt>
                <pt idx="53">
                  <v>31.29</v>
                </pt>
                <pt idx="54">
                  <v>31.24</v>
                </pt>
                <pt idx="55">
                  <v>31.21</v>
                </pt>
                <pt idx="56">
                  <v>31.19</v>
                </pt>
                <pt idx="57">
                  <v>31.11</v>
                </pt>
                <pt idx="58">
                  <v>31.105</v>
                </pt>
                <pt idx="59">
                  <v>31.09</v>
                </pt>
                <pt idx="60">
                  <v>31.05</v>
                </pt>
                <pt idx="61">
                  <v>31.08</v>
                </pt>
                <pt idx="62">
                  <v>30.995</v>
                </pt>
                <pt idx="63">
                  <v>30.985</v>
                </pt>
                <pt idx="64">
                  <v>30.945</v>
                </pt>
                <pt idx="65">
                  <v>30.88</v>
                </pt>
                <pt idx="66">
                  <v>30.78</v>
                </pt>
                <pt idx="67">
                  <v>30.74</v>
                </pt>
                <pt idx="68">
                  <v>30.665</v>
                </pt>
                <pt idx="69">
                  <v>30.67</v>
                </pt>
                <pt idx="70">
                  <v>30.75</v>
                </pt>
                <pt idx="71">
                  <v>30.855</v>
                </pt>
                <pt idx="72">
                  <v>30.77</v>
                </pt>
                <pt idx="73">
                  <v>30.725</v>
                </pt>
                <pt idx="74">
                  <v>30.675</v>
                </pt>
                <pt idx="75">
                  <v>30.71</v>
                </pt>
                <pt idx="76">
                  <v>30.685</v>
                </pt>
                <pt idx="77">
                  <v>30.675</v>
                </pt>
                <pt idx="78">
                  <v>30.805</v>
                </pt>
                <pt idx="79">
                  <v>30.745</v>
                </pt>
                <pt idx="80">
                  <v>30.58</v>
                </pt>
                <pt idx="81">
                  <v>30.58</v>
                </pt>
                <pt idx="82">
                  <v>30.565</v>
                </pt>
                <pt idx="83">
                  <v>30.41</v>
                </pt>
                <pt idx="84">
                  <v>30.46</v>
                </pt>
                <pt idx="85">
                  <v>30.49</v>
                </pt>
                <pt idx="86">
                  <v>30.495</v>
                </pt>
                <pt idx="87">
                  <v>30.565</v>
                </pt>
                <pt idx="88">
                  <v>30.48</v>
                </pt>
                <pt idx="89">
                  <v>30.36</v>
                </pt>
                <pt idx="90">
                  <v>30.33</v>
                </pt>
                <pt idx="91">
                  <v>30.295</v>
                </pt>
                <pt idx="92">
                  <v>30.26</v>
                </pt>
                <pt idx="93">
                  <v>30.125</v>
                </pt>
                <pt idx="94">
                  <v>30.09</v>
                </pt>
                <pt idx="95">
                  <v>30.115</v>
                </pt>
                <pt idx="96">
                  <v>30.255</v>
                </pt>
                <pt idx="97">
                  <v>30.265</v>
                </pt>
                <pt idx="98">
                  <v>30.355</v>
                </pt>
                <pt idx="99">
                  <v>30.32</v>
                </pt>
                <pt idx="100">
                  <v>30.4</v>
                </pt>
                <pt idx="101">
                  <v>30.545</v>
                </pt>
                <pt idx="102">
                  <v>30.615</v>
                </pt>
                <pt idx="103">
                  <v>30.745</v>
                </pt>
                <pt idx="104">
                  <v>30.765</v>
                </pt>
                <pt idx="105">
                  <v>30.725</v>
                </pt>
                <pt idx="106">
                  <v>30.665</v>
                </pt>
                <pt idx="107">
                  <v>30.64</v>
                </pt>
                <pt idx="108">
                  <v>30.63</v>
                </pt>
                <pt idx="109">
                  <v>30.62</v>
                </pt>
                <pt idx="110">
                  <v>30.59</v>
                </pt>
                <pt idx="111">
                  <v>30.485</v>
                </pt>
                <pt idx="112">
                  <v>30.635</v>
                </pt>
                <pt idx="113">
                  <v>30.55</v>
                </pt>
                <pt idx="114">
                  <v>30.35</v>
                </pt>
                <pt idx="115">
                  <v>30.16</v>
                </pt>
                <pt idx="116">
                  <v>30.095</v>
                </pt>
                <pt idx="117">
                  <v>30.04</v>
                </pt>
                <pt idx="118">
                  <v>30.025</v>
                </pt>
                <pt idx="119">
                  <v>29.995</v>
                </pt>
                <pt idx="120">
                  <v>32.56</v>
                </pt>
                <pt idx="121">
                  <v>32.55</v>
                </pt>
                <pt idx="122">
                  <v>32.535</v>
                </pt>
                <pt idx="123">
                  <v>32.72</v>
                </pt>
                <pt idx="124">
                  <v>32.915</v>
                </pt>
                <pt idx="125">
                  <v>33.06</v>
                </pt>
                <pt idx="126">
                  <v>33.055</v>
                </pt>
                <pt idx="127">
                  <v>33.1</v>
                </pt>
                <pt idx="128">
                  <v>33.14</v>
                </pt>
                <pt idx="129">
                  <v>33.25</v>
                </pt>
                <pt idx="130">
                  <v>33.255</v>
                </pt>
                <pt idx="131">
                  <v>33.15</v>
                </pt>
                <pt idx="132">
                  <v>33.16</v>
                </pt>
                <pt idx="133">
                  <v>33.145</v>
                </pt>
                <pt idx="134">
                  <v>33.13</v>
                </pt>
                <pt idx="135">
                  <v>33.085</v>
                </pt>
                <pt idx="136">
                  <v>33.05</v>
                </pt>
                <pt idx="137">
                  <v>33.06</v>
                </pt>
                <pt idx="138">
                  <v>33.095</v>
                </pt>
                <pt idx="139">
                  <v>33.05</v>
                </pt>
                <pt idx="140">
                  <v>33.065</v>
                </pt>
                <pt idx="141">
                  <v>33.01</v>
                </pt>
                <pt idx="142">
                  <v>33.02</v>
                </pt>
                <pt idx="143">
                  <v>33.01</v>
                </pt>
                <pt idx="144">
                  <v>32.94</v>
                </pt>
                <pt idx="145">
                  <v>32.97</v>
                </pt>
                <pt idx="146">
                  <v>32.89</v>
                </pt>
                <pt idx="147">
                  <v>32.905</v>
                </pt>
                <pt idx="148">
                  <v>32.875</v>
                </pt>
                <pt idx="149">
                  <v>32.965</v>
                </pt>
                <pt idx="150">
                  <v>32.975</v>
                </pt>
                <pt idx="151">
                  <v>32.87</v>
                </pt>
                <pt idx="152">
                  <v>32.845</v>
                </pt>
                <pt idx="153">
                  <v>32.855</v>
                </pt>
                <pt idx="154">
                  <v>32.765</v>
                </pt>
                <pt idx="155">
                  <v>32.8</v>
                </pt>
                <pt idx="156">
                  <v>32.845</v>
                </pt>
                <pt idx="157">
                  <v>32.8</v>
                </pt>
                <pt idx="158">
                  <v>32.82</v>
                </pt>
                <pt idx="159">
                  <v>32.755</v>
                </pt>
                <pt idx="160">
                  <v>32.835</v>
                </pt>
                <pt idx="161">
                  <v>32.86</v>
                </pt>
                <pt idx="162">
                  <v>32.91</v>
                </pt>
                <pt idx="163">
                  <v>32.895</v>
                </pt>
                <pt idx="164">
                  <v>32.895</v>
                </pt>
                <pt idx="165">
                  <v>32.84</v>
                </pt>
                <pt idx="166">
                  <v>32.805</v>
                </pt>
                <pt idx="167">
                  <v>32.88</v>
                </pt>
                <pt idx="168">
                  <v>32.9</v>
                </pt>
                <pt idx="169">
                  <v>33.035</v>
                </pt>
                <pt idx="170">
                  <v>33.02</v>
                </pt>
                <pt idx="171">
                  <v>32.735</v>
                </pt>
                <pt idx="172">
                  <v>32.82</v>
                </pt>
                <pt idx="173">
                  <v>32.825</v>
                </pt>
                <pt idx="174">
                  <v>32.83</v>
                </pt>
                <pt idx="175">
                  <v>32.855</v>
                </pt>
                <pt idx="176">
                  <v>32.98</v>
                </pt>
                <pt idx="177">
                  <v>32.98</v>
                </pt>
                <pt idx="178">
                  <v>33.115</v>
                </pt>
                <pt idx="179">
                  <v>33.02</v>
                </pt>
                <pt idx="180">
                  <v>33.17</v>
                </pt>
                <pt idx="181">
                  <v>33.015</v>
                </pt>
                <pt idx="182">
                  <v>33</v>
                </pt>
                <pt idx="183">
                  <v>32.94</v>
                </pt>
                <pt idx="184">
                  <v>32.785</v>
                </pt>
                <pt idx="185">
                  <v>32.915</v>
                </pt>
                <pt idx="186">
                  <v>32.965</v>
                </pt>
                <pt idx="187">
                  <v>32.93</v>
                </pt>
                <pt idx="188">
                  <v>32.835</v>
                </pt>
                <pt idx="189">
                  <v>32.775</v>
                </pt>
                <pt idx="190">
                  <v>32.77</v>
                </pt>
                <pt idx="191">
                  <v>32.75</v>
                </pt>
                <pt idx="192">
                  <v>32.725</v>
                </pt>
                <pt idx="193">
                  <v>32.73</v>
                </pt>
                <pt idx="194">
                  <v>32.74</v>
                </pt>
                <pt idx="195">
                  <v>32.745</v>
                </pt>
                <pt idx="196">
                  <v>32.72</v>
                </pt>
                <pt idx="197">
                  <v>32.54</v>
                </pt>
                <pt idx="198">
                  <v>32.565</v>
                </pt>
                <pt idx="199">
                  <v>32.535</v>
                </pt>
                <pt idx="200">
                  <v>32.555</v>
                </pt>
                <pt idx="201">
                  <v>32.54</v>
                </pt>
                <pt idx="202">
                  <v>32.56</v>
                </pt>
                <pt idx="203">
                  <v>32.495</v>
                </pt>
                <pt idx="204">
                  <v>32.525</v>
                </pt>
                <pt idx="205">
                  <v>32.455</v>
                </pt>
                <pt idx="206">
                  <v>32.49</v>
                </pt>
                <pt idx="207">
                  <v>32.485</v>
                </pt>
                <pt idx="208">
                  <v>32.59</v>
                </pt>
                <pt idx="209">
                  <v>32.65</v>
                </pt>
                <pt idx="210">
                  <v>32.52</v>
                </pt>
                <pt idx="211">
                  <v>32.58</v>
                </pt>
                <pt idx="212">
                  <v>32.585</v>
                </pt>
                <pt idx="213">
                  <v>32.56</v>
                </pt>
                <pt idx="214">
                  <v>32.53</v>
                </pt>
                <pt idx="215">
                  <v>32.64</v>
                </pt>
                <pt idx="216">
                  <v>32.595</v>
                </pt>
                <pt idx="217">
                  <v>32.545</v>
                </pt>
                <pt idx="218">
                  <v>32.46</v>
                </pt>
                <pt idx="219">
                  <v>32.585</v>
                </pt>
                <pt idx="220">
                  <v>32.52</v>
                </pt>
                <pt idx="221">
                  <v>32.615</v>
                </pt>
                <pt idx="222">
                  <v>32.5</v>
                </pt>
                <pt idx="223">
                  <v>32.485</v>
                </pt>
                <pt idx="224">
                  <v>32.3</v>
                </pt>
                <pt idx="225">
                  <v>32.165</v>
                </pt>
                <pt idx="226">
                  <v>32.29</v>
                </pt>
                <pt idx="227">
                  <v>32.225</v>
                </pt>
                <pt idx="228">
                  <v>32.02</v>
                </pt>
                <pt idx="229">
                  <v>32.02</v>
                </pt>
                <pt idx="230">
                  <v>32.015</v>
                </pt>
                <pt idx="231">
                  <v>32.09</v>
                </pt>
                <pt idx="232">
                  <v>32.09</v>
                </pt>
                <pt idx="233">
                  <v>32.15</v>
                </pt>
                <pt idx="234">
                  <v>32.145</v>
                </pt>
                <pt idx="235">
                  <v>32.12</v>
                </pt>
                <pt idx="236">
                  <v>32.14</v>
                </pt>
                <pt idx="237">
                  <v>32.13</v>
                </pt>
                <pt idx="238">
                  <v>32.11</v>
                </pt>
                <pt idx="239">
                  <v>32.02</v>
                </pt>
                <pt idx="240">
                  <v>32.12</v>
                </pt>
                <pt idx="241">
                  <v>32.215</v>
                </pt>
                <pt idx="242">
                  <v>32.235</v>
                </pt>
                <pt idx="243">
                  <v>32.23</v>
                </pt>
                <pt idx="244">
                  <v>32.22</v>
                </pt>
                <pt idx="245">
                  <v>32.235</v>
                </pt>
                <pt idx="246">
                  <v>32.23</v>
                </pt>
                <pt idx="247">
                  <v>32.27</v>
                </pt>
                <pt idx="248">
                  <v>32.18</v>
                </pt>
                <pt idx="249">
                  <v>32.01</v>
                </pt>
                <pt idx="250">
                  <v>31.89</v>
                </pt>
                <pt idx="251">
                  <v>31.7</v>
                </pt>
                <pt idx="252">
                  <v>31.74</v>
                </pt>
                <pt idx="253">
                  <v>31.915</v>
                </pt>
                <pt idx="254">
                  <v>31.89</v>
                </pt>
                <pt idx="255">
                  <v>32.02</v>
                </pt>
                <pt idx="256">
                  <v>32.085</v>
                </pt>
                <pt idx="257">
                  <v>32.015</v>
                </pt>
                <pt idx="258">
                  <v>31.985</v>
                </pt>
                <pt idx="259">
                  <v>31.99</v>
                </pt>
                <pt idx="260">
                  <v>31.96</v>
                </pt>
                <pt idx="261">
                  <v>32.045</v>
                </pt>
                <pt idx="262">
                  <v>32.18</v>
                </pt>
                <pt idx="263">
                  <v>32.175</v>
                </pt>
                <pt idx="264">
                  <v>32.23</v>
                </pt>
                <pt idx="265">
                  <v>32.14</v>
                </pt>
                <pt idx="266">
                  <v>31.98</v>
                </pt>
                <pt idx="267">
                  <v>32.12</v>
                </pt>
                <pt idx="268">
                  <v>32.24</v>
                </pt>
                <pt idx="269">
                  <v>32.11</v>
                </pt>
                <pt idx="270">
                  <v>32.07</v>
                </pt>
                <pt idx="271">
                  <v>31.99</v>
                </pt>
                <pt idx="272">
                  <v>31.96</v>
                </pt>
                <pt idx="273">
                  <v>32</v>
                </pt>
                <pt idx="274">
                  <v>31.98</v>
                </pt>
                <pt idx="275">
                  <v>31.86</v>
                </pt>
                <pt idx="276">
                  <v>32.01</v>
                </pt>
                <pt idx="277">
                  <v>32.015</v>
                </pt>
                <pt idx="278">
                  <v>31.985</v>
                </pt>
                <pt idx="279">
                  <v>32.03</v>
                </pt>
                <pt idx="280">
                  <v>32.075</v>
                </pt>
                <pt idx="281">
                  <v>32.33</v>
                </pt>
                <pt idx="282">
                  <v>32.33</v>
                </pt>
                <pt idx="283">
                  <v>32.35</v>
                </pt>
                <pt idx="284">
                  <v>32.525</v>
                </pt>
                <pt idx="285">
                  <v>32.51</v>
                </pt>
                <pt idx="286">
                  <v>32.48</v>
                </pt>
                <pt idx="287">
                  <v>32.62</v>
                </pt>
                <pt idx="288">
                  <v>32.735</v>
                </pt>
                <pt idx="289">
                  <v>32.74</v>
                </pt>
                <pt idx="290">
                  <v>32.695</v>
                </pt>
                <pt idx="291">
                  <v>32.865</v>
                </pt>
                <pt idx="292">
                  <v>32.825</v>
                </pt>
                <pt idx="293">
                  <v>32.885</v>
                </pt>
                <pt idx="294">
                  <v>32.9</v>
                </pt>
                <pt idx="295">
                  <v>32.92</v>
                </pt>
                <pt idx="296">
                  <v>32.88</v>
                </pt>
                <pt idx="297">
                  <v>32.88</v>
                </pt>
                <pt idx="298">
                  <v>32.89</v>
                </pt>
                <pt idx="299">
                  <v>32.9</v>
                </pt>
                <pt idx="300">
                  <v>32.78</v>
                </pt>
                <pt idx="301">
                  <v>32.655</v>
                </pt>
                <pt idx="302">
                  <v>32.665</v>
                </pt>
                <pt idx="303">
                  <v>32.675</v>
                </pt>
                <pt idx="304">
                  <v>32.625</v>
                </pt>
                <pt idx="305">
                  <v>32.61</v>
                </pt>
                <pt idx="306">
                  <v>32.56</v>
                </pt>
                <pt idx="307">
                  <v>32.635</v>
                </pt>
                <pt idx="308">
                  <v>32.6</v>
                </pt>
                <pt idx="309">
                  <v>32.545</v>
                </pt>
                <pt idx="310">
                  <v>32.525</v>
                </pt>
                <pt idx="311">
                  <v>32.525</v>
                </pt>
                <pt idx="312">
                  <v>32.68</v>
                </pt>
                <pt idx="313">
                  <v>32.67</v>
                </pt>
                <pt idx="314">
                  <v>32.595</v>
                </pt>
                <pt idx="315">
                  <v>32.5</v>
                </pt>
                <pt idx="316">
                  <v>32.58</v>
                </pt>
                <pt idx="317">
                  <v>32.6</v>
                </pt>
                <pt idx="318">
                  <v>32.495</v>
                </pt>
                <pt idx="319">
                  <v>32.44</v>
                </pt>
                <pt idx="320">
                  <v>32.42</v>
                </pt>
                <pt idx="321">
                  <v>32.375</v>
                </pt>
                <pt idx="322">
                  <v>32.405</v>
                </pt>
                <pt idx="323">
                  <v>32.445</v>
                </pt>
                <pt idx="324">
                  <v>32.435</v>
                </pt>
                <pt idx="325">
                  <v>32.395</v>
                </pt>
                <pt idx="326">
                  <v>32.38</v>
                </pt>
                <pt idx="327">
                  <v>32.435</v>
                </pt>
                <pt idx="328">
                  <v>32.445</v>
                </pt>
                <pt idx="329">
                  <v>32.3</v>
                </pt>
                <pt idx="330">
                  <v>32.32</v>
                </pt>
                <pt idx="331">
                  <v>32.39</v>
                </pt>
                <pt idx="332">
                  <v>32.445</v>
                </pt>
                <pt idx="333">
                  <v>32.445</v>
                </pt>
                <pt idx="334">
                  <v>32.45</v>
                </pt>
                <pt idx="335">
                  <v>32.49</v>
                </pt>
                <pt idx="336">
                  <v>32.345</v>
                </pt>
                <pt idx="337">
                  <v>32.22</v>
                </pt>
                <pt idx="338">
                  <v>32.23</v>
                </pt>
                <pt idx="339">
                  <v>32.315</v>
                </pt>
                <pt idx="340">
                  <v>32.29</v>
                </pt>
                <pt idx="341">
                  <v>32.325</v>
                </pt>
                <pt idx="342">
                  <v>32.34</v>
                </pt>
                <pt idx="343">
                  <v>32.285</v>
                </pt>
                <pt idx="344">
                  <v>32.26</v>
                </pt>
                <pt idx="345">
                  <v>32.155</v>
                </pt>
                <pt idx="346">
                  <v>32.355</v>
                </pt>
                <pt idx="347">
                  <v>32.465</v>
                </pt>
                <pt idx="348">
                  <v>32.465</v>
                </pt>
                <pt idx="349">
                  <v>32.465</v>
                </pt>
                <pt idx="350">
                  <v>32.505</v>
                </pt>
                <pt idx="351">
                  <v>32.46</v>
                </pt>
                <pt idx="352">
                  <v>32.42</v>
                </pt>
                <pt idx="353">
                  <v>32.4</v>
                </pt>
                <pt idx="354">
                  <v>32.425</v>
                </pt>
                <pt idx="355">
                  <v>32.55</v>
                </pt>
                <pt idx="356">
                  <v>32.595</v>
                </pt>
                <pt idx="357">
                  <v>32.61</v>
                </pt>
                <pt idx="358">
                  <v>32.62</v>
                </pt>
                <pt idx="359">
                  <v>32.63</v>
                </pt>
                <pt idx="360">
                  <v>32.585</v>
                </pt>
                <pt idx="361">
                  <v>32.645</v>
                </pt>
                <pt idx="362">
                  <v>32.69</v>
                </pt>
                <pt idx="363">
                  <v>32.565</v>
                </pt>
                <pt idx="364">
                  <v>32.425</v>
                </pt>
                <pt idx="365">
                  <v>32.54</v>
                </pt>
                <pt idx="366">
                  <v>32.545</v>
                </pt>
                <pt idx="367">
                  <v>32.43</v>
                </pt>
                <pt idx="368">
                  <v>32.345</v>
                </pt>
                <pt idx="369">
                  <v>32.28</v>
                </pt>
                <pt idx="370">
                  <v>32.06</v>
                </pt>
                <pt idx="371">
                  <v>32.155</v>
                </pt>
                <pt idx="372">
                  <v>32.15</v>
                </pt>
                <pt idx="373">
                  <v>32.11</v>
                </pt>
                <pt idx="374">
                  <v>32.125</v>
                </pt>
                <pt idx="375">
                  <v>32.03</v>
                </pt>
                <pt idx="376">
                  <v>32.05</v>
                </pt>
                <pt idx="377">
                  <v>32.04</v>
                </pt>
                <pt idx="378">
                  <v>32.05</v>
                </pt>
                <pt idx="379">
                  <v>31.955</v>
                </pt>
                <pt idx="380">
                  <v>31.915</v>
                </pt>
                <pt idx="381">
                  <v>32.01</v>
                </pt>
                <pt idx="382">
                  <v>31.885</v>
                </pt>
                <pt idx="383">
                  <v>31.92</v>
                </pt>
                <pt idx="384">
                  <v>31.83</v>
                </pt>
                <pt idx="385">
                  <v>31.71</v>
                </pt>
                <pt idx="386">
                  <v>31.65</v>
                </pt>
                <pt idx="387">
                  <v>31.55</v>
                </pt>
                <pt idx="388">
                  <v>31.515</v>
                </pt>
                <pt idx="389">
                  <v>31.47</v>
                </pt>
                <pt idx="390">
                  <v>31.47</v>
                </pt>
                <pt idx="391">
                  <v>31.48</v>
                </pt>
                <pt idx="392">
                  <v>31.59</v>
                </pt>
                <pt idx="393">
                  <v>31.625</v>
                </pt>
                <pt idx="394">
                  <v>31.615</v>
                </pt>
                <pt idx="395">
                  <v>31.575</v>
                </pt>
                <pt idx="396">
                  <v>31.66</v>
                </pt>
                <pt idx="397">
                  <v>31.63</v>
                </pt>
                <pt idx="398">
                  <v>31.62</v>
                </pt>
                <pt idx="399">
                  <v>31.6</v>
                </pt>
                <pt idx="400">
                  <v>31.605</v>
                </pt>
                <pt idx="401">
                  <v>31.56</v>
                </pt>
                <pt idx="402">
                  <v>31.58</v>
                </pt>
                <pt idx="403">
                  <v>31.55</v>
                </pt>
                <pt idx="404">
                  <v>31.45</v>
                </pt>
                <pt idx="405">
                  <v>31.435</v>
                </pt>
                <pt idx="406">
                  <v>31.41</v>
                </pt>
                <pt idx="407">
                  <v>31.48</v>
                </pt>
                <pt idx="408">
                  <v>31.4</v>
                </pt>
                <pt idx="409">
                  <v>31.38</v>
                </pt>
                <pt idx="410">
                  <v>31.42</v>
                </pt>
                <pt idx="411">
                  <v>31.285</v>
                </pt>
                <pt idx="412">
                  <v>31.38</v>
                </pt>
                <pt idx="413">
                  <v>31.34</v>
                </pt>
                <pt idx="414">
                  <v>31.19</v>
                </pt>
                <pt idx="415">
                  <v>31.3</v>
                </pt>
                <pt idx="416">
                  <v>31.34</v>
                </pt>
                <pt idx="417">
                  <v>31.36</v>
                </pt>
                <pt idx="418">
                  <v>31.39</v>
                </pt>
                <pt idx="419">
                  <v>31.375</v>
                </pt>
                <pt idx="420">
                  <v>31.39</v>
                </pt>
                <pt idx="421">
                  <v>31.485</v>
                </pt>
                <pt idx="422">
                  <v>31.625</v>
                </pt>
                <pt idx="423">
                  <v>31.64</v>
                </pt>
                <pt idx="424">
                  <v>31.445</v>
                </pt>
                <pt idx="425">
                  <v>31.27</v>
                </pt>
                <pt idx="426">
                  <v>31.175</v>
                </pt>
                <pt idx="427">
                  <v>31.145</v>
                </pt>
                <pt idx="428">
                  <v>31.17</v>
                </pt>
                <pt idx="429">
                  <v>31.07</v>
                </pt>
                <pt idx="430">
                  <v>31.045</v>
                </pt>
                <pt idx="431">
                  <v>31.06</v>
                </pt>
                <pt idx="432">
                  <v>31.045</v>
                </pt>
                <pt idx="433">
                  <v>31.06</v>
                </pt>
                <pt idx="434">
                  <v>30.915</v>
                </pt>
                <pt idx="435">
                  <v>30.755</v>
                </pt>
                <pt idx="436">
                  <v>30.755</v>
                </pt>
                <pt idx="437">
                  <v>30.915</v>
                </pt>
                <pt idx="438">
                  <v>31.105</v>
                </pt>
                <pt idx="439">
                  <v>31.18</v>
                </pt>
                <pt idx="440">
                  <v>31.245</v>
                </pt>
                <pt idx="441">
                  <v>31.32</v>
                </pt>
                <pt idx="442">
                  <v>31.35</v>
                </pt>
                <pt idx="443">
                  <v>31.4</v>
                </pt>
                <pt idx="444">
                  <v>31.36</v>
                </pt>
                <pt idx="445">
                  <v>31.285</v>
                </pt>
                <pt idx="446">
                  <v>31.375</v>
                </pt>
                <pt idx="447">
                  <v>31.565</v>
                </pt>
                <pt idx="448">
                  <v>31.55</v>
                </pt>
                <pt idx="449">
                  <v>31.55</v>
                </pt>
                <pt idx="450">
                  <v>31.42</v>
                </pt>
                <pt idx="451">
                  <v>31.57</v>
                </pt>
                <pt idx="452">
                  <v>31.545</v>
                </pt>
                <pt idx="453">
                  <v>31.53</v>
                </pt>
                <pt idx="454">
                  <v>31.455</v>
                </pt>
                <pt idx="455">
                  <v>31.52</v>
                </pt>
                <pt idx="456">
                  <v>31.305</v>
                </pt>
                <pt idx="457">
                  <v>31.295</v>
                </pt>
                <pt idx="458">
                  <v>31.51</v>
                </pt>
                <pt idx="459">
                  <v>31.61</v>
                </pt>
                <pt idx="460">
                  <v>31.675</v>
                </pt>
                <pt idx="461">
                  <v>31.58</v>
                </pt>
                <pt idx="462">
                  <v>31.645</v>
                </pt>
                <pt idx="463">
                  <v>31.475</v>
                </pt>
                <pt idx="464">
                  <v>31.69</v>
                </pt>
                <pt idx="465">
                  <v>31.9</v>
                </pt>
                <pt idx="466">
                  <v>32.06</v>
                </pt>
                <pt idx="467">
                  <v>32.145</v>
                </pt>
                <pt idx="468">
                  <v>32.39</v>
                </pt>
                <pt idx="469">
                  <v>32.385</v>
                </pt>
                <pt idx="470">
                  <v>32.41</v>
                </pt>
                <pt idx="471">
                  <v>32.315</v>
                </pt>
                <pt idx="472">
                  <v>32.3</v>
                </pt>
                <pt idx="473">
                  <v>32.255</v>
                </pt>
                <pt idx="474">
                  <v>32.2</v>
                </pt>
                <pt idx="475">
                  <v>32.345</v>
                </pt>
                <pt idx="476">
                  <v>32.415</v>
                </pt>
                <pt idx="477">
                  <v>32.535</v>
                </pt>
                <pt idx="478">
                  <v>32.475</v>
                </pt>
                <pt idx="479">
                  <v>32.485</v>
                </pt>
                <pt idx="480">
                  <v>32.48</v>
                </pt>
                <pt idx="481">
                  <v>32.5</v>
                </pt>
                <pt idx="482">
                  <v>32.41</v>
                </pt>
                <pt idx="483">
                  <v>32.37</v>
                </pt>
                <pt idx="484">
                  <v>32.405</v>
                </pt>
                <pt idx="485">
                  <v>32.38</v>
                </pt>
                <pt idx="486">
                  <v>32.375</v>
                </pt>
                <pt idx="487">
                  <v>32.35</v>
                </pt>
                <pt idx="488">
                  <v>32.35</v>
                </pt>
                <pt idx="489">
                  <v>32.33</v>
                </pt>
                <pt idx="490">
                  <v>32.275</v>
                </pt>
                <pt idx="491">
                  <v>32.175</v>
                </pt>
                <pt idx="492">
                  <v>32.16</v>
                </pt>
                <pt idx="493">
                  <v>32.265</v>
                </pt>
                <pt idx="494">
                  <v>32.325</v>
                </pt>
                <pt idx="495">
                  <v>32.38</v>
                </pt>
                <pt idx="496">
                  <v>32.385</v>
                </pt>
                <pt idx="497">
                  <v>32.3</v>
                </pt>
                <pt idx="498">
                  <v>32.32</v>
                </pt>
                <pt idx="499">
                  <v>32.295</v>
                </pt>
                <pt idx="500">
                  <v>32.28</v>
                </pt>
                <pt idx="501">
                  <v>32.21</v>
                </pt>
                <pt idx="502">
                  <v>32.165</v>
                </pt>
                <pt idx="503">
                  <v>32.18</v>
                </pt>
                <pt idx="504">
                  <v>32.16</v>
                </pt>
                <pt idx="505">
                  <v>32.07</v>
                </pt>
                <pt idx="506">
                  <v>32.045</v>
                </pt>
                <pt idx="507">
                  <v>32.03</v>
                </pt>
                <pt idx="508">
                  <v>31.975</v>
                </pt>
                <pt idx="509">
                  <v>31.955</v>
                </pt>
                <pt idx="510">
                  <v>32.03</v>
                </pt>
                <pt idx="511">
                  <v>32.08</v>
                </pt>
                <pt idx="512">
                  <v>32.045</v>
                </pt>
                <pt idx="513">
                  <v>32.055</v>
                </pt>
                <pt idx="514">
                  <v>32.045</v>
                </pt>
                <pt idx="515">
                  <v>32.015</v>
                </pt>
                <pt idx="516">
                  <v>31.945</v>
                </pt>
                <pt idx="517">
                  <v>31.93</v>
                </pt>
                <pt idx="518">
                  <v>31.91</v>
                </pt>
                <pt idx="519">
                  <v>31.91</v>
                </pt>
                <pt idx="520">
                  <v>31.91</v>
                </pt>
                <pt idx="521">
                  <v>31.935</v>
                </pt>
                <pt idx="522">
                  <v>31.93</v>
                </pt>
                <pt idx="523">
                  <v>31.9</v>
                </pt>
                <pt idx="524">
                  <v>31.835</v>
                </pt>
                <pt idx="525">
                  <v>31.98</v>
                </pt>
                <pt idx="526">
                  <v>31.99</v>
                </pt>
                <pt idx="527">
                  <v>32.02</v>
                </pt>
                <pt idx="528">
                  <v>32</v>
                </pt>
                <pt idx="529">
                  <v>32.025</v>
                </pt>
                <pt idx="530">
                  <v>31.945</v>
                </pt>
                <pt idx="531">
                  <v>31.975</v>
                </pt>
                <pt idx="532">
                  <v>31.98</v>
                </pt>
                <pt idx="533">
                  <v>31.85</v>
                </pt>
                <pt idx="534">
                  <v>31.815</v>
                </pt>
                <pt idx="535">
                  <v>31.79</v>
                </pt>
                <pt idx="536">
                  <v>31.86</v>
                </pt>
                <pt idx="537">
                  <v>31.72</v>
                </pt>
                <pt idx="538">
                  <v>31.74</v>
                </pt>
                <pt idx="539">
                  <v>31.685</v>
                </pt>
                <pt idx="540">
                  <v>31.675</v>
                </pt>
                <pt idx="541">
                  <v>31.56</v>
                </pt>
                <pt idx="542">
                  <v>31.47</v>
                </pt>
                <pt idx="543">
                  <v>31.445</v>
                </pt>
                <pt idx="544">
                  <v>31.275</v>
                </pt>
                <pt idx="545">
                  <v>31.285</v>
                </pt>
                <pt idx="546">
                  <v>31.355</v>
                </pt>
                <pt idx="547">
                  <v>31.41</v>
                </pt>
                <pt idx="548">
                  <v>31.285</v>
                </pt>
                <pt idx="549">
                  <v>31.12</v>
                </pt>
                <pt idx="550">
                  <v>31.11</v>
                </pt>
                <pt idx="551">
                  <v>31.035</v>
                </pt>
                <pt idx="552">
                  <v>31.095</v>
                </pt>
                <pt idx="553">
                  <v>30.935</v>
                </pt>
                <pt idx="554">
                  <v>31.12</v>
                </pt>
                <pt idx="555">
                  <v>31.28</v>
                </pt>
                <pt idx="556">
                  <v>31.365</v>
                </pt>
                <pt idx="557">
                  <v>31.435</v>
                </pt>
                <pt idx="558">
                  <v>31.385</v>
                </pt>
                <pt idx="559">
                  <v>31.28</v>
                </pt>
                <pt idx="560">
                  <v>31.2</v>
                </pt>
                <pt idx="561">
                  <v>31.165</v>
                </pt>
                <pt idx="562">
                  <v>31.185</v>
                </pt>
                <pt idx="563">
                  <v>31.19</v>
                </pt>
                <pt idx="564">
                  <v>31.12</v>
                </pt>
                <pt idx="565">
                  <v>31.12</v>
                </pt>
                <pt idx="566">
                  <v>31.075</v>
                </pt>
                <pt idx="567">
                  <v>31.06</v>
                </pt>
                <pt idx="568">
                  <v>30.96</v>
                </pt>
                <pt idx="569">
                  <v>30.945</v>
                </pt>
                <pt idx="570">
                  <v>30.845</v>
                </pt>
                <pt idx="571">
                  <v>30.785</v>
                </pt>
                <pt idx="572">
                  <v>30.75</v>
                </pt>
                <pt idx="573">
                  <v>30.765</v>
                </pt>
                <pt idx="574">
                  <v>30.76</v>
                </pt>
                <pt idx="575">
                  <v>30.75</v>
                </pt>
                <pt idx="576">
                  <v>30.795</v>
                </pt>
                <pt idx="577">
                  <v>30.77</v>
                </pt>
                <pt idx="578">
                  <v>30.805</v>
                </pt>
                <pt idx="579">
                  <v>30.755</v>
                </pt>
                <pt idx="580">
                  <v>30.775</v>
                </pt>
                <pt idx="581">
                  <v>30.74</v>
                </pt>
                <pt idx="582">
                  <v>30.71</v>
                </pt>
                <pt idx="583">
                  <v>30.785</v>
                </pt>
                <pt idx="584">
                  <v>30.8</v>
                </pt>
                <pt idx="585">
                  <v>30.695</v>
                </pt>
                <pt idx="586">
                  <v>30.695</v>
                </pt>
                <pt idx="587">
                  <v>30.795</v>
                </pt>
                <pt idx="588">
                  <v>30.835</v>
                </pt>
                <pt idx="589">
                  <v>30.845</v>
                </pt>
                <pt idx="590">
                  <v>30.8</v>
                </pt>
                <pt idx="591">
                  <v>30.73</v>
                </pt>
                <pt idx="592">
                  <v>30.725</v>
                </pt>
                <pt idx="593">
                  <v>30.815</v>
                </pt>
                <pt idx="594">
                  <v>30.865</v>
                </pt>
                <pt idx="595">
                  <v>30.855</v>
                </pt>
                <pt idx="596">
                  <v>30.855</v>
                </pt>
                <pt idx="597">
                  <v>30.8</v>
                </pt>
                <pt idx="598">
                  <v>30.78</v>
                </pt>
                <pt idx="599">
                  <v>30.775</v>
                </pt>
                <pt idx="600">
                  <v>30.745</v>
                </pt>
                <pt idx="601">
                  <v>30.725</v>
                </pt>
                <pt idx="602">
                  <v>30.685</v>
                </pt>
                <pt idx="603">
                  <v>30.72</v>
                </pt>
                <pt idx="604">
                  <v>30.795</v>
                </pt>
                <pt idx="605">
                  <v>30.825</v>
                </pt>
                <pt idx="606">
                  <v>30.79</v>
                </pt>
                <pt idx="607">
                  <v>30.755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873096112"/>
        <axId val="873098512"/>
      </lineChart>
      <dateAx>
        <axId val="873096112"/>
        <scaling>
          <orientation val="minMax"/>
        </scaling>
        <delete val="0"/>
        <axPos val="b"/>
        <numFmt formatCode="m/d/yyyy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TW"/>
          </a:p>
        </txPr>
        <crossAx val="873098512"/>
        <crosses val="autoZero"/>
        <lblOffset val="100"/>
        <baseTimeUnit val="days"/>
      </dateAx>
      <valAx>
        <axId val="8730985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TW"/>
          </a:p>
        </txPr>
        <crossAx val="87309611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TW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'Family-帳戶紀錄_old'!$A$4:$A$694</f>
              <numCache>
                <formatCode>yyyy/mm/dd</formatCode>
                <ptCount val="78"/>
                <pt idx="0">
                  <v>43403</v>
                </pt>
                <pt idx="1">
                  <v>43455</v>
                </pt>
                <pt idx="2">
                  <formatCode>m/d/yyyy</formatCode>
                  <v>43546</v>
                </pt>
                <pt idx="3">
                  <v>43643</v>
                </pt>
                <pt idx="4">
                  <v>43689</v>
                </pt>
                <pt idx="5">
                  <v>43830</v>
                </pt>
                <pt idx="6">
                  <v>43839</v>
                </pt>
                <pt idx="7">
                  <v>43839</v>
                </pt>
                <pt idx="8">
                  <v>44007</v>
                </pt>
                <pt idx="9">
                  <v>44091</v>
                </pt>
                <pt idx="10">
                  <v>44187</v>
                </pt>
                <pt idx="11">
                  <v>44201</v>
                </pt>
                <pt idx="12">
                  <v>44204</v>
                </pt>
                <pt idx="13">
                  <v>44285</v>
                </pt>
                <pt idx="14">
                  <v>44368</v>
                </pt>
                <pt idx="15">
                  <v>44560</v>
                </pt>
                <pt idx="16">
                  <v>44567</v>
                </pt>
                <pt idx="17">
                  <v>44567</v>
                </pt>
                <pt idx="18">
                  <v>44648</v>
                </pt>
                <pt idx="19">
                  <v>44735</v>
                </pt>
                <pt idx="20">
                  <v>44916</v>
                </pt>
                <pt idx="21">
                  <v>44932</v>
                </pt>
                <pt idx="22">
                  <v>45008</v>
                </pt>
                <pt idx="23">
                  <v>45026</v>
                </pt>
                <pt idx="24">
                  <v>45112</v>
                </pt>
                <pt idx="25">
                  <v>45204</v>
                </pt>
                <pt idx="26">
                  <v>45296</v>
                </pt>
                <pt idx="27">
                  <v>45301</v>
                </pt>
                <pt idx="28">
                  <v>45306</v>
                </pt>
                <pt idx="29">
                  <v>45310</v>
                </pt>
                <pt idx="30">
                  <v>45315</v>
                </pt>
                <pt idx="31">
                  <v>45322</v>
                </pt>
                <pt idx="32">
                  <v>45296</v>
                </pt>
                <pt idx="33">
                  <v>45342</v>
                </pt>
                <pt idx="34">
                  <v>45342</v>
                </pt>
                <pt idx="35">
                  <v>45342</v>
                </pt>
                <pt idx="36">
                  <v>45342</v>
                </pt>
                <pt idx="37">
                  <v>45342</v>
                </pt>
                <pt idx="38">
                  <v>45344</v>
                </pt>
                <pt idx="39">
                  <v>45352</v>
                </pt>
                <pt idx="40">
                  <v>45352</v>
                </pt>
                <pt idx="41">
                  <v>45356</v>
                </pt>
                <pt idx="42">
                  <v>45363</v>
                </pt>
                <pt idx="43">
                  <v>45363</v>
                </pt>
                <pt idx="44">
                  <v>45364</v>
                </pt>
                <pt idx="45">
                  <v>45369</v>
                </pt>
                <pt idx="46">
                  <v>45370</v>
                </pt>
                <pt idx="47">
                  <v>45371</v>
                </pt>
                <pt idx="48">
                  <v>45372</v>
                </pt>
                <pt idx="49">
                  <v>45377</v>
                </pt>
                <pt idx="50">
                  <v>45379</v>
                </pt>
                <pt idx="51">
                  <v>45379</v>
                </pt>
                <pt idx="52">
                  <v>45384</v>
                </pt>
                <pt idx="53">
                  <v>45385</v>
                </pt>
                <pt idx="54">
                  <v>45385</v>
                </pt>
                <pt idx="55">
                  <v>45385</v>
                </pt>
                <pt idx="56">
                  <v>45385</v>
                </pt>
                <pt idx="57">
                  <v>45390</v>
                </pt>
                <pt idx="58">
                  <v>45390</v>
                </pt>
                <pt idx="59">
                  <v>45397</v>
                </pt>
                <pt idx="60">
                  <v>45397</v>
                </pt>
                <pt idx="61">
                  <v>45398</v>
                </pt>
                <pt idx="62">
                  <v>45406</v>
                </pt>
                <pt idx="63">
                  <v>45407</v>
                </pt>
                <pt idx="64">
                  <v>45408</v>
                </pt>
                <pt idx="65">
                  <v>45415</v>
                </pt>
                <pt idx="66">
                  <v>45417</v>
                </pt>
                <pt idx="67">
                  <v>45417</v>
                </pt>
                <pt idx="68">
                  <v>45418</v>
                </pt>
                <pt idx="69">
                  <v>45422</v>
                </pt>
                <pt idx="70">
                  <v>45422</v>
                </pt>
                <pt idx="71">
                  <v>45422</v>
                </pt>
                <pt idx="72">
                  <v>45417</v>
                </pt>
                <pt idx="73">
                  <v>45432</v>
                </pt>
                <pt idx="74">
                  <v>45440</v>
                </pt>
                <pt idx="75">
                  <v>45440</v>
                </pt>
                <pt idx="76">
                  <v>45441</v>
                </pt>
                <pt idx="77">
                  <v>45441</v>
                </pt>
              </numCache>
            </numRef>
          </cat>
          <val>
            <numRef>
              <f>'Family-帳戶紀錄_old'!$E$4:$E$694</f>
              <numCache>
                <formatCode xml:space="preserve">0_ ;[Red]\-0\ </formatCode>
                <ptCount val="78"/>
                <pt idx="0">
                  <v>750000</v>
                </pt>
                <pt idx="1">
                  <v>750106</v>
                </pt>
                <pt idx="2">
                  <v>758171</v>
                </pt>
                <pt idx="3">
                  <v>325477</v>
                </pt>
                <pt idx="4">
                  <v>790675</v>
                </pt>
                <pt idx="5">
                  <v>790781</v>
                </pt>
                <pt idx="6">
                  <v>790761</v>
                </pt>
                <pt idx="7">
                  <v>790741</v>
                </pt>
                <pt idx="8">
                  <v>504316</v>
                </pt>
                <pt idx="9">
                  <v>526401</v>
                </pt>
                <pt idx="10">
                  <v>659383</v>
                </pt>
                <pt idx="11">
                  <v>659363</v>
                </pt>
                <pt idx="12">
                  <v>660487</v>
                </pt>
                <pt idx="13">
                  <v>1476551</v>
                </pt>
                <pt idx="14">
                  <v>282329</v>
                </pt>
                <pt idx="15">
                  <v>986678</v>
                </pt>
                <pt idx="16">
                  <v>906865</v>
                </pt>
                <pt idx="17">
                  <v>906845</v>
                </pt>
                <pt idx="18">
                  <v>1311966</v>
                </pt>
                <pt idx="19">
                  <v>1353813</v>
                </pt>
                <pt idx="20">
                  <v>1534943</v>
                </pt>
                <pt idx="21">
                  <v>1545130</v>
                </pt>
                <pt idx="22">
                  <v>1544990</v>
                </pt>
                <pt idx="23">
                  <v>1569744</v>
                </pt>
                <pt idx="24">
                  <v>1481334</v>
                </pt>
                <pt idx="25">
                  <v>1579285</v>
                </pt>
                <pt idx="26">
                  <v>1252300</v>
                </pt>
                <pt idx="27">
                  <v>1252280</v>
                </pt>
                <pt idx="28">
                  <v>1252830</v>
                </pt>
                <pt idx="29">
                  <v>1257244</v>
                </pt>
                <pt idx="30">
                  <v>1307621</v>
                </pt>
                <pt idx="31">
                  <v>1699878</v>
                </pt>
                <pt idx="32">
                  <v>1700130</v>
                </pt>
                <pt idx="33">
                  <v>1681153</v>
                </pt>
                <pt idx="34">
                  <v>1518923</v>
                </pt>
                <pt idx="35">
                  <v>1518863</v>
                </pt>
                <pt idx="36">
                  <v>1466589</v>
                </pt>
                <pt idx="37">
                  <v>1466569</v>
                </pt>
                <pt idx="38">
                  <v>1467479</v>
                </pt>
                <pt idx="39">
                  <v>1467399</v>
                </pt>
                <pt idx="40">
                  <v>1361749</v>
                </pt>
                <pt idx="41">
                  <v>1361940</v>
                </pt>
                <pt idx="42">
                  <v>1193200</v>
                </pt>
                <pt idx="43">
                  <v>1133115</v>
                </pt>
                <pt idx="44">
                  <v>1101120</v>
                </pt>
                <pt idx="45">
                  <v>1101100</v>
                </pt>
                <pt idx="46">
                  <v>1206631</v>
                </pt>
                <pt idx="47">
                  <v>1378866</v>
                </pt>
                <pt idx="48">
                  <v>1378826</v>
                </pt>
                <pt idx="49">
                  <v>1379866</v>
                </pt>
                <pt idx="50">
                  <v>1379746</v>
                </pt>
                <pt idx="51">
                  <v>1329676</v>
                </pt>
                <pt idx="52">
                  <v>1359942</v>
                </pt>
                <pt idx="53">
                  <v>1360265</v>
                </pt>
                <pt idx="54">
                  <v>1297376</v>
                </pt>
                <pt idx="55">
                  <v>1217863</v>
                </pt>
                <pt idx="56">
                  <v>1060640</v>
                </pt>
                <pt idx="57">
                  <v>1000655</v>
                </pt>
                <pt idx="58">
                  <v>1717469</v>
                </pt>
                <pt idx="59">
                  <v>1788155</v>
                </pt>
                <pt idx="60">
                  <v>1855159</v>
                </pt>
                <pt idx="61">
                  <v>1856199</v>
                </pt>
                <pt idx="62">
                  <v>1857557</v>
                </pt>
                <pt idx="63">
                  <v>1862847</v>
                </pt>
                <pt idx="64">
                  <v>1865889</v>
                </pt>
                <pt idx="65">
                  <v>1866580</v>
                </pt>
                <pt idx="66">
                  <v>1866540</v>
                </pt>
                <pt idx="67">
                  <v>1933244</v>
                </pt>
                <pt idx="68">
                  <v>2009705</v>
                </pt>
                <pt idx="69">
                  <v>2168002</v>
                </pt>
                <pt idx="70">
                  <v>2171492</v>
                </pt>
                <pt idx="71">
                  <v>2172381</v>
                </pt>
                <pt idx="72">
                  <v>2172361</v>
                </pt>
                <pt idx="73">
                  <v>2173961</v>
                </pt>
                <pt idx="74">
                  <v>2202087</v>
                </pt>
                <pt idx="75">
                  <v>2203498</v>
                </pt>
                <pt idx="76">
                  <v>2201948</v>
                </pt>
                <pt idx="77">
                  <v>2201948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37379456"/>
        <axId val="391142672"/>
      </lineChart>
      <dateAx>
        <axId val="37379456"/>
        <scaling>
          <orientation val="minMax"/>
        </scaling>
        <delete val="0"/>
        <axPos val="b"/>
        <numFmt formatCode="yyyy/mm/dd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TW"/>
          </a:p>
        </txPr>
        <crossAx val="391142672"/>
        <crosses val="autoZero"/>
        <lblOffset val="100"/>
        <baseTimeUnit val="days"/>
      </dateAx>
      <valAx>
        <axId val="3911426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_ ;[Red]\-0\ 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TW"/>
          </a:p>
        </txPr>
        <crossAx val="3737945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 altLang="zh-TW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'Family-帳戶紀錄_old'!$A$4:$A$694</f>
              <numCache>
                <formatCode>yyyy/mm/dd</formatCode>
                <ptCount val="78"/>
                <pt idx="0">
                  <v>43403</v>
                </pt>
                <pt idx="1">
                  <v>43455</v>
                </pt>
                <pt idx="2">
                  <formatCode>m/d/yyyy</formatCode>
                  <v>43546</v>
                </pt>
                <pt idx="3">
                  <v>43643</v>
                </pt>
                <pt idx="4">
                  <v>43689</v>
                </pt>
                <pt idx="5">
                  <v>43830</v>
                </pt>
                <pt idx="6">
                  <v>43839</v>
                </pt>
                <pt idx="7">
                  <v>43839</v>
                </pt>
                <pt idx="8">
                  <v>44007</v>
                </pt>
                <pt idx="9">
                  <v>44091</v>
                </pt>
                <pt idx="10">
                  <v>44187</v>
                </pt>
                <pt idx="11">
                  <v>44201</v>
                </pt>
                <pt idx="12">
                  <v>44204</v>
                </pt>
                <pt idx="13">
                  <v>44285</v>
                </pt>
                <pt idx="14">
                  <v>44368</v>
                </pt>
                <pt idx="15">
                  <v>44560</v>
                </pt>
                <pt idx="16">
                  <v>44567</v>
                </pt>
                <pt idx="17">
                  <v>44567</v>
                </pt>
                <pt idx="18">
                  <v>44648</v>
                </pt>
                <pt idx="19">
                  <v>44735</v>
                </pt>
                <pt idx="20">
                  <v>44916</v>
                </pt>
                <pt idx="21">
                  <v>44932</v>
                </pt>
                <pt idx="22">
                  <v>45008</v>
                </pt>
                <pt idx="23">
                  <v>45026</v>
                </pt>
                <pt idx="24">
                  <v>45112</v>
                </pt>
                <pt idx="25">
                  <v>45204</v>
                </pt>
                <pt idx="26">
                  <v>45296</v>
                </pt>
                <pt idx="27">
                  <v>45301</v>
                </pt>
                <pt idx="28">
                  <v>45306</v>
                </pt>
                <pt idx="29">
                  <v>45310</v>
                </pt>
                <pt idx="30">
                  <v>45315</v>
                </pt>
                <pt idx="31">
                  <v>45322</v>
                </pt>
                <pt idx="32">
                  <v>45296</v>
                </pt>
                <pt idx="33">
                  <v>45342</v>
                </pt>
                <pt idx="34">
                  <v>45342</v>
                </pt>
                <pt idx="35">
                  <v>45342</v>
                </pt>
                <pt idx="36">
                  <v>45342</v>
                </pt>
                <pt idx="37">
                  <v>45342</v>
                </pt>
                <pt idx="38">
                  <v>45344</v>
                </pt>
                <pt idx="39">
                  <v>45352</v>
                </pt>
                <pt idx="40">
                  <v>45352</v>
                </pt>
                <pt idx="41">
                  <v>45356</v>
                </pt>
                <pt idx="42">
                  <v>45363</v>
                </pt>
                <pt idx="43">
                  <v>45363</v>
                </pt>
                <pt idx="44">
                  <v>45364</v>
                </pt>
                <pt idx="45">
                  <v>45369</v>
                </pt>
                <pt idx="46">
                  <v>45370</v>
                </pt>
                <pt idx="47">
                  <v>45371</v>
                </pt>
                <pt idx="48">
                  <v>45372</v>
                </pt>
                <pt idx="49">
                  <v>45377</v>
                </pt>
                <pt idx="50">
                  <v>45379</v>
                </pt>
                <pt idx="51">
                  <v>45379</v>
                </pt>
                <pt idx="52">
                  <v>45384</v>
                </pt>
                <pt idx="53">
                  <v>45385</v>
                </pt>
                <pt idx="54">
                  <v>45385</v>
                </pt>
                <pt idx="55">
                  <v>45385</v>
                </pt>
                <pt idx="56">
                  <v>45385</v>
                </pt>
                <pt idx="57">
                  <v>45390</v>
                </pt>
                <pt idx="58">
                  <v>45390</v>
                </pt>
                <pt idx="59">
                  <v>45397</v>
                </pt>
                <pt idx="60">
                  <v>45397</v>
                </pt>
                <pt idx="61">
                  <v>45398</v>
                </pt>
                <pt idx="62">
                  <v>45406</v>
                </pt>
                <pt idx="63">
                  <v>45407</v>
                </pt>
                <pt idx="64">
                  <v>45408</v>
                </pt>
                <pt idx="65">
                  <v>45415</v>
                </pt>
                <pt idx="66">
                  <v>45417</v>
                </pt>
                <pt idx="67">
                  <v>45417</v>
                </pt>
                <pt idx="68">
                  <v>45418</v>
                </pt>
                <pt idx="69">
                  <v>45422</v>
                </pt>
                <pt idx="70">
                  <v>45422</v>
                </pt>
                <pt idx="71">
                  <v>45422</v>
                </pt>
                <pt idx="72">
                  <v>45417</v>
                </pt>
                <pt idx="73">
                  <v>45432</v>
                </pt>
                <pt idx="74">
                  <v>45440</v>
                </pt>
                <pt idx="75">
                  <v>45440</v>
                </pt>
                <pt idx="76">
                  <v>45441</v>
                </pt>
                <pt idx="77">
                  <v>45441</v>
                </pt>
              </numCache>
            </numRef>
          </cat>
          <val>
            <numRef>
              <f>'Family-帳戶紀錄_old'!$G$4:$G$694</f>
              <numCache>
                <formatCode xml:space="preserve">0_ ;[Red]\-0\ </formatCode>
                <ptCount val="78"/>
                <pt idx="0">
                  <v>0</v>
                </pt>
                <pt idx="1">
                  <v>106</v>
                </pt>
                <pt idx="2">
                  <v>8171</v>
                </pt>
                <pt idx="3">
                  <v>26596</v>
                </pt>
                <pt idx="4">
                  <v>106780</v>
                </pt>
                <pt idx="5">
                  <v>106886</v>
                </pt>
                <pt idx="6">
                  <v>106866</v>
                </pt>
                <pt idx="7">
                  <v>106846</v>
                </pt>
                <pt idx="8">
                  <v>106352</v>
                </pt>
                <pt idx="9">
                  <v>138192</v>
                </pt>
                <pt idx="10">
                  <v>390115</v>
                </pt>
                <pt idx="11">
                  <v>390095</v>
                </pt>
                <pt idx="12">
                  <v>391219</v>
                </pt>
                <pt idx="13">
                  <v>417098</v>
                </pt>
                <pt idx="14">
                  <v>460383.5</v>
                </pt>
                <pt idx="15">
                  <v>471490.5</v>
                </pt>
                <pt idx="16">
                  <v>471490.5</v>
                </pt>
                <pt idx="17">
                  <v>471470.5</v>
                </pt>
                <pt idx="18">
                  <v>728876.5</v>
                </pt>
                <pt idx="19">
                  <v>597811.5</v>
                </pt>
                <pt idx="20">
                  <v>722495.5</v>
                </pt>
                <pt idx="21">
                  <v>732682.5</v>
                </pt>
                <pt idx="22">
                  <v>732542.5</v>
                </pt>
                <pt idx="23">
                  <v>732577.5</v>
                </pt>
                <pt idx="24">
                  <v>741386.5</v>
                </pt>
                <pt idx="25">
                  <v>799272.5</v>
                </pt>
                <pt idx="26">
                  <v>802992.5</v>
                </pt>
                <pt idx="27">
                  <v>802972.5</v>
                </pt>
                <pt idx="28">
                  <v>803522.5</v>
                </pt>
                <pt idx="29">
                  <v>807936.5</v>
                </pt>
                <pt idx="30">
                  <v>807936.5</v>
                </pt>
                <pt idx="31">
                  <v>807936.5</v>
                </pt>
                <pt idx="32">
                  <v>808188.5</v>
                </pt>
                <pt idx="33">
                  <v>808188.5</v>
                </pt>
                <pt idx="34">
                  <v>808188.5</v>
                </pt>
                <pt idx="35">
                  <v>808128.5</v>
                </pt>
                <pt idx="36">
                  <v>808128.5</v>
                </pt>
                <pt idx="37">
                  <v>808108.5</v>
                </pt>
                <pt idx="38">
                  <v>809018.5</v>
                </pt>
                <pt idx="39">
                  <v>808938.5</v>
                </pt>
                <pt idx="40">
                  <v>808938.5</v>
                </pt>
                <pt idx="41">
                  <v>809129.5</v>
                </pt>
                <pt idx="42">
                  <v>809129.5</v>
                </pt>
                <pt idx="43">
                  <v>809129.5</v>
                </pt>
                <pt idx="44">
                  <v>809129.5</v>
                </pt>
                <pt idx="45">
                  <v>809109.5</v>
                </pt>
                <pt idx="46">
                  <v>809109.5</v>
                </pt>
                <pt idx="47">
                  <v>809109.5</v>
                </pt>
                <pt idx="48">
                  <v>809109.5</v>
                </pt>
                <pt idx="49">
                  <v>810149.5</v>
                </pt>
                <pt idx="50">
                  <v>810149.5</v>
                </pt>
                <pt idx="51">
                  <v>810149.5</v>
                </pt>
                <pt idx="52">
                  <v>810149.5</v>
                </pt>
                <pt idx="53">
                  <v>810472.5</v>
                </pt>
                <pt idx="54">
                  <v>810472.5</v>
                </pt>
                <pt idx="55">
                  <v>810472.5</v>
                </pt>
                <pt idx="56">
                  <v>810472.5</v>
                </pt>
                <pt idx="57">
                  <v>810472.5</v>
                </pt>
                <pt idx="58">
                  <v>810472.5</v>
                </pt>
                <pt idx="59">
                  <v>810472.5</v>
                </pt>
                <pt idx="60">
                  <v>810472.5</v>
                </pt>
                <pt idx="61">
                  <v>811512.5</v>
                </pt>
                <pt idx="62">
                  <v>812870.5</v>
                </pt>
                <pt idx="63">
                  <v>818160.5</v>
                </pt>
                <pt idx="64">
                  <v>821202.5</v>
                </pt>
                <pt idx="65">
                  <v>821893.5</v>
                </pt>
                <pt idx="66">
                  <v>821853.5</v>
                </pt>
                <pt idx="67">
                  <v>821853.5</v>
                </pt>
                <pt idx="68">
                  <v>821853.5</v>
                </pt>
                <pt idx="69">
                  <v>821853.5</v>
                </pt>
                <pt idx="70">
                  <v>825343.5</v>
                </pt>
                <pt idx="71">
                  <v>826232.5</v>
                </pt>
                <pt idx="72">
                  <v>826212.5</v>
                </pt>
                <pt idx="73">
                  <v>827812.5</v>
                </pt>
                <pt idx="74">
                  <v>827812.5</v>
                </pt>
                <pt idx="75">
                  <v>827812.5</v>
                </pt>
                <pt idx="76">
                  <v>827812.5</v>
                </pt>
                <pt idx="77">
                  <v>827812.5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37379456"/>
        <axId val="391142672"/>
      </lineChart>
      <dateAx>
        <axId val="37379456"/>
        <scaling>
          <orientation val="minMax"/>
        </scaling>
        <delete val="0"/>
        <axPos val="b"/>
        <numFmt formatCode="yyyy/mm/dd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TW"/>
          </a:p>
        </txPr>
        <crossAx val="391142672"/>
        <crosses val="autoZero"/>
        <lblOffset val="100"/>
        <baseTimeUnit val="days"/>
      </dateAx>
      <valAx>
        <axId val="3911426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_ ;[Red]\-0\ 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TW"/>
          </a:p>
        </txPr>
        <crossAx val="3737945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YuHui</author>
  </authors>
  <commentList>
    <comment ref="R18" authorId="0" shapeId="0">
      <text>
        <t>20260410 除息 1195</t>
      </text>
    </comment>
    <comment ref="R25" authorId="0" shapeId="0">
      <text>
        <t>20210408 982
20210825 1412
20220224 2568
20220823 1584
20230313 651
20240816 173零股 3841</t>
      </text>
    </comment>
    <comment ref="R26" authorId="0" shapeId="0">
      <text>
        <t>2021 除息 15600
20220712 除息 51500
20230711 除息 37000
20240710 除息 32000
20250709 除息 28000</t>
      </text>
    </comment>
    <comment ref="R27" authorId="0" shapeId="0">
      <text>
        <t>2021 除息 9000
2022 除息 13811
20230807 除息 3069
20231006 除息 2046
20240328 除息 3052
20240925 除息 4069
20250327 除息 3763
20250925 除息 2624
20260326 除息 4424</t>
      </text>
    </comment>
    <comment ref="R28" authorId="0" shapeId="0">
      <text>
        <t>2021 除息 398
20220711 除息 1054
2025/05/22 除息 755</t>
      </text>
    </comment>
    <comment ref="R29" authorId="0" shapeId="0">
      <text>
        <t>20240717 除息 6000
2025/07/08 除息 5905</t>
      </text>
    </comment>
    <comment ref="R31" authorId="0" shapeId="0">
      <text>
        <t>20260317 除息</t>
      </text>
    </comment>
    <comment ref="R32" authorId="0" shapeId="0">
      <text>
        <t>20260317 除息</t>
      </text>
    </comment>
    <comment ref="R33" authorId="0" shapeId="0">
      <text>
        <t>20260317 除息</t>
      </text>
    </comment>
    <comment ref="R34" authorId="0" shapeId="0">
      <text>
        <t>20260317 除息</t>
      </text>
    </comment>
  </commentList>
</comments>
</file>

<file path=xl/comments/comment2.xml><?xml version="1.0" encoding="utf-8"?>
<comments xmlns="http://schemas.openxmlformats.org/spreadsheetml/2006/main">
  <authors>
    <author>YuHui</author>
  </authors>
  <commentList>
    <comment ref="R16" authorId="0" shapeId="0">
      <text>
        <t>20250723 除息 4600</t>
      </text>
    </comment>
    <comment ref="R17" authorId="0" shapeId="0">
      <text>
        <t>20250731 除息 5800</t>
      </text>
    </comment>
    <comment ref="R18" authorId="0" shapeId="0">
      <text>
        <t>20250724 除息 3600</t>
      </text>
    </comment>
    <comment ref="R20" authorId="0" shapeId="0">
      <text>
        <t>20250714 除息 3700</t>
      </text>
    </comment>
    <comment ref="R33" authorId="0" shapeId="0">
      <text>
        <t>20250902 除息 2553</t>
      </text>
    </comment>
  </commentList>
</comments>
</file>

<file path=xl/comments/comment3.xml><?xml version="1.0" encoding="utf-8"?>
<comments xmlns="http://schemas.openxmlformats.org/spreadsheetml/2006/main">
  <authors>
    <author>YuHui</author>
  </authors>
  <commentList>
    <comment ref="R11" authorId="0" shapeId="0">
      <text>
        <t>20240624 除息 4000</t>
      </text>
    </comment>
    <comment ref="R12" authorId="0" shapeId="0">
      <text>
        <t>20240627 除息 1200</t>
      </text>
    </comment>
    <comment ref="R15" authorId="0" shapeId="0">
      <text>
        <t>20240710 除息 500</t>
      </text>
    </comment>
    <comment ref="R16" authorId="0" shapeId="0">
      <text>
        <t>20240711 除息 2200</t>
      </text>
    </comment>
    <comment ref="R18" authorId="0" shapeId="0">
      <text>
        <t>20240730 除息 2000</t>
      </text>
    </comment>
    <comment ref="R19" authorId="0" shapeId="0">
      <text>
        <t>20240712 除息 4000</t>
      </text>
    </comment>
    <comment ref="R22" authorId="0" shapeId="0">
      <text>
        <t>20240624 除息 2000</t>
      </text>
    </comment>
    <comment ref="R23" authorId="0" shapeId="0">
      <text>
        <t>20240826 除息 400
20241001 除權 2948</t>
      </text>
    </comment>
    <comment ref="R29" authorId="0" shapeId="0">
      <text>
        <t>20240627 除息 10511</t>
      </text>
    </comment>
    <comment ref="R30" authorId="0" shapeId="0">
      <text>
        <t>20240521 除息 1600
20240620 除息 1600
20240717 除息 1440
20240820 除息 1440
20240919 除息 1280
20241022 除息 1120
20241119 除息 880
20241218 除息 400</t>
      </text>
    </comment>
    <comment ref="R33" authorId="0" shapeId="0">
      <text>
        <t>20240627 除息 9965
20250619 除息 32500</t>
      </text>
    </comment>
    <comment ref="R34" authorId="0" shapeId="0">
      <text>
        <t xml:space="preserve">20250723 除息 13000
</t>
      </text>
    </comment>
    <comment ref="R35" authorId="0" shapeId="0">
      <text>
        <t>20240808 除息 1500
20250814 除息 1500</t>
      </text>
    </comment>
    <comment ref="R36" authorId="0" shapeId="0">
      <text>
        <t>20240826 除息 500
20250721 除息 6000</t>
      </text>
    </comment>
  </commentList>
</comments>
</file>

<file path=xl/comments/comment4.xml><?xml version="1.0" encoding="utf-8"?>
<comments xmlns="http://schemas.openxmlformats.org/spreadsheetml/2006/main">
  <authors>
    <author>YuHui</author>
  </authors>
  <commentList>
    <comment ref="R12" authorId="0" shapeId="0">
      <text>
        <t>20240718 除息 690</t>
      </text>
    </comment>
    <comment ref="R13" authorId="0" shapeId="0">
      <text>
        <t>20240708 除息 1800</t>
      </text>
    </comment>
    <comment ref="R14" authorId="0" shapeId="0">
      <text>
        <t>20230817 除息 330
20230916 除息 330
20231024 除息 330
20231121 除息 330
20231219 除息 330</t>
      </text>
    </comment>
    <comment ref="R15" authorId="0" shapeId="0">
      <text>
        <t>20230916 除息 110
20231024 除息 110
20231121 除息 110
20231219 除息 110</t>
      </text>
    </comment>
    <comment ref="R16" authorId="0" shapeId="0">
      <text>
        <t>20231024 除息 110
20231121 除息 110
20231219 除息 110</t>
      </text>
    </comment>
    <comment ref="R17" authorId="0" shapeId="0">
      <text>
        <t>20231024 除息 110
20231121 除息 110
20231219 除息 110
20240118 除息 910
20240118 除息 910
20240229 除息 1040
20240319 除息 1040
20240423 除息 1600</t>
      </text>
    </comment>
    <comment ref="R18" authorId="0" shapeId="0">
      <text>
        <t>20230710 除息 1600
20240702 除息 1600
20250327 除息 1500</t>
      </text>
    </comment>
  </commentList>
</comments>
</file>

<file path=xl/comments/comment5.xml><?xml version="1.0" encoding="utf-8"?>
<comments xmlns="http://schemas.openxmlformats.org/spreadsheetml/2006/main">
  <authors>
    <author>YuHui</author>
  </authors>
  <commentList>
    <comment ref="R20" authorId="0" shapeId="0">
      <text>
        <t>20220610 除息 3000</t>
      </text>
    </comment>
    <comment ref="R21" authorId="0" shapeId="0">
      <text>
        <t>20220729 除息 5400
20230804 除息 6000</t>
      </text>
    </comment>
    <comment ref="R22" authorId="0" shapeId="0">
      <text>
        <t xml:space="preserve">20220618 除息 13000
20221213 除息 10277
20230704 除息 4450
20231221 除息 4424
</t>
      </text>
    </comment>
    <comment ref="R23" authorId="0" shapeId="0">
      <text>
        <t>20230804 除息 816</t>
      </text>
    </comment>
    <comment ref="R24" authorId="0" shapeId="0">
      <text>
        <t>20230809 除息 515
20240814 除息 702
20240916 股息 947</t>
      </text>
    </comment>
    <comment ref="R25" authorId="0" shapeId="0">
      <text>
        <t>20240418 除息 899</t>
      </text>
    </comment>
    <comment ref="R26" authorId="0" shapeId="0">
      <text>
        <t>除息 5000
20230303 除息 4000
20240411 除息 3500
20250327 除息 3500
20260326 除息 3300</t>
      </text>
    </comment>
  </commentList>
</comments>
</file>

<file path=xl/comments/comment6.xml><?xml version="1.0" encoding="utf-8"?>
<comments xmlns="http://schemas.openxmlformats.org/spreadsheetml/2006/main">
  <authors>
    <author>YuHui</author>
  </authors>
  <commentList>
    <comment ref="R98" authorId="0" shapeId="0">
      <text>
        <t>YuHui:
21210617 2500
20210916 2750
20211216 2750</t>
      </text>
    </comment>
    <comment ref="R100" authorId="0" shapeId="0">
      <text>
        <t>20221615 除息 1350</t>
      </text>
    </comment>
    <comment ref="R101" authorId="0" shapeId="0">
      <text>
        <t>20221615 除息 1350</t>
      </text>
    </comment>
    <comment ref="R102" authorId="0" shapeId="0">
      <text>
        <t>2021 除息 3100
20220704 除息 4000</t>
      </text>
    </comment>
    <comment ref="R103" authorId="0" shapeId="0">
      <text>
        <t>20210429 除息 3500
20220313 減資 4049
20220330 除息 2856
20230330 除息 1190
20240328 除息 1368</t>
      </text>
    </comment>
    <comment ref="R104" authorId="0" shapeId="0">
      <text>
        <t>20220728 除息 15836
20230703 除息 503
20240711 除息 995
20250908 除息1736</t>
      </text>
    </comment>
    <comment ref="R105" authorId="0" shapeId="0">
      <text>
        <t>20210831 除息 300
20220726 除息 3100
20230726 除息 1000
20240725 除息 350
20250724 除息 330</t>
      </text>
    </comment>
    <comment ref="R106" authorId="0" shapeId="0">
      <text>
        <t>20210831 除息 600
20220726 除息 6200
20230726 除息 2000
20240725 除息 700
20250724 除息 660</t>
      </text>
    </comment>
    <comment ref="R107" authorId="0" shapeId="0">
      <text>
        <t>2021 除息 2800
20220706 除息 2800
20240827 除息 1000
20250827 除息 1190</t>
      </text>
    </comment>
    <comment ref="R108" authorId="0" shapeId="0">
      <text>
        <t>2021 除息 300
20220704 除息 1000
20230810 除息 640
20240805 除息 720
20250805 除息 243</t>
      </text>
    </comment>
    <comment ref="R109" authorId="0" shapeId="0">
      <text>
        <t>2022 除息 1500
20230825 除息 722</t>
      </text>
    </comment>
  </commentList>
</comments>
</file>

<file path=xl/comments/comment7.xml><?xml version="1.0" encoding="utf-8"?>
<comments xmlns="http://schemas.openxmlformats.org/spreadsheetml/2006/main">
  <authors>
    <author>tc={7A9F7465-F1A5-4DFF-8323-B67EDE320A56}</author>
    <author>YuHui Hsu</author>
    <author>tc={2125B50D-B804-476B-958E-5A98809B4DAD}</author>
  </authors>
  <commentList>
    <comment ref="R2" authorId="0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>
      <text>
        <t>YuHui Hsu:
殖利率&gt;4%，
近 5 年 30 天內填息機率 75%</t>
      </text>
    </comment>
    <comment ref="R3" authorId="2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>
      <text>
        <t>YuHui Hsu:
殖利率&gt;5%</t>
      </text>
    </comment>
  </commentList>
</comments>
</file>

<file path=xl/comments/comment8.xml><?xml version="1.0" encoding="utf-8"?>
<comments xmlns="http://schemas.openxmlformats.org/spreadsheetml/2006/main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/comment9.xml><?xml version="1.0" encoding="utf-8"?>
<comments xmlns="http://schemas.openxmlformats.org/spreadsheetml/2006/main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>
      <text>
        <t>YuHui:
21210617 2500
20210916 2750
20211216 2750</t>
      </text>
    </comment>
    <comment ref="R139" authorId="14" shapeId="0">
      <text>
        <t>20221615 除息 1350</t>
      </text>
    </comment>
    <comment ref="R140" authorId="14" shapeId="0">
      <text>
        <t>20221615 除息 1350</t>
      </text>
    </comment>
    <comment ref="R141" authorId="14" shapeId="0">
      <text>
        <t>2021 除息 3100
20220704 除息 4000</t>
      </text>
    </comment>
    <comment ref="R142" authorId="14" shapeId="0">
      <text>
        <t>20210429 除息 3500
20220313 減資 4049
20220330 除息 2856
20230330 除息 1190
20240328 除息 1368</t>
      </text>
    </comment>
    <comment ref="R143" authorId="14" shapeId="0">
      <text>
        <t>20220728 除息 15836
20230703 除息 503
20240711 除息 995
20250908 除息1736</t>
      </text>
    </comment>
    <comment ref="R144" authorId="14" shapeId="0">
      <text>
        <t>20210831 除息 300
20220726 除息 3100
20230726 除息 1000
20240725 除息 350
20250724 除息 330</t>
      </text>
    </comment>
    <comment ref="R145" authorId="14" shapeId="0">
      <text>
        <t>20210831 除息 600
20220726 除息 6200
20230726 除息 2000
20240725 除息 700
20250724 除息 660</t>
      </text>
    </comment>
    <comment ref="R146" authorId="14" shapeId="0">
      <text>
        <t>2021 除息 2800
20220706 除息 2800
20240827 除息 1000
20250827 除息 1190</t>
      </text>
    </comment>
    <comment ref="R147" authorId="14" shapeId="0">
      <text>
        <t>2021 除息 300
20220704 除息 1000
20230810 除息 640
20240805 除息 720
20250805 除息 243</t>
      </text>
    </comment>
    <comment ref="R148" authorId="14" shapeId="0">
      <text>
        <t>2022 除息 1500
20230825 除息 722</t>
      </text>
    </comment>
    <comment ref="R167" authorId="14" shapeId="0">
      <text>
        <t>20220610 除息 3000</t>
      </text>
    </comment>
    <comment ref="R168" authorId="14" shapeId="0">
      <text>
        <t>20220729 除息 5400
20230804 除息 6000</t>
      </text>
    </comment>
    <comment ref="R169" authorId="14" shapeId="0">
      <text>
        <t xml:space="preserve">20220618 除息 13000
20221213 除息 10277
20230704 除息 4450
20231221 除息 4424
</t>
      </text>
    </comment>
    <comment ref="R170" authorId="14" shapeId="0">
      <text>
        <t>20230804 除息 816</t>
      </text>
    </comment>
    <comment ref="R171" authorId="14" shapeId="0">
      <text>
        <t>20230809 除息 515
20240814 除息 702
20240916 股息 947</t>
      </text>
    </comment>
    <comment ref="R172" authorId="14" shapeId="0">
      <text>
        <t>20240418 除息 899</t>
      </text>
    </comment>
    <comment ref="R173" authorId="14" shapeId="0">
      <text>
        <t>除息 5000
20230303 除息 4000
20240411 除息 3500
20250327 除息 3500
20260326 除息 3300</t>
      </text>
    </comment>
    <comment ref="R184" authorId="14" shapeId="0">
      <text>
        <t>20240718 除息 690</t>
      </text>
    </comment>
    <comment ref="R185" authorId="14" shapeId="0">
      <text>
        <t>20240708 除息 1800</t>
      </text>
    </comment>
    <comment ref="R186" authorId="14" shapeId="0">
      <text>
        <t>20230817 除息 330
20230916 除息 330
20231024 除息 330
20231121 除息 330
20231219 除息 330</t>
      </text>
    </comment>
    <comment ref="R187" authorId="14" shapeId="0">
      <text>
        <t>20230916 除息 110
20231024 除息 110
20231121 除息 110
20231219 除息 110</t>
      </text>
    </comment>
    <comment ref="R188" authorId="14" shapeId="0">
      <text>
        <t>20231024 除息 110
20231121 除息 110
20231219 除息 110</t>
      </text>
    </comment>
    <comment ref="R189" authorId="14" shapeId="0">
      <text>
        <t>20231024 除息 110
20231121 除息 110
20231219 除息 110
20240118 除息 910
20240118 除息 910
20240229 除息 1040
20240319 除息 1040
20240423 除息 1600</t>
      </text>
    </comment>
    <comment ref="R190" authorId="14" shapeId="0">
      <text>
        <t>20230710 除息 1600
20240702 除息 1600
20250327 除息 1500</t>
      </text>
    </comment>
    <comment ref="R200" authorId="14" shapeId="0">
      <text>
        <t>20240624 除息 4000</t>
      </text>
    </comment>
    <comment ref="R201" authorId="14" shapeId="0">
      <text>
        <t>20240627 除息 1200</t>
      </text>
    </comment>
    <comment ref="R204" authorId="14" shapeId="0">
      <text>
        <t>20240710 除息 500</t>
      </text>
    </comment>
    <comment ref="R205" authorId="14" shapeId="0">
      <text>
        <t>20240711 除息 2200</t>
      </text>
    </comment>
    <comment ref="R207" authorId="14" shapeId="0">
      <text>
        <t>20240730 除息 2000</t>
      </text>
    </comment>
    <comment ref="R208" authorId="14" shapeId="0">
      <text>
        <t>20240712 除息 4000</t>
      </text>
    </comment>
    <comment ref="R211" authorId="14" shapeId="0">
      <text>
        <t>20240624 除息 2000</t>
      </text>
    </comment>
    <comment ref="R212" authorId="14" shapeId="0">
      <text>
        <t>20240826 除息 400
20241001 除權 2948</t>
      </text>
    </comment>
    <comment ref="R218" authorId="14" shapeId="0">
      <text>
        <t>20240627 除息 10511</t>
      </text>
    </comment>
    <comment ref="R219" authorId="14" shapeId="0">
      <text>
        <t>20240521 除息 1600
20240620 除息 1600
20240717 除息 1440
20240820 除息 1440
20240919 除息 1280
20241022 除息 1120
20241119 除息 880
20241218 除息 400</t>
      </text>
    </comment>
    <comment ref="R222" authorId="14" shapeId="0">
      <text>
        <t>20240627 除息 9965
20250619 除息 32500</t>
      </text>
    </comment>
    <comment ref="R223" authorId="14" shapeId="0">
      <text>
        <t xml:space="preserve">20250723 除息 13000
</t>
      </text>
    </comment>
    <comment ref="R224" authorId="14" shapeId="0">
      <text>
        <t>20240808 除息 1500
20250814 除息 1500</t>
      </text>
    </comment>
    <comment ref="R225" authorId="14" shapeId="0">
      <text>
        <t>20240826 除息 500
20250721 除息 6000</t>
      </text>
    </comment>
    <comment ref="R240" authorId="14" shapeId="0">
      <text>
        <t>20250723 除息 4600</t>
      </text>
    </comment>
    <comment ref="R241" authorId="14" shapeId="0">
      <text>
        <t>20250731 除息 5800</t>
      </text>
    </comment>
    <comment ref="R242" authorId="14" shapeId="0">
      <text>
        <t>20250724 除息 3600</t>
      </text>
    </comment>
    <comment ref="R244" authorId="14" shapeId="0">
      <text>
        <t>20250714 除息 3700</t>
      </text>
    </comment>
    <comment ref="R257" authorId="14" shapeId="0">
      <text>
        <t>20250902 除息 2553</t>
      </text>
    </comment>
    <comment ref="R287" authorId="14" shapeId="0">
      <text>
        <t>20260410 除息 1195</t>
      </text>
    </comment>
    <comment ref="R290" authorId="14" shapeId="0">
      <text>
        <t>20210408 982
20210825 1412
20220224 2568
20220823 1584
20230313 651
20240816 173零股 3841</t>
      </text>
    </comment>
    <comment ref="R291" authorId="14" shapeId="0">
      <text>
        <t>2021 除息 15600
20220712 除息 51500
20230711 除息 37000
20240710 除息 32000
20250709 除息 28000</t>
      </text>
    </comment>
    <comment ref="R292" authorId="14" shapeId="0">
      <text>
        <t>2021 除息 9000
2022 除息 13811
20230807 除息 3069
20231006 除息 2046
20240328 除息 3052
20240925 除息 4069
20250327 除息 3763
20250925 除息 2624
20260326 除息 4424</t>
      </text>
    </comment>
    <comment ref="R293" authorId="14" shapeId="0">
      <text>
        <t>2021 除息 398
20220711 除息 1054
2025/05/22 除息 755</t>
      </text>
    </comment>
    <comment ref="R294" authorId="14" shapeId="0">
      <text>
        <t>20240717 除息 6000
2025/07/08 除息 5905</t>
      </text>
    </comment>
    <comment ref="R296" authorId="14" shapeId="0">
      <text>
        <t>20260317 除息</t>
      </text>
    </comment>
    <comment ref="R297" authorId="14" shapeId="0">
      <text>
        <t>20260317 除息</t>
      </text>
    </comment>
    <comment ref="R298" authorId="14" shapeId="0">
      <text>
        <t>20260317 除息</t>
      </text>
    </comment>
    <comment ref="R299" authorId="14" shapeId="0">
      <text>
        <t>20260317 除息</t>
      </text>
    </comment>
  </commentList>
</comments>
</file>

<file path=xl/comments/comment10.xml><?xml version="1.0" encoding="utf-8"?>
<comments xmlns="http://schemas.openxmlformats.org/spreadsheetml/2006/main">
  <authors>
    <author>YuHui</author>
    <author>YuHui Hsu</author>
  </authors>
  <commentList>
    <comment ref="R3" authorId="0" shapeId="0">
      <text>
        <t>YuHui:
20220414 280
20220714 280
20221013 280
20230112 280
20230413 550
20230615 550
20230914 600
20231214 600
20240318 1049</t>
      </text>
    </comment>
    <comment ref="R5" authorId="0" shapeId="0">
      <text>
        <t>YuHui:
20240613 349
20240912 400</t>
      </text>
    </comment>
    <comment ref="R6" authorId="0" shapeId="0">
      <text>
        <t>YuHui:
20230817 110
20230919 110
20231024 110
20231121 110
20231219 110
20240118 130
20240229 260
20240319 260
20240423 400
20240521 400
20240620 400</t>
      </text>
    </comment>
    <comment ref="R7" authorId="0" shapeId="0">
      <text>
        <t>YuHui:
20240717 360
20240820 360
20240919 320
20241022 280
20241119 220
20241218 100</t>
      </text>
    </comment>
    <comment ref="R9" authorId="0" shapeId="0">
      <text>
        <t>YuHui:
20250117 68</t>
      </text>
    </comment>
    <comment ref="R13" authorId="1" shapeId="0">
      <text>
        <t>YuHui Hsu:
2025/07/21 228</t>
      </text>
    </comment>
    <comment ref="R24" authorId="0" shapeId="0">
      <text>
        <t>YuHui:
20220718 1483
20221116 550
20230718 732
20231116 1062
20240716 415
20241118 600</t>
      </text>
    </comment>
    <comment ref="R25" authorId="0" shapeId="0">
      <text>
        <t>YuHui:
20230718 732
20231116 1062
20240716 415
20241118 600</t>
      </text>
    </comment>
    <comment ref="R26" authorId="0" shapeId="0">
      <text>
        <t>YuHui:
20241217 49</t>
      </text>
    </comment>
    <comment ref="R29" authorId="0" shapeId="0">
      <text>
        <t>YuHui:
20250321 357</t>
      </text>
    </comment>
    <comment ref="R32" authorId="1" shapeId="0">
      <text>
        <t>YuHui Hsu:
2025/06/20 597</t>
      </text>
    </comment>
    <comment ref="R33" authorId="1" shapeId="0">
      <text>
        <t>YuHui Hsu:
2025/09/19 652</t>
      </text>
    </comment>
    <comment ref="R38" authorId="1" shapeId="0">
      <text>
        <t>YuHui Hsu:
2025/12/19 880</t>
      </text>
    </comment>
    <comment ref="R42" authorId="1" shapeId="0">
      <text>
        <t>YuHui Hsu:
2025/06/19 3500
2025/09/18 2600
2025/12/18 2825</t>
      </text>
    </comment>
    <comment ref="R43" authorId="1" shapeId="0">
      <text>
        <t>YuHui Hsu:
2025/06/17 3600
2025/09/16 2700
2025/12/16 2700</t>
      </text>
    </comment>
    <comment ref="R44" authorId="0" shapeId="0">
      <text>
        <t>YuHui:
20250117 113
20251023 92</t>
      </text>
    </comment>
    <comment ref="R45" authorId="0" shapeId="0">
      <text>
        <t>YuHui:
2025/04/23 113
2025/7/21 92
2025/11/18 72</t>
      </text>
    </comment>
    <comment ref="R46" authorId="0" shapeId="0">
      <text>
        <t>YuHui:
20250220 90</t>
      </text>
    </comment>
    <comment ref="R47" authorId="0" shapeId="0">
      <text>
        <t>YuHui:
2025/05/19 84
2025/08/18 72</t>
      </text>
    </comment>
    <comment ref="R56" authorId="0" shapeId="0">
      <text>
        <t>YuHui:
20240716 415
20241118 600
20250716 2512
20250716 2512</t>
      </text>
    </comment>
    <comment ref="R57" authorId="0" shapeId="0">
      <text>
        <t>YuHui:
20251118 5008</t>
      </text>
    </comment>
    <comment ref="R67" authorId="0" shapeId="0">
      <text>
        <t>20260317 除息</t>
      </text>
    </comment>
    <comment ref="R68" authorId="0" shapeId="0">
      <text>
        <t>20260317 除息</t>
      </text>
    </comment>
    <comment ref="R70" authorId="0" shapeId="0">
      <text>
        <t>20260317 除息</t>
      </text>
    </comment>
    <comment ref="R94" authorId="1" shapeId="0">
      <text>
        <t xml:space="preserve">YuHui Hsu:
2024/07/04 0.35
2024/12/31 0.35
</t>
      </text>
    </comment>
    <comment ref="R95" authorId="1" shapeId="0">
      <text>
        <t xml:space="preserve">YuHui Hsu:
2024/10/04 0.35
2025/04/07 0.35
</t>
      </text>
    </comment>
    <comment ref="R96" authorId="1" shapeId="0">
      <text>
        <t xml:space="preserve">YuHui Hsu:
2026/05/07 0.93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drawing1.xml><?xml version="1.0" encoding="utf-8"?>
<wsDr xmlns="http://schemas.openxmlformats.org/drawingml/2006/spreadsheetDrawing">
  <twoCellAnchor>
    <from>
      <col>1</col>
      <colOff>0</colOff>
      <row>10</row>
      <rowOff>209549</rowOff>
    </from>
    <to>
      <col>9</col>
      <colOff>9525</colOff>
      <row>30</row>
      <rowOff>200024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3</col>
      <colOff>1462367</colOff>
      <row>339</row>
      <rowOff>12325</rowOff>
    </from>
    <to>
      <col>20</col>
      <colOff>22412</colOff>
      <row>358</row>
      <rowOff>78441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4</col>
      <colOff>11206</colOff>
      <row>114</row>
      <rowOff>33617</rowOff>
    </from>
    <to>
      <col>16</col>
      <colOff>801221</colOff>
      <row>133</row>
      <rowOff>99732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0</colOff>
      <row>136</row>
      <rowOff>0</rowOff>
    </from>
    <to>
      <col>23</col>
      <colOff>972811</colOff>
      <row>149</row>
      <rowOff>89648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13</col>
      <colOff>685799</colOff>
      <row>0</row>
      <rowOff>219074</rowOff>
    </from>
    <to>
      <col>27</col>
      <colOff>485774</colOff>
      <row>17</row>
      <rowOff>152399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1</col>
      <colOff>0</colOff>
      <row>701</row>
      <rowOff>0</rowOff>
    </from>
    <to>
      <col>9</col>
      <colOff>262255</colOff>
      <row>713</row>
      <rowOff>128905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0</colOff>
      <row>716</row>
      <rowOff>0</rowOff>
    </from>
    <to>
      <col>9</col>
      <colOff>262255</colOff>
      <row>728</row>
      <rowOff>128905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表格3_3" displayName="表格3_3" ref="A1:J21" headerRowCount="1" totalsRowShown="0">
  <autoFilter ref="A1:J21"/>
  <tableColumns count="10">
    <tableColumn id="2" name="代號" dataDxfId="6"/>
    <tableColumn id="1" name="名稱" dataDxfId="5"/>
    <tableColumn id="3" name="最新"/>
    <tableColumn id="4" name="開市"/>
    <tableColumn id="5" name="高"/>
    <tableColumn id="6" name="低"/>
    <tableColumn id="7" name="升跌"/>
    <tableColumn id="8" name="升跌率%"/>
    <tableColumn id="9" name="成交量"/>
    <tableColumn id="10" name="時間" dataDxfId="4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資料表_2" displayName="資料表_2" ref="A2:G26" tableType="queryTable" headerRowCount="1" totalsRowShown="0" tableBorderDxfId="3">
  <autoFilter ref="A2:G26"/>
  <tableColumns count="7">
    <tableColumn id="1" uniqueName="1" name="日期" queryTableFieldId="1" dataDxfId="2"/>
    <tableColumn id="2" uniqueName="2" name="收盘" queryTableFieldId="2"/>
    <tableColumn id="3" uniqueName="3" name="开盘" queryTableFieldId="3"/>
    <tableColumn id="4" uniqueName="4" name="高" queryTableFieldId="4"/>
    <tableColumn id="5" uniqueName="5" name="低" queryTableFieldId="5"/>
    <tableColumn id="6" uniqueName="6" name="交易量" queryTableFieldId="6" dataDxfId="1"/>
    <tableColumn id="7" uniqueName="7" name="涨跌幅" queryTableFieldId="7" dataDxfId="0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fhtrust.com.tw/Event/EC/2023_00929/index.html" TargetMode="Externa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www.fhtrust.com.tw/Event/EC/2023_00929/index.html" TargetMode="External" Id="rId1"/><Relationship Type="http://schemas.openxmlformats.org/officeDocument/2006/relationships/hyperlink" Target="https://www.fhtrust.com.tw/Event/EC/2023_00929/index.html" TargetMode="External" Id="rId2"/><Relationship Type="http://schemas.openxmlformats.org/officeDocument/2006/relationships/hyperlink" Target="https://www.fhtrust.com.tw/Event/EC/2023_00929/index.html" TargetMode="External" Id="rId3"/><Relationship Type="http://schemas.openxmlformats.org/officeDocument/2006/relationships/hyperlink" Target="https://www.fhtrust.com.tw/Event/EC/2023_00929/index.html" TargetMode="External" Id="rId4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wantgoo.com/global/us-stocks" TargetMode="External" Id="rId1"/><Relationship Type="http://schemas.openxmlformats.org/officeDocument/2006/relationships/hyperlink" Target="https://finance.yahoo.com/portfolio/p_0/view/fv" TargetMode="External" Id="rId2"/><Relationship Type="http://schemas.openxmlformats.org/officeDocument/2006/relationships/hyperlink" Target="https://hk.investing.com/portfolio/?portfolioID=ZWU1ZzJtN25kMDwzbzs4Pg%3D%3D" TargetMode="External" Id="rId3"/><Relationship Type="http://schemas.openxmlformats.org/officeDocument/2006/relationships/table" Target="/xl/tables/table1.xml" Id="rId4"/></Relationships>
</file>

<file path=xl/worksheets/_rels/sheet14.xml.rels><Relationships xmlns="http://schemas.openxmlformats.org/package/2006/relationships"><Relationship Type="http://schemas.openxmlformats.org/officeDocument/2006/relationships/hyperlink" Target="https://cn.investing.com/currencies/usd-twd-historical-data" TargetMode="External" Id="rId1"/><Relationship Type="http://schemas.openxmlformats.org/officeDocument/2006/relationships/hyperlink" Target="https://historical.findrate.tw/his.php?c=USD" TargetMode="External" Id="rId2"/><Relationship Type="http://schemas.openxmlformats.org/officeDocument/2006/relationships/drawing" Target="/xl/drawings/drawing4.xml" Id="rId3"/><Relationship Type="http://schemas.openxmlformats.org/officeDocument/2006/relationships/table" Target="/xl/tables/table2.xml" Id="rId4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 codeName="工作表1">
    <outlinePr summaryBelow="1" summaryRight="1"/>
    <pageSetUpPr/>
  </sheetPr>
  <dimension ref="A1:K10"/>
  <sheetViews>
    <sheetView workbookViewId="0">
      <selection activeCell="K14" sqref="K14"/>
    </sheetView>
  </sheetViews>
  <sheetFormatPr baseColWidth="8" defaultColWidth="9" defaultRowHeight="16.5"/>
  <cols>
    <col width="6.125" bestFit="1" customWidth="1" style="81" min="1" max="1"/>
    <col width="6" bestFit="1" customWidth="1" style="81" min="2" max="2"/>
    <col width="10.625" bestFit="1" customWidth="1" style="81" min="3" max="3"/>
    <col width="11.5" bestFit="1" customWidth="1" style="81" min="4" max="4"/>
    <col width="11.5" customWidth="1" style="81" min="5" max="5"/>
    <col width="11.125" bestFit="1" customWidth="1" style="81" min="6" max="6"/>
    <col width="12.625" bestFit="1" customWidth="1" style="81" min="7" max="7"/>
    <col width="13.375" bestFit="1" customWidth="1" style="81" min="8" max="8"/>
    <col width="11.125" customWidth="1" style="81" min="9" max="9"/>
    <col width="12.625" bestFit="1" customWidth="1" style="81" min="10" max="10"/>
    <col width="13.375" bestFit="1" customWidth="1" style="81" min="11" max="11"/>
    <col width="9" customWidth="1" style="81" min="12" max="16384"/>
  </cols>
  <sheetData>
    <row r="1" ht="33" customFormat="1" customHeight="1" s="122">
      <c r="A1" s="130" t="inlineStr">
        <is>
          <t>年度</t>
        </is>
      </c>
      <c r="B1" s="130" t="n"/>
      <c r="C1" s="130" t="inlineStr">
        <is>
          <t>投資損益</t>
        </is>
      </c>
      <c r="D1" s="94" t="inlineStr">
        <is>
          <t>交易金額</t>
        </is>
      </c>
      <c r="E1" s="94" t="inlineStr">
        <is>
          <t>存款均額</t>
        </is>
      </c>
      <c r="F1" s="426" t="inlineStr">
        <is>
          <t>交易成本</t>
        </is>
      </c>
      <c r="G1" s="131" t="inlineStr">
        <is>
          <t>投資收益率
交易金額計</t>
        </is>
      </c>
      <c r="H1" s="131" t="inlineStr">
        <is>
          <t>投資收益率
存款均額計</t>
        </is>
      </c>
      <c r="I1" s="426" t="inlineStr">
        <is>
          <t>累積收益</t>
        </is>
      </c>
      <c r="J1" s="131" t="inlineStr">
        <is>
          <t>累積收益率
交易金額計</t>
        </is>
      </c>
      <c r="K1" s="131" t="inlineStr">
        <is>
          <t>累積收益率
存款均額計</t>
        </is>
      </c>
    </row>
    <row r="2">
      <c r="A2" s="91" t="n">
        <v>2019</v>
      </c>
      <c r="B2" s="91" t="inlineStr">
        <is>
          <t>股票</t>
        </is>
      </c>
      <c r="C2" s="427">
        <f>'19'!P31</f>
        <v/>
      </c>
      <c r="D2" s="427">
        <f>'19'!G31</f>
        <v/>
      </c>
      <c r="E2" s="427">
        <f>'Family-帳戶紀錄_old'!O5</f>
        <v/>
      </c>
      <c r="F2" s="427">
        <f>SUM('19'!H31,'19'!L31:M31)</f>
        <v/>
      </c>
      <c r="G2" s="428">
        <f>C2/D2</f>
        <v/>
      </c>
      <c r="H2" s="428">
        <f>C2/E2</f>
        <v/>
      </c>
      <c r="I2" s="427">
        <f>C2</f>
        <v/>
      </c>
      <c r="J2" s="428">
        <f>$I2/SUM(D$2:D2)</f>
        <v/>
      </c>
      <c r="K2" s="428">
        <f>$I2/SUM(E$2:E2)</f>
        <v/>
      </c>
    </row>
    <row r="3">
      <c r="A3" s="91" t="n">
        <v>2020</v>
      </c>
      <c r="B3" s="91" t="inlineStr">
        <is>
          <t>股票</t>
        </is>
      </c>
      <c r="C3" s="427">
        <f>'20'!P30</f>
        <v/>
      </c>
      <c r="D3" s="427">
        <f>'20'!G30</f>
        <v/>
      </c>
      <c r="E3" s="427">
        <f>'Family-帳戶紀錄_old'!O112</f>
        <v/>
      </c>
      <c r="F3" s="427">
        <f>SUM('20'!H30,'20'!L30:M30)</f>
        <v/>
      </c>
      <c r="G3" s="428">
        <f>C3/D3</f>
        <v/>
      </c>
      <c r="H3" s="428">
        <f>C3/E3</f>
        <v/>
      </c>
      <c r="I3" s="427">
        <f>I2+C3</f>
        <v/>
      </c>
      <c r="J3" s="428">
        <f>$I3/SUM(D$2:D3)</f>
        <v/>
      </c>
      <c r="K3" s="428">
        <f>$I3/SUM(E$2:E3)</f>
        <v/>
      </c>
    </row>
    <row r="4">
      <c r="A4" s="91" t="n">
        <v>2021</v>
      </c>
      <c r="B4" s="91" t="inlineStr">
        <is>
          <t>股票</t>
        </is>
      </c>
      <c r="C4" s="427">
        <f>'21'!P118</f>
        <v/>
      </c>
      <c r="D4" s="427">
        <f>'21'!G118</f>
        <v/>
      </c>
      <c r="E4" s="427">
        <f>'Family-帳戶紀錄_old'!O198</f>
        <v/>
      </c>
      <c r="F4" s="427">
        <f>SUM('21'!H118,'21'!L118:M118)</f>
        <v/>
      </c>
      <c r="G4" s="428">
        <f>C4/D4</f>
        <v/>
      </c>
      <c r="H4" s="428">
        <f>C4/E4</f>
        <v/>
      </c>
      <c r="I4" s="427">
        <f>I3+C4</f>
        <v/>
      </c>
      <c r="J4" s="428">
        <f>$I4/SUM(D$2:D4)</f>
        <v/>
      </c>
      <c r="K4" s="428">
        <f>$I4/SUM(E$2:E4)</f>
        <v/>
      </c>
    </row>
    <row r="5">
      <c r="A5" s="91" t="n">
        <v>2022</v>
      </c>
      <c r="B5" s="91" t="inlineStr">
        <is>
          <t>股票</t>
        </is>
      </c>
      <c r="C5" s="427">
        <f>'22'!P34</f>
        <v/>
      </c>
      <c r="D5" s="427">
        <f>'22'!G34</f>
        <v/>
      </c>
      <c r="E5" s="427">
        <f>'Family-帳戶紀錄_old'!O458</f>
        <v/>
      </c>
      <c r="F5" s="427">
        <f>SUM('22'!H34,'22'!L34:M34)</f>
        <v/>
      </c>
      <c r="G5" s="428">
        <f>C5/D5</f>
        <v/>
      </c>
      <c r="H5" s="428">
        <f>C5/E5</f>
        <v/>
      </c>
      <c r="I5" s="427">
        <f>I4+C5</f>
        <v/>
      </c>
      <c r="J5" s="428">
        <f>$I5/SUM(D$2:D5)</f>
        <v/>
      </c>
      <c r="K5" s="428">
        <f>$I5/SUM(E$2:E5)</f>
        <v/>
      </c>
    </row>
    <row r="6">
      <c r="A6" s="91" t="n">
        <v>2023</v>
      </c>
      <c r="B6" s="91" t="inlineStr">
        <is>
          <t>股票</t>
        </is>
      </c>
      <c r="C6" s="427">
        <f>'23'!P27</f>
        <v/>
      </c>
      <c r="D6" s="427">
        <f>'23'!G27</f>
        <v/>
      </c>
      <c r="E6" s="427">
        <f>'Family-帳戶紀錄_old'!O573</f>
        <v/>
      </c>
      <c r="F6" s="427">
        <f>SUM('23'!H27,'23'!L27:M27)</f>
        <v/>
      </c>
      <c r="G6" s="428">
        <f>C6/D6</f>
        <v/>
      </c>
      <c r="H6" s="428">
        <f>C6/E6</f>
        <v/>
      </c>
      <c r="I6" s="427">
        <f>I5+C6</f>
        <v/>
      </c>
      <c r="J6" s="428">
        <f>$I6/SUM(D$2:D6)</f>
        <v/>
      </c>
      <c r="K6" s="428">
        <f>$I6/SUM(E$2:E6)</f>
        <v/>
      </c>
    </row>
    <row r="7">
      <c r="A7" s="91" t="n">
        <v>2024</v>
      </c>
      <c r="B7" s="91" t="inlineStr">
        <is>
          <t>股票</t>
        </is>
      </c>
      <c r="C7" s="427">
        <f>'24'!P44</f>
        <v/>
      </c>
      <c r="D7" s="427">
        <f>'24'!G44</f>
        <v/>
      </c>
      <c r="E7" s="429">
        <f>'Family-帳戶紀錄_old'!O644</f>
        <v/>
      </c>
      <c r="F7" s="427">
        <f>SUM('24'!H44,'24'!L44:M44)</f>
        <v/>
      </c>
      <c r="G7" s="428">
        <f>C7/D7</f>
        <v/>
      </c>
      <c r="H7" s="428">
        <f>C7/E7</f>
        <v/>
      </c>
      <c r="I7" s="427">
        <f>I6+C7</f>
        <v/>
      </c>
      <c r="J7" s="428">
        <f>$I7/SUM(D$2:D7)</f>
        <v/>
      </c>
      <c r="K7" s="428">
        <f>$I7/SUM(E$2:E7)</f>
        <v/>
      </c>
    </row>
    <row r="8">
      <c r="A8" s="91" t="n">
        <v>2025</v>
      </c>
      <c r="B8" s="91" t="inlineStr">
        <is>
          <t>股票</t>
        </is>
      </c>
      <c r="C8" s="427">
        <f>'25'!P55+'25'!Q55</f>
        <v/>
      </c>
      <c r="D8" s="427">
        <f>'25'!G55</f>
        <v/>
      </c>
      <c r="E8" s="429">
        <f>'Family-帳戶紀錄_old'!O644</f>
        <v/>
      </c>
      <c r="F8" s="427">
        <f>SUM('25'!H55,'25'!L55:M55)</f>
        <v/>
      </c>
      <c r="G8" s="428">
        <f>C8/D8</f>
        <v/>
      </c>
      <c r="H8" s="428">
        <f>C8/E8</f>
        <v/>
      </c>
      <c r="I8" s="427">
        <f>I7+C8</f>
        <v/>
      </c>
      <c r="J8" s="428">
        <f>$I8/SUM(D$2:D8)</f>
        <v/>
      </c>
      <c r="K8" s="428">
        <f>$I8/SUM(E$2:E8)</f>
        <v/>
      </c>
    </row>
    <row r="9">
      <c r="A9" s="91" t="n">
        <v>2026</v>
      </c>
      <c r="B9" s="91" t="inlineStr">
        <is>
          <t>股票</t>
        </is>
      </c>
      <c r="C9" s="427">
        <f>'2026'!P65+'2026'!Q65</f>
        <v/>
      </c>
      <c r="D9" s="427">
        <f>'2026'!G65</f>
        <v/>
      </c>
      <c r="E9" s="429">
        <f>'Family-帳戶紀錄_old'!O644</f>
        <v/>
      </c>
      <c r="F9" s="427">
        <f>SUM('2026'!H65,'2026'!L65:M65)</f>
        <v/>
      </c>
      <c r="G9" s="428">
        <f>C9/D9</f>
        <v/>
      </c>
      <c r="H9" s="428">
        <f>C9/E9</f>
        <v/>
      </c>
      <c r="I9" s="427">
        <f>I8+C9</f>
        <v/>
      </c>
      <c r="J9" s="428">
        <f>$I9/SUM(D$2:D9)</f>
        <v/>
      </c>
      <c r="K9" s="428">
        <f>$I9/SUM(E$2:E9)</f>
        <v/>
      </c>
    </row>
    <row r="10">
      <c r="A10" s="96" t="inlineStr">
        <is>
          <t>總計</t>
        </is>
      </c>
      <c r="B10" s="96" t="n"/>
      <c r="C10" s="430">
        <f>SUM(C2:C9)</f>
        <v/>
      </c>
      <c r="D10" s="430">
        <f>SUM(D2:D9)</f>
        <v/>
      </c>
      <c r="E10" s="430">
        <f>SUM(E2:E9)</f>
        <v/>
      </c>
      <c r="F10" s="430">
        <f>SUM(F2:F9)</f>
        <v/>
      </c>
      <c r="G10" s="431">
        <f>C10/D10</f>
        <v/>
      </c>
      <c r="H10" s="431">
        <f>C10/E10</f>
        <v/>
      </c>
      <c r="I10" s="430" t="n"/>
      <c r="J10" s="431" t="n"/>
      <c r="K10" s="431" t="n"/>
    </row>
  </sheetData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22">
    <outlinePr summaryBelow="0" summaryRight="0"/>
    <pageSetUpPr/>
  </sheetPr>
  <dimension ref="A1:AD91"/>
  <sheetViews>
    <sheetView tabSelected="1" zoomScale="85" zoomScaleNormal="85" workbookViewId="0">
      <pane xSplit="4" ySplit="1" topLeftCell="E32" activePane="bottomRight" state="frozen"/>
      <selection activeCell="F42" sqref="F42"/>
      <selection pane="topRight" activeCell="F42" sqref="F42"/>
      <selection pane="bottomLeft" activeCell="F42" sqref="F42"/>
      <selection pane="bottomRight" activeCell="A57" sqref="A57:XFD57"/>
    </sheetView>
  </sheetViews>
  <sheetFormatPr baseColWidth="8" defaultColWidth="9" defaultRowHeight="16.5" outlineLevelRow="1"/>
  <cols>
    <col width="11.125" customWidth="1" style="9" min="1" max="1"/>
    <col hidden="1" width="10" customWidth="1" style="9" min="2" max="2"/>
    <col width="11.375" customWidth="1" style="9" min="3" max="3"/>
    <col width="19.25" bestFit="1" customWidth="1" style="194" min="4" max="4"/>
    <col width="7.125" customWidth="1" style="9" min="5" max="5"/>
    <col width="9.125" customWidth="1" style="9" min="6" max="6"/>
    <col width="12.625" bestFit="1" customWidth="1" style="9" min="7" max="7"/>
    <col width="9.125" customWidth="1" style="9" min="8" max="8"/>
    <col collapsed="1" width="11.5" bestFit="1" customWidth="1" style="9" min="9" max="9"/>
    <col hidden="1" outlineLevel="1" width="9.375" customWidth="1" style="9" min="10" max="10"/>
    <col hidden="1" outlineLevel="1" width="13" customWidth="1" style="9" min="11" max="11"/>
    <col hidden="1" outlineLevel="1" width="9.625" customWidth="1" style="9" min="12" max="13"/>
    <col hidden="1" outlineLevel="1" width="9.125" customWidth="1" style="9" min="14" max="14"/>
    <col width="11.375" customWidth="1" style="9" min="15" max="15"/>
    <col width="13.375" customWidth="1" style="9" min="16" max="16"/>
    <col width="13.125" customWidth="1" style="9" min="17" max="17"/>
    <col collapsed="1" width="9.5" bestFit="1" customWidth="1" style="9" min="18" max="18"/>
    <col hidden="1" outlineLevel="1" width="11.625" customWidth="1" style="9" min="19" max="19"/>
    <col hidden="1" outlineLevel="1" width="18.625" customWidth="1" style="9" min="20" max="20"/>
    <col collapsed="1" width="18.625" bestFit="1" customWidth="1" style="9" min="21" max="21"/>
    <col hidden="1" outlineLevel="1" width="12.375" customWidth="1" style="9" min="22" max="23"/>
    <col width="13.875" customWidth="1" style="9" min="24" max="24"/>
    <col width="13.375" bestFit="1" customWidth="1" style="9" min="25" max="25"/>
    <col width="12.125" customWidth="1" style="9" min="26" max="26"/>
    <col width="12.875" customWidth="1" style="9" min="27" max="27"/>
    <col width="14.5" bestFit="1" customWidth="1" style="28" min="28" max="28"/>
    <col width="33.125" bestFit="1" customWidth="1" style="311" min="29" max="29"/>
    <col width="38.75" bestFit="1" customWidth="1" style="9" min="30" max="30"/>
    <col width="9" customWidth="1" style="9" min="31" max="16384"/>
  </cols>
  <sheetData>
    <row r="1" customFormat="1" s="8">
      <c r="A1" s="1" t="inlineStr">
        <is>
          <t>買進日期</t>
        </is>
      </c>
      <c r="B1" s="2" t="inlineStr">
        <is>
          <t>種類</t>
        </is>
      </c>
      <c r="C1" s="3" t="inlineStr">
        <is>
          <t>股票代號</t>
        </is>
      </c>
      <c r="D1" s="190" t="inlineStr">
        <is>
          <t>股票名稱</t>
        </is>
      </c>
      <c r="E1" s="4" t="inlineStr">
        <is>
          <t>股數</t>
        </is>
      </c>
      <c r="F1" s="4" t="inlineStr">
        <is>
          <t>買進價</t>
        </is>
      </c>
      <c r="G1" s="4" t="inlineStr">
        <is>
          <t>成交金額</t>
        </is>
      </c>
      <c r="H1" s="432" t="inlineStr">
        <is>
          <t>手續費</t>
        </is>
      </c>
      <c r="I1" s="210" t="inlineStr">
        <is>
          <t>賣出日期</t>
        </is>
      </c>
      <c r="J1" s="4" t="inlineStr">
        <is>
          <t>賣出價</t>
        </is>
      </c>
      <c r="K1" s="4" t="inlineStr">
        <is>
          <t>成交金額</t>
        </is>
      </c>
      <c r="L1" s="432" t="inlineStr">
        <is>
          <t>手續費</t>
        </is>
      </c>
      <c r="M1" s="432" t="inlineStr">
        <is>
          <t>交易稅</t>
        </is>
      </c>
      <c r="N1" s="3" t="inlineStr">
        <is>
          <t>證所稅</t>
        </is>
      </c>
      <c r="O1" s="4" t="inlineStr">
        <is>
          <t>參考現值</t>
        </is>
      </c>
      <c r="P1" s="433" t="inlineStr">
        <is>
          <t>已實現損益</t>
        </is>
      </c>
      <c r="Q1" s="4" t="inlineStr">
        <is>
          <t>未實現損益</t>
        </is>
      </c>
      <c r="R1" s="4" t="inlineStr">
        <is>
          <t>除息</t>
        </is>
      </c>
      <c r="S1" s="68" t="inlineStr">
        <is>
          <t>手續費</t>
        </is>
      </c>
      <c r="T1" s="68" t="inlineStr">
        <is>
          <t>健保補充保費</t>
        </is>
      </c>
      <c r="U1" s="68" t="inlineStr">
        <is>
          <t>實質扣抵稅率</t>
        </is>
      </c>
      <c r="V1" s="68" t="inlineStr">
        <is>
          <t>扣抵稅率</t>
        </is>
      </c>
      <c r="W1" s="68" t="inlineStr">
        <is>
          <t>所得稅率</t>
        </is>
      </c>
      <c r="X1" s="4" t="inlineStr">
        <is>
          <t>投資報酬率</t>
        </is>
      </c>
      <c r="Y1" s="4" t="inlineStr">
        <is>
          <t>今日股價</t>
        </is>
      </c>
      <c r="Z1" s="7" t="inlineStr">
        <is>
          <t>漲跌</t>
        </is>
      </c>
      <c r="AA1" s="89" t="n"/>
      <c r="AB1" s="86" t="inlineStr">
        <is>
          <t>買進理由</t>
        </is>
      </c>
      <c r="AC1" s="309" t="inlineStr">
        <is>
          <t>賣出理由</t>
        </is>
      </c>
    </row>
    <row r="2">
      <c r="A2" s="99" t="n">
        <v>46031</v>
      </c>
      <c r="B2" s="11" t="n"/>
      <c r="C2" s="11" t="n">
        <v>919</v>
      </c>
      <c r="D2" s="189">
        <f>VLOOKUP(C2,台股行情!A:B,2,FALSE)</f>
        <v/>
      </c>
      <c r="E2" s="11" t="n">
        <v>1000</v>
      </c>
      <c r="F2" s="11" t="n">
        <v>22.98</v>
      </c>
      <c r="G2" s="11">
        <f>E2*F2</f>
        <v/>
      </c>
      <c r="H2" s="11" t="n">
        <v>32</v>
      </c>
      <c r="I2" s="104" t="n">
        <v>46050</v>
      </c>
      <c r="J2" s="16" t="n">
        <v>24.41</v>
      </c>
      <c r="K2" s="11">
        <f>E2*J2</f>
        <v/>
      </c>
      <c r="L2" s="11" t="n">
        <v>33</v>
      </c>
      <c r="M2" s="11" t="n">
        <v>23</v>
      </c>
      <c r="N2" s="11" t="n">
        <v>0</v>
      </c>
      <c r="O2" s="434">
        <f>IF(I2="",E2*Y2,0)</f>
        <v/>
      </c>
      <c r="P2" s="435">
        <f>IF(I2="",R2-H2,(K2-H2-SUM(L2:N2)+R2-S2-T2)-G2)+(ROUND(R2*V2,0)-ROUND(R2*(1+V2),0)*W2)</f>
        <v/>
      </c>
      <c r="Q2" s="435">
        <f>IF(I2="",(O2-G2-(O2*0.1425%*0.65)-(O2*0.3%)-S2-T2),0)</f>
        <v/>
      </c>
      <c r="R2" s="435" t="n"/>
      <c r="S2" s="435" t="n"/>
      <c r="T2" s="435" t="n"/>
      <c r="U2" s="69">
        <f>(V2*50%)/(1+50%*V2)</f>
        <v/>
      </c>
      <c r="V2" s="69" t="n"/>
      <c r="W2" s="70" t="n">
        <v>0.11</v>
      </c>
      <c r="X2" s="436">
        <f>(P2+Q2)/G2</f>
        <v/>
      </c>
      <c r="Y2" s="16">
        <f>VLOOKUP(C2,台股行情!A:D,4,FALSE)</f>
        <v/>
      </c>
      <c r="Z2" s="437">
        <f>VLOOKUP(C2,台股行情!A:E,5,FALSE)</f>
        <v/>
      </c>
      <c r="AA2" s="438">
        <f>IF(I2="",((TODAY()-A2)*G2)/365.24,((I2-A2)*G2)/365.24)</f>
        <v/>
      </c>
      <c r="AB2" s="103" t="inlineStr">
        <is>
          <t>存股</t>
        </is>
      </c>
    </row>
    <row r="3">
      <c r="A3" s="99" t="n">
        <v>46031</v>
      </c>
      <c r="B3" s="11" t="n"/>
      <c r="C3" s="11" t="n">
        <v>918</v>
      </c>
      <c r="D3" s="189">
        <f>VLOOKUP(C3,台股行情!A:B,2,FALSE)</f>
        <v/>
      </c>
      <c r="E3" s="11" t="n">
        <v>1000</v>
      </c>
      <c r="F3" s="11" t="n">
        <v>22.71</v>
      </c>
      <c r="G3" s="11">
        <f>E3*F3</f>
        <v/>
      </c>
      <c r="H3" s="11" t="n">
        <v>32</v>
      </c>
      <c r="I3" s="104" t="n">
        <v>46050</v>
      </c>
      <c r="J3" s="16" t="n">
        <v>23.61</v>
      </c>
      <c r="K3" s="11">
        <f>E3*J3</f>
        <v/>
      </c>
      <c r="L3" s="11" t="n">
        <v>34</v>
      </c>
      <c r="M3" s="11" t="n">
        <v>24</v>
      </c>
      <c r="N3" s="11" t="n">
        <v>0</v>
      </c>
      <c r="O3" s="434">
        <f>IF(I3="",E3*Y3,0)</f>
        <v/>
      </c>
      <c r="P3" s="435">
        <f>IF(I3="",R3-H3,(K3-H3-SUM(L3:N3)+R3-S3-T3)-G3)+(ROUND(R3*V3,0)-ROUND(R3*(1+V3),0)*W3)</f>
        <v/>
      </c>
      <c r="Q3" s="435">
        <f>IF(I3="",(O3-G3-(O3*0.1425%*0.65)-(O3*0.3%)-S3-T3),0)</f>
        <v/>
      </c>
      <c r="R3" s="435" t="n"/>
      <c r="S3" s="435" t="n"/>
      <c r="T3" s="435" t="n"/>
      <c r="U3" s="69">
        <f>(V3*50%)/(1+50%*V3)</f>
        <v/>
      </c>
      <c r="V3" s="69" t="n"/>
      <c r="W3" s="70" t="n">
        <v>0.11</v>
      </c>
      <c r="X3" s="436">
        <f>(P3+Q3)/G3</f>
        <v/>
      </c>
      <c r="Y3" s="16">
        <f>VLOOKUP(C3,台股行情!A:D,4,FALSE)</f>
        <v/>
      </c>
      <c r="Z3" s="437">
        <f>VLOOKUP(C3,台股行情!A:E,5,FALSE)</f>
        <v/>
      </c>
      <c r="AA3" s="438">
        <f>IF(I3="",((TODAY()-A3)*G3)/365.24,((I3-A3)*G3)/365.24)</f>
        <v/>
      </c>
      <c r="AB3" s="103" t="inlineStr">
        <is>
          <t>存股</t>
        </is>
      </c>
    </row>
    <row r="4">
      <c r="A4" s="99" t="n">
        <v>46027</v>
      </c>
      <c r="B4" s="11" t="n"/>
      <c r="C4" s="11" t="n">
        <v>770</v>
      </c>
      <c r="D4" s="189">
        <f>VLOOKUP(C4,台股行情!A:B,2,FALSE)</f>
        <v/>
      </c>
      <c r="E4" s="11" t="n">
        <v>172</v>
      </c>
      <c r="F4" s="11" t="n">
        <v>57.98</v>
      </c>
      <c r="G4" s="11" t="n">
        <v>9972</v>
      </c>
      <c r="H4" s="11" t="n">
        <v>1</v>
      </c>
      <c r="I4" s="104" t="n">
        <v>46090</v>
      </c>
      <c r="J4" s="16" t="n">
        <v>50.2</v>
      </c>
      <c r="K4" s="11">
        <f>E4*J4</f>
        <v/>
      </c>
      <c r="L4" s="11">
        <f>ROUND(J4*E4*0.1425%,0)</f>
        <v/>
      </c>
      <c r="M4" s="11">
        <f>ROUND(J4*E4*0.3%,0)</f>
        <v/>
      </c>
      <c r="N4" s="11" t="n">
        <v>0</v>
      </c>
      <c r="O4" s="434">
        <f>IF(I4="",E4*Y4,0)</f>
        <v/>
      </c>
      <c r="P4" s="435">
        <f>IF(I4="",R4-H4,(K4-H4-SUM(L4:N4)+R4-S4-T4)-G4)+(ROUND(R4*V4,0)-ROUND(R4*(1+V4),0)*W4)</f>
        <v/>
      </c>
      <c r="Q4" s="435">
        <f>IF(I4="",(O4-G4-(O4*0.1425%*0.65)-(O4*0.3%)-S4-T4),0)</f>
        <v/>
      </c>
      <c r="R4" s="435" t="n">
        <v>722.4</v>
      </c>
      <c r="S4" s="435" t="n"/>
      <c r="T4" s="435" t="n"/>
      <c r="U4" s="69">
        <f>(V4*50%)/(1+50%*V4)</f>
        <v/>
      </c>
      <c r="V4" s="69" t="n"/>
      <c r="W4" s="70" t="n">
        <v>0.11</v>
      </c>
      <c r="X4" s="436">
        <f>(P4+Q4)/G4</f>
        <v/>
      </c>
      <c r="Y4" s="16">
        <f>VLOOKUP(C4,台股行情!A:D,4,FALSE)</f>
        <v/>
      </c>
      <c r="Z4" s="437">
        <f>VLOOKUP(C4,台股行情!A:E,5,FALSE)</f>
        <v/>
      </c>
      <c r="AA4" s="438">
        <f>IF(I4="",((TODAY()-A4)*G4)/365.24,((I4-A4)*G4)/365.24)</f>
        <v/>
      </c>
      <c r="AB4" s="103" t="inlineStr">
        <is>
          <t>存股</t>
        </is>
      </c>
      <c r="AC4" s="310" t="inlineStr">
        <is>
          <t>美伊戰爭，憂心崩跌，認賠出場</t>
        </is>
      </c>
    </row>
    <row r="5" outlineLevel="1">
      <c r="A5" s="99" t="n">
        <v>46037</v>
      </c>
      <c r="B5" s="11" t="n"/>
      <c r="C5" s="11" t="n">
        <v>770</v>
      </c>
      <c r="D5" s="189">
        <f>VLOOKUP(C5,台股行情!A:B,2,FALSE)</f>
        <v/>
      </c>
      <c r="E5" s="11" t="n">
        <v>171</v>
      </c>
      <c r="F5" s="11" t="n">
        <v>58.44</v>
      </c>
      <c r="G5" s="11" t="n">
        <v>9993</v>
      </c>
      <c r="H5" s="11" t="n">
        <v>1</v>
      </c>
      <c r="I5" s="104" t="n">
        <v>46090</v>
      </c>
      <c r="J5" s="16" t="n">
        <v>50.2</v>
      </c>
      <c r="K5" s="11">
        <f>E5*J5</f>
        <v/>
      </c>
      <c r="L5" s="11">
        <f>ROUND(J5*E5*0.1425%,0)</f>
        <v/>
      </c>
      <c r="M5" s="11">
        <f>ROUND(J5*E5*0.3%,0)</f>
        <v/>
      </c>
      <c r="N5" s="11" t="n">
        <v>0</v>
      </c>
      <c r="O5" s="434">
        <f>IF(I5="",E5*Y5,0)</f>
        <v/>
      </c>
      <c r="P5" s="435">
        <f>IF(I5="",R5-H5,(K5-H5-SUM(L5:N5)+R5-S5-T5)-G5)+(ROUND(R5*V5,0)-ROUND(R5*(1+V5),0)*W5)</f>
        <v/>
      </c>
      <c r="Q5" s="435">
        <f>IF(I5="",(O5-G5-(O5*0.1425%*0.65)-(O5*0.3%)-S5-T5),0)</f>
        <v/>
      </c>
      <c r="R5" s="435" t="n">
        <v>718.2</v>
      </c>
      <c r="S5" s="435" t="n"/>
      <c r="T5" s="435" t="n"/>
      <c r="U5" s="69">
        <f>(V5*50%)/(1+50%*V5)</f>
        <v/>
      </c>
      <c r="V5" s="69" t="n"/>
      <c r="W5" s="70" t="n">
        <v>0.11</v>
      </c>
      <c r="X5" s="436">
        <f>(P5+Q5)/G5</f>
        <v/>
      </c>
      <c r="Y5" s="16">
        <f>VLOOKUP(C5,台股行情!A:D,4,FALSE)</f>
        <v/>
      </c>
      <c r="Z5" s="437">
        <f>VLOOKUP(C5,台股行情!A:E,5,FALSE)</f>
        <v/>
      </c>
      <c r="AA5" s="438">
        <f>IF(I5="",((TODAY()-A5)*G5)/365.24,((I5-A5)*G5)/365.24)</f>
        <v/>
      </c>
      <c r="AB5" s="103" t="inlineStr">
        <is>
          <t>存股</t>
        </is>
      </c>
      <c r="AC5" s="310" t="inlineStr">
        <is>
          <t>美伊戰爭，憂心崩跌，認賠出場</t>
        </is>
      </c>
    </row>
    <row r="6" outlineLevel="1">
      <c r="A6" s="99" t="n">
        <v>46049</v>
      </c>
      <c r="B6" s="11" t="n"/>
      <c r="C6" s="11" t="n">
        <v>770</v>
      </c>
      <c r="D6" s="189">
        <f>VLOOKUP(C6,台股行情!A:B,2,FALSE)</f>
        <v/>
      </c>
      <c r="E6" s="11" t="n">
        <v>186</v>
      </c>
      <c r="F6" s="11" t="n">
        <v>53.64</v>
      </c>
      <c r="G6" s="11" t="n">
        <v>9977</v>
      </c>
      <c r="H6" s="11" t="n">
        <v>1</v>
      </c>
      <c r="I6" s="104" t="n">
        <v>46090</v>
      </c>
      <c r="J6" s="16" t="n">
        <v>50.2</v>
      </c>
      <c r="K6" s="11">
        <f>E6*J6</f>
        <v/>
      </c>
      <c r="L6" s="11">
        <f>ROUND(J6*E6*0.1425%,0)</f>
        <v/>
      </c>
      <c r="M6" s="11">
        <f>ROUND(J6*E6*0.3%,0)</f>
        <v/>
      </c>
      <c r="N6" s="11" t="n">
        <v>0</v>
      </c>
      <c r="O6" s="434">
        <f>IF(I6="",E6*Y6,0)</f>
        <v/>
      </c>
      <c r="P6" s="435">
        <f>IF(I6="",R6-H6,(K6-H6-SUM(L6:N6)+R6-S6-T6)-G6)+(ROUND(R6*V6,0)-ROUND(R6*(1+V6),0)*W6)</f>
        <v/>
      </c>
      <c r="Q6" s="435">
        <f>IF(I6="",(O6-G6-(O6*0.1425%*0.65)-(O6*0.3%)-S6-T6),0)</f>
        <v/>
      </c>
      <c r="R6" s="435" t="n">
        <v>718.2</v>
      </c>
      <c r="S6" s="435" t="n"/>
      <c r="T6" s="435" t="n"/>
      <c r="U6" s="69">
        <f>(V6*50%)/(1+50%*V6)</f>
        <v/>
      </c>
      <c r="V6" s="69" t="n"/>
      <c r="W6" s="70" t="n">
        <v>0.11</v>
      </c>
      <c r="X6" s="436">
        <f>(P6+Q6)/G6</f>
        <v/>
      </c>
      <c r="Y6" s="16">
        <f>VLOOKUP(C6,台股行情!A:D,4,FALSE)</f>
        <v/>
      </c>
      <c r="Z6" s="437">
        <f>VLOOKUP(C6,台股行情!A:E,5,FALSE)</f>
        <v/>
      </c>
      <c r="AA6" s="438">
        <f>IF(I6="",((TODAY()-A6)*G6)/365.24,((I6-A6)*G6)/365.24)</f>
        <v/>
      </c>
      <c r="AB6" s="103" t="inlineStr">
        <is>
          <t>存股</t>
        </is>
      </c>
      <c r="AC6" s="310" t="inlineStr">
        <is>
          <t>美伊戰爭，憂心崩跌，認賠出場</t>
        </is>
      </c>
    </row>
    <row r="7" outlineLevel="1">
      <c r="A7" s="99" t="n">
        <v>46058</v>
      </c>
      <c r="B7" s="11" t="n"/>
      <c r="C7" s="11" t="n">
        <v>770</v>
      </c>
      <c r="D7" s="189">
        <f>VLOOKUP(C7,台股行情!A:B,2,FALSE)</f>
        <v/>
      </c>
      <c r="E7" s="11" t="n">
        <v>192</v>
      </c>
      <c r="F7" s="11" t="n">
        <v>52.04</v>
      </c>
      <c r="G7" s="11" t="n">
        <v>9991</v>
      </c>
      <c r="H7" s="11" t="n">
        <v>1</v>
      </c>
      <c r="I7" s="104" t="n">
        <v>46090</v>
      </c>
      <c r="J7" s="16" t="n">
        <v>50.2</v>
      </c>
      <c r="K7" s="11">
        <f>E7*J7</f>
        <v/>
      </c>
      <c r="L7" s="11">
        <f>ROUND(J7*E7*0.1425%,0)</f>
        <v/>
      </c>
      <c r="M7" s="11">
        <f>ROUND(J7*E7*0.3%,0)</f>
        <v/>
      </c>
      <c r="N7" s="11" t="n">
        <v>0</v>
      </c>
      <c r="O7" s="434">
        <f>IF(I7="",E7*Y7,0)</f>
        <v/>
      </c>
      <c r="P7" s="435">
        <f>IF(I7="",R7-H7,(K7-H7-SUM(L7:N7)+R7-S7-T7)-G7)+(ROUND(R7*V7,0)-ROUND(R7*(1+V7),0)*W7)</f>
        <v/>
      </c>
      <c r="Q7" s="435">
        <f>IF(I7="",(O7-G7-(O7*0.1425%*0.65)-(O7*0.3%)-S7-T7),0)</f>
        <v/>
      </c>
      <c r="R7" s="435" t="n">
        <v>722.4</v>
      </c>
      <c r="S7" s="435" t="n"/>
      <c r="T7" s="435" t="n"/>
      <c r="U7" s="69">
        <f>(V7*50%)/(1+50%*V7)</f>
        <v/>
      </c>
      <c r="V7" s="69" t="n"/>
      <c r="W7" s="70" t="n">
        <v>0.11</v>
      </c>
      <c r="X7" s="436">
        <f>(P7+Q7)/G7</f>
        <v/>
      </c>
      <c r="Y7" s="16">
        <f>VLOOKUP(C7,台股行情!A:D,4,FALSE)</f>
        <v/>
      </c>
      <c r="Z7" s="437">
        <f>VLOOKUP(C7,台股行情!A:E,5,FALSE)</f>
        <v/>
      </c>
      <c r="AA7" s="438">
        <f>IF(I7="",((TODAY()-A7)*G7)/365.24,((I7-A7)*G7)/365.24)</f>
        <v/>
      </c>
      <c r="AB7" s="103" t="inlineStr">
        <is>
          <t>存股</t>
        </is>
      </c>
      <c r="AC7" s="351" t="inlineStr">
        <is>
          <t>美伊戰爭，憂心崩跌，獲利了結</t>
        </is>
      </c>
    </row>
    <row r="8" outlineLevel="1">
      <c r="A8" s="99" t="n">
        <v>46076</v>
      </c>
      <c r="B8" s="11" t="n"/>
      <c r="C8" s="11" t="n">
        <v>770</v>
      </c>
      <c r="D8" s="189">
        <f>VLOOKUP(C8,台股行情!A:B,2,FALSE)</f>
        <v/>
      </c>
      <c r="E8" s="11" t="n">
        <v>193</v>
      </c>
      <c r="F8" s="11" t="n">
        <v>51.65</v>
      </c>
      <c r="G8" s="11" t="n">
        <v>9968</v>
      </c>
      <c r="H8" s="11" t="n">
        <v>1</v>
      </c>
      <c r="I8" s="104" t="n">
        <v>46090</v>
      </c>
      <c r="J8" s="16" t="n">
        <v>50.2</v>
      </c>
      <c r="K8" s="11">
        <f>E8*J8</f>
        <v/>
      </c>
      <c r="L8" s="11">
        <f>ROUND(J8*E8*0.1425%,0)</f>
        <v/>
      </c>
      <c r="M8" s="11">
        <f>ROUND(J8*E8*0.3%,0)</f>
        <v/>
      </c>
      <c r="N8" s="11" t="n">
        <v>0</v>
      </c>
      <c r="O8" s="434">
        <f>IF(I8="",E8*Y8,0)</f>
        <v/>
      </c>
      <c r="P8" s="435">
        <f>IF(I8="",R8-H8,(K8-H8-SUM(L8:N8)+R8-S8-T8)-G8)+(ROUND(R8*V8,0)-ROUND(R8*(1+V8),0)*W8)</f>
        <v/>
      </c>
      <c r="Q8" s="435">
        <f>IF(I8="",(O8-G8-(O8*0.1425%*0.65)-(O8*0.3%)-S8-T8),0)</f>
        <v/>
      </c>
      <c r="R8" s="435" t="n">
        <v>722.4</v>
      </c>
      <c r="S8" s="435" t="n"/>
      <c r="T8" s="435" t="n"/>
      <c r="U8" s="69">
        <f>(V8*50%)/(1+50%*V8)</f>
        <v/>
      </c>
      <c r="V8" s="69" t="n"/>
      <c r="W8" s="70" t="n">
        <v>0.11</v>
      </c>
      <c r="X8" s="436">
        <f>(P8+Q8)/G8</f>
        <v/>
      </c>
      <c r="Y8" s="16">
        <f>VLOOKUP(C8,台股行情!A:D,4,FALSE)</f>
        <v/>
      </c>
      <c r="Z8" s="437">
        <f>VLOOKUP(C8,台股行情!A:E,5,FALSE)</f>
        <v/>
      </c>
      <c r="AA8" s="438">
        <f>IF(I8="",((TODAY()-A8)*G8)/365.24,((I8-A8)*G8)/365.24)</f>
        <v/>
      </c>
      <c r="AB8" s="103" t="inlineStr">
        <is>
          <t>存股</t>
        </is>
      </c>
      <c r="AC8" s="351" t="inlineStr">
        <is>
          <t>美伊戰爭，憂心崩跌，獲利了結</t>
        </is>
      </c>
    </row>
    <row r="9" outlineLevel="1">
      <c r="A9" s="99" t="n">
        <v>46078</v>
      </c>
      <c r="B9" s="11" t="n"/>
      <c r="C9" s="11" t="n">
        <v>770</v>
      </c>
      <c r="D9" s="189">
        <f>VLOOKUP(C9,台股行情!A:B,2,FALSE)</f>
        <v/>
      </c>
      <c r="E9" s="11" t="n">
        <v>193</v>
      </c>
      <c r="F9" s="11" t="n">
        <v>51.65</v>
      </c>
      <c r="G9" s="11" t="n">
        <v>9968</v>
      </c>
      <c r="H9" s="11" t="n">
        <v>1</v>
      </c>
      <c r="I9" s="104" t="n">
        <v>46090</v>
      </c>
      <c r="J9" s="16" t="n">
        <v>50.2</v>
      </c>
      <c r="K9" s="11">
        <f>E9*J9</f>
        <v/>
      </c>
      <c r="L9" s="11">
        <f>ROUND(J9*E9*0.1425%,0)</f>
        <v/>
      </c>
      <c r="M9" s="11">
        <f>ROUND(J9*E9*0.3%,0)</f>
        <v/>
      </c>
      <c r="N9" s="11" t="n">
        <v>0</v>
      </c>
      <c r="O9" s="434">
        <f>IF(I9="",E9*Y9,0)</f>
        <v/>
      </c>
      <c r="P9" s="435">
        <f>IF(I9="",R9-H9,(K9-H9-SUM(L9:N9)+R9-S9-T9)-G9)+(ROUND(R9*V9,0)-ROUND(R9*(1+V9),0)*W9)</f>
        <v/>
      </c>
      <c r="Q9" s="435">
        <f>IF(I9="",(O9-G9-(O9*0.1425%*0.65)-(O9*0.3%)-S9-T9),0)</f>
        <v/>
      </c>
      <c r="R9" s="435" t="n">
        <v>722.4</v>
      </c>
      <c r="S9" s="435" t="n"/>
      <c r="T9" s="435" t="n"/>
      <c r="U9" s="69">
        <f>(V9*50%)/(1+50%*V9)</f>
        <v/>
      </c>
      <c r="V9" s="69" t="n"/>
      <c r="W9" s="70" t="n">
        <v>0.11</v>
      </c>
      <c r="X9" s="436">
        <f>(P9+Q9)/G9</f>
        <v/>
      </c>
      <c r="Y9" s="16">
        <f>VLOOKUP(C9,台股行情!A:D,4,FALSE)</f>
        <v/>
      </c>
      <c r="Z9" s="437">
        <f>VLOOKUP(C9,台股行情!A:E,5,FALSE)</f>
        <v/>
      </c>
      <c r="AA9" s="438">
        <f>IF(I9="",((TODAY()-A9)*G9)/365.24,((I9-A9)*G9)/365.24)</f>
        <v/>
      </c>
      <c r="AB9" s="103" t="inlineStr">
        <is>
          <t>存股</t>
        </is>
      </c>
      <c r="AC9" s="351" t="inlineStr">
        <is>
          <t>美伊戰爭，憂心崩跌，獲利了結</t>
        </is>
      </c>
    </row>
    <row r="10">
      <c r="A10" s="99" t="n">
        <v>46090</v>
      </c>
      <c r="B10" s="11" t="n"/>
      <c r="C10" s="349" t="n">
        <v>919</v>
      </c>
      <c r="D10" s="189">
        <f>VLOOKUP(C10,台股行情!A:B,2,FALSE)</f>
        <v/>
      </c>
      <c r="E10" s="11" t="n">
        <v>436</v>
      </c>
      <c r="F10" s="11" t="n">
        <v>22.93</v>
      </c>
      <c r="G10" s="11" t="n">
        <v>9990</v>
      </c>
      <c r="H10" s="11" t="n">
        <v>1</v>
      </c>
      <c r="I10" s="104" t="n">
        <v>46129</v>
      </c>
      <c r="J10" s="16" t="n">
        <v>23.4</v>
      </c>
      <c r="K10" s="11">
        <f>E10*J10</f>
        <v/>
      </c>
      <c r="L10" s="11" t="n">
        <v>17</v>
      </c>
      <c r="M10" s="11" t="n">
        <v>12</v>
      </c>
      <c r="N10" s="11" t="n">
        <v>0</v>
      </c>
      <c r="O10" s="434">
        <f>IF(I10="",E10*Y10,0)</f>
        <v/>
      </c>
      <c r="P10" s="435">
        <f>IF(I10="",R10-H10,(K10-H10-SUM(L10:N10)+R10-S10-T10)-G10)+(ROUND(R10*V10,0)-ROUND(R10*(1+V10),0)*W10)</f>
        <v/>
      </c>
      <c r="Q10" s="435">
        <f>IF(I10="",(O10-G10-(O10*0.1425%*0.65)-(O10*0.3%)-S10-T10),0)</f>
        <v/>
      </c>
      <c r="R10" s="435" t="n">
        <v>340</v>
      </c>
      <c r="S10" s="435" t="n"/>
      <c r="T10" s="435" t="n"/>
      <c r="U10" s="69">
        <f>(V10*50%)/(1+50%*V10)</f>
        <v/>
      </c>
      <c r="V10" s="69" t="n"/>
      <c r="W10" s="70" t="n">
        <v>0.11</v>
      </c>
      <c r="X10" s="436">
        <f>(P10+Q10)/G10</f>
        <v/>
      </c>
      <c r="Y10" s="16">
        <f>VLOOKUP(C10,台股行情!A:D,4,FALSE)</f>
        <v/>
      </c>
      <c r="Z10" s="437">
        <f>VLOOKUP(C10,台股行情!A:E,5,FALSE)</f>
        <v/>
      </c>
      <c r="AA10" s="438">
        <f>IF(I10="",((TODAY()-A10)*G10)/365.24,((I10-A10)*G10)/365.24)</f>
        <v/>
      </c>
      <c r="AB10" s="103" t="inlineStr">
        <is>
          <t>存股</t>
        </is>
      </c>
      <c r="AC10" s="310" t="inlineStr">
        <is>
          <t>賣錯</t>
        </is>
      </c>
    </row>
    <row r="11" outlineLevel="1">
      <c r="A11" s="99" t="n">
        <v>46089</v>
      </c>
      <c r="B11" s="11" t="n"/>
      <c r="C11" s="349" t="n">
        <v>919</v>
      </c>
      <c r="D11" s="189">
        <f>VLOOKUP(C11,台股行情!A:B,2,FALSE)</f>
        <v/>
      </c>
      <c r="E11" s="11" t="n">
        <v>428</v>
      </c>
      <c r="F11" s="11" t="n">
        <v>23.36</v>
      </c>
      <c r="G11" s="11" t="n">
        <v>9998</v>
      </c>
      <c r="H11" s="11" t="n">
        <v>1</v>
      </c>
      <c r="I11" s="104" t="n">
        <v>46129</v>
      </c>
      <c r="J11" s="16" t="n">
        <v>23.4</v>
      </c>
      <c r="K11" s="11">
        <f>E11*J11</f>
        <v/>
      </c>
      <c r="L11" s="11" t="n">
        <v>16</v>
      </c>
      <c r="M11" s="11" t="n">
        <v>11</v>
      </c>
      <c r="N11" s="11" t="n">
        <v>0</v>
      </c>
      <c r="O11" s="434">
        <f>IF(I11="",E11*Y11,0)</f>
        <v/>
      </c>
      <c r="P11" s="435">
        <f>IF(I11="",R11-H11,(K11-H11-SUM(L11:N11)+R11-S11-T11)-G11)+(ROUND(R11*V11,0)-ROUND(R11*(1+V11),0)*W11)</f>
        <v/>
      </c>
      <c r="Q11" s="435">
        <f>IF(I11="",(O11-G11-(O11*0.1425%*0.65)-(O11*0.3%)-S11-T11),0)</f>
        <v/>
      </c>
      <c r="R11" s="435" t="n"/>
      <c r="S11" s="435" t="n"/>
      <c r="T11" s="435" t="n"/>
      <c r="U11" s="69">
        <f>(V11*50%)/(1+50%*V11)</f>
        <v/>
      </c>
      <c r="V11" s="69" t="n"/>
      <c r="W11" s="70" t="n">
        <v>0.11</v>
      </c>
      <c r="X11" s="436">
        <f>(P11+Q11)/G11</f>
        <v/>
      </c>
      <c r="Y11" s="16">
        <f>VLOOKUP(C11,台股行情!A:D,4,FALSE)</f>
        <v/>
      </c>
      <c r="Z11" s="437">
        <f>VLOOKUP(C11,台股行情!A:E,5,FALSE)</f>
        <v/>
      </c>
      <c r="AA11" s="438">
        <f>IF(I11="",((TODAY()-A11)*G11)/365.24,((I11-A11)*G11)/365.24)</f>
        <v/>
      </c>
      <c r="AB11" s="103" t="inlineStr">
        <is>
          <t>存股</t>
        </is>
      </c>
      <c r="AC11" s="310" t="inlineStr">
        <is>
          <t>賣錯</t>
        </is>
      </c>
    </row>
    <row r="12">
      <c r="A12" s="99" t="n">
        <v>46126</v>
      </c>
      <c r="B12" s="11" t="n"/>
      <c r="C12" s="349" t="n">
        <v>900</v>
      </c>
      <c r="D12" s="189">
        <f>VLOOKUP(C12,台股行情!A:B,2,FALSE)</f>
        <v/>
      </c>
      <c r="E12" s="11" t="n">
        <v>1000</v>
      </c>
      <c r="F12" s="11" t="n">
        <v>14.72</v>
      </c>
      <c r="G12" s="11">
        <f>E12*F12</f>
        <v/>
      </c>
      <c r="H12" s="11" t="n">
        <v>20</v>
      </c>
      <c r="I12" s="104" t="n">
        <v>46129</v>
      </c>
      <c r="J12" s="16" t="n">
        <v>15.06</v>
      </c>
      <c r="K12" s="11">
        <f>E12*J12</f>
        <v/>
      </c>
      <c r="L12" s="11">
        <f>ROUND(J12*E12*0.1425%,0)</f>
        <v/>
      </c>
      <c r="M12" s="11" t="n">
        <v>15</v>
      </c>
      <c r="N12" s="11" t="n">
        <v>0</v>
      </c>
      <c r="O12" s="434">
        <f>IF(I12="",E12*Y12,0)</f>
        <v/>
      </c>
      <c r="P12" s="435">
        <f>IF(I12="",R12-H12,(K12-H12-SUM(L12:N12)+R12-S12-T12)-G12)+(ROUND(R12*V12,0)-ROUND(R12*(1+V12),0)*W12)</f>
        <v/>
      </c>
      <c r="Q12" s="435">
        <f>IF(I12="",(O12-G12-(O12*0.1425%*0.65)-(O12*0.3%)-S12-T12),0)</f>
        <v/>
      </c>
      <c r="R12" s="435" t="n"/>
      <c r="S12" s="435" t="n"/>
      <c r="T12" s="435" t="n"/>
      <c r="U12" s="69">
        <f>(V12*50%)/(1+50%*V12)</f>
        <v/>
      </c>
      <c r="V12" s="69" t="n"/>
      <c r="W12" s="70" t="n">
        <v>0.11</v>
      </c>
      <c r="X12" s="436">
        <f>(P12+Q12)/G12</f>
        <v/>
      </c>
      <c r="Y12" s="16">
        <f>VLOOKUP(C12,台股行情!A:D,4,FALSE)</f>
        <v/>
      </c>
      <c r="Z12" s="437">
        <f>VLOOKUP(C12,台股行情!A:E,5,FALSE)</f>
        <v/>
      </c>
      <c r="AA12" s="438">
        <f>IF(I12="",((TODAY()-A12)*G12)/365.24,((I12-A12)*G12)/365.24)</f>
        <v/>
      </c>
      <c r="AB12" s="103" t="inlineStr">
        <is>
          <t>除權息</t>
        </is>
      </c>
      <c r="AC12" s="311" t="inlineStr">
        <is>
          <t>除息前賣出</t>
        </is>
      </c>
    </row>
    <row r="13">
      <c r="A13" s="99" t="n">
        <v>46126</v>
      </c>
      <c r="B13" s="11" t="n"/>
      <c r="C13" s="349" t="n">
        <v>934</v>
      </c>
      <c r="D13" s="189">
        <f>VLOOKUP(C13,台股行情!A:B,2,FALSE)</f>
        <v/>
      </c>
      <c r="E13" s="11" t="n">
        <v>1000</v>
      </c>
      <c r="F13" s="11" t="n">
        <v>22.38</v>
      </c>
      <c r="G13" s="11">
        <f>E13*F13</f>
        <v/>
      </c>
      <c r="H13" s="11" t="n">
        <v>31</v>
      </c>
      <c r="I13" s="104" t="n">
        <v>46129</v>
      </c>
      <c r="J13" s="16" t="n">
        <v>22.89</v>
      </c>
      <c r="K13" s="11">
        <f>E13*J13</f>
        <v/>
      </c>
      <c r="L13" s="11" t="n">
        <v>32</v>
      </c>
      <c r="M13" s="11" t="n">
        <v>22</v>
      </c>
      <c r="N13" s="11" t="n">
        <v>0</v>
      </c>
      <c r="O13" s="434">
        <f>IF(I13="",E13*Y13,0)</f>
        <v/>
      </c>
      <c r="P13" s="435">
        <f>IF(I13="",R13-H13,(K13-H13-SUM(L13:N13)+R13-S13-T13)-G13)+(ROUND(R13*V13,0)-ROUND(R13*(1+V13),0)*W13)</f>
        <v/>
      </c>
      <c r="Q13" s="435">
        <f>IF(I13="",(O13-G13-(O13*0.1425%*0.65)-(O13*0.3%)-S13-T13),0)</f>
        <v/>
      </c>
      <c r="R13" s="435" t="n"/>
      <c r="S13" s="435" t="n"/>
      <c r="T13" s="435" t="n"/>
      <c r="U13" s="69">
        <f>(V13*50%)/(1+50%*V13)</f>
        <v/>
      </c>
      <c r="V13" s="69" t="n"/>
      <c r="W13" s="70" t="n">
        <v>0.11</v>
      </c>
      <c r="X13" s="436">
        <f>(P13+Q13)/G13</f>
        <v/>
      </c>
      <c r="Y13" s="16">
        <f>VLOOKUP(C13,台股行情!A:D,4,FALSE)</f>
        <v/>
      </c>
      <c r="Z13" s="437">
        <f>VLOOKUP(C13,台股行情!A:E,5,FALSE)</f>
        <v/>
      </c>
      <c r="AA13" s="438">
        <f>IF(I13="",((TODAY()-A13)*G13)/365.24,((I13-A13)*G13)/365.24)</f>
        <v/>
      </c>
      <c r="AB13" s="103" t="inlineStr">
        <is>
          <t>除權息</t>
        </is>
      </c>
      <c r="AC13" s="311" t="inlineStr">
        <is>
          <t>除息前賣出</t>
        </is>
      </c>
    </row>
    <row r="14">
      <c r="A14" s="99" t="n">
        <v>46126</v>
      </c>
      <c r="B14" s="11" t="n"/>
      <c r="C14" s="11" t="n">
        <v>936</v>
      </c>
      <c r="D14" s="189">
        <f>VLOOKUP(C14,台股行情!A:B,2,FALSE)</f>
        <v/>
      </c>
      <c r="E14" s="11" t="n">
        <v>1000</v>
      </c>
      <c r="F14" s="11" t="n">
        <v>18.05</v>
      </c>
      <c r="G14" s="11">
        <f>E14*F14</f>
        <v/>
      </c>
      <c r="H14" s="11" t="n">
        <v>25</v>
      </c>
      <c r="I14" s="104" t="n">
        <v>46128</v>
      </c>
      <c r="J14" s="16" t="n">
        <v>18.37</v>
      </c>
      <c r="K14" s="11">
        <f>E14*J14</f>
        <v/>
      </c>
      <c r="L14" s="11">
        <f>ROUND(J14*E14*0.1425%,0)</f>
        <v/>
      </c>
      <c r="M14" s="11" t="n">
        <v>18</v>
      </c>
      <c r="N14" s="11" t="n">
        <v>0</v>
      </c>
      <c r="O14" s="434">
        <f>IF(I14="",E14*Y14,0)</f>
        <v/>
      </c>
      <c r="P14" s="435">
        <f>IF(I14="",R14-H14,(K14-H14-SUM(L14:N14)+R14-S14-T14)-G14)+(ROUND(R14*V14,0)-ROUND(R14*(1+V14),0)*W14)</f>
        <v/>
      </c>
      <c r="Q14" s="435">
        <f>IF(I14="",(O14-G14-(O14*0.1425%*0.65)-(O14*0.3%)-S14-T14),0)</f>
        <v/>
      </c>
      <c r="R14" s="435" t="n"/>
      <c r="S14" s="435" t="n"/>
      <c r="T14" s="435" t="n"/>
      <c r="U14" s="69">
        <f>(V14*50%)/(1+50%*V14)</f>
        <v/>
      </c>
      <c r="V14" s="69" t="n"/>
      <c r="W14" s="70" t="n">
        <v>0.11</v>
      </c>
      <c r="X14" s="436">
        <f>(P14+Q14)/G14</f>
        <v/>
      </c>
      <c r="Y14" s="16">
        <f>VLOOKUP(C14,台股行情!A:D,4,FALSE)</f>
        <v/>
      </c>
      <c r="Z14" s="437">
        <f>VLOOKUP(C14,台股行情!A:E,5,FALSE)</f>
        <v/>
      </c>
      <c r="AA14" s="438">
        <f>IF(I14="",((TODAY()-A14)*G14)/365.24,((I14-A14)*G14)/365.24)</f>
        <v/>
      </c>
      <c r="AB14" s="103" t="inlineStr">
        <is>
          <t>除權息</t>
        </is>
      </c>
      <c r="AC14" s="311" t="inlineStr">
        <is>
          <t>除息前賣出</t>
        </is>
      </c>
    </row>
    <row r="15">
      <c r="A15" s="99" t="n">
        <v>46126</v>
      </c>
      <c r="B15" s="11" t="n"/>
      <c r="C15" s="349" t="n">
        <v>944</v>
      </c>
      <c r="D15" s="189">
        <f>VLOOKUP(C15,台股行情!A:B,2,FALSE)</f>
        <v/>
      </c>
      <c r="E15" s="11" t="n">
        <v>1000</v>
      </c>
      <c r="F15" s="11" t="n">
        <v>16.4</v>
      </c>
      <c r="G15" s="11">
        <f>E15*F15</f>
        <v/>
      </c>
      <c r="H15" s="11" t="n">
        <v>23</v>
      </c>
      <c r="I15" s="104" t="n">
        <v>46129</v>
      </c>
      <c r="J15" s="16" t="n">
        <v>16.98</v>
      </c>
      <c r="K15" s="11">
        <f>E15*J15</f>
        <v/>
      </c>
      <c r="L15" s="11">
        <f>ROUND(J15*E15*0.1425%,0)</f>
        <v/>
      </c>
      <c r="M15" s="11" t="n">
        <v>16</v>
      </c>
      <c r="N15" s="11" t="n">
        <v>0</v>
      </c>
      <c r="O15" s="434">
        <f>IF(I15="",E15*Y15,0)</f>
        <v/>
      </c>
      <c r="P15" s="435">
        <f>IF(I15="",R15-H15,(K15-H15-SUM(L15:N15)+R15-S15-T15)-G15)+(ROUND(R15*V15,0)-ROUND(R15*(1+V15),0)*W15)</f>
        <v/>
      </c>
      <c r="Q15" s="435">
        <f>IF(I15="",(O15-G15-(O15*0.1425%*0.65)-(O15*0.3%)-S15-T15),0)</f>
        <v/>
      </c>
      <c r="R15" s="435" t="n"/>
      <c r="S15" s="435" t="n"/>
      <c r="T15" s="435" t="n"/>
      <c r="U15" s="69">
        <f>(V15*50%)/(1+50%*V15)</f>
        <v/>
      </c>
      <c r="V15" s="69" t="n"/>
      <c r="W15" s="70" t="n">
        <v>0.11</v>
      </c>
      <c r="X15" s="436">
        <f>(P15+Q15)/G15</f>
        <v/>
      </c>
      <c r="Y15" s="16">
        <f>VLOOKUP(C15,台股行情!A:D,4,FALSE)</f>
        <v/>
      </c>
      <c r="Z15" s="437">
        <f>VLOOKUP(C15,台股行情!A:E,5,FALSE)</f>
        <v/>
      </c>
      <c r="AA15" s="438">
        <f>IF(I15="",((TODAY()-A15)*G15)/365.24,((I15-A15)*G15)/365.24)</f>
        <v/>
      </c>
      <c r="AB15" s="103" t="inlineStr">
        <is>
          <t>除權息</t>
        </is>
      </c>
      <c r="AC15" s="311" t="inlineStr">
        <is>
          <t>除息前賣出</t>
        </is>
      </c>
    </row>
    <row r="16">
      <c r="A16" s="99" t="n">
        <v>46126</v>
      </c>
      <c r="B16" s="11" t="n"/>
      <c r="C16" s="11" t="n">
        <v>56</v>
      </c>
      <c r="D16" s="189">
        <f>VLOOKUP(C16,台股行情!A:B,2,FALSE)</f>
        <v/>
      </c>
      <c r="E16" s="11" t="n">
        <v>1000</v>
      </c>
      <c r="F16" s="11" t="n">
        <v>39.96</v>
      </c>
      <c r="G16" s="11">
        <f>E16*F16</f>
        <v/>
      </c>
      <c r="H16" s="11" t="n">
        <v>56</v>
      </c>
      <c r="I16" s="104" t="n">
        <v>46134</v>
      </c>
      <c r="J16" s="16" t="n">
        <v>42.3</v>
      </c>
      <c r="K16" s="11">
        <f>E16*J16</f>
        <v/>
      </c>
      <c r="L16" s="11">
        <f>ROUND(J16*E16*0.1425%,0)</f>
        <v/>
      </c>
      <c r="M16" s="11" t="n">
        <v>42</v>
      </c>
      <c r="N16" s="11" t="n">
        <v>0</v>
      </c>
      <c r="O16" s="434">
        <f>IF(I16="",E16*Y16,0)</f>
        <v/>
      </c>
      <c r="P16" s="435">
        <f>IF(I16="",R16-H16,(K16-H16-SUM(L16:N16)+R16-S16-T16)-G16)+(ROUND(R16*V16,0)-ROUND(R16*(1+V16),0)*W16)</f>
        <v/>
      </c>
      <c r="Q16" s="435">
        <f>IF(I16="",(O16-G16-(O16*0.1425%*0.65)-(O16*0.3%)-S16-T16),0)</f>
        <v/>
      </c>
      <c r="R16" s="435" t="n"/>
      <c r="S16" s="435" t="n"/>
      <c r="T16" s="435">
        <f>IF(ROUND(R16*(1+V16),0)&gt;20000,ROUND(ROUND(R16*(1+V16),0)*2%,0),0)</f>
        <v/>
      </c>
      <c r="U16" s="69">
        <f>(V16*50%)/(1+50%*V16)</f>
        <v/>
      </c>
      <c r="V16" s="69" t="n"/>
      <c r="W16" s="70" t="n">
        <v>0.11</v>
      </c>
      <c r="X16" s="436">
        <f>(P16+Q16)/G16</f>
        <v/>
      </c>
      <c r="Y16" s="16">
        <f>VLOOKUP(C16,台股行情!A:D,4,FALSE)</f>
        <v/>
      </c>
      <c r="Z16" s="437">
        <f>VLOOKUP(C16,台股行情!A:E,5,FALSE)</f>
        <v/>
      </c>
      <c r="AA16" s="438">
        <f>IF(I16="",((TODAY()-A16)*G16)/365.24,((I16-A16)*G16)/365.24)</f>
        <v/>
      </c>
      <c r="AB16" s="103" t="inlineStr">
        <is>
          <t>除權息</t>
        </is>
      </c>
    </row>
    <row r="17">
      <c r="A17" s="99" t="n">
        <v>46090</v>
      </c>
      <c r="B17" s="11" t="n"/>
      <c r="C17" s="11" t="n">
        <v>2603</v>
      </c>
      <c r="D17" s="189">
        <f>VLOOKUP(C17,台股行情!A:B,2,FALSE)</f>
        <v/>
      </c>
      <c r="E17" s="11" t="n">
        <v>1000</v>
      </c>
      <c r="F17" s="11" t="n">
        <v>212</v>
      </c>
      <c r="G17" s="11">
        <f>E17*F17</f>
        <v/>
      </c>
      <c r="H17" s="11" t="n">
        <v>302</v>
      </c>
      <c r="I17" s="104" t="n">
        <v>46136</v>
      </c>
      <c r="J17" s="16" t="n">
        <v>200.5</v>
      </c>
      <c r="K17" s="11">
        <f>E17*J17</f>
        <v/>
      </c>
      <c r="L17" s="11" t="n">
        <v>285</v>
      </c>
      <c r="M17" s="11" t="n">
        <v>601</v>
      </c>
      <c r="N17" s="11" t="n">
        <v>0</v>
      </c>
      <c r="O17" s="434">
        <f>IF(I17="",E17*Y17,0)</f>
        <v/>
      </c>
      <c r="P17" s="435">
        <f>IF(I17="",R17-H17,(K17-H17-SUM(L17:N17)+R17-S17-T17)-G17)+(ROUND(R17*V17,0)-ROUND(R17*(1+V17),0)*W17)</f>
        <v/>
      </c>
      <c r="Q17" s="435">
        <f>IF(I17="",(O17-G17-(O17*0.1425%*0.65)-(O17*0.3%)-S17-T17),0)</f>
        <v/>
      </c>
      <c r="R17" s="435" t="n"/>
      <c r="S17" s="435" t="n"/>
      <c r="T17" s="435">
        <f>IF(ROUND(R17*(1+V17),0)&gt;20000,ROUND(ROUND(R17*(1+V17),0)*2%,0),0)</f>
        <v/>
      </c>
      <c r="U17" s="69">
        <f>(V17*50%)/(1+50%*V17)</f>
        <v/>
      </c>
      <c r="V17" s="69" t="n"/>
      <c r="W17" s="70" t="n">
        <v>0.11</v>
      </c>
      <c r="X17" s="436">
        <f>(P17+Q17)/G17</f>
        <v/>
      </c>
      <c r="Y17" s="16">
        <f>VLOOKUP(C17,台股行情!A:D,4,FALSE)</f>
        <v/>
      </c>
      <c r="Z17" s="437">
        <f>VLOOKUP(C17,台股行情!A:E,5,FALSE)</f>
        <v/>
      </c>
      <c r="AA17" s="438">
        <f>IF(I17="",((TODAY()-A17)*G17)/365.24,((I17-A17)*G17)/365.24)</f>
        <v/>
      </c>
      <c r="AB17" s="143" t="inlineStr">
        <is>
          <t>美伊戰爭</t>
        </is>
      </c>
      <c r="AC17" s="310" t="inlineStr">
        <is>
          <t>不如預期，換股操作</t>
        </is>
      </c>
    </row>
    <row r="18">
      <c r="A18" s="99" t="n">
        <v>46104</v>
      </c>
      <c r="B18" s="11" t="n"/>
      <c r="C18" s="11" t="n">
        <v>3289</v>
      </c>
      <c r="D18" s="189">
        <f>VLOOKUP(C18,台股行情!A:B,2,FALSE)</f>
        <v/>
      </c>
      <c r="E18" s="11" t="n">
        <v>1000</v>
      </c>
      <c r="F18" s="11" t="n">
        <v>141.5</v>
      </c>
      <c r="G18" s="11">
        <f>E18*F18</f>
        <v/>
      </c>
      <c r="H18" s="11" t="n">
        <v>201</v>
      </c>
      <c r="I18" s="104" t="n">
        <v>46139</v>
      </c>
      <c r="J18" s="16" t="n">
        <v>172.5</v>
      </c>
      <c r="K18" s="11">
        <f>E18*J18</f>
        <v/>
      </c>
      <c r="L18" s="11" t="n">
        <v>245</v>
      </c>
      <c r="M18" s="11" t="n">
        <v>517</v>
      </c>
      <c r="N18" s="11" t="n">
        <v>0</v>
      </c>
      <c r="O18" s="434">
        <f>IF(I18="",E18*Y18,0)</f>
        <v/>
      </c>
      <c r="P18" s="435">
        <f>IF(I18="",R18-H18,(K18-H18-SUM(L18:N18)+R18-S18-T18)-G18)+(ROUND(R18*V18,0)-ROUND(R18*(1+V18),0)*W18)</f>
        <v/>
      </c>
      <c r="Q18" s="435">
        <f>IF(I18="",(O18-G18-(O18*0.1425%*0.65)-(O18*0.3%)-S18-T18),0)</f>
        <v/>
      </c>
      <c r="R18" s="435" t="n">
        <v>1195</v>
      </c>
      <c r="S18" s="435" t="n">
        <v>10</v>
      </c>
      <c r="T18" s="435">
        <f>IF(ROUND(R18*(1+V18),0)&gt;20000,ROUND(ROUND(R18*(1+V18),0)*2%,0),0)</f>
        <v/>
      </c>
      <c r="U18" s="69">
        <f>(V18*50%)/(1+50%*V18)</f>
        <v/>
      </c>
      <c r="V18" s="69" t="n"/>
      <c r="W18" s="70" t="n">
        <v>0.11</v>
      </c>
      <c r="X18" s="436">
        <f>(P18+Q18)/G18</f>
        <v/>
      </c>
      <c r="Y18" s="16">
        <f>VLOOKUP(C18,台股行情!A:D,4,FALSE)</f>
        <v/>
      </c>
      <c r="Z18" s="437">
        <f>VLOOKUP(C18,台股行情!A:E,5,FALSE)</f>
        <v/>
      </c>
      <c r="AA18" s="438">
        <f>IF(I18="",((TODAY()-A18)*G18)/365.24,((I18-A18)*G18)/365.24)</f>
        <v/>
      </c>
      <c r="AB18" s="311" t="inlineStr">
        <is>
          <t>美伊戰爭，卡達LNG設施遭重創</t>
        </is>
      </c>
    </row>
    <row r="19">
      <c r="A19" s="99" t="n">
        <v>46149</v>
      </c>
      <c r="B19" s="11" t="n"/>
      <c r="C19" s="11" t="n">
        <v>4938</v>
      </c>
      <c r="D19" s="189">
        <f>VLOOKUP(C19,台股行情!A:B,2,FALSE)</f>
        <v/>
      </c>
      <c r="E19" s="11" t="n">
        <v>1000</v>
      </c>
      <c r="F19" s="11" t="n">
        <v>84.3</v>
      </c>
      <c r="G19" s="11">
        <f>E19*F19</f>
        <v/>
      </c>
      <c r="H19" s="11" t="n">
        <v>120</v>
      </c>
      <c r="I19" s="104" t="n">
        <v>46156</v>
      </c>
      <c r="J19" s="16" t="n">
        <v>76.8</v>
      </c>
      <c r="K19" s="11">
        <f>E19*J19</f>
        <v/>
      </c>
      <c r="L19" s="11">
        <f>ROUND(J19*E19*0.1425%,0)</f>
        <v/>
      </c>
      <c r="M19" s="11">
        <f>ROUND(J19*E19*0.3%,0)</f>
        <v/>
      </c>
      <c r="N19" s="11" t="n">
        <v>0</v>
      </c>
      <c r="O19" s="434">
        <f>IF(I19="",E19*Y19,0)</f>
        <v/>
      </c>
      <c r="P19" s="435">
        <f>IF(I19="",R19-H19,(K19-H19-SUM(L19:N19)+R19-S19-T19)-G19)+(ROUND(R19*V19,0)-ROUND(R19*(1+V19),0)*W19)</f>
        <v/>
      </c>
      <c r="Q19" s="435">
        <f>IF(I19="",(O19-G19-(O19*0.1425%*0.65)-(O19*0.3%)-S19-T19),0)</f>
        <v/>
      </c>
      <c r="R19" s="435" t="n"/>
      <c r="S19" s="435" t="n"/>
      <c r="T19" s="435">
        <f>IF(ROUND(R19*(1+V19),0)&gt;20000,ROUND(ROUND(R19*(1+V19),0)*2%,0),0)</f>
        <v/>
      </c>
      <c r="U19" s="69">
        <f>(V19*50%)/(1+50%*V19)</f>
        <v/>
      </c>
      <c r="V19" s="69" t="n"/>
      <c r="W19" s="70" t="n">
        <v>0.11</v>
      </c>
      <c r="X19" s="436">
        <f>(P19+Q19)/G19</f>
        <v/>
      </c>
      <c r="Y19" s="16">
        <f>VLOOKUP(C19,台股行情!A:D,4,FALSE)</f>
        <v/>
      </c>
      <c r="Z19" s="437">
        <f>VLOOKUP(C19,台股行情!A:E,5,FALSE)</f>
        <v/>
      </c>
      <c r="AA19" s="438">
        <f>IF(I19="",((TODAY()-A19)*G19)/365.24,((I19-A19)*G19)/365.24)</f>
        <v/>
      </c>
      <c r="AB19" s="103" t="inlineStr">
        <is>
          <t>賭新聞</t>
        </is>
      </c>
    </row>
    <row r="20">
      <c r="A20" s="99" t="n">
        <v>46133</v>
      </c>
      <c r="B20" s="11" t="n"/>
      <c r="C20" s="11" t="n">
        <v>5347</v>
      </c>
      <c r="D20" s="189">
        <f>VLOOKUP(C20,台股行情!A:B,2,FALSE)</f>
        <v/>
      </c>
      <c r="E20" s="11" t="n">
        <v>1000</v>
      </c>
      <c r="F20" s="11" t="n">
        <v>141</v>
      </c>
      <c r="G20" s="11">
        <f>E20*F20</f>
        <v/>
      </c>
      <c r="H20" s="11" t="n">
        <v>200</v>
      </c>
      <c r="I20" s="104" t="n">
        <v>46164</v>
      </c>
      <c r="J20" s="16" t="n">
        <v>161</v>
      </c>
      <c r="K20" s="11">
        <f>E20*J20</f>
        <v/>
      </c>
      <c r="L20" s="11">
        <f>ROUND(J20*E20*0.1425%,0)</f>
        <v/>
      </c>
      <c r="M20" s="11">
        <f>ROUND(J20*E20*0.3%,0)</f>
        <v/>
      </c>
      <c r="N20" s="11" t="n">
        <v>0</v>
      </c>
      <c r="O20" s="434">
        <f>IF(I20="",E20*Y20,0)</f>
        <v/>
      </c>
      <c r="P20" s="435">
        <f>IF(I20="",R20-H20,(K20-H20-SUM(L20:N20)+R20-S20-T20)-G20)+(ROUND(R20*V20,0)-ROUND(R20*(1+V20),0)*W20)</f>
        <v/>
      </c>
      <c r="Q20" s="435">
        <f>IF(I20="",(O20-G20-(O20*0.1425%*0.65)-(O20*0.3%)-S20-T20),0)</f>
        <v/>
      </c>
      <c r="R20" s="435" t="n"/>
      <c r="S20" s="435" t="n"/>
      <c r="T20" s="435">
        <f>IF(ROUND(R20*(1+V20),0)&gt;20000,ROUND(ROUND(R20*(1+V20),0)*2%,0),0)</f>
        <v/>
      </c>
      <c r="U20" s="69">
        <f>(V20*50%)/(1+50%*V20)</f>
        <v/>
      </c>
      <c r="V20" s="69" t="n"/>
      <c r="W20" s="70" t="n">
        <v>0.11</v>
      </c>
      <c r="X20" s="436">
        <f>(P20+Q20)/G20</f>
        <v/>
      </c>
      <c r="Y20" s="16">
        <f>VLOOKUP(C20,台股行情!A:D,4,FALSE)</f>
        <v/>
      </c>
      <c r="Z20" s="437">
        <f>VLOOKUP(C20,台股行情!A:E,5,FALSE)</f>
        <v/>
      </c>
      <c r="AA20" s="438">
        <f>IF(I20="",((TODAY()-A20)*G20)/365.24,((I20-A20)*G20)/365.24)</f>
        <v/>
      </c>
      <c r="AB20" s="103" t="inlineStr">
        <is>
          <t>水某精選</t>
        </is>
      </c>
    </row>
    <row r="21">
      <c r="A21" s="99" t="n"/>
      <c r="B21" s="11" t="n"/>
      <c r="C21" s="11" t="n"/>
      <c r="D21" s="189" t="n"/>
      <c r="E21" s="11" t="n"/>
      <c r="F21" s="11" t="n"/>
      <c r="G21" s="11" t="n"/>
      <c r="H21" s="11" t="n"/>
      <c r="I21" s="104" t="n"/>
      <c r="J21" s="16" t="n"/>
      <c r="K21" s="11" t="n"/>
      <c r="L21" s="11" t="n"/>
      <c r="M21" s="11" t="n"/>
      <c r="N21" s="11" t="n"/>
      <c r="O21" s="434" t="n"/>
      <c r="P21" s="435" t="n"/>
      <c r="Q21" s="435" t="n"/>
      <c r="R21" s="435" t="n"/>
      <c r="S21" s="435" t="n"/>
      <c r="T21" s="435" t="n"/>
      <c r="U21" s="69" t="n"/>
      <c r="V21" s="69" t="n"/>
      <c r="W21" s="70" t="n"/>
      <c r="X21" s="436" t="n"/>
      <c r="Y21" s="16" t="n"/>
      <c r="Z21" s="437" t="n"/>
      <c r="AA21" s="438" t="n"/>
      <c r="AB21" s="103" t="n"/>
      <c r="AC21" s="310" t="n"/>
    </row>
    <row r="22">
      <c r="A22" s="39" t="n"/>
      <c r="B22" s="40" t="n"/>
      <c r="C22" s="40" t="n"/>
      <c r="D22" s="191" t="n"/>
      <c r="E22" s="40" t="n"/>
      <c r="F22" s="40" t="n"/>
      <c r="G22" s="40" t="n"/>
      <c r="H22" s="40" t="n"/>
      <c r="I22" s="41" t="n"/>
      <c r="J22" s="42" t="n"/>
      <c r="K22" s="40" t="n"/>
      <c r="L22" s="439" t="n"/>
      <c r="M22" s="40" t="n"/>
      <c r="N22" s="40" t="n"/>
      <c r="O22" s="440" t="n"/>
      <c r="P22" s="441" t="n"/>
      <c r="Q22" s="441" t="n"/>
      <c r="R22" s="441" t="n"/>
      <c r="S22" s="441" t="n"/>
      <c r="T22" s="441" t="n"/>
      <c r="U22" s="73" t="n"/>
      <c r="V22" s="73" t="n"/>
      <c r="W22" s="76" t="n"/>
      <c r="X22" s="442" t="n"/>
      <c r="Y22" s="42" t="n"/>
      <c r="Z22" s="47" t="n"/>
      <c r="AA22" s="438" t="n"/>
    </row>
    <row r="23">
      <c r="A23" s="10" t="n"/>
      <c r="B23" s="11" t="n"/>
      <c r="C23" s="11" t="n"/>
      <c r="D23" s="189" t="n"/>
      <c r="E23" s="11" t="n"/>
      <c r="F23" s="11" t="n"/>
      <c r="G23" s="11" t="n"/>
      <c r="H23" s="11" t="n"/>
      <c r="I23" s="12" t="n"/>
      <c r="J23" s="11" t="n"/>
      <c r="K23" s="11" t="n"/>
      <c r="L23" s="11" t="n"/>
      <c r="M23" s="11" t="n"/>
      <c r="N23" s="11" t="n"/>
      <c r="O23" s="434" t="n"/>
      <c r="P23" s="435" t="n"/>
      <c r="Q23" s="435" t="n"/>
      <c r="R23" s="435" t="n"/>
      <c r="S23" s="435" t="n"/>
      <c r="T23" s="435" t="n"/>
      <c r="U23" s="435" t="n"/>
      <c r="V23" s="69" t="n"/>
      <c r="W23" s="70" t="n"/>
      <c r="X23" s="436" t="n"/>
      <c r="Y23" s="16" t="n"/>
      <c r="Z23" s="437" t="n"/>
      <c r="AA23" s="438" t="n"/>
    </row>
    <row r="24">
      <c r="A24" s="18">
        <f>MIN(A61:A61)</f>
        <v/>
      </c>
      <c r="B24" s="19" t="n"/>
      <c r="C24" s="20" t="n"/>
      <c r="D24" s="192" t="n"/>
      <c r="E24" s="19" t="n"/>
      <c r="F24" s="19" t="n"/>
      <c r="G24" s="19" t="n"/>
      <c r="H24" s="19" t="n"/>
      <c r="I24" s="21" t="n"/>
      <c r="J24" s="22" t="n"/>
      <c r="K24" s="19" t="n"/>
      <c r="L24" s="443" t="n"/>
      <c r="M24" s="19" t="n"/>
      <c r="N24" s="19" t="n"/>
      <c r="O24" s="444" t="n"/>
      <c r="P24" s="445" t="n"/>
      <c r="Q24" s="445" t="n"/>
      <c r="R24" s="445" t="n"/>
      <c r="S24" s="445" t="n"/>
      <c r="T24" s="445" t="n"/>
      <c r="U24" s="445" t="n"/>
      <c r="V24" s="74" t="n"/>
      <c r="W24" s="77" t="n"/>
      <c r="X24" s="446" t="n"/>
      <c r="Y24" s="22" t="n"/>
      <c r="Z24" s="27" t="n"/>
      <c r="AA24" s="438" t="n"/>
    </row>
    <row r="25" outlineLevel="1">
      <c r="A25" s="275" t="n">
        <v>44280</v>
      </c>
      <c r="B25" s="11" t="inlineStr">
        <is>
          <t>普通買進</t>
        </is>
      </c>
      <c r="C25" s="11" t="n">
        <v>6770</v>
      </c>
      <c r="D25" s="273" t="inlineStr">
        <is>
          <t>力積電</t>
        </is>
      </c>
      <c r="E25" s="11" t="n">
        <v>2000</v>
      </c>
      <c r="F25" s="11" t="n">
        <v>75.09999999999999</v>
      </c>
      <c r="G25" s="11" t="n">
        <v>150200</v>
      </c>
      <c r="H25" s="11" t="n">
        <v>128</v>
      </c>
      <c r="I25" s="104" t="n"/>
      <c r="J25" s="16" t="n"/>
      <c r="K25" s="11">
        <f>E25*J25</f>
        <v/>
      </c>
      <c r="L25" s="11">
        <f>ROUND(J25*E25*0.1425%,0)</f>
        <v/>
      </c>
      <c r="M25" s="11">
        <f>ROUND(J25*E25*0.3%,0)</f>
        <v/>
      </c>
      <c r="N25" s="11" t="n">
        <v>0</v>
      </c>
      <c r="O25" s="434">
        <f>IF(I25="",E25*Y25,0)</f>
        <v/>
      </c>
      <c r="P25" s="435">
        <f>IF(I25="",R25-H25,(K25-H25-SUM(L25:N25)+R25-S25-T25)-G25)+(ROUND(R25*V25,0)-ROUND(R25*(1+V25),0)*W25)</f>
        <v/>
      </c>
      <c r="Q25" s="435">
        <f>IF(I25="",(O25-G25-(O25*0.1425%*0.65)-(O25*0.3%)-S25-T25),0)</f>
        <v/>
      </c>
      <c r="R25" s="435">
        <f>982+1412+2568+1584+651+3841</f>
        <v/>
      </c>
      <c r="S25" s="435" t="n">
        <v>50</v>
      </c>
      <c r="T25" s="435">
        <f>IF(ROUND(R25*(1+V25),0)&gt;20000,ROUND(ROUND(R25*(1+V25),0)*2%,0),0)</f>
        <v/>
      </c>
      <c r="U25" s="69">
        <f>(V25*50%)/(1+50%*V25)</f>
        <v/>
      </c>
      <c r="V25" s="69" t="n"/>
      <c r="W25" s="70" t="n">
        <v>0.11</v>
      </c>
      <c r="X25" s="436">
        <f>(P25+Q25)/G25</f>
        <v/>
      </c>
      <c r="Y25" s="16">
        <f>VLOOKUP(C25,台股行情!A:D,4,FALSE)</f>
        <v/>
      </c>
      <c r="Z25" s="437">
        <f>VLOOKUP(C25,台股行情!A:E,5,FALSE)</f>
        <v/>
      </c>
      <c r="AA25" s="438">
        <f>IF(I25="",((TODAY()-A25)*G25)/365.24,((I25-A25)*G25)/365.24)</f>
        <v/>
      </c>
      <c r="AB25" s="103" t="inlineStr">
        <is>
          <t>水某精選</t>
        </is>
      </c>
      <c r="AD25" s="338" t="inlineStr">
        <is>
          <t>B. 中度套牢（-10%~ -30%）</t>
        </is>
      </c>
    </row>
    <row r="26" outlineLevel="1">
      <c r="A26" s="275" t="n">
        <v>44294</v>
      </c>
      <c r="B26" s="11" t="inlineStr">
        <is>
          <t>普通買進</t>
        </is>
      </c>
      <c r="C26" s="11" t="n">
        <v>3034</v>
      </c>
      <c r="D26" s="189">
        <f>VLOOKUP(C26,台股行情!A:B,2,FALSE)</f>
        <v/>
      </c>
      <c r="E26" s="11" t="n">
        <v>1000</v>
      </c>
      <c r="F26" s="11" t="n">
        <v>619</v>
      </c>
      <c r="G26" s="11">
        <f>E26*F26</f>
        <v/>
      </c>
      <c r="H26" s="11" t="n">
        <v>882</v>
      </c>
      <c r="I26" s="104" t="n"/>
      <c r="J26" s="16" t="n"/>
      <c r="K26" s="11">
        <f>E26*J26</f>
        <v/>
      </c>
      <c r="L26" s="11">
        <f>ROUND(J26*E26*0.1425%,0)</f>
        <v/>
      </c>
      <c r="M26" s="11">
        <f>ROUND(J26*E26*0.3%,0)</f>
        <v/>
      </c>
      <c r="N26" s="11" t="n">
        <v>0</v>
      </c>
      <c r="O26" s="434">
        <f>IF(I26="",E26*Y26,0)</f>
        <v/>
      </c>
      <c r="P26" s="435">
        <f>IF(I26="",R26-H26,(K26-H26-SUM(L26:N26)+R26-S26-T26)-G26)+(ROUND(R26*V26,0)-ROUND(R26*(1+V26),0)*W26)</f>
        <v/>
      </c>
      <c r="Q26" s="435">
        <f>IF(I26="",(O26-G26-(O26*0.1425%*0.65)-(O26*0.3%)-S26-T26),0)</f>
        <v/>
      </c>
      <c r="R26" s="435">
        <f>15600+51500+37000+32000+28000</f>
        <v/>
      </c>
      <c r="S26" s="435" t="n">
        <v>50</v>
      </c>
      <c r="T26" s="435">
        <f>IF(ROUND(R26*(1+V26),0)&gt;20000,ROUND(ROUND(R26*(1+V26),0)*2%,0),0)</f>
        <v/>
      </c>
      <c r="U26" s="69">
        <f>(V26*50%)/(1+50%*V26)</f>
        <v/>
      </c>
      <c r="V26" s="69" t="n"/>
      <c r="W26" s="70" t="n">
        <v>0.11</v>
      </c>
      <c r="X26" s="436">
        <f>(P26+Q26)/G26</f>
        <v/>
      </c>
      <c r="Y26" s="16">
        <f>VLOOKUP(C26,台股行情!A:D,4,FALSE)</f>
        <v/>
      </c>
      <c r="Z26" s="437">
        <f>VLOOKUP(C26,台股行情!A:E,5,FALSE)</f>
        <v/>
      </c>
      <c r="AA26" s="438">
        <f>IF(I26="",((TODAY()-A26)*G26)/365.24,((I26-A26)*G26)/365.24)</f>
        <v/>
      </c>
      <c r="AB26" s="103" t="inlineStr">
        <is>
          <t>水某精選</t>
        </is>
      </c>
    </row>
    <row r="27" outlineLevel="1">
      <c r="A27" s="275" t="n">
        <v>44300</v>
      </c>
      <c r="B27" s="11" t="inlineStr">
        <is>
          <t>普通買進</t>
        </is>
      </c>
      <c r="C27" s="11" t="n">
        <v>2458</v>
      </c>
      <c r="D27" s="189">
        <f>VLOOKUP(C27,台股行情!A:B,2,FALSE)</f>
        <v/>
      </c>
      <c r="E27" s="11" t="n">
        <v>1000</v>
      </c>
      <c r="F27" s="11" t="n">
        <v>204.5</v>
      </c>
      <c r="G27" s="11">
        <f>E27*F27</f>
        <v/>
      </c>
      <c r="H27" s="11" t="n">
        <v>291</v>
      </c>
      <c r="I27" s="104" t="n"/>
      <c r="J27" s="16" t="n"/>
      <c r="K27" s="11">
        <f>E27*J27</f>
        <v/>
      </c>
      <c r="L27" s="11">
        <f>ROUND(J27*E27*0.1425%,0)</f>
        <v/>
      </c>
      <c r="M27" s="11">
        <f>ROUND(J27*E27*0.3%,0)</f>
        <v/>
      </c>
      <c r="N27" s="11" t="n">
        <v>0</v>
      </c>
      <c r="O27" s="434">
        <f>IF(I27="",E27*Y27,0)</f>
        <v/>
      </c>
      <c r="P27" s="435">
        <f>IF(I27="",R27-H27,(K27-H27-SUM(L27:N27)+R27-S27-T27)-G27)+(ROUND(R27*V27,0)-ROUND(R27*(1+V27),0)*W27)</f>
        <v/>
      </c>
      <c r="Q27" s="435">
        <f>IF(I27="",(O27-G27-(O27*0.1425%*0.65)-(O27*0.3%)-S27-T27),0)</f>
        <v/>
      </c>
      <c r="R27" s="435">
        <f>9000+13811+3069+2046+3052+4069+3763+2644+4424</f>
        <v/>
      </c>
      <c r="S27" s="435" t="n">
        <v>60</v>
      </c>
      <c r="T27" s="435">
        <f>IF(ROUND(R27*(1+V27),0)&gt;20000,ROUND(ROUND(R27*(1+V27),0)*2%,0),0)</f>
        <v/>
      </c>
      <c r="U27" s="69">
        <f>(V27*50%)/(1+50%*V27)</f>
        <v/>
      </c>
      <c r="V27" s="69" t="n"/>
      <c r="W27" s="70" t="n">
        <v>0.11</v>
      </c>
      <c r="X27" s="436">
        <f>(P27+Q27)/G27</f>
        <v/>
      </c>
      <c r="Y27" s="16">
        <f>VLOOKUP(C27,台股行情!A:D,4,FALSE)</f>
        <v/>
      </c>
      <c r="Z27" s="437">
        <f>VLOOKUP(C27,台股行情!A:E,5,FALSE)</f>
        <v/>
      </c>
      <c r="AA27" s="438">
        <f>IF(I27="",((TODAY()-A27)*G27)/365.24,((I27-A27)*G27)/365.24)</f>
        <v/>
      </c>
      <c r="AB27" s="103" t="inlineStr">
        <is>
          <t>水某精選</t>
        </is>
      </c>
      <c r="AD27" s="338" t="inlineStr">
        <is>
          <t>B. 中度套牢（-10%~ -30%）</t>
        </is>
      </c>
    </row>
    <row r="28" outlineLevel="1">
      <c r="A28" s="275" t="n">
        <v>44308</v>
      </c>
      <c r="B28" s="11" t="inlineStr">
        <is>
          <t>普通買進</t>
        </is>
      </c>
      <c r="C28" s="11" t="n">
        <v>3481</v>
      </c>
      <c r="D28" s="189">
        <f>VLOOKUP(C28,台股行情!A:B,2,FALSE)</f>
        <v/>
      </c>
      <c r="E28" s="11" t="n">
        <v>1000</v>
      </c>
      <c r="F28" s="11" t="n">
        <v>29.1</v>
      </c>
      <c r="G28" s="183">
        <f>29100+5965</f>
        <v/>
      </c>
      <c r="H28" s="183">
        <f>41+8</f>
        <v/>
      </c>
      <c r="I28" s="104" t="n"/>
      <c r="J28" s="16" t="n"/>
      <c r="K28" s="11">
        <f>E28*J28</f>
        <v/>
      </c>
      <c r="L28" s="11">
        <f>ROUND(J28*E28*0.1425%,0)</f>
        <v/>
      </c>
      <c r="M28" s="11">
        <f>ROUND(J28*E28*0.3%,0)</f>
        <v/>
      </c>
      <c r="N28" s="11" t="n">
        <v>0</v>
      </c>
      <c r="O28" s="434">
        <f>IF(I28="",E28*Y28,0)</f>
        <v/>
      </c>
      <c r="P28" s="435">
        <f>IF(I28="",R28-H28,(K28-H28-SUM(L28:N28)+R28-S28-T28)-G28)+(ROUND(R28*V28,0)-ROUND(R28*(1+V28),0)*W28)</f>
        <v/>
      </c>
      <c r="Q28" s="435">
        <f>IF(I28="",(O28-G28-(O28*0.1425%*0.65)-(O28*0.3%)-S28-T28),0)</f>
        <v/>
      </c>
      <c r="R28" s="435">
        <f>398+1054+755</f>
        <v/>
      </c>
      <c r="S28" s="435" t="n">
        <v>20</v>
      </c>
      <c r="T28" s="435">
        <f>IF(ROUND(R28*(1+V28),0)&gt;20000,ROUND(ROUND(R28*(1+V28),0)*2%,0),0)</f>
        <v/>
      </c>
      <c r="U28" s="69">
        <f>(V28*50%)/(1+50%*V28)</f>
        <v/>
      </c>
      <c r="V28" s="69" t="n"/>
      <c r="W28" s="70" t="n">
        <v>0.11</v>
      </c>
      <c r="X28" s="436">
        <f>(P28+Q28)/G28</f>
        <v/>
      </c>
      <c r="Y28" s="16">
        <f>VLOOKUP(C28,台股行情!A:D,4,FALSE)</f>
        <v/>
      </c>
      <c r="Z28" s="437">
        <f>VLOOKUP(C28,台股行情!A:E,5,FALSE)</f>
        <v/>
      </c>
      <c r="AA28" s="438">
        <f>IF(I28="",((TODAY()-A28)*G28)/365.24,((I28-A28)*G28)/365.24)</f>
        <v/>
      </c>
      <c r="AB28" s="103" t="inlineStr">
        <is>
          <t>轉型</t>
        </is>
      </c>
      <c r="AD28" s="320" t="inlineStr">
        <is>
          <t>A. 優先汰弱（深套 + 題材弱/循環久）</t>
        </is>
      </c>
    </row>
    <row r="29" outlineLevel="1">
      <c r="A29" s="275" t="n">
        <v>45338</v>
      </c>
      <c r="B29" s="11" t="n"/>
      <c r="C29" s="11" t="n">
        <v>6196</v>
      </c>
      <c r="D29" s="189">
        <f>VLOOKUP(C29,台股行情!A:B,2,FALSE)</f>
        <v/>
      </c>
      <c r="E29" s="11" t="n">
        <v>1000</v>
      </c>
      <c r="F29" s="11" t="n">
        <v>162</v>
      </c>
      <c r="G29" s="11">
        <f>E29*F29</f>
        <v/>
      </c>
      <c r="H29" s="11" t="n">
        <v>230</v>
      </c>
      <c r="I29" s="104" t="n"/>
      <c r="J29" s="16" t="n"/>
      <c r="K29" s="11">
        <f>E29*J29</f>
        <v/>
      </c>
      <c r="L29" s="11">
        <f>ROUND(J29*E29*0.1425%,0)</f>
        <v/>
      </c>
      <c r="M29" s="11">
        <f>ROUND(J29*E29*0.3%,0)</f>
        <v/>
      </c>
      <c r="N29" s="11" t="n">
        <v>0</v>
      </c>
      <c r="O29" s="434">
        <f>IF(I29="",E29*Y29,0)</f>
        <v/>
      </c>
      <c r="P29" s="435">
        <f>IF(I29="",R29-H29,(K29-H29-SUM(L29:N29)+R29-S29-T29)-G29)+(ROUND(R29*V29,0)-ROUND(R29*(1+V29),0)*W29)</f>
        <v/>
      </c>
      <c r="Q29" s="435">
        <f>IF(I29="",(O29-G29-(O29*0.1425%*0.65)-(O29*0.3%)-S29-T29),0)</f>
        <v/>
      </c>
      <c r="R29" s="435">
        <f>6000+5905</f>
        <v/>
      </c>
      <c r="S29" s="435" t="n">
        <v>20</v>
      </c>
      <c r="T29" s="435">
        <f>IF(ROUND(R29*(1+V29),0)&gt;20000,ROUND(ROUND(R29*(1+V29),0)*2%,0),0)</f>
        <v/>
      </c>
      <c r="U29" s="69">
        <f>(V29*50%)/(1+50%*V29)</f>
        <v/>
      </c>
      <c r="V29" s="69" t="n"/>
      <c r="W29" s="70" t="n">
        <v>0.11</v>
      </c>
      <c r="X29" s="436">
        <f>(P29+Q29)/G29</f>
        <v/>
      </c>
      <c r="Y29" s="16">
        <f>VLOOKUP(C29,台股行情!A:D,4,FALSE)</f>
        <v/>
      </c>
      <c r="Z29" s="437">
        <f>VLOOKUP(C29,台股行情!A:E,5,FALSE)</f>
        <v/>
      </c>
      <c r="AA29" s="438">
        <f>IF(I29="",((TODAY()-A29)*G29)/365.24,((I29-A29)*G29)/365.24)</f>
        <v/>
      </c>
      <c r="AB29" s="103" t="inlineStr">
        <is>
          <t>水某精選</t>
        </is>
      </c>
    </row>
    <row r="30" outlineLevel="1">
      <c r="A30" s="275" t="n">
        <v>45896</v>
      </c>
      <c r="B30" s="11" t="n"/>
      <c r="C30" s="11" t="n">
        <v>2233</v>
      </c>
      <c r="D30" s="189">
        <f>VLOOKUP(C30,台股行情!A:B,2,FALSE)</f>
        <v/>
      </c>
      <c r="E30" s="11" t="n">
        <v>1000</v>
      </c>
      <c r="F30" s="11" t="n">
        <v>266.5</v>
      </c>
      <c r="G30" s="11">
        <f>E30*F30</f>
        <v/>
      </c>
      <c r="H30" s="11" t="n">
        <v>379</v>
      </c>
      <c r="I30" s="104" t="n"/>
      <c r="J30" s="16" t="n"/>
      <c r="K30" s="11">
        <f>E30*J30</f>
        <v/>
      </c>
      <c r="L30" s="11">
        <f>ROUND(J30*E30*0.1425%,0)</f>
        <v/>
      </c>
      <c r="M30" s="11">
        <f>ROUND(J30*E30*0.3%,0)</f>
        <v/>
      </c>
      <c r="N30" s="11" t="n">
        <v>0</v>
      </c>
      <c r="O30" s="434">
        <f>IF(I30="",E30*Y30,0)</f>
        <v/>
      </c>
      <c r="P30" s="435">
        <f>IF(I30="",R30-H30,(K30-H30-SUM(L30:N30)+R30-S30-T30)-G30)+(ROUND(R30*V30,0)-ROUND(R30*(1+V30),0)*W30)</f>
        <v/>
      </c>
      <c r="Q30" s="435">
        <f>IF(I30="",(O30-G30-(O30*0.1425%*0.65)-(O30*0.3%)-S30-T30),0)</f>
        <v/>
      </c>
      <c r="R30" s="435" t="n"/>
      <c r="S30" s="435" t="n"/>
      <c r="T30" s="435">
        <f>IF(ROUND(R30*(1+V30),0)&gt;20000,ROUND(ROUND(R30*(1+V30),0)*2%,0),0)</f>
        <v/>
      </c>
      <c r="U30" s="69">
        <f>(V30*50%)/(1+50%*V30)</f>
        <v/>
      </c>
      <c r="V30" s="69" t="n"/>
      <c r="W30" s="70" t="n">
        <v>0.11</v>
      </c>
      <c r="X30" s="436">
        <f>(P30+Q30)/G30</f>
        <v/>
      </c>
      <c r="Y30" s="16">
        <f>VLOOKUP(C30,台股行情!A:D,4,FALSE)</f>
        <v/>
      </c>
      <c r="Z30" s="437">
        <f>VLOOKUP(C30,台股行情!A:E,5,FALSE)</f>
        <v/>
      </c>
      <c r="AA30" s="438">
        <f>IF(I30="",((TODAY()-A30)*G30)/365.24,((I30-A30)*G30)/365.24)</f>
        <v/>
      </c>
      <c r="AB30" s="103" t="inlineStr">
        <is>
          <t>水某精選</t>
        </is>
      </c>
      <c r="AD30" s="338" t="inlineStr">
        <is>
          <t>B. 中度套牢（-10%~ -30%）</t>
        </is>
      </c>
    </row>
    <row r="31">
      <c r="A31" s="99" t="n">
        <v>46050</v>
      </c>
      <c r="B31" s="11" t="n"/>
      <c r="C31" s="341" t="inlineStr">
        <is>
          <t>00981A</t>
        </is>
      </c>
      <c r="D31" s="189">
        <f>VLOOKUP(C31,台股行情!A:B,2,FALSE)</f>
        <v/>
      </c>
      <c r="E31" s="11" t="n">
        <v>2000</v>
      </c>
      <c r="F31" s="11" t="n">
        <v>18.4</v>
      </c>
      <c r="G31" s="11">
        <f>E31*F31</f>
        <v/>
      </c>
      <c r="H31" s="11" t="n">
        <v>52</v>
      </c>
      <c r="I31" s="104" t="n"/>
      <c r="J31" s="16" t="n"/>
      <c r="K31" s="11">
        <f>E31*J31</f>
        <v/>
      </c>
      <c r="L31" s="11">
        <f>ROUND(J31*E31*0.1425%,0)</f>
        <v/>
      </c>
      <c r="M31" s="11">
        <f>ROUND(J31*E31*0.3%,0)</f>
        <v/>
      </c>
      <c r="N31" s="11" t="n">
        <v>0</v>
      </c>
      <c r="O31" s="434">
        <f>IF(I31="",E31*Y31,0)</f>
        <v/>
      </c>
      <c r="P31" s="435">
        <f>IF(I31="",R31-H31,(K31-H31-SUM(L31:N31)+R31-S31-T31)-G31)+(ROUND(R31*V31,0)-ROUND(R31*(1+V31),0)*W31)</f>
        <v/>
      </c>
      <c r="Q31" s="435">
        <f>IF(I31="",(O31-G31-(O31*0.1425%*0.65)-(O31*0.3%)-S31-T31),0)</f>
        <v/>
      </c>
      <c r="R31" s="435" t="n">
        <v>820</v>
      </c>
      <c r="S31" s="435" t="n">
        <v>10</v>
      </c>
      <c r="T31" s="435">
        <f>IF(ROUND(R31*(1+V31),0)&gt;20000,ROUND(ROUND(R31*(1+V31),0)*2%,0),0)</f>
        <v/>
      </c>
      <c r="U31" s="69">
        <f>(V31*50%)/(1+50%*V31)</f>
        <v/>
      </c>
      <c r="V31" s="69" t="n"/>
      <c r="W31" s="70" t="n">
        <v>0.11</v>
      </c>
      <c r="X31" s="436">
        <f>(P31+Q31)/G31</f>
        <v/>
      </c>
      <c r="Y31" s="16">
        <f>VLOOKUP(C31,台股行情!A:D,4,FALSE)</f>
        <v/>
      </c>
      <c r="Z31" s="437">
        <f>VLOOKUP(C31,台股行情!A:E,5,FALSE)</f>
        <v/>
      </c>
      <c r="AA31" s="438">
        <f>IF(I31="",((TODAY()-A31)*G31)/365.24,((I31-A31)*G31)/365.24)</f>
        <v/>
      </c>
      <c r="AB31" s="103" t="inlineStr">
        <is>
          <t>存股</t>
        </is>
      </c>
    </row>
    <row r="32" outlineLevel="1">
      <c r="A32" s="99" t="n">
        <v>46051</v>
      </c>
      <c r="B32" s="11" t="n"/>
      <c r="C32" s="341" t="inlineStr">
        <is>
          <t>00981A</t>
        </is>
      </c>
      <c r="D32" s="189">
        <f>VLOOKUP(C32,台股行情!A:B,2,FALSE)</f>
        <v/>
      </c>
      <c r="E32" s="11" t="n">
        <v>1000</v>
      </c>
      <c r="F32" s="11" t="n">
        <v>18.21</v>
      </c>
      <c r="G32" s="11">
        <f>E32*F32</f>
        <v/>
      </c>
      <c r="H32" s="11" t="n">
        <v>25</v>
      </c>
      <c r="I32" s="104" t="n"/>
      <c r="J32" s="16" t="n"/>
      <c r="K32" s="11">
        <f>E32*J32</f>
        <v/>
      </c>
      <c r="L32" s="11">
        <f>ROUND(J32*E32*0.1425%,0)</f>
        <v/>
      </c>
      <c r="M32" s="11">
        <f>ROUND(J32*E32*0.3%,0)</f>
        <v/>
      </c>
      <c r="N32" s="11" t="n">
        <v>0</v>
      </c>
      <c r="O32" s="434">
        <f>IF(I32="",E32*Y32,0)</f>
        <v/>
      </c>
      <c r="P32" s="435">
        <f>IF(I32="",R32-H32,(K32-H32-SUM(L32:N32)+R32-S32-T32)-G32)+(ROUND(R32*V32,0)-ROUND(R32*(1+V32),0)*W32)</f>
        <v/>
      </c>
      <c r="Q32" s="435">
        <f>IF(I32="",(O32-G32-(O32*0.1425%*0.65)-(O32*0.3%)-S32-T32),0)</f>
        <v/>
      </c>
      <c r="R32" s="435" t="n">
        <v>410</v>
      </c>
      <c r="S32" s="435" t="n">
        <v>10</v>
      </c>
      <c r="T32" s="435">
        <f>IF(ROUND(R32*(1+V32),0)&gt;20000,ROUND(ROUND(R32*(1+V32),0)*2%,0),0)</f>
        <v/>
      </c>
      <c r="U32" s="69">
        <f>(V32*50%)/(1+50%*V32)</f>
        <v/>
      </c>
      <c r="V32" s="69" t="n"/>
      <c r="W32" s="70" t="n">
        <v>0.11</v>
      </c>
      <c r="X32" s="436">
        <f>(P32+Q32)/G32</f>
        <v/>
      </c>
      <c r="Y32" s="16">
        <f>VLOOKUP(C32,台股行情!A:D,4,FALSE)</f>
        <v/>
      </c>
      <c r="Z32" s="437">
        <f>VLOOKUP(C32,台股行情!A:E,5,FALSE)</f>
        <v/>
      </c>
      <c r="AA32" s="438">
        <f>IF(I32="",((TODAY()-A32)*G32)/365.24,((I32-A32)*G32)/365.24)</f>
        <v/>
      </c>
      <c r="AB32" s="103" t="inlineStr">
        <is>
          <t>存股</t>
        </is>
      </c>
    </row>
    <row r="33" outlineLevel="1">
      <c r="A33" s="99" t="n">
        <v>46076</v>
      </c>
      <c r="B33" s="11" t="n"/>
      <c r="C33" s="341" t="inlineStr">
        <is>
          <t>00981A</t>
        </is>
      </c>
      <c r="D33" s="189">
        <f>VLOOKUP(C33,台股行情!A:B,2,FALSE)</f>
        <v/>
      </c>
      <c r="E33" s="11" t="n">
        <v>523</v>
      </c>
      <c r="F33" s="11" t="n">
        <v>19.11</v>
      </c>
      <c r="G33" s="11" t="n">
        <v>9994</v>
      </c>
      <c r="H33" s="11" t="n">
        <v>1</v>
      </c>
      <c r="I33" s="104" t="n"/>
      <c r="J33" s="16" t="n"/>
      <c r="K33" s="11">
        <f>E33*J33</f>
        <v/>
      </c>
      <c r="L33" s="11">
        <f>ROUND(J33*E33*0.1425%,0)</f>
        <v/>
      </c>
      <c r="M33" s="11">
        <f>ROUND(J33*E33*0.3%,0)</f>
        <v/>
      </c>
      <c r="N33" s="11" t="n">
        <v>0</v>
      </c>
      <c r="O33" s="434">
        <f>IF(I33="",E33*Y33,0)</f>
        <v/>
      </c>
      <c r="P33" s="435">
        <f>IF(I33="",R33-H33,(K33-H33-SUM(L33:N33)+R33-S33-T33)-G33)+(ROUND(R33*V33,0)-ROUND(R33*(1+V33),0)*W33)</f>
        <v/>
      </c>
      <c r="Q33" s="435">
        <f>IF(I33="",(O33-G33-(O33*0.1425%*0.65)-(O33*0.3%)-S33-T33),0)</f>
        <v/>
      </c>
      <c r="R33" s="435" t="n">
        <v>214</v>
      </c>
      <c r="S33" s="435" t="n">
        <v>10</v>
      </c>
      <c r="T33" s="435">
        <f>IF(ROUND(R33*(1+V33),0)&gt;20000,ROUND(ROUND(R33*(1+V33),0)*2%,0),0)</f>
        <v/>
      </c>
      <c r="U33" s="69">
        <f>(V33*50%)/(1+50%*V33)</f>
        <v/>
      </c>
      <c r="V33" s="69" t="n"/>
      <c r="W33" s="70" t="n">
        <v>0.11</v>
      </c>
      <c r="X33" s="436">
        <f>(P33+Q33)/G33</f>
        <v/>
      </c>
      <c r="Y33" s="16">
        <f>VLOOKUP(C33,台股行情!A:D,4,FALSE)</f>
        <v/>
      </c>
      <c r="Z33" s="437">
        <f>VLOOKUP(C33,台股行情!A:E,5,FALSE)</f>
        <v/>
      </c>
      <c r="AA33" s="438">
        <f>IF(I33="",((TODAY()-A33)*G33)/365.24,((I33-A33)*G33)/365.24)</f>
        <v/>
      </c>
      <c r="AB33" s="103" t="inlineStr">
        <is>
          <t>存股</t>
        </is>
      </c>
    </row>
    <row r="34" outlineLevel="1">
      <c r="A34" s="99" t="n">
        <v>46079</v>
      </c>
      <c r="B34" s="11" t="n"/>
      <c r="C34" s="341" t="inlineStr">
        <is>
          <t>00981A</t>
        </is>
      </c>
      <c r="D34" s="189">
        <f>VLOOKUP(C34,台股行情!A:B,2,FALSE)</f>
        <v/>
      </c>
      <c r="E34" s="11" t="n">
        <v>495</v>
      </c>
      <c r="F34" s="11" t="n">
        <v>20.19</v>
      </c>
      <c r="G34" s="11" t="n">
        <v>9994</v>
      </c>
      <c r="H34" s="11" t="n">
        <v>1</v>
      </c>
      <c r="I34" s="104" t="n"/>
      <c r="J34" s="16" t="n"/>
      <c r="K34" s="11">
        <f>E34*J34</f>
        <v/>
      </c>
      <c r="L34" s="11">
        <f>ROUND(J34*E34*0.1425%,0)</f>
        <v/>
      </c>
      <c r="M34" s="11">
        <f>ROUND(J34*E34*0.3%,0)</f>
        <v/>
      </c>
      <c r="N34" s="11" t="n">
        <v>0</v>
      </c>
      <c r="O34" s="434">
        <f>IF(I34="",E34*Y34,0)</f>
        <v/>
      </c>
      <c r="P34" s="435">
        <f>IF(I34="",R34-H34,(K34-H34-SUM(L34:N34)+R34-S34-T34)-G34)+(ROUND(R34*V34,0)-ROUND(R34*(1+V34),0)*W34)</f>
        <v/>
      </c>
      <c r="Q34" s="435">
        <f>IF(I34="",(O34-G34-(O34*0.1425%*0.65)-(O34*0.3%)-S34-T34),0)</f>
        <v/>
      </c>
      <c r="R34" s="435" t="n">
        <v>203</v>
      </c>
      <c r="S34" s="435" t="n">
        <v>10</v>
      </c>
      <c r="T34" s="435">
        <f>IF(ROUND(R34*(1+V34),0)&gt;20000,ROUND(ROUND(R34*(1+V34),0)*2%,0),0)</f>
        <v/>
      </c>
      <c r="U34" s="69">
        <f>(V34*50%)/(1+50%*V34)</f>
        <v/>
      </c>
      <c r="V34" s="69" t="n"/>
      <c r="W34" s="70" t="n">
        <v>0.11</v>
      </c>
      <c r="X34" s="436">
        <f>(P34+Q34)/G34</f>
        <v/>
      </c>
      <c r="Y34" s="16">
        <f>VLOOKUP(C34,台股行情!A:D,4,FALSE)</f>
        <v/>
      </c>
      <c r="Z34" s="437">
        <f>VLOOKUP(C34,台股行情!A:E,5,FALSE)</f>
        <v/>
      </c>
      <c r="AA34" s="438">
        <f>IF(I34="",((TODAY()-A34)*G34)/365.24,((I34-A34)*G34)/365.24)</f>
        <v/>
      </c>
      <c r="AB34" s="103" t="inlineStr">
        <is>
          <t>存股</t>
        </is>
      </c>
    </row>
    <row r="35" outlineLevel="1">
      <c r="A35" s="99" t="n">
        <v>46133</v>
      </c>
      <c r="B35" s="11" t="n"/>
      <c r="C35" s="341" t="inlineStr">
        <is>
          <t>00981A</t>
        </is>
      </c>
      <c r="D35" s="189">
        <f>VLOOKUP(C35,台股行情!A:B,2,FALSE)</f>
        <v/>
      </c>
      <c r="E35" s="11" t="n">
        <v>982</v>
      </c>
      <c r="F35" s="11" t="n">
        <v>26.34</v>
      </c>
      <c r="G35" s="11">
        <f>E35*F35</f>
        <v/>
      </c>
      <c r="H35" s="11" t="n">
        <v>36</v>
      </c>
      <c r="I35" s="104" t="n"/>
      <c r="J35" s="16" t="n"/>
      <c r="K35" s="11">
        <f>E35*J35</f>
        <v/>
      </c>
      <c r="L35" s="11">
        <f>ROUND(J35*E35*0.1425%,0)</f>
        <v/>
      </c>
      <c r="M35" s="11">
        <f>ROUND(J35*E35*0.3%,0)</f>
        <v/>
      </c>
      <c r="N35" s="11" t="n">
        <v>0</v>
      </c>
      <c r="O35" s="434">
        <f>IF(I35="",E35*Y35,0)</f>
        <v/>
      </c>
      <c r="P35" s="435">
        <f>IF(I35="",R35-H35,(K35-H35-SUM(L35:N35)+R35-S35-T35)-G35)+(ROUND(R35*V35,0)-ROUND(R35*(1+V35),0)*W35)</f>
        <v/>
      </c>
      <c r="Q35" s="435">
        <f>IF(I35="",(O35-G35-(O35*0.1425%*0.65)-(O35*0.3%)-S35-T35),0)</f>
        <v/>
      </c>
      <c r="R35" s="435" t="n"/>
      <c r="S35" s="435" t="n"/>
      <c r="T35" s="435">
        <f>IF(ROUND(R35*(1+V35),0)&gt;20000,ROUND(ROUND(R35*(1+V35),0)*2%,0),0)</f>
        <v/>
      </c>
      <c r="U35" s="69">
        <f>(V35*50%)/(1+50%*V35)</f>
        <v/>
      </c>
      <c r="V35" s="69" t="n"/>
      <c r="W35" s="70" t="n">
        <v>0.11</v>
      </c>
      <c r="X35" s="436">
        <f>(P35+Q35)/G35</f>
        <v/>
      </c>
      <c r="Y35" s="16">
        <f>VLOOKUP(C35,台股行情!A:D,4,FALSE)</f>
        <v/>
      </c>
      <c r="Z35" s="437">
        <f>VLOOKUP(C35,台股行情!A:E,5,FALSE)</f>
        <v/>
      </c>
      <c r="AA35" s="438">
        <f>IF(I35="",((TODAY()-A35)*G35)/365.24,((I35-A35)*G35)/365.24)</f>
        <v/>
      </c>
      <c r="AB35" s="103" t="inlineStr">
        <is>
          <t>存股</t>
        </is>
      </c>
    </row>
    <row r="36" outlineLevel="1">
      <c r="A36" s="99" t="n">
        <v>46148</v>
      </c>
      <c r="B36" s="11" t="n"/>
      <c r="C36" s="11" t="inlineStr">
        <is>
          <t>00981A</t>
        </is>
      </c>
      <c r="D36" s="189">
        <f>VLOOKUP(C36,台股行情!A:B,2,FALSE)</f>
        <v/>
      </c>
      <c r="E36" s="11" t="n">
        <v>1000</v>
      </c>
      <c r="F36" s="11" t="n">
        <v>29.28</v>
      </c>
      <c r="G36" s="11">
        <f>E36*F36</f>
        <v/>
      </c>
      <c r="H36" s="11" t="n">
        <v>41</v>
      </c>
      <c r="I36" s="104" t="n"/>
      <c r="J36" s="16" t="n"/>
      <c r="K36" s="11">
        <f>E36*J36</f>
        <v/>
      </c>
      <c r="L36" s="11">
        <f>ROUND(J36*E36*0.1425%,0)</f>
        <v/>
      </c>
      <c r="M36" s="11">
        <f>ROUND(J36*E36*0.3%,0)</f>
        <v/>
      </c>
      <c r="N36" s="11" t="n">
        <v>0</v>
      </c>
      <c r="O36" s="434">
        <f>IF(I36="",E36*Y36,0)</f>
        <v/>
      </c>
      <c r="P36" s="435">
        <f>IF(I36="",R36-H36,(K36-H36-SUM(L36:N36)+R36-S36-T36)-G36)+(ROUND(R36*V36,0)-ROUND(R36*(1+V36),0)*W36)</f>
        <v/>
      </c>
      <c r="Q36" s="435">
        <f>IF(I36="",(O36-G36-(O36*0.1425%*0.65)-(O36*0.3%)-S36-T36),0)</f>
        <v/>
      </c>
      <c r="R36" s="435" t="n"/>
      <c r="S36" s="435" t="n"/>
      <c r="T36" s="435">
        <f>IF(ROUND(R36*(1+V36),0)&gt;20000,ROUND(ROUND(R36*(1+V36),0)*2%,0),0)</f>
        <v/>
      </c>
      <c r="U36" s="69">
        <f>(V36*50%)/(1+50%*V36)</f>
        <v/>
      </c>
      <c r="V36" s="69" t="n"/>
      <c r="W36" s="70" t="n">
        <v>0.11</v>
      </c>
      <c r="X36" s="436">
        <f>(P36+Q36)/G36</f>
        <v/>
      </c>
      <c r="Y36" s="16">
        <f>VLOOKUP(C36,台股行情!A:D,4,FALSE)</f>
        <v/>
      </c>
      <c r="Z36" s="437">
        <f>VLOOKUP(C36,台股行情!A:E,5,FALSE)</f>
        <v/>
      </c>
      <c r="AA36" s="438">
        <f>IF(I36="",((TODAY()-A36)*G36)/365.24,((I36-A36)*G36)/365.24)</f>
        <v/>
      </c>
      <c r="AB36" s="103" t="inlineStr">
        <is>
          <t>存股</t>
        </is>
      </c>
    </row>
    <row r="37">
      <c r="A37" s="99" t="n">
        <v>46087</v>
      </c>
      <c r="B37" s="11" t="n"/>
      <c r="C37" s="349" t="inlineStr">
        <is>
          <t>00991A</t>
        </is>
      </c>
      <c r="D37" s="189">
        <f>VLOOKUP(C37,台股行情!A:B,2,FALSE)</f>
        <v/>
      </c>
      <c r="E37" s="11" t="n">
        <v>825</v>
      </c>
      <c r="F37" s="11" t="n">
        <v>12.11</v>
      </c>
      <c r="G37" s="11" t="n">
        <v>9990</v>
      </c>
      <c r="H37" s="11" t="n">
        <v>1</v>
      </c>
      <c r="I37" s="104" t="n"/>
      <c r="J37" s="16" t="n"/>
      <c r="K37" s="11">
        <f>E37*J37</f>
        <v/>
      </c>
      <c r="L37" s="11">
        <f>ROUND(J37*E37*0.1425%,0)</f>
        <v/>
      </c>
      <c r="M37" s="11">
        <f>ROUND(J37*E37*0.3%,0)</f>
        <v/>
      </c>
      <c r="N37" s="11" t="n">
        <v>0</v>
      </c>
      <c r="O37" s="434">
        <f>IF(I37="",E37*Y37,0)</f>
        <v/>
      </c>
      <c r="P37" s="435">
        <f>IF(I37="",R37-H37,(K37-H37-SUM(L37:N37)+R37-S37-T37)-G37)+(ROUND(R37*V37,0)-ROUND(R37*(1+V37),0)*W37)</f>
        <v/>
      </c>
      <c r="Q37" s="435">
        <f>IF(I37="",(O37-G37-(O37*0.1425%*0.65)-(O37*0.3%)-S37-T37),0)</f>
        <v/>
      </c>
      <c r="R37" s="435" t="n"/>
      <c r="S37" s="435" t="n"/>
      <c r="T37" s="435">
        <f>IF(ROUND(R37*(1+V37),0)&gt;20000,ROUND(ROUND(R37*(1+V37),0)*2%,0),0)</f>
        <v/>
      </c>
      <c r="U37" s="69">
        <f>(V37*50%)/(1+50%*V37)</f>
        <v/>
      </c>
      <c r="V37" s="69" t="n"/>
      <c r="W37" s="70" t="n">
        <v>0.11</v>
      </c>
      <c r="X37" s="436">
        <f>(P37+Q37)/G37</f>
        <v/>
      </c>
      <c r="Y37" s="16">
        <f>VLOOKUP(C37,台股行情!A:D,4,FALSE)</f>
        <v/>
      </c>
      <c r="Z37" s="437">
        <f>VLOOKUP(C37,台股行情!A:E,5,FALSE)</f>
        <v/>
      </c>
      <c r="AA37" s="438">
        <f>IF(I37="",((TODAY()-A37)*G37)/365.24,((I37-A37)*G37)/365.24)</f>
        <v/>
      </c>
      <c r="AB37" s="103" t="inlineStr">
        <is>
          <t>存股</t>
        </is>
      </c>
    </row>
    <row r="38" outlineLevel="1">
      <c r="A38" s="99" t="n">
        <v>46097</v>
      </c>
      <c r="B38" s="11" t="n"/>
      <c r="C38" s="349" t="inlineStr">
        <is>
          <t>00991A</t>
        </is>
      </c>
      <c r="D38" s="189">
        <f>VLOOKUP(C38,台股行情!A:B,2,FALSE)</f>
        <v/>
      </c>
      <c r="E38" s="11" t="n">
        <v>798</v>
      </c>
      <c r="F38" s="11" t="n">
        <v>12.53</v>
      </c>
      <c r="G38" s="11" t="n">
        <v>9998</v>
      </c>
      <c r="H38" s="11" t="n">
        <v>1</v>
      </c>
      <c r="I38" s="104" t="n"/>
      <c r="J38" s="16" t="n"/>
      <c r="K38" s="11">
        <f>E38*J38</f>
        <v/>
      </c>
      <c r="L38" s="11">
        <f>ROUND(J38*E38*0.1425%,0)</f>
        <v/>
      </c>
      <c r="M38" s="11">
        <f>ROUND(J38*E38*0.3%,0)</f>
        <v/>
      </c>
      <c r="N38" s="11" t="n">
        <v>0</v>
      </c>
      <c r="O38" s="434">
        <f>IF(I38="",E38*Y38,0)</f>
        <v/>
      </c>
      <c r="P38" s="435">
        <f>IF(I38="",R38-H38,(K38-H38-SUM(L38:N38)+R38-S38-T38)-G38)+(ROUND(R38*V38,0)-ROUND(R38*(1+V38),0)*W38)</f>
        <v/>
      </c>
      <c r="Q38" s="435">
        <f>IF(I38="",(O38-G38-(O38*0.1425%*0.65)-(O38*0.3%)-S38-T38),0)</f>
        <v/>
      </c>
      <c r="R38" s="435" t="n"/>
      <c r="S38" s="435" t="n"/>
      <c r="T38" s="435">
        <f>IF(ROUND(R38*(1+V38),0)&gt;20000,ROUND(ROUND(R38*(1+V38),0)*2%,0),0)</f>
        <v/>
      </c>
      <c r="U38" s="69">
        <f>(V38*50%)/(1+50%*V38)</f>
        <v/>
      </c>
      <c r="V38" s="69" t="n"/>
      <c r="W38" s="70" t="n">
        <v>0.11</v>
      </c>
      <c r="X38" s="436">
        <f>(P38+Q38)/G38</f>
        <v/>
      </c>
      <c r="Y38" s="16">
        <f>VLOOKUP(C38,台股行情!A:D,4,FALSE)</f>
        <v/>
      </c>
      <c r="Z38" s="437">
        <f>VLOOKUP(C38,台股行情!A:E,5,FALSE)</f>
        <v/>
      </c>
      <c r="AA38" s="438">
        <f>IF(I38="",((TODAY()-A38)*G38)/365.24,((I38-A38)*G38)/365.24)</f>
        <v/>
      </c>
      <c r="AB38" s="103" t="inlineStr">
        <is>
          <t>存股</t>
        </is>
      </c>
    </row>
    <row r="39" outlineLevel="1">
      <c r="A39" s="99" t="n">
        <v>46119</v>
      </c>
      <c r="B39" s="11" t="n"/>
      <c r="C39" s="349" t="inlineStr">
        <is>
          <t>00991A</t>
        </is>
      </c>
      <c r="D39" s="189">
        <f>VLOOKUP(C39,台股行情!A:B,2,FALSE)</f>
        <v/>
      </c>
      <c r="E39" s="11" t="n">
        <v>790</v>
      </c>
      <c r="F39" s="11" t="n">
        <v>12.65</v>
      </c>
      <c r="G39" s="11" t="n">
        <v>9993</v>
      </c>
      <c r="H39" s="11" t="n">
        <v>1</v>
      </c>
      <c r="I39" s="104" t="n"/>
      <c r="J39" s="16" t="n"/>
      <c r="K39" s="11">
        <f>E39*J39</f>
        <v/>
      </c>
      <c r="L39" s="11">
        <f>ROUND(J39*E39*0.1425%,0)</f>
        <v/>
      </c>
      <c r="M39" s="11">
        <f>ROUND(J39*E39*0.3%,0)</f>
        <v/>
      </c>
      <c r="N39" s="11" t="n">
        <v>0</v>
      </c>
      <c r="O39" s="434">
        <f>IF(I39="",E39*Y39,0)</f>
        <v/>
      </c>
      <c r="P39" s="435">
        <f>IF(I39="",R39-H39,(K39-H39-SUM(L39:N39)+R39-S39-T39)-G39)+(ROUND(R39*V39,0)-ROUND(R39*(1+V39),0)*W39)</f>
        <v/>
      </c>
      <c r="Q39" s="435">
        <f>IF(I39="",(O39-G39-(O39*0.1425%*0.65)-(O39*0.3%)-S39-T39),0)</f>
        <v/>
      </c>
      <c r="R39" s="435" t="n"/>
      <c r="S39" s="435" t="n"/>
      <c r="T39" s="435">
        <f>IF(ROUND(R39*(1+V39),0)&gt;20000,ROUND(ROUND(R39*(1+V39),0)*2%,0),0)</f>
        <v/>
      </c>
      <c r="U39" s="69">
        <f>(V39*50%)/(1+50%*V39)</f>
        <v/>
      </c>
      <c r="V39" s="69" t="n"/>
      <c r="W39" s="70" t="n">
        <v>0.11</v>
      </c>
      <c r="X39" s="436">
        <f>(P39+Q39)/G39</f>
        <v/>
      </c>
      <c r="Y39" s="16">
        <f>VLOOKUP(C39,台股行情!A:D,4,FALSE)</f>
        <v/>
      </c>
      <c r="Z39" s="437">
        <f>VLOOKUP(C39,台股行情!A:E,5,FALSE)</f>
        <v/>
      </c>
      <c r="AA39" s="438">
        <f>IF(I39="",((TODAY()-A39)*G39)/365.24,((I39-A39)*G39)/365.24)</f>
        <v/>
      </c>
      <c r="AB39" s="103" t="inlineStr">
        <is>
          <t>存股</t>
        </is>
      </c>
    </row>
    <row r="40" outlineLevel="1">
      <c r="A40" s="99" t="n">
        <v>46128</v>
      </c>
      <c r="B40" s="11" t="n"/>
      <c r="C40" s="349" t="inlineStr">
        <is>
          <t>00991A</t>
        </is>
      </c>
      <c r="D40" s="189">
        <f>VLOOKUP(C40,台股行情!A:B,2,FALSE)</f>
        <v/>
      </c>
      <c r="E40" s="11" t="n">
        <v>691</v>
      </c>
      <c r="F40" s="11" t="n">
        <v>14.47</v>
      </c>
      <c r="G40" s="11" t="n">
        <v>9998</v>
      </c>
      <c r="H40" s="11" t="n">
        <v>1</v>
      </c>
      <c r="I40" s="104" t="n"/>
      <c r="J40" s="16" t="n"/>
      <c r="K40" s="11">
        <f>E40*J40</f>
        <v/>
      </c>
      <c r="L40" s="11">
        <f>ROUND(J40*E40*0.1425%,0)</f>
        <v/>
      </c>
      <c r="M40" s="11">
        <f>ROUND(J40*E40*0.3%,0)</f>
        <v/>
      </c>
      <c r="N40" s="11" t="n">
        <v>0</v>
      </c>
      <c r="O40" s="434">
        <f>IF(I40="",E40*Y40,0)</f>
        <v/>
      </c>
      <c r="P40" s="435">
        <f>IF(I40="",R40-H40,(K40-H40-SUM(L40:N40)+R40-S40-T40)-G40)+(ROUND(R40*V40,0)-ROUND(R40*(1+V40),0)*W40)</f>
        <v/>
      </c>
      <c r="Q40" s="435">
        <f>IF(I40="",(O40-G40-(O40*0.1425%*0.65)-(O40*0.3%)-S40-T40),0)</f>
        <v/>
      </c>
      <c r="R40" s="435" t="n"/>
      <c r="S40" s="435" t="n"/>
      <c r="T40" s="435">
        <f>IF(ROUND(R40*(1+V40),0)&gt;20000,ROUND(ROUND(R40*(1+V40),0)*2%,0),0)</f>
        <v/>
      </c>
      <c r="U40" s="69">
        <f>(V40*50%)/(1+50%*V40)</f>
        <v/>
      </c>
      <c r="V40" s="69" t="n"/>
      <c r="W40" s="70" t="n">
        <v>0.11</v>
      </c>
      <c r="X40" s="436">
        <f>(P40+Q40)/G40</f>
        <v/>
      </c>
      <c r="Y40" s="16">
        <f>VLOOKUP(C40,台股行情!A:D,4,FALSE)</f>
        <v/>
      </c>
      <c r="Z40" s="437">
        <f>VLOOKUP(C40,台股行情!A:E,5,FALSE)</f>
        <v/>
      </c>
      <c r="AA40" s="438">
        <f>IF(I40="",((TODAY()-A40)*G40)/365.24,((I40-A40)*G40)/365.24)</f>
        <v/>
      </c>
      <c r="AB40" s="103" t="inlineStr">
        <is>
          <t>存股</t>
        </is>
      </c>
    </row>
    <row r="41" outlineLevel="1">
      <c r="A41" s="99" t="n">
        <v>46148</v>
      </c>
      <c r="B41" s="11" t="n"/>
      <c r="C41" s="349" t="inlineStr">
        <is>
          <t>00991A</t>
        </is>
      </c>
      <c r="D41" s="189">
        <f>VLOOKUP(C41,台股行情!A:B,2,FALSE)</f>
        <v/>
      </c>
      <c r="E41" s="11" t="n">
        <v>567</v>
      </c>
      <c r="F41" s="11" t="n">
        <v>17.63</v>
      </c>
      <c r="G41" s="11" t="n">
        <v>9996</v>
      </c>
      <c r="H41" s="11" t="n">
        <v>1</v>
      </c>
      <c r="I41" s="104" t="n"/>
      <c r="J41" s="16" t="n"/>
      <c r="K41" s="11">
        <f>E41*J41</f>
        <v/>
      </c>
      <c r="L41" s="11">
        <f>ROUND(J41*E41*0.1425%,0)</f>
        <v/>
      </c>
      <c r="M41" s="11">
        <f>ROUND(J41*E41*0.3%,0)</f>
        <v/>
      </c>
      <c r="N41" s="11" t="n">
        <v>0</v>
      </c>
      <c r="O41" s="434">
        <f>IF(I41="",E41*Y41,0)</f>
        <v/>
      </c>
      <c r="P41" s="435">
        <f>IF(I41="",R41-H41,(K41-H41-SUM(L41:N41)+R41-S41-T41)-G41)+(ROUND(R41*V41,0)-ROUND(R41*(1+V41),0)*W41)</f>
        <v/>
      </c>
      <c r="Q41" s="435">
        <f>IF(I41="",(O41-G41-(O41*0.1425%*0.65)-(O41*0.3%)-S41-T41),0)</f>
        <v/>
      </c>
      <c r="R41" s="435" t="n"/>
      <c r="S41" s="435" t="n"/>
      <c r="T41" s="435">
        <f>IF(ROUND(R41*(1+V41),0)&gt;20000,ROUND(ROUND(R41*(1+V41),0)*2%,0),0)</f>
        <v/>
      </c>
      <c r="U41" s="69">
        <f>(V41*50%)/(1+50%*V41)</f>
        <v/>
      </c>
      <c r="V41" s="69" t="n"/>
      <c r="W41" s="70" t="n">
        <v>0.11</v>
      </c>
      <c r="X41" s="436">
        <f>(P41+Q41)/G41</f>
        <v/>
      </c>
      <c r="Y41" s="16">
        <f>VLOOKUP(C41,台股行情!A:D,4,FALSE)</f>
        <v/>
      </c>
      <c r="Z41" s="437">
        <f>VLOOKUP(C41,台股行情!A:E,5,FALSE)</f>
        <v/>
      </c>
      <c r="AA41" s="438">
        <f>IF(I41="",((TODAY()-A41)*G41)/365.24,((I41-A41)*G41)/365.24)</f>
        <v/>
      </c>
      <c r="AB41" s="103" t="inlineStr">
        <is>
          <t>存股</t>
        </is>
      </c>
    </row>
    <row r="42">
      <c r="A42" s="99" t="n">
        <v>46090</v>
      </c>
      <c r="B42" s="11" t="n"/>
      <c r="C42" s="349" t="n">
        <v>830</v>
      </c>
      <c r="D42" s="189">
        <f>VLOOKUP(C42,台股行情!A:B,2,FALSE)</f>
        <v/>
      </c>
      <c r="E42" s="11" t="n">
        <v>192</v>
      </c>
      <c r="F42" s="11" t="n">
        <v>51.84</v>
      </c>
      <c r="G42" s="11" t="n">
        <v>9990</v>
      </c>
      <c r="H42" s="11" t="n">
        <v>1</v>
      </c>
      <c r="I42" s="104" t="n"/>
      <c r="J42" s="16" t="n"/>
      <c r="K42" s="11">
        <f>E42*J42</f>
        <v/>
      </c>
      <c r="L42" s="11">
        <f>ROUND(J42*E42*0.1425%,0)</f>
        <v/>
      </c>
      <c r="M42" s="11">
        <f>ROUND(J42*E42*0.3%,0)</f>
        <v/>
      </c>
      <c r="N42" s="11" t="n">
        <v>0</v>
      </c>
      <c r="O42" s="434">
        <f>IF(I42="",E42*Y42,0)</f>
        <v/>
      </c>
      <c r="P42" s="435">
        <f>IF(I42="",R42-H42,(K42-H42-SUM(L42:N42)+R42-S42-T42)-G42)+(ROUND(R42*V42,0)-ROUND(R42*(1+V42),0)*W42)</f>
        <v/>
      </c>
      <c r="Q42" s="435">
        <f>IF(I42="",(O42-G42-(O42*0.1425%*0.65)-(O42*0.3%)-S42-T42),0)</f>
        <v/>
      </c>
      <c r="R42" s="435" t="n"/>
      <c r="S42" s="435" t="n"/>
      <c r="T42" s="435">
        <f>IF(ROUND(R42*(1+V42),0)&gt;20000,ROUND(ROUND(R42*(1+V42),0)*2%,0),0)</f>
        <v/>
      </c>
      <c r="U42" s="69">
        <f>(V42*50%)/(1+50%*V42)</f>
        <v/>
      </c>
      <c r="V42" s="69" t="n"/>
      <c r="W42" s="70" t="n">
        <v>0.11</v>
      </c>
      <c r="X42" s="436">
        <f>(P42+Q42)/G42</f>
        <v/>
      </c>
      <c r="Y42" s="16">
        <f>VLOOKUP(C42,台股行情!A:D,4,FALSE)</f>
        <v/>
      </c>
      <c r="Z42" s="437">
        <f>VLOOKUP(C42,台股行情!A:E,5,FALSE)</f>
        <v/>
      </c>
      <c r="AA42" s="438">
        <f>IF(I42="",((TODAY()-A42)*G42)/365.24,((I42-A42)*G42)/365.24)</f>
        <v/>
      </c>
      <c r="AB42" s="103" t="inlineStr">
        <is>
          <t>存股</t>
        </is>
      </c>
    </row>
    <row r="43" outlineLevel="1">
      <c r="A43" s="99" t="n">
        <v>46098</v>
      </c>
      <c r="B43" s="11" t="n"/>
      <c r="C43" s="349" t="n">
        <v>830</v>
      </c>
      <c r="D43" s="189">
        <f>VLOOKUP(C43,台股行情!A:B,2,FALSE)</f>
        <v/>
      </c>
      <c r="E43" s="11" t="n">
        <v>181</v>
      </c>
      <c r="F43" s="11" t="n">
        <v>55.1</v>
      </c>
      <c r="G43" s="11" t="n">
        <v>9973</v>
      </c>
      <c r="H43" s="11" t="n">
        <v>1</v>
      </c>
      <c r="I43" s="104" t="n"/>
      <c r="J43" s="16" t="n"/>
      <c r="K43" s="11">
        <f>E43*J43</f>
        <v/>
      </c>
      <c r="L43" s="11">
        <f>ROUND(J43*E43*0.1425%,0)</f>
        <v/>
      </c>
      <c r="M43" s="11">
        <f>ROUND(J43*E43*0.3%,0)</f>
        <v/>
      </c>
      <c r="N43" s="11" t="n">
        <v>0</v>
      </c>
      <c r="O43" s="434">
        <f>IF(I43="",E43*Y43,0)</f>
        <v/>
      </c>
      <c r="P43" s="435">
        <f>IF(I43="",R43-H43,(K43-H43-SUM(L43:N43)+R43-S43-T43)-G43)+(ROUND(R43*V43,0)-ROUND(R43*(1+V43),0)*W43)</f>
        <v/>
      </c>
      <c r="Q43" s="435">
        <f>IF(I43="",(O43-G43-(O43*0.1425%*0.65)-(O43*0.3%)-S43-T43),0)</f>
        <v/>
      </c>
      <c r="R43" s="435" t="n"/>
      <c r="S43" s="435" t="n"/>
      <c r="T43" s="435">
        <f>IF(ROUND(R43*(1+V43),0)&gt;20000,ROUND(ROUND(R43*(1+V43),0)*2%,0),0)</f>
        <v/>
      </c>
      <c r="U43" s="69">
        <f>(V43*50%)/(1+50%*V43)</f>
        <v/>
      </c>
      <c r="V43" s="69" t="n"/>
      <c r="W43" s="70" t="n">
        <v>0.11</v>
      </c>
      <c r="X43" s="436">
        <f>(P43+Q43)/G43</f>
        <v/>
      </c>
      <c r="Y43" s="16">
        <f>VLOOKUP(C43,台股行情!A:D,4,FALSE)</f>
        <v/>
      </c>
      <c r="Z43" s="437">
        <f>VLOOKUP(C43,台股行情!A:E,5,FALSE)</f>
        <v/>
      </c>
      <c r="AA43" s="438">
        <f>IF(I43="",((TODAY()-A43)*G43)/365.24,((I43-A43)*G43)/365.24)</f>
        <v/>
      </c>
      <c r="AB43" s="103" t="inlineStr">
        <is>
          <t>存股</t>
        </is>
      </c>
    </row>
    <row r="44" outlineLevel="1">
      <c r="A44" s="99" t="n">
        <v>46119</v>
      </c>
      <c r="B44" s="11" t="n"/>
      <c r="C44" s="349" t="n">
        <v>830</v>
      </c>
      <c r="D44" s="189">
        <f>VLOOKUP(C44,台股行情!A:B,2,FALSE)</f>
        <v/>
      </c>
      <c r="E44" s="11" t="n">
        <v>179</v>
      </c>
      <c r="F44" s="11" t="n">
        <v>55.66</v>
      </c>
      <c r="G44" s="11" t="n">
        <v>9963</v>
      </c>
      <c r="H44" s="11" t="n">
        <v>1</v>
      </c>
      <c r="I44" s="104" t="n"/>
      <c r="J44" s="16" t="n"/>
      <c r="K44" s="11">
        <f>E44*J44</f>
        <v/>
      </c>
      <c r="L44" s="11">
        <f>ROUND(J44*E44*0.1425%,0)</f>
        <v/>
      </c>
      <c r="M44" s="11">
        <f>ROUND(J44*E44*0.3%,0)</f>
        <v/>
      </c>
      <c r="N44" s="11" t="n">
        <v>0</v>
      </c>
      <c r="O44" s="434">
        <f>IF(I44="",E44*Y44,0)</f>
        <v/>
      </c>
      <c r="P44" s="435">
        <f>IF(I44="",R44-H44,(K44-H44-SUM(L44:N44)+R44-S44-T44)-G44)+(ROUND(R44*V44,0)-ROUND(R44*(1+V44),0)*W44)</f>
        <v/>
      </c>
      <c r="Q44" s="435">
        <f>IF(I44="",(O44-G44-(O44*0.1425%*0.65)-(O44*0.3%)-S44-T44),0)</f>
        <v/>
      </c>
      <c r="R44" s="435" t="n"/>
      <c r="S44" s="435" t="n"/>
      <c r="T44" s="435">
        <f>IF(ROUND(R44*(1+V44),0)&gt;20000,ROUND(ROUND(R44*(1+V44),0)*2%,0),0)</f>
        <v/>
      </c>
      <c r="U44" s="69">
        <f>(V44*50%)/(1+50%*V44)</f>
        <v/>
      </c>
      <c r="V44" s="69" t="n"/>
      <c r="W44" s="70" t="n">
        <v>0.11</v>
      </c>
      <c r="X44" s="436">
        <f>(P44+Q44)/G44</f>
        <v/>
      </c>
      <c r="Y44" s="16">
        <f>VLOOKUP(C44,台股行情!A:D,4,FALSE)</f>
        <v/>
      </c>
      <c r="Z44" s="437">
        <f>VLOOKUP(C44,台股行情!A:E,5,FALSE)</f>
        <v/>
      </c>
      <c r="AA44" s="438">
        <f>IF(I44="",((TODAY()-A44)*G44)/365.24,((I44-A44)*G44)/365.24)</f>
        <v/>
      </c>
      <c r="AB44" s="103" t="inlineStr">
        <is>
          <t>存股</t>
        </is>
      </c>
    </row>
    <row r="45" outlineLevel="1">
      <c r="A45" s="99" t="n">
        <v>46129</v>
      </c>
      <c r="B45" s="11" t="n"/>
      <c r="C45" s="349" t="n">
        <v>830</v>
      </c>
      <c r="D45" s="189">
        <f>VLOOKUP(C45,台股行情!A:B,2,FALSE)</f>
        <v/>
      </c>
      <c r="E45" s="11" t="n">
        <v>153</v>
      </c>
      <c r="F45" s="11" t="n">
        <v>65.25</v>
      </c>
      <c r="G45" s="11" t="n">
        <v>9983</v>
      </c>
      <c r="H45" s="11" t="n">
        <v>1</v>
      </c>
      <c r="I45" s="104" t="n"/>
      <c r="J45" s="16" t="n"/>
      <c r="K45" s="11">
        <f>E45*J45</f>
        <v/>
      </c>
      <c r="L45" s="11">
        <f>ROUND(J45*E45*0.1425%,0)</f>
        <v/>
      </c>
      <c r="M45" s="11">
        <f>ROUND(J45*E45*0.3%,0)</f>
        <v/>
      </c>
      <c r="N45" s="11" t="n">
        <v>0</v>
      </c>
      <c r="O45" s="434">
        <f>IF(I45="",E45*Y45,0)</f>
        <v/>
      </c>
      <c r="P45" s="435">
        <f>IF(I45="",R45-H45,(K45-H45-SUM(L45:N45)+R45-S45-T45)-G45)+(ROUND(R45*V45,0)-ROUND(R45*(1+V45),0)*W45)</f>
        <v/>
      </c>
      <c r="Q45" s="435">
        <f>IF(I45="",(O45-G45-(O45*0.1425%*0.65)-(O45*0.3%)-S45-T45),0)</f>
        <v/>
      </c>
      <c r="R45" s="435" t="n"/>
      <c r="S45" s="435" t="n"/>
      <c r="T45" s="435">
        <f>IF(ROUND(R45*(1+V45),0)&gt;20000,ROUND(ROUND(R45*(1+V45),0)*2%,0),0)</f>
        <v/>
      </c>
      <c r="U45" s="69">
        <f>(V45*50%)/(1+50%*V45)</f>
        <v/>
      </c>
      <c r="V45" s="69" t="n"/>
      <c r="W45" s="70" t="n">
        <v>0.11</v>
      </c>
      <c r="X45" s="436">
        <f>(P45+Q45)/G45</f>
        <v/>
      </c>
      <c r="Y45" s="16">
        <f>VLOOKUP(C45,台股行情!A:D,4,FALSE)</f>
        <v/>
      </c>
      <c r="Z45" s="437">
        <f>VLOOKUP(C45,台股行情!A:E,5,FALSE)</f>
        <v/>
      </c>
      <c r="AA45" s="438">
        <f>IF(I45="",((TODAY()-A45)*G45)/365.24,((I45-A45)*G45)/365.24)</f>
        <v/>
      </c>
      <c r="AB45" s="103" t="inlineStr">
        <is>
          <t>存股</t>
        </is>
      </c>
    </row>
    <row r="46" outlineLevel="1">
      <c r="A46" s="99" t="n">
        <v>46149</v>
      </c>
      <c r="B46" s="11" t="n"/>
      <c r="C46" s="349" t="n">
        <v>830</v>
      </c>
      <c r="D46" s="189">
        <f>VLOOKUP(C46,台股行情!A:B,2,FALSE)</f>
        <v/>
      </c>
      <c r="E46" s="11" t="n">
        <v>125</v>
      </c>
      <c r="F46" s="11" t="n">
        <v>79.47</v>
      </c>
      <c r="G46" s="11" t="n">
        <v>9933</v>
      </c>
      <c r="H46" s="11" t="n">
        <v>41</v>
      </c>
      <c r="I46" s="104" t="n"/>
      <c r="J46" s="16" t="n"/>
      <c r="K46" s="11">
        <f>E46*J46</f>
        <v/>
      </c>
      <c r="L46" s="11">
        <f>ROUND(J46*E46*0.1425%,0)</f>
        <v/>
      </c>
      <c r="M46" s="11">
        <f>ROUND(J46*E46*0.3%,0)</f>
        <v/>
      </c>
      <c r="N46" s="11" t="n">
        <v>0</v>
      </c>
      <c r="O46" s="434">
        <f>IF(I46="",E46*Y46,0)</f>
        <v/>
      </c>
      <c r="P46" s="435">
        <f>IF(I46="",R46-H46,(K46-H46-SUM(L46:N46)+R46-S46-T46)-G46)+(ROUND(R46*V46,0)-ROUND(R46*(1+V46),0)*W46)</f>
        <v/>
      </c>
      <c r="Q46" s="435">
        <f>IF(I46="",(O46-G46-(O46*0.1425%*0.65)-(O46*0.3%)-S46-T46),0)</f>
        <v/>
      </c>
      <c r="R46" s="435" t="n"/>
      <c r="S46" s="435" t="n"/>
      <c r="T46" s="435">
        <f>IF(ROUND(R46*(1+V46),0)&gt;20000,ROUND(ROUND(R46*(1+V46),0)*2%,0),0)</f>
        <v/>
      </c>
      <c r="U46" s="69">
        <f>(V46*50%)/(1+50%*V46)</f>
        <v/>
      </c>
      <c r="V46" s="69" t="n"/>
      <c r="W46" s="70" t="n">
        <v>0.11</v>
      </c>
      <c r="X46" s="436">
        <f>(P46+Q46)/G46</f>
        <v/>
      </c>
      <c r="Y46" s="16">
        <f>VLOOKUP(C46,台股行情!A:D,4,FALSE)</f>
        <v/>
      </c>
      <c r="Z46" s="437">
        <f>VLOOKUP(C46,台股行情!A:E,5,FALSE)</f>
        <v/>
      </c>
      <c r="AA46" s="438">
        <f>IF(I46="",((TODAY()-A46)*G46)/365.24,((I46-A46)*G46)/365.24)</f>
        <v/>
      </c>
      <c r="AB46" s="103" t="inlineStr">
        <is>
          <t>存股</t>
        </is>
      </c>
    </row>
    <row r="47">
      <c r="A47" s="99" t="n">
        <v>46098</v>
      </c>
      <c r="B47" s="11" t="n"/>
      <c r="C47" s="11" t="n">
        <v>8086</v>
      </c>
      <c r="D47" s="189">
        <f>VLOOKUP(C47,台股行情!A:B,2,FALSE)</f>
        <v/>
      </c>
      <c r="E47" s="11" t="n">
        <v>1000</v>
      </c>
      <c r="F47" s="11" t="n">
        <v>129</v>
      </c>
      <c r="G47" s="11">
        <f>E47*F47</f>
        <v/>
      </c>
      <c r="H47" s="11" t="n">
        <v>183</v>
      </c>
      <c r="I47" s="104" t="n"/>
      <c r="J47" s="16" t="n"/>
      <c r="K47" s="11">
        <f>E47*J47</f>
        <v/>
      </c>
      <c r="L47" s="11">
        <f>ROUND(J47*E47*0.1425%,0)</f>
        <v/>
      </c>
      <c r="M47" s="11">
        <f>ROUND(J47*E47*0.3%,0)</f>
        <v/>
      </c>
      <c r="N47" s="11" t="n">
        <v>0</v>
      </c>
      <c r="O47" s="434">
        <f>IF(I47="",E47*Y47,0)</f>
        <v/>
      </c>
      <c r="P47" s="435">
        <f>IF(I47="",R47-H47,(K47-H47-SUM(L47:N47)+R47-S47-T47)-G47)+(ROUND(R47*V47,0)-ROUND(R47*(1+V47),0)*W47)</f>
        <v/>
      </c>
      <c r="Q47" s="435">
        <f>IF(I47="",(O47-G47-(O47*0.1425%*0.65)-(O47*0.3%)-S47-T47),0)</f>
        <v/>
      </c>
      <c r="R47" s="435" t="n"/>
      <c r="S47" s="435" t="n"/>
      <c r="T47" s="435">
        <f>IF(ROUND(R47*(1+V47),0)&gt;20000,ROUND(ROUND(R47*(1+V47),0)*2%,0),0)</f>
        <v/>
      </c>
      <c r="U47" s="69">
        <f>(V47*50%)/(1+50%*V47)</f>
        <v/>
      </c>
      <c r="V47" s="69" t="n"/>
      <c r="W47" s="70" t="n">
        <v>0.11</v>
      </c>
      <c r="X47" s="436">
        <f>(P47+Q47)/G47</f>
        <v/>
      </c>
      <c r="Y47" s="16">
        <f>VLOOKUP(C47,台股行情!A:D,4,FALSE)</f>
        <v/>
      </c>
      <c r="Z47" s="437">
        <f>VLOOKUP(C47,台股行情!A:E,5,FALSE)</f>
        <v/>
      </c>
      <c r="AA47" s="438">
        <f>IF(I47="",((TODAY()-A47)*G47)/365.24,((I47-A47)*G47)/365.24)</f>
        <v/>
      </c>
      <c r="AB47" s="103" t="inlineStr">
        <is>
          <t>水某精選</t>
        </is>
      </c>
      <c r="AD47" s="311" t="inlineStr">
        <is>
          <t>賣錯買回</t>
        </is>
      </c>
    </row>
    <row r="48">
      <c r="A48" s="99" t="n">
        <v>46120</v>
      </c>
      <c r="B48" s="11" t="n"/>
      <c r="C48" s="349" t="n">
        <v>919</v>
      </c>
      <c r="D48" s="189">
        <f>VLOOKUP(C48,台股行情!A:B,2,FALSE)</f>
        <v/>
      </c>
      <c r="E48" s="11" t="n">
        <v>435</v>
      </c>
      <c r="F48" s="11" t="n">
        <v>22.97</v>
      </c>
      <c r="G48" s="11" t="n">
        <v>9991</v>
      </c>
      <c r="H48" s="11" t="n">
        <v>1</v>
      </c>
      <c r="I48" s="104" t="n"/>
      <c r="J48" s="16" t="n"/>
      <c r="K48" s="11">
        <f>E48*J48</f>
        <v/>
      </c>
      <c r="L48" s="11">
        <f>ROUND(J48*E48*0.1425%,0)</f>
        <v/>
      </c>
      <c r="M48" s="11">
        <f>ROUND(J48*E48*0.3%,0)</f>
        <v/>
      </c>
      <c r="N48" s="11" t="n">
        <v>0</v>
      </c>
      <c r="O48" s="434">
        <f>IF(I48="",E48*Y48,0)</f>
        <v/>
      </c>
      <c r="P48" s="435">
        <f>IF(I48="",R48-H48,(K48-H48-SUM(L48:N48)+R48-S48-T48)-G48)+(ROUND(R48*V48,0)-ROUND(R48*(1+V48),0)*W48)</f>
        <v/>
      </c>
      <c r="Q48" s="435">
        <f>IF(I48="",(O48-G48-(O48*0.1425%*0.65)-(O48*0.3%)-S48-T48),0)</f>
        <v/>
      </c>
      <c r="R48" s="435" t="n"/>
      <c r="S48" s="435" t="n"/>
      <c r="T48" s="435">
        <f>IF(ROUND(R48*(1+V48),0)&gt;20000,ROUND(ROUND(R48*(1+V48),0)*2%,0),0)</f>
        <v/>
      </c>
      <c r="U48" s="69">
        <f>(V48*50%)/(1+50%*V48)</f>
        <v/>
      </c>
      <c r="V48" s="69" t="n"/>
      <c r="W48" s="70" t="n">
        <v>0.11</v>
      </c>
      <c r="X48" s="436">
        <f>(P48+Q48)/G48</f>
        <v/>
      </c>
      <c r="Y48" s="16">
        <f>VLOOKUP(C48,台股行情!A:D,4,FALSE)</f>
        <v/>
      </c>
      <c r="Z48" s="437">
        <f>VLOOKUP(C48,台股行情!A:E,5,FALSE)</f>
        <v/>
      </c>
      <c r="AA48" s="438">
        <f>IF(I48="",((TODAY()-A48)*G48)/365.24,((I48-A48)*G48)/365.24)</f>
        <v/>
      </c>
      <c r="AB48" s="103" t="inlineStr">
        <is>
          <t>存股</t>
        </is>
      </c>
    </row>
    <row r="49" outlineLevel="1">
      <c r="A49" s="99" t="n">
        <v>46132</v>
      </c>
      <c r="B49" s="11" t="n"/>
      <c r="C49" s="349" t="n">
        <v>919</v>
      </c>
      <c r="D49" s="189">
        <f>VLOOKUP(C49,台股行情!A:B,2,FALSE)</f>
        <v/>
      </c>
      <c r="E49" s="11" t="n">
        <v>421</v>
      </c>
      <c r="F49" s="11" t="n">
        <v>23.71</v>
      </c>
      <c r="G49" s="11" t="n">
        <v>9981</v>
      </c>
      <c r="H49" s="11" t="n">
        <v>1</v>
      </c>
      <c r="I49" s="104" t="n"/>
      <c r="J49" s="16" t="n"/>
      <c r="K49" s="11">
        <f>E49*J49</f>
        <v/>
      </c>
      <c r="L49" s="11">
        <f>ROUND(J49*E49*0.1425%,0)</f>
        <v/>
      </c>
      <c r="M49" s="11">
        <f>ROUND(J49*E49*0.3%,0)</f>
        <v/>
      </c>
      <c r="N49" s="11" t="n">
        <v>0</v>
      </c>
      <c r="O49" s="434">
        <f>IF(I49="",E49*Y49,0)</f>
        <v/>
      </c>
      <c r="P49" s="435">
        <f>IF(I49="",R49-H49,(K49-H49-SUM(L49:N49)+R49-S49-T49)-G49)+(ROUND(R49*V49,0)-ROUND(R49*(1+V49),0)*W49)</f>
        <v/>
      </c>
      <c r="Q49" s="435">
        <f>IF(I49="",(O49-G49-(O49*0.1425%*0.65)-(O49*0.3%)-S49-T49),0)</f>
        <v/>
      </c>
      <c r="R49" s="435" t="n"/>
      <c r="S49" s="435" t="n"/>
      <c r="T49" s="435">
        <f>IF(ROUND(R49*(1+V49),0)&gt;20000,ROUND(ROUND(R49*(1+V49),0)*2%,0),0)</f>
        <v/>
      </c>
      <c r="U49" s="69">
        <f>(V49*50%)/(1+50%*V49)</f>
        <v/>
      </c>
      <c r="V49" s="69" t="n"/>
      <c r="W49" s="70" t="n">
        <v>0.11</v>
      </c>
      <c r="X49" s="436">
        <f>(P49+Q49)/G49</f>
        <v/>
      </c>
      <c r="Y49" s="16">
        <f>VLOOKUP(C49,台股行情!A:D,4,FALSE)</f>
        <v/>
      </c>
      <c r="Z49" s="437">
        <f>VLOOKUP(C49,台股行情!A:E,5,FALSE)</f>
        <v/>
      </c>
      <c r="AA49" s="438">
        <f>IF(I49="",((TODAY()-A49)*G49)/365.24,((I49-A49)*G49)/365.24)</f>
        <v/>
      </c>
      <c r="AB49" s="103" t="inlineStr">
        <is>
          <t>存股</t>
        </is>
      </c>
    </row>
    <row r="50">
      <c r="A50" s="99" t="n">
        <v>46140</v>
      </c>
      <c r="B50" s="11" t="n"/>
      <c r="C50" s="341" t="n">
        <v>50</v>
      </c>
      <c r="D50" s="189">
        <f>VLOOKUP(C50,台股行情!A:B,2,FALSE)</f>
        <v/>
      </c>
      <c r="E50" s="11" t="n">
        <v>53</v>
      </c>
      <c r="F50" s="11" t="n">
        <v>92.73999999999999</v>
      </c>
      <c r="G50" s="11" t="n">
        <v>4915</v>
      </c>
      <c r="H50" s="11" t="n">
        <v>1</v>
      </c>
      <c r="I50" s="104" t="n"/>
      <c r="J50" s="16" t="n"/>
      <c r="K50" s="11">
        <f>E50*J50</f>
        <v/>
      </c>
      <c r="L50" s="11">
        <f>ROUND(J50*E50*0.1425%,0)</f>
        <v/>
      </c>
      <c r="M50" s="11">
        <f>ROUND(J50*E50*0.3%,0)</f>
        <v/>
      </c>
      <c r="N50" s="11" t="n">
        <v>0</v>
      </c>
      <c r="O50" s="434">
        <f>IF(I50="",E50*Y50,0)</f>
        <v/>
      </c>
      <c r="P50" s="435">
        <f>IF(I50="",R50-H50,(K50-H50-SUM(L50:N50)+R50-S50-T50)-G50)+(ROUND(R50*V50,0)-ROUND(R50*(1+V50),0)*W50)</f>
        <v/>
      </c>
      <c r="Q50" s="435">
        <f>IF(I50="",(O50-G50-(O50*0.1425%*0.65)-(O50*0.3%)-S50-T50),0)</f>
        <v/>
      </c>
      <c r="R50" s="435" t="n"/>
      <c r="S50" s="435" t="n"/>
      <c r="T50" s="435">
        <f>IF(ROUND(R50*(1+V50),0)&gt;20000,ROUND(ROUND(R50*(1+V50),0)*2%,0),0)</f>
        <v/>
      </c>
      <c r="U50" s="69">
        <f>(V50*50%)/(1+50%*V50)</f>
        <v/>
      </c>
      <c r="V50" s="69" t="n"/>
      <c r="W50" s="70" t="n">
        <v>0.11</v>
      </c>
      <c r="X50" s="436">
        <f>(P50+Q50)/G50</f>
        <v/>
      </c>
      <c r="Y50" s="16">
        <f>VLOOKUP(C50,台股行情!A:D,4,FALSE)</f>
        <v/>
      </c>
      <c r="Z50" s="437">
        <f>VLOOKUP(C50,台股行情!A:E,5,FALSE)</f>
        <v/>
      </c>
      <c r="AA50" s="438">
        <f>IF(I50="",((TODAY()-A50)*G50)/365.24,((I50-A50)*G50)/365.24)</f>
        <v/>
      </c>
      <c r="AB50" s="103" t="inlineStr">
        <is>
          <t>存股</t>
        </is>
      </c>
    </row>
    <row r="51" outlineLevel="1">
      <c r="A51" s="99" t="n">
        <v>46150</v>
      </c>
      <c r="B51" s="11" t="n"/>
      <c r="C51" s="349" t="n">
        <v>50</v>
      </c>
      <c r="D51" s="189">
        <f>VLOOKUP(C51,台股行情!A:B,2,FALSE)</f>
        <v/>
      </c>
      <c r="E51" s="11" t="n">
        <v>51</v>
      </c>
      <c r="F51" s="11" t="n">
        <v>97.02</v>
      </c>
      <c r="G51" s="11" t="n">
        <v>4948</v>
      </c>
      <c r="H51" s="11" t="n">
        <v>1</v>
      </c>
      <c r="I51" s="104" t="n"/>
      <c r="J51" s="16" t="n"/>
      <c r="K51" s="11">
        <f>E51*J51</f>
        <v/>
      </c>
      <c r="L51" s="11">
        <f>ROUND(J51*E51*0.1425%,0)</f>
        <v/>
      </c>
      <c r="M51" s="11">
        <f>ROUND(J51*E51*0.3%,0)</f>
        <v/>
      </c>
      <c r="N51" s="11" t="n">
        <v>0</v>
      </c>
      <c r="O51" s="434">
        <f>IF(I51="",E51*Y51,0)</f>
        <v/>
      </c>
      <c r="P51" s="435">
        <f>IF(I51="",R51-H51,(K51-H51-SUM(L51:N51)+R51-S51-T51)-G51)+(ROUND(R51*V51,0)-ROUND(R51*(1+V51),0)*W51)</f>
        <v/>
      </c>
      <c r="Q51" s="435">
        <f>IF(I51="",(O51-G51-(O51*0.1425%*0.65)-(O51*0.3%)-S51-T51),0)</f>
        <v/>
      </c>
      <c r="R51" s="435" t="n"/>
      <c r="S51" s="435" t="n"/>
      <c r="T51" s="435">
        <f>IF(ROUND(R51*(1+V51),0)&gt;20000,ROUND(ROUND(R51*(1+V51),0)*2%,0),0)</f>
        <v/>
      </c>
      <c r="U51" s="69">
        <f>(V51*50%)/(1+50%*V51)</f>
        <v/>
      </c>
      <c r="V51" s="69" t="n"/>
      <c r="W51" s="70" t="n">
        <v>0.11</v>
      </c>
      <c r="X51" s="436">
        <f>(P51+Q51)/G51</f>
        <v/>
      </c>
      <c r="Y51" s="16">
        <f>VLOOKUP(C51,台股行情!A:D,4,FALSE)</f>
        <v/>
      </c>
      <c r="Z51" s="437">
        <f>VLOOKUP(C51,台股行情!A:E,5,FALSE)</f>
        <v/>
      </c>
      <c r="AA51" s="438">
        <f>IF(I51="",((TODAY()-A51)*G51)/365.24,((I51-A51)*G51)/365.24)</f>
        <v/>
      </c>
      <c r="AB51" s="103" t="inlineStr">
        <is>
          <t>存股</t>
        </is>
      </c>
    </row>
    <row r="52" outlineLevel="1">
      <c r="A52" s="99" t="n">
        <v>46160</v>
      </c>
      <c r="B52" s="11" t="n"/>
      <c r="C52" s="349" t="n">
        <v>50</v>
      </c>
      <c r="D52" s="189">
        <f>VLOOKUP(C52,台股行情!A:B,2,FALSE)</f>
        <v/>
      </c>
      <c r="E52" s="11" t="n">
        <v>52</v>
      </c>
      <c r="F52" s="11" t="n">
        <v>94.40000000000001</v>
      </c>
      <c r="G52" s="11" t="n">
        <v>4948</v>
      </c>
      <c r="H52" s="11" t="n">
        <v>1</v>
      </c>
      <c r="I52" s="104" t="n"/>
      <c r="J52" s="16" t="n"/>
      <c r="K52" s="11">
        <f>E52*J52</f>
        <v/>
      </c>
      <c r="L52" s="11">
        <f>ROUND(J52*E52*0.1425%,0)</f>
        <v/>
      </c>
      <c r="M52" s="11">
        <f>ROUND(J52*E52*0.3%,0)</f>
        <v/>
      </c>
      <c r="N52" s="11" t="n">
        <v>0</v>
      </c>
      <c r="O52" s="434">
        <f>IF(I52="",E52*Y52,0)</f>
        <v/>
      </c>
      <c r="P52" s="435">
        <f>IF(I52="",R52-H52,(K52-H52-SUM(L52:N52)+R52-S52-T52)-G52)+(ROUND(R52*V52,0)-ROUND(R52*(1+V52),0)*W52)</f>
        <v/>
      </c>
      <c r="Q52" s="435">
        <f>IF(I52="",(O52-G52-(O52*0.1425%*0.65)-(O52*0.3%)-S52-T52),0)</f>
        <v/>
      </c>
      <c r="R52" s="435" t="n"/>
      <c r="S52" s="435" t="n"/>
      <c r="T52" s="435">
        <f>IF(ROUND(R52*(1+V52),0)&gt;20000,ROUND(ROUND(R52*(1+V52),0)*2%,0),0)</f>
        <v/>
      </c>
      <c r="U52" s="69">
        <f>(V52*50%)/(1+50%*V52)</f>
        <v/>
      </c>
      <c r="V52" s="69" t="n"/>
      <c r="W52" s="70" t="n">
        <v>0.11</v>
      </c>
      <c r="X52" s="436">
        <f>(P52+Q52)/G52</f>
        <v/>
      </c>
      <c r="Y52" s="16">
        <f>VLOOKUP(C52,台股行情!A:D,4,FALSE)</f>
        <v/>
      </c>
      <c r="Z52" s="437">
        <f>VLOOKUP(C52,台股行情!A:E,5,FALSE)</f>
        <v/>
      </c>
      <c r="AA52" s="438">
        <f>IF(I52="",((TODAY()-A52)*G52)/365.24,((I52-A52)*G52)/365.24)</f>
        <v/>
      </c>
      <c r="AB52" s="103" t="inlineStr">
        <is>
          <t>存股</t>
        </is>
      </c>
    </row>
    <row r="53">
      <c r="A53" s="99" t="n">
        <v>46148</v>
      </c>
      <c r="B53" s="11" t="n"/>
      <c r="C53" s="11" t="n">
        <v>2855</v>
      </c>
      <c r="D53" s="189">
        <f>VLOOKUP(C53,台股行情!A:B,2,FALSE)</f>
        <v/>
      </c>
      <c r="E53" s="11" t="n">
        <v>2000</v>
      </c>
      <c r="F53" s="11" t="n">
        <v>39.5</v>
      </c>
      <c r="G53" s="11">
        <f>E53*F53</f>
        <v/>
      </c>
      <c r="H53" s="11" t="n">
        <v>112</v>
      </c>
      <c r="I53" s="104" t="n"/>
      <c r="J53" s="16" t="n"/>
      <c r="K53" s="11">
        <f>E53*J53</f>
        <v/>
      </c>
      <c r="L53" s="11">
        <f>ROUND(J53*E53*0.1425%,0)</f>
        <v/>
      </c>
      <c r="M53" s="11">
        <f>ROUND(J53*E53*0.3%,0)</f>
        <v/>
      </c>
      <c r="N53" s="11" t="n">
        <v>0</v>
      </c>
      <c r="O53" s="434">
        <f>IF(I53="",E53*Y53,0)</f>
        <v/>
      </c>
      <c r="P53" s="435">
        <f>IF(I53="",R53-H53,(K53-H53-SUM(L53:N53)+R53-S53-T53)-G53)+(ROUND(R53*V53,0)-ROUND(R53*(1+V53),0)*W53)</f>
        <v/>
      </c>
      <c r="Q53" s="435">
        <f>IF(I53="",(O53-G53-(O53*0.1425%*0.65)-(O53*0.3%)-S53-T53),0)</f>
        <v/>
      </c>
      <c r="R53" s="435" t="n"/>
      <c r="S53" s="435" t="n"/>
      <c r="T53" s="435">
        <f>IF(ROUND(R53*(1+V53),0)&gt;20000,ROUND(ROUND(R53*(1+V53),0)*2%,0),0)</f>
        <v/>
      </c>
      <c r="U53" s="69">
        <f>(V53*50%)/(1+50%*V53)</f>
        <v/>
      </c>
      <c r="V53" s="69" t="n"/>
      <c r="W53" s="70" t="n">
        <v>0.11</v>
      </c>
      <c r="X53" s="436">
        <f>(P53+Q53)/G53</f>
        <v/>
      </c>
      <c r="Y53" s="16">
        <f>VLOOKUP(C53,台股行情!A:D,4,FALSE)</f>
        <v/>
      </c>
      <c r="Z53" s="437">
        <f>VLOOKUP(C53,台股行情!A:E,5,FALSE)</f>
        <v/>
      </c>
      <c r="AA53" s="438">
        <f>IF(I53="",((TODAY()-A53)*G53)/365.24,((I53-A53)*G53)/365.24)</f>
        <v/>
      </c>
      <c r="AB53" s="103" t="inlineStr">
        <is>
          <t>ETF 大賣</t>
        </is>
      </c>
    </row>
    <row r="54">
      <c r="A54" s="99" t="n">
        <v>46149</v>
      </c>
      <c r="B54" s="11" t="n"/>
      <c r="C54" s="11" t="n">
        <v>2357</v>
      </c>
      <c r="D54" s="189">
        <f>VLOOKUP(C54,台股行情!A:B,2,FALSE)</f>
        <v/>
      </c>
      <c r="E54" s="11" t="n">
        <v>1000</v>
      </c>
      <c r="F54" s="11" t="n">
        <v>639</v>
      </c>
      <c r="G54" s="11">
        <f>E54*F54</f>
        <v/>
      </c>
      <c r="H54" s="11" t="n">
        <v>910</v>
      </c>
      <c r="I54" s="104" t="n"/>
      <c r="J54" s="16" t="n"/>
      <c r="K54" s="11">
        <f>E54*J54</f>
        <v/>
      </c>
      <c r="L54" s="11">
        <f>ROUND(J54*E54*0.1425%,0)</f>
        <v/>
      </c>
      <c r="M54" s="11">
        <f>ROUND(J54*E54*0.3%,0)</f>
        <v/>
      </c>
      <c r="N54" s="11" t="n">
        <v>0</v>
      </c>
      <c r="O54" s="434">
        <f>IF(I54="",E54*Y54,0)</f>
        <v/>
      </c>
      <c r="P54" s="435">
        <f>IF(I54="",R54-H54,(K54-H54-SUM(L54:N54)+R54-S54-T54)-G54)+(ROUND(R54*V54,0)-ROUND(R54*(1+V54),0)*W54)</f>
        <v/>
      </c>
      <c r="Q54" s="435">
        <f>IF(I54="",(O54-G54-(O54*0.1425%*0.65)-(O54*0.3%)-S54-T54),0)</f>
        <v/>
      </c>
      <c r="R54" s="435" t="n"/>
      <c r="S54" s="435" t="n"/>
      <c r="T54" s="435">
        <f>IF(ROUND(R54*(1+V54),0)&gt;20000,ROUND(ROUND(R54*(1+V54),0)*2%,0),0)</f>
        <v/>
      </c>
      <c r="U54" s="69">
        <f>(V54*50%)/(1+50%*V54)</f>
        <v/>
      </c>
      <c r="V54" s="69" t="n"/>
      <c r="W54" s="70" t="n">
        <v>0.11</v>
      </c>
      <c r="X54" s="436">
        <f>(P54+Q54)/G54</f>
        <v/>
      </c>
      <c r="Y54" s="16">
        <f>VLOOKUP(C54,台股行情!A:D,4,FALSE)</f>
        <v/>
      </c>
      <c r="Z54" s="437">
        <f>VLOOKUP(C54,台股行情!A:E,5,FALSE)</f>
        <v/>
      </c>
      <c r="AA54" s="438">
        <f>IF(I54="",((TODAY()-A54)*G54)/365.24,((I54-A54)*G54)/365.24)</f>
        <v/>
      </c>
      <c r="AB54" s="103" t="inlineStr">
        <is>
          <t>水某精選</t>
        </is>
      </c>
    </row>
    <row r="55">
      <c r="A55" s="99" t="n">
        <v>46150</v>
      </c>
      <c r="B55" s="11" t="n"/>
      <c r="C55" s="11" t="n">
        <v>3443</v>
      </c>
      <c r="D55" s="189">
        <f>VLOOKUP(C55,台股行情!A:B,2,FALSE)</f>
        <v/>
      </c>
      <c r="E55" s="11" t="n">
        <v>25</v>
      </c>
      <c r="F55" s="11" t="n">
        <v>5420</v>
      </c>
      <c r="G55" s="11">
        <f>E55*F55</f>
        <v/>
      </c>
      <c r="H55" s="11" t="n">
        <v>193</v>
      </c>
      <c r="I55" s="104" t="n"/>
      <c r="J55" s="16" t="n"/>
      <c r="K55" s="11">
        <f>E55*J55</f>
        <v/>
      </c>
      <c r="L55" s="11">
        <f>ROUND(J55*E55*0.1425%,0)</f>
        <v/>
      </c>
      <c r="M55" s="11">
        <f>ROUND(J55*E55*0.3%,0)</f>
        <v/>
      </c>
      <c r="N55" s="11" t="n">
        <v>0</v>
      </c>
      <c r="O55" s="434">
        <f>IF(I55="",E55*Y55,0)</f>
        <v/>
      </c>
      <c r="P55" s="435">
        <f>IF(I55="",R55-H55,(K55-H55-SUM(L55:N55)+R55-S55-T55)-G55)+(ROUND(R55*V55,0)-ROUND(R55*(1+V55),0)*W55)</f>
        <v/>
      </c>
      <c r="Q55" s="435">
        <f>IF(I55="",(O55-G55-(O55*0.1425%*0.65)-(O55*0.3%)-S55-T55),0)</f>
        <v/>
      </c>
      <c r="R55" s="435" t="n"/>
      <c r="S55" s="435" t="n"/>
      <c r="T55" s="435">
        <f>IF(ROUND(R55*(1+V55),0)&gt;20000,ROUND(ROUND(R55*(1+V55),0)*2%,0),0)</f>
        <v/>
      </c>
      <c r="U55" s="69">
        <f>(V55*50%)/(1+50%*V55)</f>
        <v/>
      </c>
      <c r="V55" s="69" t="n"/>
      <c r="W55" s="70" t="n">
        <v>0.11</v>
      </c>
      <c r="X55" s="436">
        <f>(P55+Q55)/G55</f>
        <v/>
      </c>
      <c r="Y55" s="16">
        <f>VLOOKUP(C55,台股行情!A:D,4,FALSE)</f>
        <v/>
      </c>
      <c r="Z55" s="437">
        <f>VLOOKUP(C55,台股行情!A:E,5,FALSE)</f>
        <v/>
      </c>
      <c r="AA55" s="438">
        <f>IF(I55="",((TODAY()-A55)*G55)/365.24,((I55-A55)*G55)/365.24)</f>
        <v/>
      </c>
      <c r="AB55" s="103" t="inlineStr">
        <is>
          <t>AI</t>
        </is>
      </c>
    </row>
    <row r="56">
      <c r="A56" s="99" t="n">
        <v>46150</v>
      </c>
      <c r="B56" s="11" t="n"/>
      <c r="C56" s="11" t="n">
        <v>3324</v>
      </c>
      <c r="D56" s="189">
        <f>VLOOKUP(C56,台股行情!A:B,2,FALSE)</f>
        <v/>
      </c>
      <c r="E56" s="11" t="n">
        <v>100</v>
      </c>
      <c r="F56" s="11" t="n">
        <v>1075</v>
      </c>
      <c r="G56" s="11">
        <f>E56*F56</f>
        <v/>
      </c>
      <c r="H56" s="11" t="n">
        <v>153</v>
      </c>
      <c r="I56" s="104" t="n"/>
      <c r="J56" s="16" t="n"/>
      <c r="K56" s="11">
        <f>E56*J56</f>
        <v/>
      </c>
      <c r="L56" s="11">
        <f>ROUND(J56*E56*0.1425%,0)</f>
        <v/>
      </c>
      <c r="M56" s="11">
        <f>ROUND(J56*E56*0.3%,0)</f>
        <v/>
      </c>
      <c r="N56" s="11" t="n">
        <v>0</v>
      </c>
      <c r="O56" s="434">
        <f>IF(I56="",E56*Y56,0)</f>
        <v/>
      </c>
      <c r="P56" s="435">
        <f>IF(I56="",R56-H56,(K56-H56-SUM(L56:N56)+R56-S56-T56)-G56)+(ROUND(R56*V56,0)-ROUND(R56*(1+V56),0)*W56)</f>
        <v/>
      </c>
      <c r="Q56" s="435">
        <f>IF(I56="",(O56-G56-(O56*0.1425%*0.65)-(O56*0.3%)-S56-T56),0)</f>
        <v/>
      </c>
      <c r="R56" s="435" t="n"/>
      <c r="S56" s="435" t="n"/>
      <c r="T56" s="435">
        <f>IF(ROUND(R56*(1+V56),0)&gt;20000,ROUND(ROUND(R56*(1+V56),0)*2%,0),0)</f>
        <v/>
      </c>
      <c r="U56" s="69">
        <f>(V56*50%)/(1+50%*V56)</f>
        <v/>
      </c>
      <c r="V56" s="69" t="n"/>
      <c r="W56" s="70" t="n">
        <v>0.11</v>
      </c>
      <c r="X56" s="436">
        <f>(P56+Q56)/G56</f>
        <v/>
      </c>
      <c r="Y56" s="16">
        <f>VLOOKUP(C56,台股行情!A:D,4,FALSE)</f>
        <v/>
      </c>
      <c r="Z56" s="437">
        <f>VLOOKUP(C56,台股行情!A:E,5,FALSE)</f>
        <v/>
      </c>
      <c r="AA56" s="438">
        <f>IF(I56="",((TODAY()-A56)*G56)/365.24,((I56-A56)*G56)/365.24)</f>
        <v/>
      </c>
      <c r="AB56" s="103" t="inlineStr">
        <is>
          <t>液冷</t>
        </is>
      </c>
    </row>
    <row r="57">
      <c r="A57" s="99" t="n">
        <v>46154</v>
      </c>
      <c r="B57" s="11" t="n"/>
      <c r="C57" s="11" t="n">
        <v>3481</v>
      </c>
      <c r="D57" s="189">
        <f>VLOOKUP(C57,台股行情!A:B,2,FALSE)</f>
        <v/>
      </c>
      <c r="E57" s="11" t="n">
        <v>3000</v>
      </c>
      <c r="F57" s="11" t="n">
        <v>35</v>
      </c>
      <c r="G57" s="11">
        <f>E57*F57</f>
        <v/>
      </c>
      <c r="H57" s="11" t="n">
        <v>149</v>
      </c>
      <c r="I57" s="104" t="n"/>
      <c r="J57" s="16" t="n"/>
      <c r="K57" s="11">
        <f>E57*J57</f>
        <v/>
      </c>
      <c r="L57" s="11">
        <f>ROUND(J57*E57*0.1425%,0)</f>
        <v/>
      </c>
      <c r="M57" s="11">
        <f>ROUND(J57*E57*0.3%,0)</f>
        <v/>
      </c>
      <c r="N57" s="11" t="n">
        <v>0</v>
      </c>
      <c r="O57" s="434">
        <f>IF(I57="",E57*Y57,0)</f>
        <v/>
      </c>
      <c r="P57" s="435">
        <f>IF(I57="",R57-H57,(K57-H57-SUM(L57:N57)+R57-S57-T57)-G57)+(ROUND(R57*V57,0)-ROUND(R57*(1+V57),0)*W57)</f>
        <v/>
      </c>
      <c r="Q57" s="435">
        <f>IF(I57="",(O57-G57-(O57*0.1425%*0.65)-(O57*0.3%)-S57-T57),0)</f>
        <v/>
      </c>
      <c r="R57" s="435" t="n"/>
      <c r="S57" s="435" t="n"/>
      <c r="T57" s="435">
        <f>IF(ROUND(R57*(1+V57),0)&gt;20000,ROUND(ROUND(R57*(1+V57),0)*2%,0),0)</f>
        <v/>
      </c>
      <c r="U57" s="69">
        <f>(V57*50%)/(1+50%*V57)</f>
        <v/>
      </c>
      <c r="V57" s="69" t="n"/>
      <c r="W57" s="70" t="n">
        <v>0.11</v>
      </c>
      <c r="X57" s="436">
        <f>(P57+Q57)/G57</f>
        <v/>
      </c>
      <c r="Y57" s="16">
        <f>VLOOKUP(C57,台股行情!A:D,4,FALSE)</f>
        <v/>
      </c>
      <c r="Z57" s="437">
        <f>VLOOKUP(C57,台股行情!A:E,5,FALSE)</f>
        <v/>
      </c>
      <c r="AA57" s="438">
        <f>IF(I57="",((TODAY()-A57)*G57)/365.24,((I57-A57)*G57)/365.24)</f>
        <v/>
      </c>
      <c r="AB57" s="103" t="inlineStr">
        <is>
          <t>AI</t>
        </is>
      </c>
      <c r="AD57" s="311" t="n"/>
    </row>
    <row r="58">
      <c r="A58" s="99" t="n">
        <v>46160</v>
      </c>
      <c r="B58" s="11" t="n"/>
      <c r="C58" s="349" t="n">
        <v>830</v>
      </c>
      <c r="D58" s="189">
        <f>VLOOKUP(C58,台股行情!A:B,2,FALSE)</f>
        <v/>
      </c>
      <c r="E58" s="11" t="n">
        <v>123</v>
      </c>
      <c r="F58" s="11" t="n">
        <v>80.87</v>
      </c>
      <c r="G58" s="11" t="n">
        <v>9933</v>
      </c>
      <c r="H58" s="11" t="n">
        <v>1</v>
      </c>
      <c r="I58" s="104" t="n"/>
      <c r="J58" s="16" t="n"/>
      <c r="K58" s="11">
        <f>E58*J58</f>
        <v/>
      </c>
      <c r="L58" s="11">
        <f>ROUND(J58*E58*0.1425%,0)</f>
        <v/>
      </c>
      <c r="M58" s="11">
        <f>ROUND(J58*E58*0.3%,0)</f>
        <v/>
      </c>
      <c r="N58" s="11" t="n">
        <v>0</v>
      </c>
      <c r="O58" s="434">
        <f>IF(I58="",E58*Y58,0)</f>
        <v/>
      </c>
      <c r="P58" s="435">
        <f>IF(I58="",R58-H58,(K58-H58-SUM(L58:N58)+R58-S58-T58)-G58)+(ROUND(R58*V58,0)-ROUND(R58*(1+V58),0)*W58)</f>
        <v/>
      </c>
      <c r="Q58" s="435">
        <f>IF(I58="",(O58-G58-(O58*0.1425%*0.65)-(O58*0.3%)-S58-T58),0)</f>
        <v/>
      </c>
      <c r="R58" s="435" t="n"/>
      <c r="S58" s="435" t="n"/>
      <c r="T58" s="435">
        <f>IF(ROUND(R58*(1+V58),0)&gt;20000,ROUND(ROUND(R58*(1+V58),0)*2%,0),0)</f>
        <v/>
      </c>
      <c r="U58" s="69">
        <f>(V58*50%)/(1+50%*V58)</f>
        <v/>
      </c>
      <c r="V58" s="69" t="n"/>
      <c r="W58" s="70" t="n">
        <v>0.11</v>
      </c>
      <c r="X58" s="436">
        <f>(P58+Q58)/G58</f>
        <v/>
      </c>
      <c r="Y58" s="16">
        <f>VLOOKUP(C58,台股行情!A:D,4,FALSE)</f>
        <v/>
      </c>
      <c r="Z58" s="437">
        <f>VLOOKUP(C58,台股行情!A:E,5,FALSE)</f>
        <v/>
      </c>
      <c r="AA58" s="438">
        <f>IF(I58="",((TODAY()-A58)*G58)/365.24,((I58-A58)*G58)/365.24)</f>
        <v/>
      </c>
      <c r="AB58" s="103" t="inlineStr">
        <is>
          <t>存股</t>
        </is>
      </c>
    </row>
    <row r="59">
      <c r="A59" s="99" t="n">
        <v>46160</v>
      </c>
      <c r="B59" s="11" t="n"/>
      <c r="C59" s="349" t="inlineStr">
        <is>
          <t>00991A</t>
        </is>
      </c>
      <c r="D59" s="189">
        <f>VLOOKUP(C59,台股行情!A:B,2,FALSE)</f>
        <v/>
      </c>
      <c r="E59" s="11" t="n">
        <v>574</v>
      </c>
      <c r="F59" s="11" t="n">
        <v>17.42</v>
      </c>
      <c r="G59" s="11" t="n">
        <v>9996</v>
      </c>
      <c r="H59" s="11" t="n">
        <v>1</v>
      </c>
      <c r="I59" s="104" t="n"/>
      <c r="J59" s="16" t="n"/>
      <c r="K59" s="11">
        <f>E59*J59</f>
        <v/>
      </c>
      <c r="L59" s="11">
        <f>ROUND(J59*E59*0.1425%,0)</f>
        <v/>
      </c>
      <c r="M59" s="11">
        <f>ROUND(J59*E59*0.3%,0)</f>
        <v/>
      </c>
      <c r="N59" s="11" t="n">
        <v>0</v>
      </c>
      <c r="O59" s="434">
        <f>IF(I59="",E59*Y59,0)</f>
        <v/>
      </c>
      <c r="P59" s="435">
        <f>IF(I59="",R59-H59,(K59-H59-SUM(L59:N59)+R59-S59-T59)-G59)+(ROUND(R59*V59,0)-ROUND(R59*(1+V59),0)*W59)</f>
        <v/>
      </c>
      <c r="Q59" s="435">
        <f>IF(I59="",(O59-G59-(O59*0.1425%*0.65)-(O59*0.3%)-S59-T59),0)</f>
        <v/>
      </c>
      <c r="R59" s="435" t="n"/>
      <c r="S59" s="435" t="n"/>
      <c r="T59" s="435">
        <f>IF(ROUND(R59*(1+V59),0)&gt;20000,ROUND(ROUND(R59*(1+V59),0)*2%,0),0)</f>
        <v/>
      </c>
      <c r="U59" s="69">
        <f>(V59*50%)/(1+50%*V59)</f>
        <v/>
      </c>
      <c r="V59" s="69" t="n"/>
      <c r="W59" s="70" t="n">
        <v>0.11</v>
      </c>
      <c r="X59" s="436">
        <f>(P59+Q59)/G59</f>
        <v/>
      </c>
      <c r="Y59" s="16">
        <f>VLOOKUP(C59,台股行情!A:D,4,FALSE)</f>
        <v/>
      </c>
      <c r="Z59" s="437">
        <f>VLOOKUP(C59,台股行情!A:E,5,FALSE)</f>
        <v/>
      </c>
      <c r="AA59" s="438">
        <f>IF(I59="",((TODAY()-A59)*G59)/365.24,((I59-A59)*G59)/365.24)</f>
        <v/>
      </c>
      <c r="AB59" s="103" t="inlineStr">
        <is>
          <t>存股</t>
        </is>
      </c>
    </row>
    <row r="60">
      <c r="A60" s="99" t="n">
        <v>46161</v>
      </c>
      <c r="B60" s="11" t="n"/>
      <c r="C60" s="349" t="n">
        <v>50</v>
      </c>
      <c r="D60" s="189">
        <f>VLOOKUP(C60,台股行情!A:B,2,FALSE)</f>
        <v/>
      </c>
      <c r="E60" s="11" t="n">
        <v>1000</v>
      </c>
      <c r="F60" s="11" t="n">
        <v>93.7</v>
      </c>
      <c r="G60" s="11">
        <f>E60*F60</f>
        <v/>
      </c>
      <c r="H60" s="11" t="n">
        <v>133</v>
      </c>
      <c r="I60" s="104" t="n"/>
      <c r="J60" s="16" t="n"/>
      <c r="K60" s="11">
        <f>E60*J60</f>
        <v/>
      </c>
      <c r="L60" s="11">
        <f>ROUND(J60*E60*0.1425%,0)</f>
        <v/>
      </c>
      <c r="M60" s="11">
        <f>ROUND(J60*E60*0.3%,0)</f>
        <v/>
      </c>
      <c r="N60" s="11" t="n">
        <v>0</v>
      </c>
      <c r="O60" s="434">
        <f>IF(I60="",E60*Y60,0)</f>
        <v/>
      </c>
      <c r="P60" s="435">
        <f>IF(I60="",R60-H60,(K60-H60-SUM(L60:N60)+R60-S60-T60)-G60)+(ROUND(R60*V60,0)-ROUND(R60*(1+V60),0)*W60)</f>
        <v/>
      </c>
      <c r="Q60" s="435">
        <f>IF(I60="",(O60-G60-(O60*0.1425%*0.65)-(O60*0.3%)-S60-T60),0)</f>
        <v/>
      </c>
      <c r="R60" s="435" t="n"/>
      <c r="S60" s="435" t="n"/>
      <c r="T60" s="435">
        <f>IF(ROUND(R60*(1+V60),0)&gt;20000,ROUND(ROUND(R60*(1+V60),0)*2%,0),0)</f>
        <v/>
      </c>
      <c r="U60" s="69">
        <f>(V60*50%)/(1+50%*V60)</f>
        <v/>
      </c>
      <c r="V60" s="69" t="n"/>
      <c r="W60" s="70" t="n">
        <v>0.11</v>
      </c>
      <c r="X60" s="436">
        <f>(P60+Q60)/G60</f>
        <v/>
      </c>
      <c r="Y60" s="16">
        <f>VLOOKUP(C60,台股行情!A:D,4,FALSE)</f>
        <v/>
      </c>
      <c r="Z60" s="437">
        <f>VLOOKUP(C60,台股行情!A:E,5,FALSE)</f>
        <v/>
      </c>
      <c r="AA60" s="438">
        <f>IF(I60="",((TODAY()-A60)*G60)/365.24,((I60-A60)*G60)/365.24)</f>
        <v/>
      </c>
      <c r="AB60" s="103" t="inlineStr">
        <is>
          <t>存股</t>
        </is>
      </c>
    </row>
    <row r="61" ht="17.25" customHeight="1" thickBot="1">
      <c r="A61" s="48" t="n"/>
      <c r="B61" s="49" t="n"/>
      <c r="C61" s="49" t="n"/>
      <c r="D61" s="193" t="n"/>
      <c r="E61" s="49" t="n"/>
      <c r="F61" s="49" t="n"/>
      <c r="G61" s="49" t="n"/>
      <c r="H61" s="49" t="n"/>
      <c r="I61" s="50" t="n"/>
      <c r="J61" s="51" t="n"/>
      <c r="K61" s="49" t="n"/>
      <c r="L61" s="447" t="n"/>
      <c r="M61" s="49" t="n"/>
      <c r="N61" s="49" t="n"/>
      <c r="O61" s="448" t="n"/>
      <c r="P61" s="449" t="n"/>
      <c r="Q61" s="449" t="n"/>
      <c r="R61" s="449" t="n"/>
      <c r="S61" s="449" t="n"/>
      <c r="T61" s="450" t="n"/>
      <c r="U61" s="449" t="n"/>
      <c r="V61" s="449" t="n"/>
      <c r="W61" s="78" t="n"/>
      <c r="X61" s="451" t="n"/>
      <c r="Y61" s="51" t="n"/>
      <c r="Z61" s="56" t="n"/>
      <c r="AA61" s="438" t="n"/>
    </row>
    <row r="62" ht="17.25" customHeight="1" thickBot="1">
      <c r="A62" s="29" t="n"/>
      <c r="D62" s="28" t="n"/>
      <c r="I62" s="30" t="n"/>
      <c r="J62" s="31" t="n"/>
      <c r="L62" s="452" t="n"/>
      <c r="O62" s="453" t="n"/>
      <c r="P62" s="454" t="n"/>
      <c r="Q62" s="454" t="n"/>
      <c r="R62" s="454" t="n"/>
      <c r="S62" s="454" t="n"/>
      <c r="T62" s="454" t="n"/>
      <c r="U62" s="454" t="n"/>
      <c r="V62" s="454" t="n"/>
      <c r="W62" s="454" t="n"/>
      <c r="X62" s="455" t="inlineStr">
        <is>
          <t>‵</t>
        </is>
      </c>
      <c r="Y62" s="31" t="n"/>
      <c r="Z62" s="31" t="n"/>
      <c r="AA62" s="438" t="n"/>
    </row>
    <row r="63" ht="17.25" customHeight="1" thickBot="1">
      <c r="A63" s="179" t="n"/>
      <c r="B63" s="456" t="n"/>
      <c r="C63" s="456" t="n"/>
      <c r="D63" s="238" t="inlineStr">
        <is>
          <t>持股小計</t>
        </is>
      </c>
      <c r="E63" s="457" t="n"/>
      <c r="F63" s="458" t="n"/>
      <c r="G63" s="62">
        <f>SUM(G24:G61)</f>
        <v/>
      </c>
      <c r="H63" s="62">
        <f>SUM(H24:H61)</f>
        <v/>
      </c>
      <c r="I63" s="414" t="n"/>
      <c r="J63" s="414" t="n"/>
      <c r="K63" s="62" t="n"/>
      <c r="L63" s="459" t="n"/>
      <c r="M63" s="459" t="n"/>
      <c r="N63" s="460" t="n"/>
      <c r="O63" s="62">
        <f>SUM(O24:O61)</f>
        <v/>
      </c>
      <c r="P63" s="461">
        <f>SUM(P24:P61)</f>
        <v/>
      </c>
      <c r="Q63" s="461">
        <f>SUM(Q24:Q61)</f>
        <v/>
      </c>
      <c r="R63" s="62">
        <f>SUM(R24:R61)</f>
        <v/>
      </c>
      <c r="S63" s="407" t="n"/>
      <c r="T63" s="407" t="n"/>
      <c r="U63" s="407" t="n"/>
      <c r="V63" s="407" t="n"/>
      <c r="W63" s="407" t="n"/>
      <c r="X63" s="462">
        <f>(P63+Q63)/G63</f>
        <v/>
      </c>
      <c r="Y63" s="390" t="inlineStr">
        <is>
          <t>年化報酬率</t>
        </is>
      </c>
      <c r="Z63" s="463">
        <f>IF(AA63=0,0,(P63+Q63)/(AA63))</f>
        <v/>
      </c>
      <c r="AA63" s="438">
        <f>SUM(AA24:AA61)</f>
        <v/>
      </c>
    </row>
    <row r="64" ht="17.25" customFormat="1" customHeight="1" s="36" thickBot="1">
      <c r="A64" s="464" t="n"/>
      <c r="D64" s="238" t="inlineStr">
        <is>
          <t>2026總計</t>
        </is>
      </c>
      <c r="E64" s="464" t="n"/>
      <c r="F64" s="465" t="n"/>
      <c r="G64" s="63">
        <f>SUM(G2:G21,G31:G61)</f>
        <v/>
      </c>
      <c r="H64" s="63">
        <f>SUM(H4:H61)</f>
        <v/>
      </c>
      <c r="I64" s="466" t="n"/>
      <c r="J64" s="466" t="n"/>
      <c r="K64" s="63">
        <f>SUM(K22:K61)</f>
        <v/>
      </c>
      <c r="L64" s="63">
        <f>SUM(L22:L61)</f>
        <v/>
      </c>
      <c r="M64" s="63">
        <f>SUM(M22:M61)</f>
        <v/>
      </c>
      <c r="N64" s="63">
        <f>SUM(N22:N61)</f>
        <v/>
      </c>
      <c r="O64" s="63">
        <f>SUM(O4:O61)</f>
        <v/>
      </c>
      <c r="P64" s="63">
        <f>SUM(P4:P61)</f>
        <v/>
      </c>
      <c r="Q64" s="461">
        <f>SUM(Q4:Q61)</f>
        <v/>
      </c>
      <c r="R64" s="63">
        <f>SUM(R4:R61)</f>
        <v/>
      </c>
      <c r="S64" s="72" t="n"/>
      <c r="T64" s="72" t="n"/>
      <c r="U64" s="72" t="n"/>
      <c r="V64" s="72" t="n"/>
      <c r="W64" s="72" t="n"/>
      <c r="X64" s="462">
        <f>(P64+Q64)/G64</f>
        <v/>
      </c>
      <c r="Y64" s="467" t="n"/>
      <c r="Z64" s="463">
        <f>IF(AA64=0,0,(P64+Q64)/(AA64))</f>
        <v/>
      </c>
      <c r="AA64" s="438">
        <f>SUM(AA2:AA22,AA2:AA61)</f>
        <v/>
      </c>
      <c r="AB64" s="87" t="n"/>
      <c r="AC64" s="88" t="n"/>
    </row>
    <row r="65" ht="17.25" customFormat="1" customHeight="1" s="36" thickBot="1">
      <c r="A65" s="468" t="n"/>
      <c r="B65" s="469" t="n"/>
      <c r="C65" s="469" t="n"/>
      <c r="D65" s="238" t="inlineStr">
        <is>
          <t>總計</t>
        </is>
      </c>
      <c r="E65" s="468" t="n"/>
      <c r="F65" s="470" t="n"/>
      <c r="G65" s="63">
        <f>SUM(G2:G21,G31:G61)</f>
        <v/>
      </c>
      <c r="H65" s="63">
        <f>SUM(H2:H61)</f>
        <v/>
      </c>
      <c r="I65" s="471" t="n"/>
      <c r="J65" s="471" t="n"/>
      <c r="K65" s="63">
        <f>SUM(K22:K61)</f>
        <v/>
      </c>
      <c r="L65" s="63">
        <f>SUM(L22:L61)</f>
        <v/>
      </c>
      <c r="M65" s="63">
        <f>SUM(M22:M61)</f>
        <v/>
      </c>
      <c r="N65" s="63">
        <f>SUM(N22:N61)</f>
        <v/>
      </c>
      <c r="O65" s="63">
        <f>SUM(O2:O61)</f>
        <v/>
      </c>
      <c r="P65" s="472">
        <f>SUM(P2:P61)</f>
        <v/>
      </c>
      <c r="Q65" s="461">
        <f>SUM(Q2:Q61)</f>
        <v/>
      </c>
      <c r="R65" s="63">
        <f>SUM(R2:R61)</f>
        <v/>
      </c>
      <c r="S65" s="72" t="n"/>
      <c r="T65" s="72" t="n"/>
      <c r="U65" s="72" t="n"/>
      <c r="V65" s="72" t="n"/>
      <c r="W65" s="72" t="n"/>
      <c r="X65" s="462">
        <f>(P65+Q65)/G65</f>
        <v/>
      </c>
      <c r="Y65" s="473" t="n"/>
      <c r="Z65" s="463">
        <f>IF(AA65=0,0,(P65+Q65)/(AA65))</f>
        <v/>
      </c>
      <c r="AA65" s="438">
        <f>AA63</f>
        <v/>
      </c>
      <c r="AB65" s="87" t="n"/>
      <c r="AC65" s="87" t="n"/>
    </row>
    <row r="66" ht="17.25" customHeight="1" thickBot="1">
      <c r="B66" s="37" t="n"/>
      <c r="C66" s="37" t="n"/>
      <c r="D66" s="28" t="n"/>
    </row>
    <row r="67" ht="17.25" customFormat="1" customHeight="1" s="8" thickBot="1">
      <c r="A67" s="383" t="inlineStr">
        <is>
          <t>分析</t>
        </is>
      </c>
      <c r="B67" s="456" t="n"/>
      <c r="C67" s="474" t="n"/>
      <c r="D67" s="251" t="inlineStr">
        <is>
          <t>技法</t>
        </is>
      </c>
      <c r="E67" s="383" t="n"/>
      <c r="F67" s="474" t="n"/>
      <c r="G67" s="251" t="inlineStr">
        <is>
          <t>成交金額</t>
        </is>
      </c>
      <c r="H67" s="251" t="inlineStr">
        <is>
          <t>手續費</t>
        </is>
      </c>
      <c r="I67" s="383" t="n"/>
      <c r="J67" s="383" t="n"/>
      <c r="K67" s="383" t="n"/>
      <c r="L67" s="383" t="n"/>
      <c r="M67" s="383" t="n"/>
      <c r="N67" s="383" t="n"/>
      <c r="O67" s="251" t="inlineStr">
        <is>
          <t>參考現值</t>
        </is>
      </c>
      <c r="P67" s="251" t="inlineStr">
        <is>
          <t>已實現損益</t>
        </is>
      </c>
      <c r="Q67" s="251" t="inlineStr">
        <is>
          <t>未實現損益</t>
        </is>
      </c>
      <c r="R67" s="251" t="inlineStr">
        <is>
          <t>除息</t>
        </is>
      </c>
      <c r="S67" s="383" t="inlineStr">
        <is>
          <t>手續費</t>
        </is>
      </c>
      <c r="T67" s="383" t="inlineStr">
        <is>
          <t>健保補充保費</t>
        </is>
      </c>
      <c r="U67" s="383" t="n"/>
      <c r="V67" s="383" t="inlineStr">
        <is>
          <t>扣抵稅率</t>
        </is>
      </c>
      <c r="W67" s="383" t="inlineStr">
        <is>
          <t>所得稅率</t>
        </is>
      </c>
      <c r="X67" s="251" t="inlineStr">
        <is>
          <t>投資報酬率</t>
        </is>
      </c>
      <c r="Y67" s="251" t="inlineStr">
        <is>
          <t>年化報酬率</t>
        </is>
      </c>
      <c r="Z67" s="251" t="inlineStr">
        <is>
          <t>勝率</t>
        </is>
      </c>
      <c r="AA67" s="89" t="n"/>
      <c r="AB67" s="86" t="n"/>
      <c r="AC67" s="309" t="n"/>
    </row>
    <row r="68" outlineLevel="1">
      <c r="A68" s="464" t="n"/>
      <c r="C68" s="475" t="n"/>
      <c r="D68" s="383" t="inlineStr">
        <is>
          <t>阿水一式</t>
        </is>
      </c>
      <c r="E68" s="464" t="n"/>
      <c r="F68" s="475" t="n"/>
      <c r="G68" s="265">
        <f>SUMIF(AB$2:AB$62,D68,G$2:G$62)</f>
        <v/>
      </c>
      <c r="H68" s="265">
        <f>SUMIF(AB$2:AB$62,D68,H$2:H$62)</f>
        <v/>
      </c>
      <c r="I68" s="467" t="n"/>
      <c r="J68" s="249" t="n"/>
      <c r="K68" s="257" t="n"/>
      <c r="L68" s="257" t="n"/>
      <c r="M68" s="257" t="n"/>
      <c r="N68" s="257" t="n"/>
      <c r="O68" s="265">
        <f>SUMIF(AB$2:AB$62,D68,O$2:O$62)</f>
        <v/>
      </c>
      <c r="P68" s="476">
        <f>SUMIF(AB$2:AB$62,D68,P$2:P$62)</f>
        <v/>
      </c>
      <c r="Q68" s="476">
        <f>SUMIF(AB$2:AB$62,"*"&amp;D68&amp;"*",Q$2:Q$62)</f>
        <v/>
      </c>
      <c r="R68" s="265">
        <f>SUMIF(AB$2:AB$62,D68,R$2:R$62)</f>
        <v/>
      </c>
      <c r="S68" s="257" t="n"/>
      <c r="T68" s="257" t="n"/>
      <c r="U68" s="467" t="n"/>
      <c r="V68" s="257" t="n"/>
      <c r="W68" s="257" t="n"/>
      <c r="X68" s="477">
        <f>(SUMIF(AB$2:AB$62,D68,P$2:P$62)+SUMIF(AB$2:AB$62,"*"&amp;D68&amp;"*",Q$2:Q$62))/SUMIF(AB$2:AB$62,D68,G$2:G$62)</f>
        <v/>
      </c>
      <c r="Y68" s="477">
        <f>(P68+Q68)/(AA68)</f>
        <v/>
      </c>
      <c r="Z68" s="268">
        <f>COUNTIFS(X$2:X$62,"&gt;0",AB$2:AB$62,D68)/COUNTIF(AB$2:AB$62,D68)</f>
        <v/>
      </c>
      <c r="AA68" s="9">
        <f>SUMIF(AB$2:AB$62,D68,AA$2:AA$62)</f>
        <v/>
      </c>
    </row>
    <row r="69" outlineLevel="1">
      <c r="A69" s="464" t="n"/>
      <c r="C69" s="475" t="n"/>
      <c r="D69" s="247" t="inlineStr">
        <is>
          <t>動能股</t>
        </is>
      </c>
      <c r="E69" s="464" t="n"/>
      <c r="F69" s="475" t="n"/>
      <c r="G69" s="265">
        <f>SUMIF(AB$2:AB$62,D69,G$2:G$62)</f>
        <v/>
      </c>
      <c r="H69" s="265">
        <f>SUMIF(AB$2:AB$62,D69,H$2:H$62)</f>
        <v/>
      </c>
      <c r="I69" s="467" t="n"/>
      <c r="J69" s="249" t="n"/>
      <c r="K69" s="257" t="n"/>
      <c r="L69" s="257" t="n"/>
      <c r="M69" s="257" t="n"/>
      <c r="N69" s="257" t="n"/>
      <c r="O69" s="265">
        <f>SUMIF(AB$2:AB$62,D69,O$2:O$62)</f>
        <v/>
      </c>
      <c r="P69" s="476">
        <f>SUMIF(AB$2:AB$62,D69,P$2:P$62)</f>
        <v/>
      </c>
      <c r="Q69" s="476">
        <f>SUMIF(AB$2:AB$62,"*"&amp;D69&amp;"*",Q$2:Q$62)</f>
        <v/>
      </c>
      <c r="R69" s="265">
        <f>SUMIF(AB$2:AB$62,D69,R$2:R$62)</f>
        <v/>
      </c>
      <c r="S69" s="257" t="n"/>
      <c r="T69" s="257" t="n"/>
      <c r="U69" s="467" t="n"/>
      <c r="V69" s="257" t="n"/>
      <c r="W69" s="257" t="n"/>
      <c r="X69" s="477">
        <f>(SUMIF(AB$2:AB$62,D69,P$2:P$62)+SUMIF(AB$2:AB$62,"*"&amp;D69&amp;"*",Q$2:Q$62))/SUMIF(AB$2:AB$62,D69,G$2:G$62)</f>
        <v/>
      </c>
      <c r="Y69" s="477">
        <f>(P69+Q69)/(AA69)</f>
        <v/>
      </c>
      <c r="Z69" s="268">
        <f>COUNTIFS(X$2:X$62,"&gt;0",AB$2:AB$62,D69)/COUNTIF(AB$2:AB$62,D69)</f>
        <v/>
      </c>
      <c r="AA69" s="9">
        <f>SUMIF(AB$2:AB$62,D69,AA$2:AA$62)</f>
        <v/>
      </c>
    </row>
    <row r="70" outlineLevel="1" ht="17.25" customHeight="1" thickBot="1">
      <c r="A70" s="464" t="n"/>
      <c r="C70" s="475" t="n"/>
      <c r="D70" s="247" t="inlineStr">
        <is>
          <t>水某精選</t>
        </is>
      </c>
      <c r="E70" s="464" t="n"/>
      <c r="F70" s="475" t="n"/>
      <c r="G70" s="265">
        <f>SUMIF(AB$2:AB$62,D70,G$2:G$62)</f>
        <v/>
      </c>
      <c r="H70" s="265">
        <f>SUMIF(AB$2:AB$62,D70,H$2:H$62)</f>
        <v/>
      </c>
      <c r="I70" s="467" t="n"/>
      <c r="J70" s="249" t="n"/>
      <c r="K70" s="257" t="n"/>
      <c r="L70" s="257" t="n"/>
      <c r="M70" s="257" t="n"/>
      <c r="N70" s="257" t="n"/>
      <c r="O70" s="265">
        <f>SUMIF(AB$2:AB$62,D70,O$2:O$62)</f>
        <v/>
      </c>
      <c r="P70" s="476">
        <f>SUMIF(AB$2:AB$62,D70,P$2:P$62)</f>
        <v/>
      </c>
      <c r="Q70" s="476">
        <f>SUMIF(AB$2:AB$62,"*"&amp;D70&amp;"*",Q$2:Q$62)</f>
        <v/>
      </c>
      <c r="R70" s="265">
        <f>SUMIF(AB$2:AB$62,D70,R$2:R$62)</f>
        <v/>
      </c>
      <c r="S70" s="261" t="n"/>
      <c r="T70" s="261" t="n"/>
      <c r="U70" s="467" t="n"/>
      <c r="V70" s="261" t="n"/>
      <c r="W70" s="261" t="n"/>
      <c r="X70" s="477">
        <f>(SUMIF(AB$2:AB$62,D70,P$2:P$62)+SUMIF(AB$2:AB$62,"*"&amp;D70&amp;"*",Q$2:Q$62))/SUMIF(AB$2:AB$62,D70,G$2:G$62)</f>
        <v/>
      </c>
      <c r="Y70" s="477">
        <f>(P70+Q70)/(AA70)</f>
        <v/>
      </c>
      <c r="Z70" s="268">
        <f>COUNTIFS(X$2:X$62,"&gt;0",AB$2:AB$62,D70)/COUNTIF(AB$2:AB$62,D70)</f>
        <v/>
      </c>
      <c r="AA70" s="9">
        <f>SUMIF(AB$2:AB$62,D70,AA$2:AA$62)</f>
        <v/>
      </c>
    </row>
    <row r="71" outlineLevel="1" ht="17.25" customHeight="1" thickBot="1">
      <c r="A71" s="464" t="n"/>
      <c r="C71" s="475" t="n"/>
      <c r="D71" s="247" t="inlineStr">
        <is>
          <t>小朋友學投資</t>
        </is>
      </c>
      <c r="E71" s="464" t="n"/>
      <c r="F71" s="475" t="n"/>
      <c r="G71" s="265">
        <f>SUMIF(AB$2:AB$62,D71,G$2:G$62)</f>
        <v/>
      </c>
      <c r="H71" s="265">
        <f>SUMIF(AB$2:AB$62,D71,H$2:H$62)</f>
        <v/>
      </c>
      <c r="I71" s="467" t="n"/>
      <c r="J71" s="249" t="n"/>
      <c r="K71" s="257" t="n"/>
      <c r="L71" s="257" t="n"/>
      <c r="M71" s="257" t="n"/>
      <c r="N71" s="257" t="n"/>
      <c r="O71" s="265">
        <f>SUMIF(AB$2:AB$62,D71,O$2:O$62)</f>
        <v/>
      </c>
      <c r="P71" s="476">
        <f>SUMIF(AB$2:AB$62,D71,P$2:P$62)</f>
        <v/>
      </c>
      <c r="Q71" s="476">
        <f>SUMIF(AB$2:AB$62,"*"&amp;D71&amp;"*",Q$2:Q$62)</f>
        <v/>
      </c>
      <c r="R71" s="265">
        <f>SUMIF(AB$2:AB$62,D71,R$2:R$62)</f>
        <v/>
      </c>
      <c r="S71" s="261" t="n"/>
      <c r="T71" s="261" t="n"/>
      <c r="U71" s="467" t="n"/>
      <c r="V71" s="261" t="n"/>
      <c r="W71" s="261" t="n"/>
      <c r="X71" s="477">
        <f>(SUMIF(AB$2:AB$62,D71,P$2:P$62)+SUMIF(AB$2:AB$62,"*"&amp;D71&amp;"*",Q$2:Q$62))/SUMIF(AB$2:AB$62,D71,G$2:G$62)</f>
        <v/>
      </c>
      <c r="Y71" s="477">
        <f>(P71+Q71)/(AA71)</f>
        <v/>
      </c>
      <c r="Z71" s="268">
        <f>COUNTIFS(X$2:X$62,"&gt;0",AB$2:AB$62,D71)/COUNTIF(AB$2:AB$62,D71)</f>
        <v/>
      </c>
      <c r="AA71" s="9">
        <f>SUMIF(AB$2:AB$62,D71,AA$2:AA$62)</f>
        <v/>
      </c>
    </row>
    <row r="72" outlineLevel="1">
      <c r="A72" s="464" t="n"/>
      <c r="C72" s="475" t="n"/>
      <c r="D72" s="247" t="inlineStr">
        <is>
          <t>除權息</t>
        </is>
      </c>
      <c r="E72" s="464" t="n"/>
      <c r="F72" s="475" t="n"/>
      <c r="G72" s="265">
        <f>SUMIF(AB$2:AB$62,D72,G$2:G$62)</f>
        <v/>
      </c>
      <c r="H72" s="265">
        <f>SUMIF(AB$2:AB$62,D72,H$2:H$62)</f>
        <v/>
      </c>
      <c r="I72" s="467" t="n"/>
      <c r="J72" s="249" t="n"/>
      <c r="K72" s="257" t="n"/>
      <c r="L72" s="257" t="n"/>
      <c r="M72" s="257" t="n"/>
      <c r="N72" s="257" t="n"/>
      <c r="O72" s="265">
        <f>SUMIF(AB$2:AB$62,D72,O$2:O$62)</f>
        <v/>
      </c>
      <c r="P72" s="476">
        <f>SUMIF(AB$2:AB$62,D72,P$2:P$62)</f>
        <v/>
      </c>
      <c r="Q72" s="476">
        <f>SUMIF(AB$2:AB$62,"*"&amp;D72&amp;"*",Q$2:Q$62)</f>
        <v/>
      </c>
      <c r="R72" s="265">
        <f>SUMIF(AB$2:AB$62,D72,R$2:R$62)</f>
        <v/>
      </c>
      <c r="S72" s="257" t="n"/>
      <c r="T72" s="257" t="n"/>
      <c r="U72" s="467" t="n"/>
      <c r="V72" s="257" t="n"/>
      <c r="W72" s="257" t="n"/>
      <c r="X72" s="477">
        <f>(SUMIF(AB$2:AB$62,D72,P$2:P$62)+SUMIF(AB$2:AB$62,"*"&amp;D72&amp;"*",Q$2:Q$62))/SUMIF(AB$2:AB$62,D72,G$2:G$62)</f>
        <v/>
      </c>
      <c r="Y72" s="477">
        <f>(P72+Q72)/(AA72)</f>
        <v/>
      </c>
      <c r="Z72" s="268">
        <f>COUNTIFS(X$2:X$62,"&gt;0",AB$2:AB$62,D72)/COUNTIF(AB$2:AB$62,D72)</f>
        <v/>
      </c>
      <c r="AA72" s="9">
        <f>SUMIF(AB$2:AB$62,D72,AA$2:AA$62)</f>
        <v/>
      </c>
    </row>
    <row r="73" outlineLevel="1" ht="17.25" customHeight="1" thickBot="1">
      <c r="A73" s="464" t="n"/>
      <c r="C73" s="475" t="n"/>
      <c r="D73" s="247" t="inlineStr">
        <is>
          <t>存股</t>
        </is>
      </c>
      <c r="E73" s="464" t="n"/>
      <c r="F73" s="475" t="n"/>
      <c r="G73" s="265">
        <f>SUMIF(AB$2:AB$62,D73,G$2:G$62)</f>
        <v/>
      </c>
      <c r="H73" s="265">
        <f>SUMIF(AB$2:AB$62,D73,H$2:H$62)</f>
        <v/>
      </c>
      <c r="I73" s="467" t="n"/>
      <c r="J73" s="249" t="n"/>
      <c r="K73" s="257" t="n"/>
      <c r="L73" s="257" t="n"/>
      <c r="M73" s="257" t="n"/>
      <c r="N73" s="257" t="n"/>
      <c r="O73" s="265">
        <f>SUMIF(AB$2:AB$62,D73,O$2:O$62)</f>
        <v/>
      </c>
      <c r="P73" s="476">
        <f>SUMIF(AB$2:AB$62,D73,P$2:P$62)</f>
        <v/>
      </c>
      <c r="Q73" s="476">
        <f>SUMIF(AB$2:AB$62,"*"&amp;D73&amp;"*",Q$2:Q$62)</f>
        <v/>
      </c>
      <c r="R73" s="265">
        <f>SUMIF(AB$2:AB$62,D73,R$2:R$62)</f>
        <v/>
      </c>
      <c r="S73" s="261" t="n"/>
      <c r="T73" s="261" t="n"/>
      <c r="U73" s="467" t="n"/>
      <c r="V73" s="261" t="n"/>
      <c r="W73" s="261" t="n"/>
      <c r="X73" s="477">
        <f>(SUMIF(AB$2:AB$62,D73,P$2:P$62)+SUMIF(AB$2:AB$62,"*"&amp;D73&amp;"*",Q$2:Q$62))/SUMIF(AB$2:AB$62,D73,G$2:G$62)</f>
        <v/>
      </c>
      <c r="Y73" s="477">
        <f>(P73+Q73)/(AA73)</f>
        <v/>
      </c>
      <c r="Z73" s="268">
        <f>COUNTIFS(X$2:X$62,"&gt;0",AB$2:AB$62,D73)/COUNTIF(AB$2:AB$62,D73)</f>
        <v/>
      </c>
      <c r="AA73" s="9">
        <f>SUMIF(AB$2:AB$62,D73,AA$2:AA$62)</f>
        <v/>
      </c>
    </row>
    <row r="74" outlineLevel="1" ht="17.25" customHeight="1" thickBot="1">
      <c r="A74" s="478" t="n"/>
      <c r="B74" s="479" t="n"/>
      <c r="C74" s="480" t="n"/>
      <c r="D74" s="248" t="inlineStr">
        <is>
          <t>抽籤</t>
        </is>
      </c>
      <c r="E74" s="478" t="n"/>
      <c r="F74" s="480" t="n"/>
      <c r="G74" s="252">
        <f>SUMIF(AB$2:AB$62,D74,G$2:G$62)</f>
        <v/>
      </c>
      <c r="H74" s="252">
        <f>SUMIF(AB$2:AB$62,D74,H$2:H$62)</f>
        <v/>
      </c>
      <c r="I74" s="481" t="n"/>
      <c r="J74" s="250" t="n"/>
      <c r="K74" s="261" t="n"/>
      <c r="L74" s="261" t="n"/>
      <c r="M74" s="261" t="n"/>
      <c r="N74" s="261" t="n"/>
      <c r="O74" s="252">
        <f>SUMIF(AB$2:AB$62,D74,O$2:O$62)</f>
        <v/>
      </c>
      <c r="P74" s="482">
        <f>SUMIF(AB$2:AB$62,D74,P$2:P$62)</f>
        <v/>
      </c>
      <c r="Q74" s="482">
        <f>SUMIF(AB$2:AB$62,"*"&amp;D74&amp;"*",Q$2:Q$62)</f>
        <v/>
      </c>
      <c r="R74" s="252">
        <f>SUMIF(AB$2:AB$62,D74,R$2:R$62)</f>
        <v/>
      </c>
      <c r="S74" s="261" t="n"/>
      <c r="T74" s="261" t="n"/>
      <c r="U74" s="481" t="n"/>
      <c r="V74" s="261" t="n"/>
      <c r="W74" s="261" t="n"/>
      <c r="X74" s="483">
        <f>(SUMIF(AB$2:AB$62,D74,P$2:P$62)+SUMIF(AB$2:AB$62,"*"&amp;D74&amp;"*",Q$2:Q$62))/SUMIF(AB$2:AB$62,D74,G$2:G$62)</f>
        <v/>
      </c>
      <c r="Y74" s="483">
        <f>(P74+Q74)/(AA74)</f>
        <v/>
      </c>
      <c r="Z74" s="255">
        <f>COUNTIFS(X$2:X$62,"&gt;0",AB$2:AB$62,D74)/COUNTIF(AB$2:AB$62,D74)</f>
        <v/>
      </c>
      <c r="AA74" s="9">
        <f>SUMIF(AB$2:AB$62,D74,AA$2:AA$62)</f>
        <v/>
      </c>
    </row>
    <row r="75" ht="17.25" customHeight="1" thickBot="1">
      <c r="B75" s="37" t="n"/>
      <c r="C75" s="37" t="n"/>
      <c r="D75" s="28" t="n"/>
    </row>
    <row r="76" customFormat="1" s="8">
      <c r="A76" s="1" t="inlineStr">
        <is>
          <t>買進日期</t>
        </is>
      </c>
      <c r="B76" s="2" t="inlineStr">
        <is>
          <t>種類</t>
        </is>
      </c>
      <c r="C76" s="3" t="inlineStr">
        <is>
          <t>股票代號</t>
        </is>
      </c>
      <c r="D76" s="4" t="inlineStr">
        <is>
          <t>股票名稱</t>
        </is>
      </c>
      <c r="E76" s="4" t="inlineStr">
        <is>
          <t>股數</t>
        </is>
      </c>
      <c r="F76" s="4" t="inlineStr">
        <is>
          <t>買進價</t>
        </is>
      </c>
      <c r="G76" s="4" t="inlineStr">
        <is>
          <t>成交金額</t>
        </is>
      </c>
      <c r="H76" s="432" t="inlineStr">
        <is>
          <t>手續費</t>
        </is>
      </c>
      <c r="I76" s="140" t="inlineStr">
        <is>
          <t>賣出日期</t>
        </is>
      </c>
      <c r="J76" s="4" t="inlineStr">
        <is>
          <t>賣出價</t>
        </is>
      </c>
      <c r="K76" s="4" t="inlineStr">
        <is>
          <t>成交金額</t>
        </is>
      </c>
      <c r="L76" s="432" t="inlineStr">
        <is>
          <t>手續費</t>
        </is>
      </c>
      <c r="M76" s="432" t="inlineStr">
        <is>
          <t>交易稅</t>
        </is>
      </c>
      <c r="N76" s="3" t="inlineStr">
        <is>
          <t>證所稅</t>
        </is>
      </c>
      <c r="O76" s="4" t="inlineStr">
        <is>
          <t>參考現值</t>
        </is>
      </c>
      <c r="P76" s="433" t="inlineStr">
        <is>
          <t>已實現損益</t>
        </is>
      </c>
      <c r="Q76" s="4" t="inlineStr">
        <is>
          <t>未實現損益</t>
        </is>
      </c>
      <c r="R76" s="4" t="inlineStr">
        <is>
          <t>除息</t>
        </is>
      </c>
      <c r="S76" s="68" t="inlineStr">
        <is>
          <t>手續費</t>
        </is>
      </c>
      <c r="T76" s="68" t="inlineStr">
        <is>
          <t>健保補充保費</t>
        </is>
      </c>
      <c r="U76" s="68" t="inlineStr">
        <is>
          <t>實質扣抵稅率</t>
        </is>
      </c>
      <c r="V76" s="68" t="inlineStr">
        <is>
          <t>扣抵稅率</t>
        </is>
      </c>
      <c r="W76" s="68" t="inlineStr">
        <is>
          <t>所得稅率</t>
        </is>
      </c>
      <c r="X76" s="4" t="inlineStr">
        <is>
          <t>投資報酬率</t>
        </is>
      </c>
      <c r="Y76" s="4" t="inlineStr">
        <is>
          <t>今日股價</t>
        </is>
      </c>
      <c r="Z76" s="7" t="inlineStr">
        <is>
          <t>漲跌</t>
        </is>
      </c>
      <c r="AA76" s="86" t="n"/>
      <c r="AC76" s="309" t="n"/>
    </row>
    <row r="77">
      <c r="A77" s="18">
        <f>MIN(A80:A80)</f>
        <v/>
      </c>
      <c r="B77" s="19" t="n"/>
      <c r="C77" s="20" t="n"/>
      <c r="D77" s="19" t="n"/>
      <c r="E77" s="19" t="n"/>
      <c r="F77" s="19" t="n"/>
      <c r="G77" s="19" t="n"/>
      <c r="H77" s="19" t="n"/>
      <c r="I77" s="21" t="n"/>
      <c r="J77" s="22" t="n"/>
      <c r="K77" s="19" t="n"/>
      <c r="L77" s="443" t="n"/>
      <c r="M77" s="19" t="n"/>
      <c r="N77" s="19" t="n"/>
      <c r="O77" s="444" t="n"/>
      <c r="P77" s="445" t="n"/>
      <c r="Q77" s="445" t="n"/>
      <c r="R77" s="445" t="n"/>
      <c r="S77" s="445" t="n"/>
      <c r="T77" s="445" t="n"/>
      <c r="U77" s="445" t="n"/>
      <c r="V77" s="74" t="n"/>
      <c r="W77" s="77" t="n"/>
      <c r="X77" s="446" t="n"/>
      <c r="Y77" s="22" t="n"/>
      <c r="Z77" s="27" t="n"/>
      <c r="AA77" s="28" t="n"/>
      <c r="AB77" s="9" t="n"/>
      <c r="AC77" s="312" t="n"/>
    </row>
    <row r="78">
      <c r="A78" s="224" t="n">
        <v>45550</v>
      </c>
      <c r="B78" s="11" t="inlineStr">
        <is>
          <t>普通買進</t>
        </is>
      </c>
      <c r="C78" s="313" t="inlineStr">
        <is>
          <t>SNPS</t>
        </is>
      </c>
      <c r="D78" s="189">
        <f>VLOOKUP(C78,美股行情!A:C,2,FALSE)</f>
        <v/>
      </c>
      <c r="E78" s="11" t="n">
        <v>1</v>
      </c>
      <c r="F78" s="11" t="n">
        <v>432.3</v>
      </c>
      <c r="G78" s="11">
        <f>E78*F78</f>
        <v/>
      </c>
      <c r="H78" s="484">
        <f>G78*0.25%</f>
        <v/>
      </c>
      <c r="I78" s="104" t="n">
        <v>46087</v>
      </c>
      <c r="J78" s="16" t="n">
        <v>433.82</v>
      </c>
      <c r="K78" s="11">
        <f>E78*J78</f>
        <v/>
      </c>
      <c r="L78" s="17" t="n">
        <v>1.08</v>
      </c>
      <c r="M78" s="11" t="n"/>
      <c r="N78" s="11" t="n">
        <v>0</v>
      </c>
      <c r="O78" s="434">
        <f>IF(I78="",E78*Y78,0)</f>
        <v/>
      </c>
      <c r="P78" s="435">
        <f>IF(I78="",R78-H78,(K78-H78-SUM(L78:N78)+R78-S78-T78)-G78)+(ROUND(R78*V78,0)-ROUND(R78*(1+V78),0)*W78)</f>
        <v/>
      </c>
      <c r="Q78" s="435">
        <f>IF(I78="",(O78-G78-(O78*0.1425%*0.65)-(O78*0.3%)-S78-T78),0)</f>
        <v/>
      </c>
      <c r="R78" s="435" t="n"/>
      <c r="S78" s="435" t="n">
        <v>0</v>
      </c>
      <c r="T78" s="435">
        <f>IF(ROUND(R78*(1+V78),0)&gt;20000,ROUND(ROUND(R78*(1+V78),0)*2%,0),0)</f>
        <v/>
      </c>
      <c r="U78" s="69">
        <f>(V78*50%)/(1+50%*V78)</f>
        <v/>
      </c>
      <c r="V78" s="69" t="n"/>
      <c r="W78" s="70" t="n">
        <v>0.11</v>
      </c>
      <c r="X78" s="436">
        <f>(P78+Q78)/G78</f>
        <v/>
      </c>
      <c r="Y78" s="16">
        <f>VLOOKUP(C78,美股行情!A:C,3,FALSE)</f>
        <v/>
      </c>
      <c r="Z78" s="437">
        <f>VLOOKUP(C78,美股行情!A:G,7,FALSE)</f>
        <v/>
      </c>
      <c r="AA78" s="103" t="n"/>
      <c r="AB78" s="9" t="n"/>
      <c r="AC78" s="312" t="n"/>
    </row>
    <row r="79">
      <c r="A79" s="224" t="n">
        <v>45442</v>
      </c>
      <c r="B79" s="11" t="inlineStr">
        <is>
          <t>普通買進</t>
        </is>
      </c>
      <c r="C79" s="225" t="inlineStr">
        <is>
          <t>NVDA</t>
        </is>
      </c>
      <c r="D79" s="189">
        <f>VLOOKUP(C79,美股行情!A:C,2,FALSE)</f>
        <v/>
      </c>
      <c r="E79" s="11" t="n">
        <v>80</v>
      </c>
      <c r="F79" s="11" t="n">
        <v>114.6</v>
      </c>
      <c r="G79" s="11">
        <f>E79*F79</f>
        <v/>
      </c>
      <c r="H79" s="485">
        <f>G79*0.25%</f>
        <v/>
      </c>
      <c r="I79" s="104" t="n"/>
      <c r="J79" s="16" t="n"/>
      <c r="K79" s="11">
        <f>E79*J79</f>
        <v/>
      </c>
      <c r="L79" s="17" t="n"/>
      <c r="M79" s="11" t="n"/>
      <c r="N79" s="11" t="n">
        <v>0</v>
      </c>
      <c r="O79" s="434">
        <f>IF(I79="",E79*Y79,0)</f>
        <v/>
      </c>
      <c r="P79" s="435">
        <f>IF(I79="",R79-H79,(K79-H79-SUM(L79:N79)+R79-S79-T79)-G79)+(ROUND(R79*V79,0)-ROUND(R79*(1+V79),0)*W79)</f>
        <v/>
      </c>
      <c r="Q79" s="435">
        <f>IF(I79="",(O79-G79-(O79*0.1425%*0.65)-(O79*0.3%)-S79-T79),0)</f>
        <v/>
      </c>
      <c r="R79" s="435">
        <f>0.56+0.56+0.56</f>
        <v/>
      </c>
      <c r="S79" s="435" t="n">
        <v>0</v>
      </c>
      <c r="T79" s="435">
        <f>IF(ROUND(R79*(1+V79),0)&gt;20000,ROUND(ROUND(R79*(1+V79),0)*2%,0),0)</f>
        <v/>
      </c>
      <c r="U79" s="69">
        <f>(V79*50%)/(1+50%*V79)</f>
        <v/>
      </c>
      <c r="V79" s="69" t="n"/>
      <c r="W79" s="70" t="n">
        <v>0.11</v>
      </c>
      <c r="X79" s="436">
        <f>(P79+Q79)/G79</f>
        <v/>
      </c>
      <c r="Y79" s="16">
        <f>VLOOKUP(C79,美股行情!A:C,3,FALSE)</f>
        <v/>
      </c>
      <c r="Z79" s="437">
        <f>VLOOKUP(C79,美股行情!A:G,7,FALSE)</f>
        <v/>
      </c>
      <c r="AA79" s="103" t="n"/>
      <c r="AB79" s="9" t="n"/>
      <c r="AC79" s="312" t="n"/>
    </row>
    <row r="80" ht="17.25" customHeight="1" thickBot="1">
      <c r="A80" s="48" t="n"/>
      <c r="B80" s="49" t="n"/>
      <c r="C80" s="49" t="n"/>
      <c r="D80" s="49" t="n"/>
      <c r="E80" s="49" t="n"/>
      <c r="F80" s="49" t="n"/>
      <c r="G80" s="49" t="n"/>
      <c r="H80" s="49" t="n"/>
      <c r="I80" s="50" t="n"/>
      <c r="J80" s="51" t="n"/>
      <c r="K80" s="49" t="n"/>
      <c r="L80" s="447" t="n"/>
      <c r="M80" s="49" t="n"/>
      <c r="N80" s="49" t="n"/>
      <c r="O80" s="448" t="n"/>
      <c r="P80" s="449" t="n"/>
      <c r="Q80" s="449" t="n"/>
      <c r="R80" s="449" t="n"/>
      <c r="S80" s="449" t="n"/>
      <c r="T80" s="450" t="n"/>
      <c r="U80" s="449" t="n"/>
      <c r="V80" s="449" t="n"/>
      <c r="W80" s="78" t="n"/>
      <c r="X80" s="451" t="n"/>
      <c r="Y80" s="51" t="n"/>
      <c r="Z80" s="56" t="n"/>
      <c r="AA80" s="28" t="n"/>
      <c r="AB80" s="9" t="n"/>
      <c r="AC80" s="312" t="n"/>
    </row>
    <row r="81" ht="17.25" customFormat="1" customHeight="1" s="36" thickBot="1">
      <c r="A81" s="9" t="n"/>
      <c r="B81" s="9" t="n"/>
      <c r="C81" s="9" t="n"/>
      <c r="D81" s="179" t="inlineStr">
        <is>
          <t>外幣總計</t>
        </is>
      </c>
      <c r="E81" s="486" t="n"/>
      <c r="F81" s="460" t="n"/>
      <c r="G81" s="63">
        <f>SUM(G77:G80)</f>
        <v/>
      </c>
      <c r="H81" s="63">
        <f>SUM(H77:H80)</f>
        <v/>
      </c>
      <c r="I81" s="486" t="n"/>
      <c r="J81" s="460" t="n"/>
      <c r="K81" s="63">
        <f>SUM(K77:K80)</f>
        <v/>
      </c>
      <c r="L81" s="63">
        <f>SUM(L77:L80)</f>
        <v/>
      </c>
      <c r="M81" s="63">
        <f>SUM(M77:M80)</f>
        <v/>
      </c>
      <c r="N81" s="63">
        <f>SUM(N77:N80)</f>
        <v/>
      </c>
      <c r="O81" s="63">
        <f>SUM(O77:O80)</f>
        <v/>
      </c>
      <c r="P81" s="472">
        <f>SUM(P77:P80)</f>
        <v/>
      </c>
      <c r="Q81" s="461">
        <f>SUM(Q77:Q80)</f>
        <v/>
      </c>
      <c r="R81" s="63">
        <f>SUM(R77:R80)</f>
        <v/>
      </c>
      <c r="S81" s="72" t="n"/>
      <c r="T81" s="72" t="n"/>
      <c r="U81" s="72" t="n"/>
      <c r="V81" s="72" t="n"/>
      <c r="W81" s="72" t="n"/>
      <c r="X81" s="487">
        <f>(P81+Q81)/G81</f>
        <v/>
      </c>
      <c r="Y81" s="9" t="n"/>
      <c r="Z81" s="9" t="n"/>
      <c r="AA81" s="87" t="n"/>
    </row>
    <row r="82" ht="17.25" customFormat="1" customHeight="1" s="36" thickBot="1">
      <c r="A82" s="9" t="n"/>
      <c r="B82" s="9" t="n"/>
      <c r="C82" s="9" t="n"/>
      <c r="D82" s="179" t="inlineStr">
        <is>
          <t>換算台幣總計</t>
        </is>
      </c>
      <c r="E82" s="486" t="n"/>
      <c r="F82" s="460" t="n"/>
      <c r="G82" s="63">
        <f>G81*匯率!B3</f>
        <v/>
      </c>
      <c r="H82" s="63">
        <f>H81*匯率!B3</f>
        <v/>
      </c>
      <c r="I82" s="486" t="n"/>
      <c r="J82" s="460" t="n"/>
      <c r="K82" s="63">
        <f>SUM(K77:K81)</f>
        <v/>
      </c>
      <c r="L82" s="63">
        <f>SUM(L77:L81)</f>
        <v/>
      </c>
      <c r="M82" s="63">
        <f>SUM(M77:M81)</f>
        <v/>
      </c>
      <c r="N82" s="63">
        <f>SUM(N77:N81)</f>
        <v/>
      </c>
      <c r="O82" s="63">
        <f>O81*匯率!B3</f>
        <v/>
      </c>
      <c r="P82" s="472">
        <f>P81*匯率!B3</f>
        <v/>
      </c>
      <c r="Q82" s="63">
        <f>Q81*匯率!B3</f>
        <v/>
      </c>
      <c r="R82" s="63">
        <f>R81*匯率!B3</f>
        <v/>
      </c>
      <c r="S82" s="72" t="n"/>
      <c r="T82" s="72" t="n"/>
      <c r="U82" s="72" t="n"/>
      <c r="V82" s="72" t="n"/>
      <c r="W82" s="72" t="n"/>
      <c r="X82" s="487">
        <f>(P82+Q82)/G82</f>
        <v/>
      </c>
      <c r="Y82" s="9" t="n"/>
      <c r="Z82" s="9" t="n"/>
      <c r="AA82" s="87" t="n"/>
    </row>
    <row r="83">
      <c r="A83" s="37" t="n"/>
      <c r="B83" s="37" t="n"/>
      <c r="C83" s="37" t="n"/>
      <c r="D83" s="28" t="n"/>
    </row>
    <row r="91">
      <c r="E91" s="9">
        <f>SUM(E4:E6,E7:E9)</f>
        <v/>
      </c>
      <c r="F91" s="9">
        <f>SUM('25'!E36:E45)</f>
        <v/>
      </c>
      <c r="G91" s="9">
        <f>E91+F91</f>
        <v/>
      </c>
    </row>
  </sheetData>
  <autoFilter ref="A1:AA85"/>
  <mergeCells count="14">
    <mergeCell ref="I82:J82"/>
    <mergeCell ref="A63:C65"/>
    <mergeCell ref="E67:F74"/>
    <mergeCell ref="I81:J81"/>
    <mergeCell ref="I63:I65"/>
    <mergeCell ref="E81:F81"/>
    <mergeCell ref="E63:F65"/>
    <mergeCell ref="I67:I74"/>
    <mergeCell ref="A67:C74"/>
    <mergeCell ref="U67:U74"/>
    <mergeCell ref="K63:N63"/>
    <mergeCell ref="J63:J65"/>
    <mergeCell ref="Y63:Y65"/>
    <mergeCell ref="E82:F82"/>
  </mergeCells>
  <conditionalFormatting sqref="Z1:AA24 Z61:AA66 Z75:AA75 Z83:AA1048576 AA68:AA74">
    <cfRule type="containsText" priority="215" operator="containsText" dxfId="12" text="△">
      <formula>NOT(ISERROR(SEARCH("△",Z1)))</formula>
    </cfRule>
    <cfRule type="containsText" priority="216" operator="containsText" dxfId="11" text="▽">
      <formula>NOT(ISERROR(SEARCH("▽",Z1)))</formula>
    </cfRule>
  </conditionalFormatting>
  <conditionalFormatting sqref="I22:I24 I61:I62 I77">
    <cfRule type="expression" priority="213" dxfId="204">
      <formula>$I22&gt;(TODAY()-7)</formula>
    </cfRule>
    <cfRule type="expression" priority="214" dxfId="203">
      <formula>$I22&gt;(TODAY()-30)</formula>
    </cfRule>
  </conditionalFormatting>
  <conditionalFormatting sqref="Z2:Z24 Z29:Z61 Z77:Z80">
    <cfRule type="cellIs" priority="211" operator="lessThan" dxfId="8">
      <formula>0</formula>
    </cfRule>
    <cfRule type="cellIs" priority="212" operator="greaterThan" dxfId="7">
      <formula>0</formula>
    </cfRule>
  </conditionalFormatting>
  <conditionalFormatting sqref="Z2:AA21 Z25:AA30 Z37:AA42 Z78:Z79">
    <cfRule type="containsText" priority="207" operator="containsText" dxfId="12" text="▲">
      <formula>NOT(ISERROR(SEARCH("▲",Z2)))</formula>
    </cfRule>
    <cfRule type="containsText" priority="208" operator="containsText" dxfId="11" text="▼">
      <formula>NOT(ISERROR(SEARCH("▼",Z2)))</formula>
    </cfRule>
  </conditionalFormatting>
  <conditionalFormatting sqref="Z76:Z78 Z80:Z81">
    <cfRule type="containsText" priority="203" operator="containsText" dxfId="12" text="△">
      <formula>NOT(ISERROR(SEARCH("△",Z76)))</formula>
    </cfRule>
    <cfRule type="containsText" priority="204" operator="containsText" dxfId="11" text="▽">
      <formula>NOT(ISERROR(SEARCH("▽",Z76)))</formula>
    </cfRule>
  </conditionalFormatting>
  <conditionalFormatting sqref="I80">
    <cfRule type="expression" priority="201" dxfId="204">
      <formula>$I80&gt;(TODAY()-7)</formula>
    </cfRule>
    <cfRule type="expression" priority="202" dxfId="203">
      <formula>$I80&gt;(TODAY()-30)</formula>
    </cfRule>
  </conditionalFormatting>
  <conditionalFormatting sqref="Z82">
    <cfRule type="containsText" priority="197" operator="containsText" dxfId="12" text="△">
      <formula>NOT(ISERROR(SEARCH("△",Z82)))</formula>
    </cfRule>
    <cfRule type="containsText" priority="198" operator="containsText" dxfId="11" text="▽">
      <formula>NOT(ISERROR(SEARCH("▽",Z82)))</formula>
    </cfRule>
  </conditionalFormatting>
  <conditionalFormatting sqref="AA67">
    <cfRule type="containsText" priority="195" operator="containsText" dxfId="12" text="△">
      <formula>NOT(ISERROR(SEARCH("△",AA67)))</formula>
    </cfRule>
    <cfRule type="containsText" priority="196" operator="containsText" dxfId="11" text="▽">
      <formula>NOT(ISERROR(SEARCH("▽",AA67)))</formula>
    </cfRule>
  </conditionalFormatting>
  <conditionalFormatting sqref="Z25:Z28">
    <cfRule type="containsText" priority="189" operator="containsText" dxfId="12" text="▲">
      <formula>NOT(ISERROR(SEARCH("▲",Z25)))</formula>
    </cfRule>
    <cfRule type="containsText" priority="190" operator="containsText" dxfId="11" text="▼">
      <formula>NOT(ISERROR(SEARCH("▼",Z25)))</formula>
    </cfRule>
    <cfRule type="cellIs" priority="155" operator="lessThan" dxfId="8">
      <formula>0</formula>
    </cfRule>
    <cfRule type="cellIs" priority="156" operator="greaterThan" dxfId="7">
      <formula>0</formula>
    </cfRule>
  </conditionalFormatting>
  <conditionalFormatting sqref="AA25">
    <cfRule type="containsText" priority="187" operator="containsText" dxfId="12" text="△">
      <formula>NOT(ISERROR(SEARCH("△",AA25)))</formula>
    </cfRule>
    <cfRule type="containsText" priority="188" operator="containsText" dxfId="11" text="▽">
      <formula>NOT(ISERROR(SEARCH("▽",AA25)))</formula>
    </cfRule>
    <cfRule type="containsText" priority="185" operator="containsText" dxfId="12" text="△">
      <formula>NOT(ISERROR(SEARCH("△",AA25)))</formula>
    </cfRule>
    <cfRule type="containsText" priority="186" operator="containsText" dxfId="11" text="▽">
      <formula>NOT(ISERROR(SEARCH("▽",AA25)))</formula>
    </cfRule>
  </conditionalFormatting>
  <conditionalFormatting sqref="AA27">
    <cfRule type="containsText" priority="183" operator="containsText" dxfId="12" text="△">
      <formula>NOT(ISERROR(SEARCH("△",AA27)))</formula>
    </cfRule>
    <cfRule type="containsText" priority="184" operator="containsText" dxfId="11" text="▽">
      <formula>NOT(ISERROR(SEARCH("▽",AA27)))</formula>
    </cfRule>
    <cfRule type="containsText" priority="181" operator="containsText" dxfId="12" text="△">
      <formula>NOT(ISERROR(SEARCH("△",AA27)))</formula>
    </cfRule>
    <cfRule type="containsText" priority="182" operator="containsText" dxfId="11" text="▽">
      <formula>NOT(ISERROR(SEARCH("▽",AA27)))</formula>
    </cfRule>
  </conditionalFormatting>
  <conditionalFormatting sqref="AA26">
    <cfRule type="containsText" priority="175" operator="containsText" dxfId="12" text="△">
      <formula>NOT(ISERROR(SEARCH("△",AA26)))</formula>
    </cfRule>
    <cfRule type="containsText" priority="176" operator="containsText" dxfId="11" text="▽">
      <formula>NOT(ISERROR(SEARCH("▽",AA26)))</formula>
    </cfRule>
    <cfRule type="containsText" priority="173" operator="containsText" dxfId="12" text="△">
      <formula>NOT(ISERROR(SEARCH("△",AA26)))</formula>
    </cfRule>
    <cfRule type="containsText" priority="174" operator="containsText" dxfId="11" text="▽">
      <formula>NOT(ISERROR(SEARCH("▽",AA26)))</formula>
    </cfRule>
  </conditionalFormatting>
  <conditionalFormatting sqref="AA28">
    <cfRule type="containsText" priority="163" operator="containsText" dxfId="12" text="△">
      <formula>NOT(ISERROR(SEARCH("△",AA28)))</formula>
    </cfRule>
    <cfRule type="containsText" priority="164" operator="containsText" dxfId="11" text="▽">
      <formula>NOT(ISERROR(SEARCH("▽",AA28)))</formula>
    </cfRule>
    <cfRule type="containsText" priority="161" operator="containsText" dxfId="12" text="△">
      <formula>NOT(ISERROR(SEARCH("△",AA28)))</formula>
    </cfRule>
    <cfRule type="containsText" priority="162" operator="containsText" dxfId="11" text="▽">
      <formula>NOT(ISERROR(SEARCH("▽",AA28)))</formula>
    </cfRule>
  </conditionalFormatting>
  <conditionalFormatting sqref="Z29:AA29">
    <cfRule type="containsText" priority="149" operator="containsText" dxfId="12" text="▲">
      <formula>NOT(ISERROR(SEARCH("▲",Z29)))</formula>
    </cfRule>
    <cfRule type="containsText" priority="150" operator="containsText" dxfId="11" text="▼">
      <formula>NOT(ISERROR(SEARCH("▼",Z29)))</formula>
    </cfRule>
  </conditionalFormatting>
  <conditionalFormatting sqref="Z4">
    <cfRule type="cellIs" priority="119" operator="lessThan" dxfId="8">
      <formula>0</formula>
    </cfRule>
    <cfRule type="cellIs" priority="120" operator="greaterThan" dxfId="7">
      <formula>0</formula>
    </cfRule>
  </conditionalFormatting>
  <conditionalFormatting sqref="Z4:AA4">
    <cfRule type="containsText" priority="117" operator="containsText" dxfId="12" text="▲">
      <formula>NOT(ISERROR(SEARCH("▲",Z4)))</formula>
    </cfRule>
    <cfRule type="containsText" priority="118" operator="containsText" dxfId="11" text="▼">
      <formula>NOT(ISERROR(SEARCH("▼",Z4)))</formula>
    </cfRule>
  </conditionalFormatting>
  <conditionalFormatting sqref="Z5:Z20">
    <cfRule type="cellIs" priority="115" operator="lessThan" dxfId="8">
      <formula>0</formula>
    </cfRule>
    <cfRule type="cellIs" priority="116" operator="greaterThan" dxfId="7">
      <formula>0</formula>
    </cfRule>
  </conditionalFormatting>
  <conditionalFormatting sqref="Z5:AA20">
    <cfRule type="containsText" priority="113" operator="containsText" dxfId="12" text="▲">
      <formula>NOT(ISERROR(SEARCH("▲",Z5)))</formula>
    </cfRule>
    <cfRule type="containsText" priority="114" operator="containsText" dxfId="11" text="▼">
      <formula>NOT(ISERROR(SEARCH("▼",Z5)))</formula>
    </cfRule>
  </conditionalFormatting>
  <conditionalFormatting sqref="Z32:AA32">
    <cfRule type="containsText" priority="107" operator="containsText" dxfId="12" text="▲">
      <formula>NOT(ISERROR(SEARCH("▲",Z32)))</formula>
    </cfRule>
    <cfRule type="containsText" priority="108" operator="containsText" dxfId="11" text="▼">
      <formula>NOT(ISERROR(SEARCH("▼",Z32)))</formula>
    </cfRule>
  </conditionalFormatting>
  <conditionalFormatting sqref="Z31:AA31">
    <cfRule type="containsText" priority="105" operator="containsText" dxfId="12" text="▲">
      <formula>NOT(ISERROR(SEARCH("▲",Z31)))</formula>
    </cfRule>
    <cfRule type="containsText" priority="106" operator="containsText" dxfId="11" text="▼">
      <formula>NOT(ISERROR(SEARCH("▼",Z31)))</formula>
    </cfRule>
  </conditionalFormatting>
  <conditionalFormatting sqref="Z7:Z20">
    <cfRule type="cellIs" priority="103" operator="lessThan" dxfId="8">
      <formula>0</formula>
    </cfRule>
    <cfRule type="cellIs" priority="104" operator="greaterThan" dxfId="7">
      <formula>0</formula>
    </cfRule>
  </conditionalFormatting>
  <conditionalFormatting sqref="Z9:AA20">
    <cfRule type="containsText" priority="101" operator="containsText" dxfId="12" text="▲">
      <formula>NOT(ISERROR(SEARCH("▲",Z9)))</formula>
    </cfRule>
    <cfRule type="containsText" priority="102" operator="containsText" dxfId="11" text="▼">
      <formula>NOT(ISERROR(SEARCH("▼",Z9)))</formula>
    </cfRule>
  </conditionalFormatting>
  <conditionalFormatting sqref="Z7:AA7">
    <cfRule type="containsText" priority="99" operator="containsText" dxfId="12" text="▲">
      <formula>NOT(ISERROR(SEARCH("▲",Z7)))</formula>
    </cfRule>
    <cfRule type="containsText" priority="100" operator="containsText" dxfId="11" text="▼">
      <formula>NOT(ISERROR(SEARCH("▼",Z7)))</formula>
    </cfRule>
  </conditionalFormatting>
  <conditionalFormatting sqref="Z34:AA36">
    <cfRule type="containsText" priority="95" operator="containsText" dxfId="12" text="▲">
      <formula>NOT(ISERROR(SEARCH("▲",Z34)))</formula>
    </cfRule>
    <cfRule type="containsText" priority="96" operator="containsText" dxfId="11" text="▼">
      <formula>NOT(ISERROR(SEARCH("▼",Z34)))</formula>
    </cfRule>
  </conditionalFormatting>
  <conditionalFormatting sqref="Z16:AA20">
    <cfRule type="containsText" priority="93" operator="containsText" dxfId="12" text="▲">
      <formula>NOT(ISERROR(SEARCH("▲",Z16)))</formula>
    </cfRule>
    <cfRule type="containsText" priority="94" operator="containsText" dxfId="11" text="▼">
      <formula>NOT(ISERROR(SEARCH("▼",Z16)))</formula>
    </cfRule>
  </conditionalFormatting>
  <conditionalFormatting sqref="Z8:AA8">
    <cfRule type="containsText" priority="91" operator="containsText" dxfId="12" text="▲">
      <formula>NOT(ISERROR(SEARCH("▲",Z8)))</formula>
    </cfRule>
    <cfRule type="containsText" priority="92" operator="containsText" dxfId="11" text="▼">
      <formula>NOT(ISERROR(SEARCH("▼",Z8)))</formula>
    </cfRule>
  </conditionalFormatting>
  <conditionalFormatting sqref="Z17:AA20">
    <cfRule type="containsText" priority="89" operator="containsText" dxfId="12" text="▲">
      <formula>NOT(ISERROR(SEARCH("▲",Z17)))</formula>
    </cfRule>
    <cfRule type="containsText" priority="90" operator="containsText" dxfId="11" text="▼">
      <formula>NOT(ISERROR(SEARCH("▼",Z17)))</formula>
    </cfRule>
  </conditionalFormatting>
  <conditionalFormatting sqref="Z43:AA46">
    <cfRule type="containsText" priority="87" operator="containsText" dxfId="12" text="▲">
      <formula>NOT(ISERROR(SEARCH("▲",Z43)))</formula>
    </cfRule>
    <cfRule type="containsText" priority="88" operator="containsText" dxfId="11" text="▼">
      <formula>NOT(ISERROR(SEARCH("▼",Z43)))</formula>
    </cfRule>
  </conditionalFormatting>
  <conditionalFormatting sqref="Z38:AA41">
    <cfRule type="containsText" priority="85" operator="containsText" dxfId="12" text="▲">
      <formula>NOT(ISERROR(SEARCH("▲",Z38)))</formula>
    </cfRule>
    <cfRule type="containsText" priority="86" operator="containsText" dxfId="11" text="▼">
      <formula>NOT(ISERROR(SEARCH("▼",Z38)))</formula>
    </cfRule>
  </conditionalFormatting>
  <conditionalFormatting sqref="Z47:AA47">
    <cfRule type="containsText" priority="83" operator="containsText" dxfId="12" text="▲">
      <formula>NOT(ISERROR(SEARCH("▲",Z47)))</formula>
    </cfRule>
    <cfRule type="containsText" priority="84" operator="containsText" dxfId="11" text="▼">
      <formula>NOT(ISERROR(SEARCH("▼",Z47)))</formula>
    </cfRule>
  </conditionalFormatting>
  <conditionalFormatting sqref="Z11:AA20">
    <cfRule type="containsText" priority="81" operator="containsText" dxfId="12" text="▲">
      <formula>NOT(ISERROR(SEARCH("▲",Z11)))</formula>
    </cfRule>
    <cfRule type="containsText" priority="82" operator="containsText" dxfId="11" text="▼">
      <formula>NOT(ISERROR(SEARCH("▼",Z11)))</formula>
    </cfRule>
  </conditionalFormatting>
  <conditionalFormatting sqref="Z33:AA33">
    <cfRule type="containsText" priority="79" operator="containsText" dxfId="12" text="▲">
      <formula>NOT(ISERROR(SEARCH("▲",Z33)))</formula>
    </cfRule>
    <cfRule type="containsText" priority="80" operator="containsText" dxfId="11" text="▼">
      <formula>NOT(ISERROR(SEARCH("▼",Z33)))</formula>
    </cfRule>
  </conditionalFormatting>
  <conditionalFormatting sqref="Z12:AA12">
    <cfRule type="containsText" priority="77" operator="containsText" dxfId="12" text="▲">
      <formula>NOT(ISERROR(SEARCH("▲",Z12)))</formula>
    </cfRule>
    <cfRule type="containsText" priority="78" operator="containsText" dxfId="11" text="▼">
      <formula>NOT(ISERROR(SEARCH("▼",Z12)))</formula>
    </cfRule>
  </conditionalFormatting>
  <conditionalFormatting sqref="Z13:AA13">
    <cfRule type="containsText" priority="75" operator="containsText" dxfId="12" text="▲">
      <formula>NOT(ISERROR(SEARCH("▲",Z13)))</formula>
    </cfRule>
    <cfRule type="containsText" priority="76" operator="containsText" dxfId="11" text="▼">
      <formula>NOT(ISERROR(SEARCH("▼",Z13)))</formula>
    </cfRule>
  </conditionalFormatting>
  <conditionalFormatting sqref="Z14:AA14">
    <cfRule type="containsText" priority="73" operator="containsText" dxfId="12" text="▲">
      <formula>NOT(ISERROR(SEARCH("▲",Z14)))</formula>
    </cfRule>
    <cfRule type="containsText" priority="74" operator="containsText" dxfId="11" text="▼">
      <formula>NOT(ISERROR(SEARCH("▼",Z14)))</formula>
    </cfRule>
  </conditionalFormatting>
  <conditionalFormatting sqref="Z14">
    <cfRule type="containsText" priority="71" operator="containsText" dxfId="12" text="▲">
      <formula>NOT(ISERROR(SEARCH("▲",Z14)))</formula>
    </cfRule>
    <cfRule type="containsText" priority="72" operator="containsText" dxfId="11" text="▼">
      <formula>NOT(ISERROR(SEARCH("▼",Z14)))</formula>
    </cfRule>
    <cfRule type="cellIs" priority="65" operator="lessThan" dxfId="8">
      <formula>0</formula>
    </cfRule>
    <cfRule type="cellIs" priority="66" operator="greaterThan" dxfId="7">
      <formula>0</formula>
    </cfRule>
  </conditionalFormatting>
  <conditionalFormatting sqref="AA14">
    <cfRule type="containsText" priority="69" operator="containsText" dxfId="12" text="△">
      <formula>NOT(ISERROR(SEARCH("△",AA14)))</formula>
    </cfRule>
    <cfRule type="containsText" priority="70" operator="containsText" dxfId="11" text="▽">
      <formula>NOT(ISERROR(SEARCH("▽",AA14)))</formula>
    </cfRule>
    <cfRule type="containsText" priority="67" operator="containsText" dxfId="12" text="△">
      <formula>NOT(ISERROR(SEARCH("△",AA14)))</formula>
    </cfRule>
    <cfRule type="containsText" priority="68" operator="containsText" dxfId="11" text="▽">
      <formula>NOT(ISERROR(SEARCH("▽",AA14)))</formula>
    </cfRule>
  </conditionalFormatting>
  <conditionalFormatting sqref="Z15:AA20">
    <cfRule type="containsText" priority="63" operator="containsText" dxfId="12" text="▲">
      <formula>NOT(ISERROR(SEARCH("▲",Z15)))</formula>
    </cfRule>
    <cfRule type="containsText" priority="64" operator="containsText" dxfId="11" text="▼">
      <formula>NOT(ISERROR(SEARCH("▼",Z15)))</formula>
    </cfRule>
  </conditionalFormatting>
  <conditionalFormatting sqref="Z18:AA20">
    <cfRule type="containsText" priority="61" operator="containsText" dxfId="12" text="▲">
      <formula>NOT(ISERROR(SEARCH("▲",Z18)))</formula>
    </cfRule>
    <cfRule type="containsText" priority="62" operator="containsText" dxfId="11" text="▼">
      <formula>NOT(ISERROR(SEARCH("▼",Z18)))</formula>
    </cfRule>
  </conditionalFormatting>
  <conditionalFormatting sqref="Z44:AA46">
    <cfRule type="containsText" priority="59" operator="containsText" dxfId="12" text="▲">
      <formula>NOT(ISERROR(SEARCH("▲",Z44)))</formula>
    </cfRule>
    <cfRule type="containsText" priority="60" operator="containsText" dxfId="11" text="▼">
      <formula>NOT(ISERROR(SEARCH("▼",Z44)))</formula>
    </cfRule>
  </conditionalFormatting>
  <conditionalFormatting sqref="Z39:AA41">
    <cfRule type="containsText" priority="57" operator="containsText" dxfId="12" text="▲">
      <formula>NOT(ISERROR(SEARCH("▲",Z39)))</formula>
    </cfRule>
    <cfRule type="containsText" priority="58" operator="containsText" dxfId="11" text="▼">
      <formula>NOT(ISERROR(SEARCH("▼",Z39)))</formula>
    </cfRule>
  </conditionalFormatting>
  <conditionalFormatting sqref="Z48:AA48">
    <cfRule type="containsText" priority="45" operator="containsText" dxfId="12" text="▲">
      <formula>NOT(ISERROR(SEARCH("▲",Z48)))</formula>
    </cfRule>
    <cfRule type="containsText" priority="46" operator="containsText" dxfId="11" text="▼">
      <formula>NOT(ISERROR(SEARCH("▼",Z48)))</formula>
    </cfRule>
  </conditionalFormatting>
  <conditionalFormatting sqref="Z40:AA41">
    <cfRule type="containsText" priority="43" operator="containsText" dxfId="12" text="▲">
      <formula>NOT(ISERROR(SEARCH("▲",Z40)))</formula>
    </cfRule>
    <cfRule type="containsText" priority="44" operator="containsText" dxfId="11" text="▼">
      <formula>NOT(ISERROR(SEARCH("▼",Z40)))</formula>
    </cfRule>
  </conditionalFormatting>
  <conditionalFormatting sqref="Z45:AA46">
    <cfRule type="containsText" priority="41" operator="containsText" dxfId="12" text="▲">
      <formula>NOT(ISERROR(SEARCH("▲",Z45)))</formula>
    </cfRule>
    <cfRule type="containsText" priority="42" operator="containsText" dxfId="11" text="▼">
      <formula>NOT(ISERROR(SEARCH("▼",Z45)))</formula>
    </cfRule>
  </conditionalFormatting>
  <conditionalFormatting sqref="Z49:AA49">
    <cfRule type="containsText" priority="39" operator="containsText" dxfId="12" text="▲">
      <formula>NOT(ISERROR(SEARCH("▲",Z49)))</formula>
    </cfRule>
    <cfRule type="containsText" priority="40" operator="containsText" dxfId="11" text="▼">
      <formula>NOT(ISERROR(SEARCH("▼",Z49)))</formula>
    </cfRule>
  </conditionalFormatting>
  <conditionalFormatting sqref="Z20:AA20">
    <cfRule type="containsText" priority="37" operator="containsText" dxfId="12" text="▲">
      <formula>NOT(ISERROR(SEARCH("▲",Z20)))</formula>
    </cfRule>
    <cfRule type="containsText" priority="38" operator="containsText" dxfId="11" text="▼">
      <formula>NOT(ISERROR(SEARCH("▼",Z20)))</formula>
    </cfRule>
  </conditionalFormatting>
  <conditionalFormatting sqref="Z50:AA52">
    <cfRule type="containsText" priority="35" operator="containsText" dxfId="12" text="▲">
      <formula>NOT(ISERROR(SEARCH("▲",Z50)))</formula>
    </cfRule>
    <cfRule type="containsText" priority="36" operator="containsText" dxfId="11" text="▼">
      <formula>NOT(ISERROR(SEARCH("▼",Z50)))</formula>
    </cfRule>
  </conditionalFormatting>
  <conditionalFormatting sqref="Z35:AA36">
    <cfRule type="containsText" priority="27" operator="containsText" dxfId="12" text="▲">
      <formula>NOT(ISERROR(SEARCH("▲",Z35)))</formula>
    </cfRule>
    <cfRule type="containsText" priority="28" operator="containsText" dxfId="11" text="▼">
      <formula>NOT(ISERROR(SEARCH("▼",Z35)))</formula>
    </cfRule>
  </conditionalFormatting>
  <conditionalFormatting sqref="Z41:AA41">
    <cfRule type="containsText" priority="25" operator="containsText" dxfId="12" text="▲">
      <formula>NOT(ISERROR(SEARCH("▲",Z41)))</formula>
    </cfRule>
    <cfRule type="containsText" priority="26" operator="containsText" dxfId="11" text="▼">
      <formula>NOT(ISERROR(SEARCH("▼",Z41)))</formula>
    </cfRule>
  </conditionalFormatting>
  <conditionalFormatting sqref="Z46:AA46">
    <cfRule type="containsText" priority="23" operator="containsText" dxfId="12" text="▲">
      <formula>NOT(ISERROR(SEARCH("▲",Z46)))</formula>
    </cfRule>
    <cfRule type="containsText" priority="24" operator="containsText" dxfId="11" text="▼">
      <formula>NOT(ISERROR(SEARCH("▼",Z46)))</formula>
    </cfRule>
  </conditionalFormatting>
  <conditionalFormatting sqref="Z53:AA53">
    <cfRule type="containsText" priority="21" operator="containsText" dxfId="12" text="▲">
      <formula>NOT(ISERROR(SEARCH("▲",Z53)))</formula>
    </cfRule>
    <cfRule type="containsText" priority="22" operator="containsText" dxfId="11" text="▼">
      <formula>NOT(ISERROR(SEARCH("▼",Z53)))</formula>
    </cfRule>
  </conditionalFormatting>
  <conditionalFormatting sqref="Z36:AA36">
    <cfRule type="containsText" priority="19" operator="containsText" dxfId="12" text="▲">
      <formula>NOT(ISERROR(SEARCH("▲",Z36)))</formula>
    </cfRule>
    <cfRule type="containsText" priority="20" operator="containsText" dxfId="11" text="▼">
      <formula>NOT(ISERROR(SEARCH("▼",Z36)))</formula>
    </cfRule>
  </conditionalFormatting>
  <conditionalFormatting sqref="Z54:AA54 Z56:AA56">
    <cfRule type="containsText" priority="17" operator="containsText" dxfId="12" text="▲">
      <formula>NOT(ISERROR(SEARCH("▲",Z54)))</formula>
    </cfRule>
    <cfRule type="containsText" priority="18" operator="containsText" dxfId="11" text="▼">
      <formula>NOT(ISERROR(SEARCH("▼",Z54)))</formula>
    </cfRule>
  </conditionalFormatting>
  <conditionalFormatting sqref="Z19:AA20">
    <cfRule type="containsText" priority="15" operator="containsText" dxfId="12" text="▲">
      <formula>NOT(ISERROR(SEARCH("▲",Z19)))</formula>
    </cfRule>
    <cfRule type="containsText" priority="16" operator="containsText" dxfId="11" text="▼">
      <formula>NOT(ISERROR(SEARCH("▼",Z19)))</formula>
    </cfRule>
  </conditionalFormatting>
  <conditionalFormatting sqref="Z51:AA52">
    <cfRule type="containsText" priority="13" operator="containsText" dxfId="12" text="▲">
      <formula>NOT(ISERROR(SEARCH("▲",Z51)))</formula>
    </cfRule>
    <cfRule type="containsText" priority="14" operator="containsText" dxfId="11" text="▼">
      <formula>NOT(ISERROR(SEARCH("▼",Z51)))</formula>
    </cfRule>
  </conditionalFormatting>
  <conditionalFormatting sqref="Z55:AA55">
    <cfRule type="containsText" priority="11" operator="containsText" dxfId="12" text="▲">
      <formula>NOT(ISERROR(SEARCH("▲",Z55)))</formula>
    </cfRule>
    <cfRule type="containsText" priority="12" operator="containsText" dxfId="11" text="▼">
      <formula>NOT(ISERROR(SEARCH("▼",Z55)))</formula>
    </cfRule>
  </conditionalFormatting>
  <conditionalFormatting sqref="Z57:AA57">
    <cfRule type="containsText" priority="9" operator="containsText" dxfId="12" text="▲">
      <formula>NOT(ISERROR(SEARCH("▲",Z57)))</formula>
    </cfRule>
    <cfRule type="containsText" priority="10" operator="containsText" dxfId="11" text="▼">
      <formula>NOT(ISERROR(SEARCH("▼",Z57)))</formula>
    </cfRule>
  </conditionalFormatting>
  <conditionalFormatting sqref="Z52:AA52">
    <cfRule type="containsText" priority="7" operator="containsText" dxfId="12" text="▲">
      <formula>NOT(ISERROR(SEARCH("▲",Z52)))</formula>
    </cfRule>
    <cfRule type="containsText" priority="8" operator="containsText" dxfId="11" text="▼">
      <formula>NOT(ISERROR(SEARCH("▼",Z52)))</formula>
    </cfRule>
  </conditionalFormatting>
  <conditionalFormatting sqref="Z58:AA58">
    <cfRule type="containsText" priority="5" operator="containsText" dxfId="12" text="▲">
      <formula>NOT(ISERROR(SEARCH("▲",Z58)))</formula>
    </cfRule>
    <cfRule type="containsText" priority="6" operator="containsText" dxfId="11" text="▼">
      <formula>NOT(ISERROR(SEARCH("▼",Z58)))</formula>
    </cfRule>
  </conditionalFormatting>
  <conditionalFormatting sqref="Z59:AA59">
    <cfRule type="containsText" priority="3" operator="containsText" dxfId="12" text="▲">
      <formula>NOT(ISERROR(SEARCH("▲",Z59)))</formula>
    </cfRule>
    <cfRule type="containsText" priority="4" operator="containsText" dxfId="11" text="▼">
      <formula>NOT(ISERROR(SEARCH("▼",Z59)))</formula>
    </cfRule>
  </conditionalFormatting>
  <conditionalFormatting sqref="Z60:AA60">
    <cfRule type="containsText" priority="1" operator="containsText" dxfId="12" text="▲">
      <formula>NOT(ISERROR(SEARCH("▲",Z60)))</formula>
    </cfRule>
    <cfRule type="containsText" priority="2" operator="containsText" dxfId="11" text="▼">
      <formula>NOT(ISERROR(SEARCH("▼",Z60)))</formula>
    </cfRule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codeName="Sheet20">
    <outlinePr summaryBelow="0" summaryRight="0"/>
    <pageSetUpPr/>
  </sheetPr>
  <dimension ref="A1:AC72"/>
  <sheetViews>
    <sheetView zoomScale="85" zoomScaleNormal="85" workbookViewId="0">
      <pane xSplit="4" ySplit="1" topLeftCell="E14" activePane="bottomRight" state="frozen"/>
      <selection activeCell="F42" sqref="F42"/>
      <selection pane="topRight" activeCell="F42" sqref="F42"/>
      <selection pane="bottomLeft" activeCell="F42" sqref="F42"/>
      <selection pane="bottomRight" activeCell="C32" sqref="C32"/>
    </sheetView>
  </sheetViews>
  <sheetFormatPr baseColWidth="8" defaultColWidth="9" defaultRowHeight="16.5" outlineLevelRow="1"/>
  <cols>
    <col width="11.125" customWidth="1" style="9" min="1" max="1"/>
    <col hidden="1" width="10" customWidth="1" style="9" min="2" max="2"/>
    <col width="11.375" customWidth="1" style="9" min="3" max="3"/>
    <col width="16.875" bestFit="1" customWidth="1" style="194" min="4" max="4"/>
    <col width="7.125" customWidth="1" style="9" min="5" max="5"/>
    <col width="9.125" customWidth="1" style="9" min="6" max="6"/>
    <col width="12.625" bestFit="1" customWidth="1" style="9" min="7" max="7"/>
    <col width="9.125" customWidth="1" style="9" min="8" max="8"/>
    <col width="11.5" bestFit="1" customWidth="1" style="9" min="9" max="9"/>
    <col outlineLevel="1" width="9.375" customWidth="1" style="9" min="10" max="10"/>
    <col outlineLevel="1" width="13" customWidth="1" style="9" min="11" max="11"/>
    <col outlineLevel="1" width="9.625" customWidth="1" style="9" min="12" max="13"/>
    <col outlineLevel="1" width="9.125" customWidth="1" style="9" min="14" max="14"/>
    <col width="11.375" customWidth="1" style="9" min="15" max="15"/>
    <col width="13.375" customWidth="1" style="9" min="16" max="16"/>
    <col width="13.125" customWidth="1" style="9" min="17" max="17"/>
    <col collapsed="1" width="9.5" bestFit="1" customWidth="1" style="9" min="18" max="18"/>
    <col hidden="1" outlineLevel="1" width="11.625" customWidth="1" style="9" min="19" max="19"/>
    <col hidden="1" outlineLevel="1" width="18.625" customWidth="1" style="9" min="20" max="20"/>
    <col collapsed="1" width="18.625" bestFit="1" customWidth="1" style="9" min="21" max="21"/>
    <col hidden="1" outlineLevel="1" width="12.375" customWidth="1" style="9" min="22" max="23"/>
    <col width="13.875" customWidth="1" style="9" min="24" max="24"/>
    <col width="13.375" bestFit="1" customWidth="1" style="9" min="25" max="25"/>
    <col width="12.125" customWidth="1" style="9" min="26" max="26"/>
    <col width="12.875" customWidth="1" style="9" min="27" max="27"/>
    <col width="14.5" bestFit="1" customWidth="1" style="28" min="28" max="28"/>
    <col width="37.75" customWidth="1" style="311" min="29" max="29"/>
    <col width="22.625" bestFit="1" customWidth="1" style="9" min="30" max="30"/>
    <col width="9" customWidth="1" style="9" min="31" max="16384"/>
  </cols>
  <sheetData>
    <row r="1" customFormat="1" s="8">
      <c r="A1" s="1" t="inlineStr">
        <is>
          <t>買進日期</t>
        </is>
      </c>
      <c r="B1" s="2" t="inlineStr">
        <is>
          <t>種類</t>
        </is>
      </c>
      <c r="C1" s="3" t="inlineStr">
        <is>
          <t>股票代號</t>
        </is>
      </c>
      <c r="D1" s="190" t="inlineStr">
        <is>
          <t>股票名稱</t>
        </is>
      </c>
      <c r="E1" s="4" t="inlineStr">
        <is>
          <t>股數</t>
        </is>
      </c>
      <c r="F1" s="4" t="inlineStr">
        <is>
          <t>買進價</t>
        </is>
      </c>
      <c r="G1" s="4" t="inlineStr">
        <is>
          <t>成交金額</t>
        </is>
      </c>
      <c r="H1" s="432" t="inlineStr">
        <is>
          <t>手續費</t>
        </is>
      </c>
      <c r="I1" s="210" t="inlineStr">
        <is>
          <t>賣出日期</t>
        </is>
      </c>
      <c r="J1" s="4" t="inlineStr">
        <is>
          <t>賣出價</t>
        </is>
      </c>
      <c r="K1" s="4" t="inlineStr">
        <is>
          <t>成交金額</t>
        </is>
      </c>
      <c r="L1" s="432" t="inlineStr">
        <is>
          <t>手續費</t>
        </is>
      </c>
      <c r="M1" s="432" t="inlineStr">
        <is>
          <t>交易稅</t>
        </is>
      </c>
      <c r="N1" s="3" t="inlineStr">
        <is>
          <t>證所稅</t>
        </is>
      </c>
      <c r="O1" s="4" t="inlineStr">
        <is>
          <t>參考現值</t>
        </is>
      </c>
      <c r="P1" s="433" t="inlineStr">
        <is>
          <t>已實現損益</t>
        </is>
      </c>
      <c r="Q1" s="4" t="inlineStr">
        <is>
          <t>未實現損益</t>
        </is>
      </c>
      <c r="R1" s="4" t="inlineStr">
        <is>
          <t>除息</t>
        </is>
      </c>
      <c r="S1" s="68" t="inlineStr">
        <is>
          <t>手續費</t>
        </is>
      </c>
      <c r="T1" s="68" t="inlineStr">
        <is>
          <t>健保補充保費</t>
        </is>
      </c>
      <c r="U1" s="68" t="inlineStr">
        <is>
          <t>實質扣抵稅率</t>
        </is>
      </c>
      <c r="V1" s="68" t="inlineStr">
        <is>
          <t>扣抵稅率</t>
        </is>
      </c>
      <c r="W1" s="68" t="inlineStr">
        <is>
          <t>所得稅率</t>
        </is>
      </c>
      <c r="X1" s="4" t="inlineStr">
        <is>
          <t>投資報酬率</t>
        </is>
      </c>
      <c r="Y1" s="4" t="inlineStr">
        <is>
          <t>今日股價</t>
        </is>
      </c>
      <c r="Z1" s="7" t="inlineStr">
        <is>
          <t>漲跌</t>
        </is>
      </c>
      <c r="AA1" s="89" t="n"/>
      <c r="AB1" s="86" t="inlineStr">
        <is>
          <t>買進理由</t>
        </is>
      </c>
      <c r="AC1" s="309" t="inlineStr">
        <is>
          <t>賣出理由</t>
        </is>
      </c>
    </row>
    <row r="2">
      <c r="A2" s="99" t="n">
        <v>45695</v>
      </c>
      <c r="B2" s="11" t="n"/>
      <c r="C2" s="11" t="n">
        <v>6438</v>
      </c>
      <c r="D2" s="189" t="inlineStr">
        <is>
          <t>迅得</t>
        </is>
      </c>
      <c r="E2" s="11" t="n">
        <v>1000</v>
      </c>
      <c r="F2" s="11" t="n">
        <v>248.5</v>
      </c>
      <c r="G2" s="11" t="n">
        <v>248500</v>
      </c>
      <c r="H2" s="11" t="n">
        <v>354</v>
      </c>
      <c r="I2" s="104" t="n">
        <v>45702</v>
      </c>
      <c r="J2" s="16" t="n">
        <v>216.5</v>
      </c>
      <c r="K2" s="11" t="n">
        <v>216500</v>
      </c>
      <c r="L2" s="11" t="n">
        <v>308</v>
      </c>
      <c r="M2" s="11" t="n">
        <v>649</v>
      </c>
      <c r="N2" s="11" t="n">
        <v>0</v>
      </c>
      <c r="O2" s="434" t="n">
        <v>0</v>
      </c>
      <c r="P2" s="435" t="n">
        <v>-33311</v>
      </c>
      <c r="Q2" s="435" t="n">
        <v>0</v>
      </c>
      <c r="R2" s="435" t="n"/>
      <c r="S2" s="435" t="n"/>
      <c r="T2" s="435" t="n"/>
      <c r="U2" s="69" t="n">
        <v>0</v>
      </c>
      <c r="V2" s="69" t="n"/>
      <c r="W2" s="70" t="n">
        <v>0.11</v>
      </c>
      <c r="X2" s="436" t="n">
        <v>-0.1340482897384306</v>
      </c>
      <c r="Y2" s="16">
        <f>VLOOKUP(C2,台股行情!A:D,4,FALSE)</f>
        <v/>
      </c>
      <c r="Z2" s="437">
        <f>VLOOKUP(C2,台股行情!A:E,5,FALSE)</f>
        <v/>
      </c>
      <c r="AA2" s="438">
        <f>IF(I2="",((TODAY()-A2)*G2)/365.24,((I2-A2)*G2)/365.24)</f>
        <v/>
      </c>
      <c r="AB2" s="103" t="inlineStr">
        <is>
          <t>動能股</t>
        </is>
      </c>
      <c r="AC2" s="310" t="inlineStr">
        <is>
          <t>破 10MA，認賠出場</t>
        </is>
      </c>
    </row>
    <row r="3">
      <c r="A3" s="99" t="n">
        <v>45696</v>
      </c>
      <c r="B3" s="11" t="n"/>
      <c r="C3" s="11" t="n">
        <v>6245</v>
      </c>
      <c r="D3" s="189" t="inlineStr">
        <is>
          <t>立端</t>
        </is>
      </c>
      <c r="E3" s="11" t="n">
        <v>1000</v>
      </c>
      <c r="F3" s="11" t="n">
        <v>114</v>
      </c>
      <c r="G3" s="11" t="n">
        <v>114000</v>
      </c>
      <c r="H3" s="11" t="n">
        <v>162</v>
      </c>
      <c r="I3" s="104" t="n">
        <v>45705</v>
      </c>
      <c r="J3" s="16" t="n">
        <v>108.5</v>
      </c>
      <c r="K3" s="11" t="n">
        <v>108500</v>
      </c>
      <c r="L3" s="11" t="n">
        <v>154</v>
      </c>
      <c r="M3" s="11" t="n">
        <v>325</v>
      </c>
      <c r="N3" s="11" t="n">
        <v>0</v>
      </c>
      <c r="O3" s="434" t="n">
        <v>0</v>
      </c>
      <c r="P3" s="435" t="n">
        <v>-6141</v>
      </c>
      <c r="Q3" s="435" t="n">
        <v>0</v>
      </c>
      <c r="R3" s="435" t="n"/>
      <c r="S3" s="435" t="n"/>
      <c r="T3" s="435" t="n"/>
      <c r="U3" s="69" t="n">
        <v>0</v>
      </c>
      <c r="V3" s="69" t="n"/>
      <c r="W3" s="70" t="n">
        <v>0.11</v>
      </c>
      <c r="X3" s="436" t="n">
        <v>-0.05386842105263158</v>
      </c>
      <c r="Y3" s="16">
        <f>VLOOKUP(C3,台股行情!A:D,4,FALSE)</f>
        <v/>
      </c>
      <c r="Z3" s="437">
        <f>VLOOKUP(C3,台股行情!A:E,5,FALSE)</f>
        <v/>
      </c>
      <c r="AA3" s="438">
        <f>IF(I3="",((TODAY()-A3)*G3)/365.24,((I3-A3)*G3)/365.24)</f>
        <v/>
      </c>
      <c r="AB3" s="103" t="inlineStr">
        <is>
          <t>動能股</t>
        </is>
      </c>
      <c r="AC3" s="310" t="inlineStr">
        <is>
          <t>破 10MA，認賠出場</t>
        </is>
      </c>
    </row>
    <row r="4">
      <c r="A4" s="99" t="n">
        <v>45707</v>
      </c>
      <c r="B4" s="11" t="n"/>
      <c r="C4" s="11" t="n">
        <v>2377</v>
      </c>
      <c r="D4" s="189" t="inlineStr">
        <is>
          <t>微星</t>
        </is>
      </c>
      <c r="E4" s="11" t="n">
        <v>1000</v>
      </c>
      <c r="F4" s="11" t="n">
        <v>202.5</v>
      </c>
      <c r="G4" s="11" t="n">
        <v>202500</v>
      </c>
      <c r="H4" s="11" t="n">
        <v>288</v>
      </c>
      <c r="I4" s="104" t="n">
        <v>45713</v>
      </c>
      <c r="J4" s="16" t="n">
        <v>195</v>
      </c>
      <c r="K4" s="11" t="n">
        <v>195000</v>
      </c>
      <c r="L4" s="11" t="n">
        <v>277</v>
      </c>
      <c r="M4" s="11" t="n">
        <v>585</v>
      </c>
      <c r="N4" s="11" t="n">
        <v>0</v>
      </c>
      <c r="O4" s="434" t="n">
        <v>0</v>
      </c>
      <c r="P4" s="435" t="n">
        <v>-8650</v>
      </c>
      <c r="Q4" s="435" t="n">
        <v>0</v>
      </c>
      <c r="R4" s="435" t="n"/>
      <c r="S4" s="435" t="n"/>
      <c r="T4" s="435" t="n"/>
      <c r="U4" s="69" t="n">
        <v>0</v>
      </c>
      <c r="V4" s="69" t="n"/>
      <c r="W4" s="70" t="n">
        <v>0.11</v>
      </c>
      <c r="X4" s="436" t="n">
        <v>-0.04271604938271605</v>
      </c>
      <c r="Y4" s="16">
        <f>VLOOKUP(C4,台股行情!A:D,4,FALSE)</f>
        <v/>
      </c>
      <c r="Z4" s="437">
        <f>VLOOKUP(C4,台股行情!A:E,5,FALSE)</f>
        <v/>
      </c>
      <c r="AA4" s="438">
        <f>IF(I4="",((TODAY()-A4)*G4)/365.24,((I4-A4)*G4)/365.24)</f>
        <v/>
      </c>
      <c r="AB4" s="103" t="inlineStr">
        <is>
          <t>動能股</t>
        </is>
      </c>
      <c r="AC4" s="310" t="inlineStr">
        <is>
          <t>破 10MA，認賠出場</t>
        </is>
      </c>
    </row>
    <row r="5">
      <c r="A5" s="99" t="n">
        <v>45702</v>
      </c>
      <c r="B5" s="11" t="n"/>
      <c r="C5" s="11" t="n">
        <v>2301</v>
      </c>
      <c r="D5" s="189" t="inlineStr">
        <is>
          <t>光寶科</t>
        </is>
      </c>
      <c r="E5" s="11" t="n">
        <v>1000</v>
      </c>
      <c r="F5" s="11" t="n">
        <v>110</v>
      </c>
      <c r="G5" s="11" t="n">
        <v>110000</v>
      </c>
      <c r="H5" s="11" t="n">
        <v>156</v>
      </c>
      <c r="I5" s="104" t="n">
        <v>45715</v>
      </c>
      <c r="J5" s="16" t="n">
        <v>110</v>
      </c>
      <c r="K5" s="11" t="n">
        <v>110000</v>
      </c>
      <c r="L5" s="11" t="n">
        <v>156</v>
      </c>
      <c r="M5" s="11" t="n">
        <v>330</v>
      </c>
      <c r="N5" s="11" t="n">
        <v>0</v>
      </c>
      <c r="O5" s="434" t="n">
        <v>0</v>
      </c>
      <c r="P5" s="435" t="n">
        <v>-642</v>
      </c>
      <c r="Q5" s="435" t="n">
        <v>0</v>
      </c>
      <c r="R5" s="435" t="n"/>
      <c r="S5" s="435" t="n"/>
      <c r="T5" s="435" t="n"/>
      <c r="U5" s="69" t="n">
        <v>0</v>
      </c>
      <c r="V5" s="69" t="n"/>
      <c r="W5" s="70" t="n">
        <v>0.11</v>
      </c>
      <c r="X5" s="436" t="n">
        <v>-0.005836363636363636</v>
      </c>
      <c r="Y5" s="16">
        <f>VLOOKUP(C5,台股行情!A:D,4,FALSE)</f>
        <v/>
      </c>
      <c r="Z5" s="437">
        <f>VLOOKUP(C5,台股行情!A:E,5,FALSE)</f>
        <v/>
      </c>
      <c r="AA5" s="438">
        <f>IF(I5="",((TODAY()-A5)*G5)/365.24,((I5-A5)*G5)/365.24)</f>
        <v/>
      </c>
      <c r="AB5" s="103" t="inlineStr">
        <is>
          <t>動能股</t>
        </is>
      </c>
      <c r="AC5" s="310" t="inlineStr">
        <is>
          <t>破 10MA，認賠出場</t>
        </is>
      </c>
    </row>
    <row r="6">
      <c r="A6" s="99" t="n">
        <v>45696</v>
      </c>
      <c r="B6" s="11" t="n"/>
      <c r="C6" s="11" t="n">
        <v>6206</v>
      </c>
      <c r="D6" s="189" t="inlineStr">
        <is>
          <t>元大上證50</t>
        </is>
      </c>
      <c r="E6" s="11" t="n">
        <v>1000</v>
      </c>
      <c r="F6" s="11" t="n">
        <v>117</v>
      </c>
      <c r="G6" s="11" t="n">
        <v>117000</v>
      </c>
      <c r="H6" s="11" t="n">
        <v>166</v>
      </c>
      <c r="I6" s="104" t="n">
        <v>45715</v>
      </c>
      <c r="J6" s="16" t="n">
        <v>162.5</v>
      </c>
      <c r="K6" s="11" t="n">
        <v>162500</v>
      </c>
      <c r="L6" s="11" t="n">
        <v>231</v>
      </c>
      <c r="M6" s="11" t="n">
        <v>487</v>
      </c>
      <c r="N6" s="11" t="n">
        <v>0</v>
      </c>
      <c r="O6" s="434" t="n">
        <v>0</v>
      </c>
      <c r="P6" s="435" t="n">
        <v>44616</v>
      </c>
      <c r="Q6" s="435" t="n">
        <v>0</v>
      </c>
      <c r="R6" s="435" t="n"/>
      <c r="S6" s="435" t="n"/>
      <c r="T6" s="435" t="n"/>
      <c r="U6" s="69" t="n">
        <v>0</v>
      </c>
      <c r="V6" s="69" t="n"/>
      <c r="W6" s="70" t="n">
        <v>0.11</v>
      </c>
      <c r="X6" s="436" t="n">
        <v>0.3813333333333334</v>
      </c>
      <c r="Y6" s="16">
        <f>VLOOKUP(C6,台股行情!A:D,4,FALSE)</f>
        <v/>
      </c>
      <c r="Z6" s="437">
        <f>VLOOKUP(C6,台股行情!A:E,5,FALSE)</f>
        <v/>
      </c>
      <c r="AA6" s="438">
        <f>IF(I6="",((TODAY()-A6)*G6)/365.24,((I6-A6)*G6)/365.24)</f>
        <v/>
      </c>
      <c r="AB6" s="103" t="inlineStr">
        <is>
          <t>動能股</t>
        </is>
      </c>
      <c r="AC6" s="311" t="inlineStr">
        <is>
          <t>破 10MA，獲利了結</t>
        </is>
      </c>
    </row>
    <row r="7">
      <c r="A7" s="99" t="n">
        <v>45702</v>
      </c>
      <c r="B7" s="11" t="n"/>
      <c r="C7" s="11" t="n">
        <v>1605</v>
      </c>
      <c r="D7" s="189" t="inlineStr">
        <is>
          <t>華新</t>
        </is>
      </c>
      <c r="E7" s="11" t="n">
        <v>1000</v>
      </c>
      <c r="F7" s="11" t="n">
        <v>26.85</v>
      </c>
      <c r="G7" s="11" t="n">
        <v>26850</v>
      </c>
      <c r="H7" s="11" t="n">
        <v>38</v>
      </c>
      <c r="I7" s="104" t="n">
        <v>45720</v>
      </c>
      <c r="J7" s="16" t="n">
        <v>27.6</v>
      </c>
      <c r="K7" s="11" t="n">
        <v>27600</v>
      </c>
      <c r="L7" s="11" t="n">
        <v>39</v>
      </c>
      <c r="M7" s="11" t="n">
        <v>83</v>
      </c>
      <c r="N7" s="11" t="n">
        <v>0</v>
      </c>
      <c r="O7" s="434" t="n">
        <v>0</v>
      </c>
      <c r="P7" s="435" t="n">
        <v>590</v>
      </c>
      <c r="Q7" s="435" t="n">
        <v>0</v>
      </c>
      <c r="R7" s="435" t="n"/>
      <c r="S7" s="435" t="n"/>
      <c r="T7" s="435" t="n"/>
      <c r="U7" s="69" t="n">
        <v>0</v>
      </c>
      <c r="V7" s="69" t="n"/>
      <c r="W7" s="70" t="n">
        <v>0.11</v>
      </c>
      <c r="X7" s="436" t="n">
        <v>0.02197392923649907</v>
      </c>
      <c r="Y7" s="16">
        <f>VLOOKUP(C7,台股行情!A:D,4,FALSE)</f>
        <v/>
      </c>
      <c r="Z7" s="437">
        <f>VLOOKUP(C7,台股行情!A:E,5,FALSE)</f>
        <v/>
      </c>
      <c r="AA7" s="438">
        <f>IF(I7="",((TODAY()-A7)*G7)/365.24,((I7-A7)*G7)/365.24)</f>
        <v/>
      </c>
      <c r="AB7" s="103" t="inlineStr">
        <is>
          <t>動能股</t>
        </is>
      </c>
      <c r="AC7" s="311" t="inlineStr">
        <is>
          <t>破 10MA，獲利了結</t>
        </is>
      </c>
    </row>
    <row r="8">
      <c r="A8" s="99" t="n">
        <v>45702</v>
      </c>
      <c r="B8" s="11" t="n"/>
      <c r="C8" s="11" t="n">
        <v>1605</v>
      </c>
      <c r="D8" s="189" t="inlineStr">
        <is>
          <t>華新</t>
        </is>
      </c>
      <c r="E8" s="11" t="n">
        <v>1000</v>
      </c>
      <c r="F8" s="11" t="n">
        <v>26.75</v>
      </c>
      <c r="G8" s="11" t="n">
        <v>26750</v>
      </c>
      <c r="H8" s="11" t="n">
        <v>38</v>
      </c>
      <c r="I8" s="104" t="n">
        <v>45720</v>
      </c>
      <c r="J8" s="16" t="n">
        <v>27.6</v>
      </c>
      <c r="K8" s="11" t="n">
        <v>27600</v>
      </c>
      <c r="L8" s="11" t="n">
        <v>39</v>
      </c>
      <c r="M8" s="11" t="n">
        <v>82</v>
      </c>
      <c r="N8" s="11" t="n">
        <v>0</v>
      </c>
      <c r="O8" s="434" t="n">
        <v>0</v>
      </c>
      <c r="P8" s="435" t="n">
        <v>691</v>
      </c>
      <c r="Q8" s="435" t="n">
        <v>0</v>
      </c>
      <c r="R8" s="435" t="n"/>
      <c r="S8" s="435" t="n"/>
      <c r="T8" s="435" t="n"/>
      <c r="U8" s="69" t="n">
        <v>0</v>
      </c>
      <c r="V8" s="69" t="n"/>
      <c r="W8" s="70" t="n">
        <v>0.11</v>
      </c>
      <c r="X8" s="436" t="n">
        <v>0.02583177570093458</v>
      </c>
      <c r="Y8" s="16">
        <f>VLOOKUP(C8,台股行情!A:D,4,FALSE)</f>
        <v/>
      </c>
      <c r="Z8" s="437">
        <f>VLOOKUP(C8,台股行情!A:E,5,FALSE)</f>
        <v/>
      </c>
      <c r="AA8" s="438">
        <f>IF(I8="",((TODAY()-A8)*G8)/365.24,((I8-A8)*G8)/365.24)</f>
        <v/>
      </c>
      <c r="AB8" s="103" t="inlineStr">
        <is>
          <t>動能股</t>
        </is>
      </c>
      <c r="AC8" s="311" t="inlineStr">
        <is>
          <t>破 10MA，獲利了結</t>
        </is>
      </c>
    </row>
    <row r="9">
      <c r="A9" s="99" t="n">
        <v>45706</v>
      </c>
      <c r="B9" s="11" t="n"/>
      <c r="C9" s="11" t="n">
        <v>1536</v>
      </c>
      <c r="D9" s="189" t="inlineStr">
        <is>
          <t>和大</t>
        </is>
      </c>
      <c r="E9" s="11" t="n">
        <v>1000</v>
      </c>
      <c r="F9" s="11" t="n">
        <v>81.40000000000001</v>
      </c>
      <c r="G9" s="11" t="n">
        <v>81400</v>
      </c>
      <c r="H9" s="11" t="n">
        <v>115</v>
      </c>
      <c r="I9" s="104" t="n">
        <v>45720</v>
      </c>
      <c r="J9" s="16" t="n">
        <v>77.90000000000001</v>
      </c>
      <c r="K9" s="11" t="n">
        <v>77900</v>
      </c>
      <c r="L9" s="11" t="n">
        <v>111</v>
      </c>
      <c r="M9" s="11" t="n">
        <v>233</v>
      </c>
      <c r="N9" s="11" t="n">
        <v>0</v>
      </c>
      <c r="O9" s="434" t="n">
        <v>0</v>
      </c>
      <c r="P9" s="435" t="n">
        <v>-3959</v>
      </c>
      <c r="Q9" s="435" t="n">
        <v>0</v>
      </c>
      <c r="R9" s="435" t="n"/>
      <c r="S9" s="435" t="n"/>
      <c r="T9" s="435" t="n"/>
      <c r="U9" s="69" t="n">
        <v>0</v>
      </c>
      <c r="V9" s="69" t="n"/>
      <c r="W9" s="70" t="n">
        <v>0.11</v>
      </c>
      <c r="X9" s="436" t="n">
        <v>-0.04863636363636364</v>
      </c>
      <c r="Y9" s="16">
        <f>VLOOKUP(C9,台股行情!A:D,4,FALSE)</f>
        <v/>
      </c>
      <c r="Z9" s="437">
        <f>VLOOKUP(C9,台股行情!A:E,5,FALSE)</f>
        <v/>
      </c>
      <c r="AA9" s="438">
        <f>IF(I9="",((TODAY()-A9)*G9)/365.24,((I9-A9)*G9)/365.24)</f>
        <v/>
      </c>
      <c r="AB9" s="103" t="inlineStr">
        <is>
          <t>動能股</t>
        </is>
      </c>
      <c r="AC9" s="310" t="inlineStr">
        <is>
          <t>破 10MA，認賠出場</t>
        </is>
      </c>
    </row>
    <row r="10">
      <c r="A10" s="99" t="n">
        <v>45702</v>
      </c>
      <c r="B10" s="11" t="n"/>
      <c r="C10" s="11" t="n">
        <v>2884</v>
      </c>
      <c r="D10" s="189" t="inlineStr">
        <is>
          <t>玉山金</t>
        </is>
      </c>
      <c r="E10" s="11" t="n">
        <v>2000</v>
      </c>
      <c r="F10" s="11" t="n">
        <v>29.1</v>
      </c>
      <c r="G10" s="11" t="n">
        <v>58200</v>
      </c>
      <c r="H10" s="11" t="n">
        <v>82</v>
      </c>
      <c r="I10" s="104" t="n">
        <v>45721</v>
      </c>
      <c r="J10" s="16" t="n">
        <v>29.15</v>
      </c>
      <c r="K10" s="11" t="n">
        <v>58300</v>
      </c>
      <c r="L10" s="11" t="n">
        <v>83</v>
      </c>
      <c r="M10" s="11" t="n">
        <v>174</v>
      </c>
      <c r="N10" s="11" t="n">
        <v>0</v>
      </c>
      <c r="O10" s="434" t="n">
        <v>0</v>
      </c>
      <c r="P10" s="435" t="n">
        <v>-239</v>
      </c>
      <c r="Q10" s="435" t="n">
        <v>0</v>
      </c>
      <c r="R10" s="435" t="n"/>
      <c r="S10" s="435" t="n"/>
      <c r="T10" s="435" t="n"/>
      <c r="U10" s="69" t="n">
        <v>0</v>
      </c>
      <c r="V10" s="69" t="n"/>
      <c r="W10" s="70" t="n">
        <v>0.11</v>
      </c>
      <c r="X10" s="436" t="n">
        <v>-0.004106529209621993</v>
      </c>
      <c r="Y10" s="16">
        <f>VLOOKUP(C10,台股行情!A:D,4,FALSE)</f>
        <v/>
      </c>
      <c r="Z10" s="437">
        <f>VLOOKUP(C10,台股行情!A:E,5,FALSE)</f>
        <v/>
      </c>
      <c r="AA10" s="438">
        <f>IF(I10="",((TODAY()-A10)*G10)/365.24,((I10-A10)*G10)/365.24)</f>
        <v/>
      </c>
      <c r="AB10" s="103" t="inlineStr">
        <is>
          <t>動能股</t>
        </is>
      </c>
      <c r="AC10" s="310" t="inlineStr">
        <is>
          <t>破 10MA，認賠出場</t>
        </is>
      </c>
    </row>
    <row r="11">
      <c r="A11" s="99" t="n">
        <v>45722</v>
      </c>
      <c r="B11" s="11" t="n"/>
      <c r="C11" s="11" t="n">
        <v>6104</v>
      </c>
      <c r="D11" s="189" t="inlineStr">
        <is>
          <t>創惟</t>
        </is>
      </c>
      <c r="E11" s="11" t="n">
        <v>1000</v>
      </c>
      <c r="F11" s="11" t="n">
        <v>177.5</v>
      </c>
      <c r="G11" s="11" t="n">
        <v>177500</v>
      </c>
      <c r="H11" s="11" t="n">
        <v>252</v>
      </c>
      <c r="I11" s="104" t="n">
        <v>45726</v>
      </c>
      <c r="J11" s="16" t="n">
        <v>160.5</v>
      </c>
      <c r="K11" s="11" t="n">
        <v>160500</v>
      </c>
      <c r="L11" s="11" t="n">
        <v>228</v>
      </c>
      <c r="M11" s="11" t="n">
        <v>481</v>
      </c>
      <c r="N11" s="11" t="n">
        <v>0</v>
      </c>
      <c r="O11" s="434" t="n">
        <v>0</v>
      </c>
      <c r="P11" s="435" t="n">
        <v>-17961</v>
      </c>
      <c r="Q11" s="435" t="n">
        <v>0</v>
      </c>
      <c r="R11" s="435" t="n"/>
      <c r="S11" s="435" t="n"/>
      <c r="T11" s="435" t="n"/>
      <c r="U11" s="69" t="n">
        <v>0</v>
      </c>
      <c r="V11" s="69" t="n"/>
      <c r="W11" s="70" t="n">
        <v>0.11</v>
      </c>
      <c r="X11" s="436" t="n">
        <v>-0.1011887323943662</v>
      </c>
      <c r="Y11" s="16">
        <f>VLOOKUP(C11,台股行情!A:D,4,FALSE)</f>
        <v/>
      </c>
      <c r="Z11" s="437">
        <f>VLOOKUP(C11,台股行情!A:E,5,FALSE)</f>
        <v/>
      </c>
      <c r="AA11" s="438">
        <f>IF(I11="",((TODAY()-A11)*G11)/365.24,((I11-A11)*G11)/365.24)</f>
        <v/>
      </c>
      <c r="AB11" s="103" t="inlineStr">
        <is>
          <t>動能股</t>
        </is>
      </c>
      <c r="AC11" s="310" t="inlineStr">
        <is>
          <t>破 10MA，認賠出場</t>
        </is>
      </c>
    </row>
    <row r="12">
      <c r="A12" s="99" t="n">
        <v>45702</v>
      </c>
      <c r="B12" s="11" t="n"/>
      <c r="C12" s="11" t="n">
        <v>2606</v>
      </c>
      <c r="D12" s="189" t="inlineStr">
        <is>
          <t>裕民</t>
        </is>
      </c>
      <c r="E12" s="11" t="n">
        <v>1000</v>
      </c>
      <c r="F12" s="11" t="n">
        <v>69.5</v>
      </c>
      <c r="G12" s="11" t="n">
        <v>69500</v>
      </c>
      <c r="H12" s="11" t="n">
        <v>99</v>
      </c>
      <c r="I12" s="104" t="n">
        <v>45728</v>
      </c>
      <c r="J12" s="16" t="n">
        <v>71.3</v>
      </c>
      <c r="K12" s="11" t="n">
        <v>71300</v>
      </c>
      <c r="L12" s="11" t="n">
        <v>101</v>
      </c>
      <c r="M12" s="11" t="n">
        <v>213</v>
      </c>
      <c r="N12" s="11" t="n">
        <v>0</v>
      </c>
      <c r="O12" s="434" t="n">
        <v>0</v>
      </c>
      <c r="P12" s="435" t="n">
        <v>1387</v>
      </c>
      <c r="Q12" s="435" t="n">
        <v>0</v>
      </c>
      <c r="R12" s="435" t="n"/>
      <c r="S12" s="435" t="n"/>
      <c r="T12" s="435" t="n"/>
      <c r="U12" s="69" t="n">
        <v>0</v>
      </c>
      <c r="V12" s="69" t="n"/>
      <c r="W12" s="70" t="n">
        <v>0.11</v>
      </c>
      <c r="X12" s="436" t="n">
        <v>0.0199568345323741</v>
      </c>
      <c r="Y12" s="16">
        <f>VLOOKUP(C12,台股行情!A:D,4,FALSE)</f>
        <v/>
      </c>
      <c r="Z12" s="437">
        <f>VLOOKUP(C12,台股行情!A:E,5,FALSE)</f>
        <v/>
      </c>
      <c r="AA12" s="438">
        <f>IF(I12="",((TODAY()-A12)*G12)/365.24,((I12-A12)*G12)/365.24)</f>
        <v/>
      </c>
      <c r="AB12" s="103" t="inlineStr">
        <is>
          <t>動能股</t>
        </is>
      </c>
      <c r="AC12" s="311" t="inlineStr">
        <is>
          <t>破 10MA，獲利了結</t>
        </is>
      </c>
    </row>
    <row r="13">
      <c r="A13" s="99" t="n">
        <v>45713</v>
      </c>
      <c r="B13" s="11" t="n"/>
      <c r="C13" s="11" t="n">
        <v>2637</v>
      </c>
      <c r="D13" s="189" t="inlineStr">
        <is>
          <t>慧洋-KY</t>
        </is>
      </c>
      <c r="E13" s="11" t="n">
        <v>1000</v>
      </c>
      <c r="F13" s="11" t="n">
        <v>84.40000000000001</v>
      </c>
      <c r="G13" s="11" t="n">
        <v>84400</v>
      </c>
      <c r="H13" s="11" t="n">
        <v>120</v>
      </c>
      <c r="I13" s="104" t="n">
        <v>45728</v>
      </c>
      <c r="J13" s="16" t="n">
        <v>82.8</v>
      </c>
      <c r="K13" s="11" t="n">
        <v>82800</v>
      </c>
      <c r="L13" s="11" t="n">
        <v>117</v>
      </c>
      <c r="M13" s="11" t="n">
        <v>248</v>
      </c>
      <c r="N13" s="11" t="n">
        <v>0</v>
      </c>
      <c r="O13" s="434" t="n">
        <v>0</v>
      </c>
      <c r="P13" s="435" t="n">
        <v>-2085</v>
      </c>
      <c r="Q13" s="435" t="n">
        <v>0</v>
      </c>
      <c r="R13" s="435" t="n"/>
      <c r="S13" s="435" t="n"/>
      <c r="T13" s="435" t="n"/>
      <c r="U13" s="69" t="n">
        <v>0</v>
      </c>
      <c r="V13" s="69" t="n"/>
      <c r="W13" s="70" t="n">
        <v>0.11</v>
      </c>
      <c r="X13" s="436" t="n">
        <v>-0.02470379146919431</v>
      </c>
      <c r="Y13" s="16">
        <f>VLOOKUP(C13,台股行情!A:D,4,FALSE)</f>
        <v/>
      </c>
      <c r="Z13" s="437">
        <f>VLOOKUP(C13,台股行情!A:E,5,FALSE)</f>
        <v/>
      </c>
      <c r="AA13" s="438">
        <f>IF(I13="",((TODAY()-A13)*G13)/365.24,((I13-A13)*G13)/365.24)</f>
        <v/>
      </c>
      <c r="AB13" s="103" t="inlineStr">
        <is>
          <t>動能股</t>
        </is>
      </c>
      <c r="AC13" s="310" t="inlineStr">
        <is>
          <t>破 10MA，認賠出場</t>
        </is>
      </c>
    </row>
    <row r="14">
      <c r="A14" s="99" t="n">
        <v>45722</v>
      </c>
      <c r="B14" s="11" t="n"/>
      <c r="C14" s="11" t="n">
        <v>2014</v>
      </c>
      <c r="D14" s="189" t="inlineStr">
        <is>
          <t>中鴻</t>
        </is>
      </c>
      <c r="E14" s="11" t="n">
        <v>2000</v>
      </c>
      <c r="F14" s="11" t="n">
        <v>24.9</v>
      </c>
      <c r="G14" s="11" t="n">
        <v>49800</v>
      </c>
      <c r="H14" s="11" t="n">
        <v>70</v>
      </c>
      <c r="I14" s="104" t="n">
        <v>45729</v>
      </c>
      <c r="J14" s="16" t="n">
        <v>24.2</v>
      </c>
      <c r="K14" s="11" t="n">
        <v>48400</v>
      </c>
      <c r="L14" s="11" t="n">
        <v>68</v>
      </c>
      <c r="M14" s="11" t="n">
        <v>145</v>
      </c>
      <c r="N14" s="11" t="n">
        <v>0</v>
      </c>
      <c r="O14" s="434" t="n">
        <v>0</v>
      </c>
      <c r="P14" s="435" t="n">
        <v>-1683</v>
      </c>
      <c r="Q14" s="435" t="n">
        <v>0</v>
      </c>
      <c r="R14" s="435" t="n"/>
      <c r="S14" s="435" t="n"/>
      <c r="T14" s="435" t="n"/>
      <c r="U14" s="69" t="n">
        <v>0</v>
      </c>
      <c r="V14" s="69" t="n"/>
      <c r="W14" s="70" t="n">
        <v>0.11</v>
      </c>
      <c r="X14" s="436" t="n">
        <v>-0.03379518072289157</v>
      </c>
      <c r="Y14" s="16">
        <f>VLOOKUP(C14,台股行情!A:D,4,FALSE)</f>
        <v/>
      </c>
      <c r="Z14" s="437">
        <f>VLOOKUP(C14,台股行情!A:E,5,FALSE)</f>
        <v/>
      </c>
      <c r="AA14" s="438">
        <f>IF(I14="",((TODAY()-A14)*G14)/365.24,((I14-A14)*G14)/365.24)</f>
        <v/>
      </c>
      <c r="AB14" s="103" t="inlineStr">
        <is>
          <t>動能股</t>
        </is>
      </c>
      <c r="AC14" s="310" t="inlineStr">
        <is>
          <t>破 10MA，認賠出場</t>
        </is>
      </c>
    </row>
    <row r="15">
      <c r="A15" s="99" t="n">
        <v>45713</v>
      </c>
      <c r="B15" s="11" t="n"/>
      <c r="C15" s="11" t="n">
        <v>9958</v>
      </c>
      <c r="D15" s="189" t="inlineStr">
        <is>
          <t>世紀鋼</t>
        </is>
      </c>
      <c r="E15" s="11" t="n">
        <v>1000</v>
      </c>
      <c r="F15" s="11" t="n">
        <v>187</v>
      </c>
      <c r="G15" s="11" t="n">
        <v>187000</v>
      </c>
      <c r="H15" s="11" t="n">
        <v>266</v>
      </c>
      <c r="I15" s="104" t="n">
        <v>45742</v>
      </c>
      <c r="J15" s="16" t="n">
        <v>184.5</v>
      </c>
      <c r="K15" s="11" t="n">
        <v>184500</v>
      </c>
      <c r="L15" s="11" t="n">
        <v>262</v>
      </c>
      <c r="M15" s="11" t="n">
        <v>553</v>
      </c>
      <c r="N15" s="11" t="n">
        <v>0</v>
      </c>
      <c r="O15" s="434" t="n">
        <v>0</v>
      </c>
      <c r="P15" s="435" t="n">
        <v>-3581</v>
      </c>
      <c r="Q15" s="435" t="n">
        <v>0</v>
      </c>
      <c r="R15" s="435" t="n"/>
      <c r="S15" s="435" t="n"/>
      <c r="T15" s="435" t="n"/>
      <c r="U15" s="69" t="n">
        <v>0</v>
      </c>
      <c r="V15" s="69" t="n"/>
      <c r="W15" s="70" t="n">
        <v>0.11</v>
      </c>
      <c r="X15" s="436" t="n">
        <v>-0.01914973262032086</v>
      </c>
      <c r="Y15" s="16">
        <f>VLOOKUP(C15,台股行情!A:D,4,FALSE)</f>
        <v/>
      </c>
      <c r="Z15" s="437">
        <f>VLOOKUP(C15,台股行情!A:E,5,FALSE)</f>
        <v/>
      </c>
      <c r="AA15" s="438">
        <f>IF(I15="",((TODAY()-A15)*G15)/365.24,((I15-A15)*G15)/365.24)</f>
        <v/>
      </c>
      <c r="AB15" s="103" t="inlineStr">
        <is>
          <t>動能股</t>
        </is>
      </c>
      <c r="AC15" s="310" t="inlineStr">
        <is>
          <t>破 10MA，認賠出場</t>
        </is>
      </c>
    </row>
    <row r="16">
      <c r="A16" s="99" t="n">
        <v>45835</v>
      </c>
      <c r="B16" s="11" t="n"/>
      <c r="C16" s="11" t="n">
        <v>3265</v>
      </c>
      <c r="D16" s="189" t="inlineStr">
        <is>
          <t>台星科</t>
        </is>
      </c>
      <c r="E16" s="11" t="n">
        <v>1000</v>
      </c>
      <c r="F16" s="11" t="n">
        <v>100.5</v>
      </c>
      <c r="G16" s="11" t="n">
        <v>100500</v>
      </c>
      <c r="H16" s="11" t="n">
        <v>143</v>
      </c>
      <c r="I16" s="104" t="n">
        <v>45855</v>
      </c>
      <c r="J16" s="16" t="n">
        <v>102.5</v>
      </c>
      <c r="K16" s="11" t="n">
        <v>102500</v>
      </c>
      <c r="L16" s="11" t="n">
        <v>146</v>
      </c>
      <c r="M16" s="11" t="n">
        <v>307</v>
      </c>
      <c r="N16" s="11" t="n">
        <v>0</v>
      </c>
      <c r="O16" s="434" t="n">
        <v>0</v>
      </c>
      <c r="P16" s="435" t="n">
        <v>5488</v>
      </c>
      <c r="Q16" s="435" t="n">
        <v>0</v>
      </c>
      <c r="R16" s="435" t="n">
        <v>4600</v>
      </c>
      <c r="S16" s="435" t="n">
        <v>10</v>
      </c>
      <c r="T16" s="435" t="n"/>
      <c r="U16" s="69" t="n">
        <v>0</v>
      </c>
      <c r="V16" s="69" t="n"/>
      <c r="W16" s="70" t="n">
        <v>0.11</v>
      </c>
      <c r="X16" s="436" t="n">
        <v>0.05460696517412935</v>
      </c>
      <c r="Y16" s="16">
        <f>VLOOKUP(C16,台股行情!A:D,4,FALSE)</f>
        <v/>
      </c>
      <c r="Z16" s="437">
        <f>VLOOKUP(C16,台股行情!A:E,5,FALSE)</f>
        <v/>
      </c>
      <c r="AA16" s="438">
        <f>IF(I16="",((TODAY()-A16)*G16)/365.24,((I16-A16)*G16)/365.24)</f>
        <v/>
      </c>
      <c r="AB16" s="103" t="inlineStr">
        <is>
          <t>除權息</t>
        </is>
      </c>
      <c r="AC16" s="311" t="inlineStr">
        <is>
          <t>已填息</t>
        </is>
      </c>
    </row>
    <row r="17">
      <c r="A17" s="99" t="n">
        <v>45835</v>
      </c>
      <c r="B17" s="11" t="n"/>
      <c r="C17" s="11" t="n">
        <v>2317</v>
      </c>
      <c r="D17" s="189" t="inlineStr">
        <is>
          <t>鴻海</t>
        </is>
      </c>
      <c r="E17" s="11" t="n">
        <v>1000</v>
      </c>
      <c r="F17" s="11" t="n">
        <v>164.5</v>
      </c>
      <c r="G17" s="11" t="n">
        <v>164500</v>
      </c>
      <c r="H17" s="11" t="n">
        <v>234</v>
      </c>
      <c r="I17" s="104" t="n">
        <v>228482</v>
      </c>
      <c r="J17" s="16" t="n">
        <v>165.5</v>
      </c>
      <c r="K17" s="11" t="n">
        <v>165500</v>
      </c>
      <c r="L17" s="11" t="n">
        <v>235</v>
      </c>
      <c r="M17" s="11" t="n">
        <v>496</v>
      </c>
      <c r="N17" s="11" t="n">
        <v>0</v>
      </c>
      <c r="O17" s="434" t="n">
        <v>0</v>
      </c>
      <c r="P17" s="435" t="n">
        <v>5187</v>
      </c>
      <c r="Q17" s="435" t="n">
        <v>0</v>
      </c>
      <c r="R17" s="435" t="n">
        <v>5800</v>
      </c>
      <c r="S17" s="435" t="n">
        <v>10</v>
      </c>
      <c r="T17" s="435" t="n"/>
      <c r="U17" s="69" t="n">
        <v>0</v>
      </c>
      <c r="V17" s="69" t="n"/>
      <c r="W17" s="70" t="n">
        <v>0.11</v>
      </c>
      <c r="X17" s="436" t="n">
        <v>0.03153191489361702</v>
      </c>
      <c r="Y17" s="16">
        <f>VLOOKUP(C17,台股行情!A:D,4,FALSE)</f>
        <v/>
      </c>
      <c r="Z17" s="437">
        <f>VLOOKUP(C17,台股行情!A:E,5,FALSE)</f>
        <v/>
      </c>
      <c r="AA17" s="438">
        <f>IF(I17="",((TODAY()-A17)*G17)/365.24,((I17-A17)*G17)/365.24)</f>
        <v/>
      </c>
      <c r="AB17" s="103" t="inlineStr">
        <is>
          <t>除權息</t>
        </is>
      </c>
      <c r="AC17" s="311" t="inlineStr">
        <is>
          <t>已填息</t>
        </is>
      </c>
    </row>
    <row r="18">
      <c r="A18" s="99" t="n">
        <v>45835</v>
      </c>
      <c r="B18" s="11" t="n"/>
      <c r="C18" s="11" t="n">
        <v>9935</v>
      </c>
      <c r="D18" s="189" t="inlineStr">
        <is>
          <t>慶豐富</t>
        </is>
      </c>
      <c r="E18" s="11" t="n">
        <v>2000</v>
      </c>
      <c r="F18" s="11" t="n">
        <v>23.95</v>
      </c>
      <c r="G18" s="11" t="n">
        <v>47900</v>
      </c>
      <c r="H18" s="11" t="n">
        <v>68</v>
      </c>
      <c r="I18" s="104" t="n">
        <v>45862</v>
      </c>
      <c r="J18" s="16" t="n">
        <v>20.75</v>
      </c>
      <c r="K18" s="11" t="n">
        <v>41500</v>
      </c>
      <c r="L18" s="11" t="n">
        <v>59</v>
      </c>
      <c r="M18" s="11" t="n">
        <v>124</v>
      </c>
      <c r="N18" s="11" t="n">
        <v>0</v>
      </c>
      <c r="O18" s="434" t="n">
        <v>0</v>
      </c>
      <c r="P18" s="435" t="n">
        <v>-3457</v>
      </c>
      <c r="Q18" s="435" t="n">
        <v>0</v>
      </c>
      <c r="R18" s="435" t="n">
        <v>3600</v>
      </c>
      <c r="S18" s="435" t="n">
        <v>10</v>
      </c>
      <c r="T18" s="435" t="n"/>
      <c r="U18" s="69" t="n">
        <v>0</v>
      </c>
      <c r="V18" s="69" t="n"/>
      <c r="W18" s="70" t="n">
        <v>0.11</v>
      </c>
      <c r="X18" s="436" t="n">
        <v>-0.07217118997912317</v>
      </c>
      <c r="Y18" s="16">
        <f>VLOOKUP(C18,台股行情!A:D,4,FALSE)</f>
        <v/>
      </c>
      <c r="Z18" s="437">
        <f>VLOOKUP(C18,台股行情!A:E,5,FALSE)</f>
        <v/>
      </c>
      <c r="AA18" s="438">
        <f>IF(I18="",((TODAY()-A18)*G18)/365.24,((I18-A18)*G18)/365.24)</f>
        <v/>
      </c>
      <c r="AB18" s="103" t="inlineStr">
        <is>
          <t>除權息</t>
        </is>
      </c>
      <c r="AC18" s="310" t="inlineStr">
        <is>
          <t>除息後股價不動，成交量低，認賠出場</t>
        </is>
      </c>
    </row>
    <row r="19">
      <c r="A19" s="99" t="n">
        <v>45747</v>
      </c>
      <c r="B19" s="11" t="n"/>
      <c r="C19" s="11" t="n">
        <v>3661</v>
      </c>
      <c r="D19" s="189" t="inlineStr">
        <is>
          <t>世芯-KY</t>
        </is>
      </c>
      <c r="E19" s="11" t="n">
        <v>10</v>
      </c>
      <c r="F19" s="11" t="n">
        <v>2840</v>
      </c>
      <c r="G19" s="11" t="n">
        <v>28400</v>
      </c>
      <c r="H19" s="11" t="n">
        <v>40</v>
      </c>
      <c r="I19" s="104" t="n">
        <v>45863</v>
      </c>
      <c r="J19" s="16" t="n">
        <v>3945</v>
      </c>
      <c r="K19" s="11" t="n">
        <v>39450</v>
      </c>
      <c r="L19" s="11" t="n">
        <v>56</v>
      </c>
      <c r="M19" s="11" t="n">
        <v>118</v>
      </c>
      <c r="N19" s="11" t="n">
        <v>0</v>
      </c>
      <c r="O19" s="434" t="n">
        <v>0</v>
      </c>
      <c r="P19" s="435" t="n">
        <v>10836</v>
      </c>
      <c r="Q19" s="435" t="n">
        <v>0</v>
      </c>
      <c r="R19" s="435" t="n"/>
      <c r="S19" s="435" t="n"/>
      <c r="T19" s="435" t="n"/>
      <c r="U19" s="69" t="n">
        <v>0</v>
      </c>
      <c r="V19" s="69" t="n"/>
      <c r="W19" s="70" t="n">
        <v>0.11</v>
      </c>
      <c r="X19" s="436" t="n">
        <v>0.3815492957746479</v>
      </c>
      <c r="Y19" s="16">
        <f>VLOOKUP(C19,台股行情!A:D,4,FALSE)</f>
        <v/>
      </c>
      <c r="Z19" s="437">
        <f>VLOOKUP(C19,台股行情!A:E,5,FALSE)</f>
        <v/>
      </c>
      <c r="AA19" s="438">
        <f>IF(I19="",((TODAY()-A19)*G19)/365.24,((I19-A19)*G19)/365.24)</f>
        <v/>
      </c>
      <c r="AB19" s="103" t="inlineStr">
        <is>
          <t>存股</t>
        </is>
      </c>
      <c r="AC19" s="311" t="inlineStr">
        <is>
          <t>近上通道。獲利了結</t>
        </is>
      </c>
    </row>
    <row r="20">
      <c r="A20" s="99" t="n">
        <v>45849</v>
      </c>
      <c r="B20" s="11" t="n"/>
      <c r="C20" s="11" t="n">
        <v>2355</v>
      </c>
      <c r="D20" s="189" t="inlineStr">
        <is>
          <t>敬鵬</t>
        </is>
      </c>
      <c r="E20" s="11" t="n">
        <v>2000</v>
      </c>
      <c r="F20" s="11" t="n">
        <v>32.35</v>
      </c>
      <c r="G20" s="11" t="n">
        <v>64700</v>
      </c>
      <c r="H20" s="11" t="n">
        <v>92</v>
      </c>
      <c r="I20" s="104" t="n">
        <v>45866</v>
      </c>
      <c r="J20" s="16" t="n">
        <v>32.95</v>
      </c>
      <c r="K20" s="11" t="n">
        <v>65900</v>
      </c>
      <c r="L20" s="11" t="n">
        <v>93</v>
      </c>
      <c r="M20" s="11" t="n">
        <v>197</v>
      </c>
      <c r="N20" s="11" t="n">
        <v>0</v>
      </c>
      <c r="O20" s="434" t="n">
        <v>0</v>
      </c>
      <c r="P20" s="435" t="n">
        <v>4101</v>
      </c>
      <c r="Q20" s="435" t="n">
        <v>0</v>
      </c>
      <c r="R20" s="435" t="n">
        <v>3700</v>
      </c>
      <c r="S20" s="435" t="n">
        <v>10</v>
      </c>
      <c r="T20" s="435" t="n"/>
      <c r="U20" s="69" t="n">
        <v>0</v>
      </c>
      <c r="V20" s="69" t="n"/>
      <c r="W20" s="70" t="n">
        <v>0.11</v>
      </c>
      <c r="X20" s="436" t="n">
        <v>0.06338485316846985</v>
      </c>
      <c r="Y20" s="16">
        <f>VLOOKUP(C20,台股行情!A:D,4,FALSE)</f>
        <v/>
      </c>
      <c r="Z20" s="437">
        <f>VLOOKUP(C20,台股行情!A:E,5,FALSE)</f>
        <v/>
      </c>
      <c r="AA20" s="438">
        <f>IF(I20="",((TODAY()-A20)*G20)/365.24,((I20-A20)*G20)/365.24)</f>
        <v/>
      </c>
      <c r="AB20" s="103" t="inlineStr">
        <is>
          <t>除權息</t>
        </is>
      </c>
      <c r="AC20" s="311" t="inlineStr">
        <is>
          <t>已填息</t>
        </is>
      </c>
    </row>
    <row r="21">
      <c r="A21" s="99" t="n">
        <v>45849</v>
      </c>
      <c r="B21" s="11" t="n"/>
      <c r="C21" s="11" t="n">
        <v>2634</v>
      </c>
      <c r="D21" s="189" t="inlineStr">
        <is>
          <t>漢翔</t>
        </is>
      </c>
      <c r="E21" s="11" t="n">
        <v>2000</v>
      </c>
      <c r="F21" s="11" t="n">
        <v>42.1</v>
      </c>
      <c r="G21" s="11" t="n">
        <v>84200</v>
      </c>
      <c r="H21" s="11" t="n">
        <v>119</v>
      </c>
      <c r="I21" s="104" t="n">
        <v>45866</v>
      </c>
      <c r="J21" s="16" t="n">
        <v>42.35</v>
      </c>
      <c r="K21" s="11" t="n">
        <v>84700</v>
      </c>
      <c r="L21" s="11" t="n">
        <v>120</v>
      </c>
      <c r="M21" s="11" t="n">
        <v>254</v>
      </c>
      <c r="N21" s="11" t="n">
        <v>0</v>
      </c>
      <c r="O21" s="434" t="n">
        <v>0</v>
      </c>
      <c r="P21" s="435" t="n">
        <v>7</v>
      </c>
      <c r="Q21" s="435" t="n">
        <v>0</v>
      </c>
      <c r="R21" s="435" t="n"/>
      <c r="S21" s="435" t="n"/>
      <c r="T21" s="435" t="n"/>
      <c r="U21" s="69" t="n">
        <v>0</v>
      </c>
      <c r="V21" s="69" t="n"/>
      <c r="W21" s="70" t="n">
        <v>0.11</v>
      </c>
      <c r="X21" s="436" t="n">
        <v>8.31353919239905e-05</v>
      </c>
      <c r="Y21" s="16">
        <f>VLOOKUP(C21,台股行情!A:D,4,FALSE)</f>
        <v/>
      </c>
      <c r="Z21" s="437">
        <f>VLOOKUP(C21,台股行情!A:E,5,FALSE)</f>
        <v/>
      </c>
      <c r="AA21" s="438">
        <f>IF(I21="",((TODAY()-A21)*G21)/365.24,((I21-A21)*G21)/365.24)</f>
        <v/>
      </c>
      <c r="AB21" s="103" t="inlineStr">
        <is>
          <t>除權息</t>
        </is>
      </c>
      <c r="AC21" s="311" t="inlineStr">
        <is>
          <t>已填息</t>
        </is>
      </c>
    </row>
    <row r="22">
      <c r="A22" s="99" t="n">
        <v>45695</v>
      </c>
      <c r="B22" s="11" t="n"/>
      <c r="C22" s="11" t="n">
        <v>3661</v>
      </c>
      <c r="D22" s="189" t="inlineStr">
        <is>
          <t>世芯-KY</t>
        </is>
      </c>
      <c r="E22" s="11" t="n">
        <v>10</v>
      </c>
      <c r="F22" s="11" t="n">
        <v>3455</v>
      </c>
      <c r="G22" s="11" t="n">
        <v>34550</v>
      </c>
      <c r="H22" s="11" t="n">
        <v>49</v>
      </c>
      <c r="I22" s="104" t="n">
        <v>45869</v>
      </c>
      <c r="J22" s="16" t="n">
        <v>3870</v>
      </c>
      <c r="K22" s="11" t="n">
        <v>38700</v>
      </c>
      <c r="L22" s="11" t="n">
        <v>55</v>
      </c>
      <c r="M22" s="11" t="n">
        <v>116</v>
      </c>
      <c r="N22" s="11" t="n">
        <v>0</v>
      </c>
      <c r="O22" s="434" t="n">
        <v>0</v>
      </c>
      <c r="P22" s="435" t="n">
        <v>3930</v>
      </c>
      <c r="Q22" s="435" t="n">
        <v>0</v>
      </c>
      <c r="R22" s="435" t="n"/>
      <c r="S22" s="435" t="n"/>
      <c r="T22" s="435" t="n"/>
      <c r="U22" s="69" t="n">
        <v>0</v>
      </c>
      <c r="V22" s="69" t="n"/>
      <c r="W22" s="70" t="n">
        <v>0.11</v>
      </c>
      <c r="X22" s="436" t="n">
        <v>0.1137481910274964</v>
      </c>
      <c r="Y22" s="16">
        <f>VLOOKUP(C22,台股行情!A:D,4,FALSE)</f>
        <v/>
      </c>
      <c r="Z22" s="437">
        <f>VLOOKUP(C22,台股行情!A:E,5,FALSE)</f>
        <v/>
      </c>
      <c r="AA22" s="438">
        <f>IF(I22="",((TODAY()-A22)*G22)/365.24,((I22-A22)*G22)/365.24)</f>
        <v/>
      </c>
      <c r="AB22" s="103" t="inlineStr">
        <is>
          <t>存股</t>
        </is>
      </c>
      <c r="AC22" s="311" t="inlineStr">
        <is>
          <t>波段操作，獲利了結</t>
        </is>
      </c>
    </row>
    <row r="23">
      <c r="A23" s="99" t="n">
        <v>45868</v>
      </c>
      <c r="B23" s="11" t="n"/>
      <c r="C23" s="11" t="n">
        <v>3661</v>
      </c>
      <c r="D23" s="189" t="inlineStr">
        <is>
          <t>世芯-KY</t>
        </is>
      </c>
      <c r="E23" s="11" t="n">
        <v>10</v>
      </c>
      <c r="F23" s="11" t="n">
        <v>3760</v>
      </c>
      <c r="G23" s="11" t="n">
        <v>37600</v>
      </c>
      <c r="H23" s="11" t="n">
        <v>53</v>
      </c>
      <c r="I23" s="104" t="n">
        <v>45869</v>
      </c>
      <c r="J23" s="16" t="n">
        <v>3870</v>
      </c>
      <c r="K23" s="11" t="n">
        <v>38700</v>
      </c>
      <c r="L23" s="11" t="n">
        <v>55</v>
      </c>
      <c r="M23" s="11" t="n">
        <v>116</v>
      </c>
      <c r="N23" s="11" t="n">
        <v>0</v>
      </c>
      <c r="O23" s="434" t="n">
        <v>0</v>
      </c>
      <c r="P23" s="435" t="n">
        <v>876</v>
      </c>
      <c r="Q23" s="435" t="n">
        <v>0</v>
      </c>
      <c r="R23" s="435" t="n"/>
      <c r="S23" s="435" t="n"/>
      <c r="T23" s="435" t="n"/>
      <c r="U23" s="69" t="n">
        <v>0</v>
      </c>
      <c r="V23" s="69" t="n"/>
      <c r="W23" s="70" t="n">
        <v>0.11</v>
      </c>
      <c r="X23" s="436" t="n">
        <v>0.02329787234042553</v>
      </c>
      <c r="Y23" s="16">
        <f>VLOOKUP(C23,台股行情!A:D,4,FALSE)</f>
        <v/>
      </c>
      <c r="Z23" s="437">
        <f>VLOOKUP(C23,台股行情!A:E,5,FALSE)</f>
        <v/>
      </c>
      <c r="AA23" s="438">
        <f>IF(I23="",((TODAY()-A23)*G23)/365.24,((I23-A23)*G23)/365.24)</f>
        <v/>
      </c>
      <c r="AB23" s="103" t="inlineStr">
        <is>
          <t>存股</t>
        </is>
      </c>
      <c r="AC23" s="311" t="inlineStr">
        <is>
          <t>波段操作，獲利了結</t>
        </is>
      </c>
    </row>
    <row r="24">
      <c r="A24" s="99" t="n">
        <v>45695</v>
      </c>
      <c r="B24" s="11" t="n"/>
      <c r="C24" s="11" t="n">
        <v>3661</v>
      </c>
      <c r="D24" s="189" t="inlineStr">
        <is>
          <t>世芯-KY</t>
        </is>
      </c>
      <c r="E24" s="11" t="n">
        <v>10</v>
      </c>
      <c r="F24" s="11" t="n">
        <v>3455</v>
      </c>
      <c r="G24" s="11" t="n">
        <v>34550</v>
      </c>
      <c r="H24" s="11" t="n">
        <v>49</v>
      </c>
      <c r="I24" s="104" t="n">
        <v>45881</v>
      </c>
      <c r="J24" s="16" t="n">
        <v>4055</v>
      </c>
      <c r="K24" s="11" t="n">
        <v>40550</v>
      </c>
      <c r="L24" s="11" t="n">
        <v>57</v>
      </c>
      <c r="M24" s="11" t="n">
        <v>121</v>
      </c>
      <c r="N24" s="11" t="n">
        <v>0</v>
      </c>
      <c r="O24" s="434" t="n">
        <v>0</v>
      </c>
      <c r="P24" s="435" t="n">
        <v>5773</v>
      </c>
      <c r="Q24" s="435" t="n">
        <v>0</v>
      </c>
      <c r="R24" s="435" t="n"/>
      <c r="S24" s="435" t="n"/>
      <c r="T24" s="435" t="n"/>
      <c r="U24" s="69" t="n">
        <v>0</v>
      </c>
      <c r="V24" s="69" t="n"/>
      <c r="W24" s="70" t="n">
        <v>0.11</v>
      </c>
      <c r="X24" s="436" t="n">
        <v>0.1670911722141823</v>
      </c>
      <c r="Y24" s="16">
        <f>VLOOKUP(C24,台股行情!A:D,4,FALSE)</f>
        <v/>
      </c>
      <c r="Z24" s="437">
        <f>VLOOKUP(C24,台股行情!A:E,5,FALSE)</f>
        <v/>
      </c>
      <c r="AA24" s="438">
        <f>IF(I24="",((TODAY()-A24)*G24)/365.24,((I24-A24)*G24)/365.24)</f>
        <v/>
      </c>
      <c r="AB24" s="103" t="inlineStr">
        <is>
          <t>存股</t>
        </is>
      </c>
      <c r="AC24" s="311" t="inlineStr">
        <is>
          <t>波段操作，獲利了結</t>
        </is>
      </c>
    </row>
    <row r="25">
      <c r="A25" s="99" t="n">
        <v>45695</v>
      </c>
      <c r="B25" s="11" t="n"/>
      <c r="C25" s="11" t="n">
        <v>3661</v>
      </c>
      <c r="D25" s="189" t="inlineStr">
        <is>
          <t>世芯-KY</t>
        </is>
      </c>
      <c r="E25" s="11" t="n">
        <v>20</v>
      </c>
      <c r="F25" s="11" t="n">
        <v>3455</v>
      </c>
      <c r="G25" s="11" t="n">
        <v>69100</v>
      </c>
      <c r="H25" s="11" t="n">
        <v>98</v>
      </c>
      <c r="I25" s="104" t="n">
        <v>45898</v>
      </c>
      <c r="J25" s="16" t="n">
        <v>4120</v>
      </c>
      <c r="K25" s="11" t="n">
        <v>82400</v>
      </c>
      <c r="L25" s="11" t="n">
        <v>117</v>
      </c>
      <c r="M25" s="11" t="n">
        <v>247</v>
      </c>
      <c r="N25" s="11" t="n">
        <v>0</v>
      </c>
      <c r="O25" s="434" t="n">
        <v>0</v>
      </c>
      <c r="P25" s="435" t="n">
        <v>12838</v>
      </c>
      <c r="Q25" s="435" t="n">
        <v>0</v>
      </c>
      <c r="R25" s="435" t="n"/>
      <c r="S25" s="435" t="n"/>
      <c r="T25" s="435" t="n"/>
      <c r="U25" s="69" t="n">
        <v>0</v>
      </c>
      <c r="V25" s="69" t="n"/>
      <c r="W25" s="70" t="n">
        <v>0.11</v>
      </c>
      <c r="X25" s="436" t="n">
        <v>0.1857887120115774</v>
      </c>
      <c r="Y25" s="16">
        <f>VLOOKUP(C25,台股行情!A:D,4,FALSE)</f>
        <v/>
      </c>
      <c r="Z25" s="437">
        <f>VLOOKUP(C25,台股行情!A:E,5,FALSE)</f>
        <v/>
      </c>
      <c r="AA25" s="438">
        <f>IF(I25="",((TODAY()-A25)*G25)/365.24,((I25-A25)*G25)/365.24)</f>
        <v/>
      </c>
      <c r="AB25" s="103" t="inlineStr">
        <is>
          <t>存股</t>
        </is>
      </c>
      <c r="AC25" s="311" t="inlineStr">
        <is>
          <t>波段操作，獲利了結</t>
        </is>
      </c>
    </row>
    <row r="26">
      <c r="A26" s="99" t="n">
        <v>45695</v>
      </c>
      <c r="B26" s="11" t="n"/>
      <c r="C26" s="11" t="n">
        <v>3661</v>
      </c>
      <c r="D26" s="189" t="inlineStr">
        <is>
          <t>世芯-KY</t>
        </is>
      </c>
      <c r="E26" s="11" t="n">
        <v>20</v>
      </c>
      <c r="F26" s="11" t="n">
        <v>3455</v>
      </c>
      <c r="G26" s="11" t="n">
        <v>69100</v>
      </c>
      <c r="H26" s="11" t="n">
        <v>98</v>
      </c>
      <c r="I26" s="104" t="n">
        <v>45909</v>
      </c>
      <c r="J26" s="16" t="n">
        <v>3930</v>
      </c>
      <c r="K26" s="11" t="n">
        <v>78600</v>
      </c>
      <c r="L26" s="11" t="n">
        <v>112</v>
      </c>
      <c r="M26" s="11" t="n">
        <v>235</v>
      </c>
      <c r="N26" s="11" t="n">
        <v>0</v>
      </c>
      <c r="O26" s="434" t="n">
        <v>0</v>
      </c>
      <c r="P26" s="435" t="n">
        <v>9055</v>
      </c>
      <c r="Q26" s="435" t="n">
        <v>0</v>
      </c>
      <c r="R26" s="435" t="n"/>
      <c r="S26" s="435" t="n"/>
      <c r="T26" s="435" t="n"/>
      <c r="U26" s="69" t="n">
        <v>0</v>
      </c>
      <c r="V26" s="69" t="n"/>
      <c r="W26" s="70" t="n">
        <v>0.11</v>
      </c>
      <c r="X26" s="436" t="n">
        <v>0.1310419681620839</v>
      </c>
      <c r="Y26" s="16">
        <f>VLOOKUP(C26,台股行情!A:D,4,FALSE)</f>
        <v/>
      </c>
      <c r="Z26" s="437">
        <f>VLOOKUP(C26,台股行情!A:E,5,FALSE)</f>
        <v/>
      </c>
      <c r="AA26" s="438">
        <f>IF(I26="",((TODAY()-A26)*G26)/365.24,((I26-A26)*G26)/365.24)</f>
        <v/>
      </c>
      <c r="AB26" s="103" t="inlineStr">
        <is>
          <t>存股</t>
        </is>
      </c>
      <c r="AC26" s="311" t="inlineStr">
        <is>
          <t>波段操作，獲利了結</t>
        </is>
      </c>
    </row>
    <row r="27">
      <c r="A27" s="99" t="n">
        <v>45695</v>
      </c>
      <c r="B27" s="11" t="n"/>
      <c r="C27" s="11" t="n">
        <v>3661</v>
      </c>
      <c r="D27" s="189" t="inlineStr">
        <is>
          <t>世芯-KY</t>
        </is>
      </c>
      <c r="E27" s="11" t="n">
        <v>10</v>
      </c>
      <c r="F27" s="11" t="n">
        <v>3455</v>
      </c>
      <c r="G27" s="11" t="n">
        <v>34550</v>
      </c>
      <c r="H27" s="11" t="n">
        <v>49</v>
      </c>
      <c r="I27" s="104" t="n">
        <v>45909</v>
      </c>
      <c r="J27" s="16" t="n">
        <v>3975</v>
      </c>
      <c r="K27" s="11" t="n">
        <v>39750</v>
      </c>
      <c r="L27" s="11" t="n">
        <v>56</v>
      </c>
      <c r="M27" s="11" t="n">
        <v>119</v>
      </c>
      <c r="N27" s="11" t="n">
        <v>0</v>
      </c>
      <c r="O27" s="434" t="n">
        <v>0</v>
      </c>
      <c r="P27" s="435" t="n">
        <v>4976</v>
      </c>
      <c r="Q27" s="435" t="n">
        <v>0</v>
      </c>
      <c r="R27" s="435" t="n"/>
      <c r="S27" s="435" t="n"/>
      <c r="T27" s="435" t="n"/>
      <c r="U27" s="69" t="n">
        <v>0</v>
      </c>
      <c r="V27" s="69" t="n"/>
      <c r="W27" s="70" t="n">
        <v>0.11</v>
      </c>
      <c r="X27" s="436" t="n">
        <v>0.1440231548480463</v>
      </c>
      <c r="Y27" s="16">
        <f>VLOOKUP(C27,台股行情!A:D,4,FALSE)</f>
        <v/>
      </c>
      <c r="Z27" s="437">
        <f>VLOOKUP(C27,台股行情!A:E,5,FALSE)</f>
        <v/>
      </c>
      <c r="AA27" s="438">
        <f>IF(I27="",((TODAY()-A27)*G27)/365.24,((I27-A27)*G27)/365.24)</f>
        <v/>
      </c>
      <c r="AB27" s="103" t="inlineStr">
        <is>
          <t>存股</t>
        </is>
      </c>
      <c r="AC27" s="311" t="inlineStr">
        <is>
          <t>波段操作，獲利了結</t>
        </is>
      </c>
    </row>
    <row r="28">
      <c r="A28" s="99" t="n">
        <v>45917</v>
      </c>
      <c r="B28" s="11" t="n"/>
      <c r="C28" s="11" t="n">
        <v>2542</v>
      </c>
      <c r="D28" s="189" t="inlineStr">
        <is>
          <t>興富發</t>
        </is>
      </c>
      <c r="E28" s="11" t="n">
        <v>2000</v>
      </c>
      <c r="F28" s="11" t="n">
        <v>46.2</v>
      </c>
      <c r="G28" s="11" t="n">
        <v>92400</v>
      </c>
      <c r="H28" s="11" t="n">
        <v>131</v>
      </c>
      <c r="I28" s="104" t="n">
        <v>45923</v>
      </c>
      <c r="J28" s="16" t="n">
        <v>44.8</v>
      </c>
      <c r="K28" s="11" t="n">
        <v>89600</v>
      </c>
      <c r="L28" s="11" t="n">
        <v>127</v>
      </c>
      <c r="M28" s="11" t="n">
        <v>268</v>
      </c>
      <c r="N28" s="11" t="n">
        <v>0</v>
      </c>
      <c r="O28" s="434" t="n">
        <v>0</v>
      </c>
      <c r="P28" s="435" t="n">
        <v>-3326</v>
      </c>
      <c r="Q28" s="435" t="n">
        <v>0</v>
      </c>
      <c r="R28" s="435" t="n"/>
      <c r="S28" s="435" t="n"/>
      <c r="T28" s="435" t="n"/>
      <c r="U28" s="69" t="n">
        <v>0</v>
      </c>
      <c r="V28" s="69" t="n"/>
      <c r="W28" s="70" t="n">
        <v>0.11</v>
      </c>
      <c r="X28" s="436" t="n">
        <v>-0.035995670995671</v>
      </c>
      <c r="Y28" s="16">
        <f>VLOOKUP(C28,台股行情!A:D,4,FALSE)</f>
        <v/>
      </c>
      <c r="Z28" s="437">
        <f>VLOOKUP(C28,台股行情!A:E,5,FALSE)</f>
        <v/>
      </c>
      <c r="AA28" s="438">
        <f>IF(I28="",((TODAY()-A28)*G28)/365.24,((I28-A28)*G28)/365.24)</f>
        <v/>
      </c>
      <c r="AB28" s="103" t="inlineStr">
        <is>
          <t>阿水一式</t>
        </is>
      </c>
    </row>
    <row r="29">
      <c r="A29" s="99" t="n">
        <v>45889</v>
      </c>
      <c r="B29" s="11" t="n"/>
      <c r="C29" s="11" t="n">
        <v>3661</v>
      </c>
      <c r="D29" s="189" t="inlineStr">
        <is>
          <t>世芯-KY</t>
        </is>
      </c>
      <c r="E29" s="11" t="n">
        <v>10</v>
      </c>
      <c r="F29" s="11" t="n">
        <v>3800</v>
      </c>
      <c r="G29" s="11" t="n">
        <v>38000</v>
      </c>
      <c r="H29" s="11" t="n">
        <v>54</v>
      </c>
      <c r="I29" s="104" t="n">
        <v>45939</v>
      </c>
      <c r="J29" s="16" t="n">
        <v>3485</v>
      </c>
      <c r="K29" s="11" t="n">
        <v>34850</v>
      </c>
      <c r="L29" s="11" t="n">
        <v>49</v>
      </c>
      <c r="M29" s="11" t="n">
        <v>104</v>
      </c>
      <c r="N29" s="11" t="n">
        <v>0</v>
      </c>
      <c r="O29" s="434" t="n">
        <v>0</v>
      </c>
      <c r="P29" s="435" t="n">
        <v>-3357</v>
      </c>
      <c r="Q29" s="435" t="n">
        <v>0</v>
      </c>
      <c r="R29" s="435" t="n"/>
      <c r="S29" s="435" t="n"/>
      <c r="T29" s="435" t="n"/>
      <c r="U29" s="69" t="n">
        <v>0</v>
      </c>
      <c r="V29" s="69" t="n"/>
      <c r="W29" s="70" t="n">
        <v>0.11</v>
      </c>
      <c r="X29" s="436" t="n">
        <v>-0.08834210526315789</v>
      </c>
      <c r="Y29" s="16">
        <f>VLOOKUP(C29,台股行情!A:D,4,FALSE)</f>
        <v/>
      </c>
      <c r="Z29" s="437">
        <f>VLOOKUP(C29,台股行情!A:E,5,FALSE)</f>
        <v/>
      </c>
      <c r="AA29" s="438">
        <f>IF(I29="",((TODAY()-A29)*G29)/365.24,((I29-A29)*G29)/365.24)</f>
        <v/>
      </c>
      <c r="AB29" s="103" t="inlineStr">
        <is>
          <t>存股</t>
        </is>
      </c>
      <c r="AC29" s="310" t="inlineStr">
        <is>
          <t>股價持續下跌，減碼持股</t>
        </is>
      </c>
    </row>
    <row r="30">
      <c r="A30" s="99" t="n">
        <v>45924</v>
      </c>
      <c r="B30" s="11" t="n"/>
      <c r="C30" s="11" t="n">
        <v>3661</v>
      </c>
      <c r="D30" s="189" t="inlineStr">
        <is>
          <t>世芯-KY</t>
        </is>
      </c>
      <c r="E30" s="11" t="n">
        <v>20</v>
      </c>
      <c r="F30" s="11" t="n">
        <v>3415</v>
      </c>
      <c r="G30" s="11" t="n">
        <v>68300</v>
      </c>
      <c r="H30" s="11" t="n">
        <v>97</v>
      </c>
      <c r="I30" s="104" t="n">
        <v>45968</v>
      </c>
      <c r="J30" s="16" t="n">
        <v>3610</v>
      </c>
      <c r="K30" s="11" t="n">
        <v>72200</v>
      </c>
      <c r="L30" s="11" t="n">
        <v>102</v>
      </c>
      <c r="M30" s="11" t="n">
        <v>216</v>
      </c>
      <c r="N30" s="11" t="n">
        <v>0</v>
      </c>
      <c r="O30" s="434" t="n">
        <v>0</v>
      </c>
      <c r="P30" s="435" t="n">
        <v>3485</v>
      </c>
      <c r="Q30" s="435" t="n">
        <v>0</v>
      </c>
      <c r="R30" s="435" t="n"/>
      <c r="S30" s="435" t="n"/>
      <c r="T30" s="435" t="n"/>
      <c r="U30" s="69" t="n">
        <v>0</v>
      </c>
      <c r="V30" s="69" t="n"/>
      <c r="W30" s="70" t="n">
        <v>0.11</v>
      </c>
      <c r="X30" s="436" t="n">
        <v>0.05102489019033675</v>
      </c>
      <c r="Y30" s="16">
        <f>VLOOKUP(C30,台股行情!A:D,4,FALSE)</f>
        <v/>
      </c>
      <c r="Z30" s="437">
        <f>VLOOKUP(C30,台股行情!A:E,5,FALSE)</f>
        <v/>
      </c>
      <c r="AA30" s="438">
        <f>IF(I30="",((TODAY()-A30)*G30)/365.24,((I30-A30)*G30)/365.24)</f>
        <v/>
      </c>
      <c r="AB30" s="103" t="inlineStr">
        <is>
          <t>存股</t>
        </is>
      </c>
      <c r="AC30" s="311" t="inlineStr">
        <is>
          <t>波段操作，獲利了結</t>
        </is>
      </c>
    </row>
    <row r="31">
      <c r="A31" s="99" t="n">
        <v>45695</v>
      </c>
      <c r="B31" s="11" t="n"/>
      <c r="C31" s="11" t="n">
        <v>3661</v>
      </c>
      <c r="D31" s="189" t="inlineStr">
        <is>
          <t>世芯-KY</t>
        </is>
      </c>
      <c r="E31" s="11" t="n">
        <v>10</v>
      </c>
      <c r="F31" s="11" t="n">
        <v>3455</v>
      </c>
      <c r="G31" s="11" t="n">
        <v>34550</v>
      </c>
      <c r="H31" s="11" t="n">
        <v>49</v>
      </c>
      <c r="I31" s="104" t="n">
        <v>45972</v>
      </c>
      <c r="J31" s="16" t="n">
        <v>3680</v>
      </c>
      <c r="K31" s="11" t="n">
        <v>36800</v>
      </c>
      <c r="L31" s="11" t="n">
        <v>52</v>
      </c>
      <c r="M31" s="11" t="n">
        <v>110</v>
      </c>
      <c r="N31" s="11" t="n">
        <v>0</v>
      </c>
      <c r="O31" s="434" t="n">
        <v>0</v>
      </c>
      <c r="P31" s="435" t="n">
        <v>2039</v>
      </c>
      <c r="Q31" s="435" t="n">
        <v>0</v>
      </c>
      <c r="R31" s="435" t="n"/>
      <c r="S31" s="435" t="n"/>
      <c r="T31" s="435" t="n"/>
      <c r="U31" s="69" t="n">
        <v>0</v>
      </c>
      <c r="V31" s="69" t="n"/>
      <c r="W31" s="70" t="n">
        <v>0.11</v>
      </c>
      <c r="X31" s="436" t="n">
        <v>0.05901591895803183</v>
      </c>
      <c r="Y31" s="16">
        <f>VLOOKUP(C31,台股行情!A:D,4,FALSE)</f>
        <v/>
      </c>
      <c r="Z31" s="437">
        <f>VLOOKUP(C31,台股行情!A:E,5,FALSE)</f>
        <v/>
      </c>
      <c r="AA31" s="438">
        <f>IF(I31="",((TODAY()-A31)*G31)/365.24,((I31-A31)*G31)/365.24)</f>
        <v/>
      </c>
      <c r="AB31" s="103" t="inlineStr">
        <is>
          <t>存股</t>
        </is>
      </c>
      <c r="AC31" s="311" t="inlineStr">
        <is>
          <t>波段操作，獲利了結</t>
        </is>
      </c>
    </row>
    <row r="32">
      <c r="A32" s="99" t="n">
        <v>45944</v>
      </c>
      <c r="B32" s="11" t="n"/>
      <c r="C32" s="11" t="n">
        <v>3661</v>
      </c>
      <c r="D32" s="189" t="inlineStr">
        <is>
          <t>世芯-KY</t>
        </is>
      </c>
      <c r="E32" s="11" t="n">
        <v>10</v>
      </c>
      <c r="F32" s="11" t="n">
        <v>3170</v>
      </c>
      <c r="G32" s="11" t="n">
        <v>31700</v>
      </c>
      <c r="H32" s="11" t="n">
        <v>45</v>
      </c>
      <c r="I32" s="104" t="n">
        <v>45978</v>
      </c>
      <c r="J32" s="16" t="n">
        <v>3615</v>
      </c>
      <c r="K32" s="11" t="n">
        <v>36150</v>
      </c>
      <c r="L32" s="11" t="n">
        <v>51</v>
      </c>
      <c r="M32" s="11" t="n">
        <v>108</v>
      </c>
      <c r="N32" s="11" t="n">
        <v>0</v>
      </c>
      <c r="O32" s="434" t="n">
        <v>0</v>
      </c>
      <c r="P32" s="435" t="n">
        <v>4246</v>
      </c>
      <c r="Q32" s="435" t="n">
        <v>0</v>
      </c>
      <c r="R32" s="435" t="n"/>
      <c r="S32" s="435" t="n"/>
      <c r="T32" s="435" t="n"/>
      <c r="U32" s="69" t="n">
        <v>0</v>
      </c>
      <c r="V32" s="69" t="n"/>
      <c r="W32" s="70" t="n">
        <v>0.11</v>
      </c>
      <c r="X32" s="436" t="n">
        <v>0.1339432176656151</v>
      </c>
      <c r="Y32" s="16">
        <f>VLOOKUP(C32,台股行情!A:D,4,FALSE)</f>
        <v/>
      </c>
      <c r="Z32" s="437">
        <f>VLOOKUP(C32,台股行情!A:E,5,FALSE)</f>
        <v/>
      </c>
      <c r="AA32" s="438">
        <f>IF(I32="",((TODAY()-A32)*G32)/365.24,((I32-A32)*G32)/365.24)</f>
        <v/>
      </c>
      <c r="AB32" s="103" t="inlineStr">
        <is>
          <t>存股</t>
        </is>
      </c>
      <c r="AC32" s="311" t="inlineStr">
        <is>
          <t>波段操作，獲利了結</t>
        </is>
      </c>
    </row>
    <row r="33">
      <c r="A33" s="99" t="n">
        <v>45695</v>
      </c>
      <c r="B33" s="11" t="n"/>
      <c r="C33" s="11" t="n">
        <v>3661</v>
      </c>
      <c r="D33" s="189" t="inlineStr">
        <is>
          <t>世芯-KY</t>
        </is>
      </c>
      <c r="E33" s="11" t="n">
        <v>20</v>
      </c>
      <c r="F33" s="11" t="n">
        <v>3455</v>
      </c>
      <c r="G33" s="11" t="n">
        <v>69100</v>
      </c>
      <c r="H33" s="11" t="n">
        <v>100</v>
      </c>
      <c r="I33" s="104" t="n">
        <v>46001</v>
      </c>
      <c r="J33" s="16" t="n">
        <v>3360</v>
      </c>
      <c r="K33" s="11" t="n">
        <v>67200</v>
      </c>
      <c r="L33" s="11" t="n">
        <v>96</v>
      </c>
      <c r="M33" s="11" t="n">
        <v>202</v>
      </c>
      <c r="N33" s="11" t="n">
        <v>0</v>
      </c>
      <c r="O33" s="434" t="n">
        <v>0</v>
      </c>
      <c r="P33" s="435" t="n">
        <v>-25.82999999999998</v>
      </c>
      <c r="Q33" s="435" t="n">
        <v>0</v>
      </c>
      <c r="R33" s="435" t="n">
        <v>2553</v>
      </c>
      <c r="S33" s="435" t="n"/>
      <c r="T33" s="435" t="n"/>
      <c r="U33" s="69" t="n">
        <v>0</v>
      </c>
      <c r="V33" s="69" t="n"/>
      <c r="W33" s="70" t="n">
        <v>0.11</v>
      </c>
      <c r="X33" s="436" t="n">
        <v>-0.0003738060781476119</v>
      </c>
      <c r="Y33" s="16">
        <f>VLOOKUP(C33,台股行情!A:D,4,FALSE)</f>
        <v/>
      </c>
      <c r="Z33" s="437">
        <f>VLOOKUP(C33,台股行情!A:E,5,FALSE)</f>
        <v/>
      </c>
      <c r="AA33" s="438">
        <f>IF(I33="",((TODAY()-A33)*G33)/365.24,((I33-A33)*G33)/365.24)</f>
        <v/>
      </c>
      <c r="AB33" s="103" t="inlineStr">
        <is>
          <t>存股</t>
        </is>
      </c>
      <c r="AC33" s="310" t="inlineStr">
        <is>
          <t>股價持續下跌，減碼持股</t>
        </is>
      </c>
    </row>
    <row r="34">
      <c r="A34" s="99" t="n">
        <v>45666</v>
      </c>
      <c r="B34" s="11" t="n"/>
      <c r="C34" s="11" t="n">
        <v>926</v>
      </c>
      <c r="D34" s="189" t="inlineStr">
        <is>
          <t>凱基全球菁英55</t>
        </is>
      </c>
      <c r="E34" s="11" t="n">
        <v>4000</v>
      </c>
      <c r="F34" s="11" t="n">
        <v>22.11</v>
      </c>
      <c r="G34" s="11" t="n">
        <v>88440</v>
      </c>
      <c r="H34" s="11" t="n">
        <v>126</v>
      </c>
      <c r="I34" s="104" t="n">
        <v>46003</v>
      </c>
      <c r="J34" s="16" t="n">
        <v>24.66</v>
      </c>
      <c r="K34" s="11" t="n">
        <v>98640</v>
      </c>
      <c r="L34" s="11" t="n">
        <v>140</v>
      </c>
      <c r="M34" s="11" t="n">
        <v>98</v>
      </c>
      <c r="N34" s="11" t="n">
        <v>0</v>
      </c>
      <c r="O34" s="434" t="n">
        <v>0</v>
      </c>
      <c r="P34" s="435" t="n">
        <v>9836</v>
      </c>
      <c r="Q34" s="435" t="n">
        <v>0</v>
      </c>
      <c r="R34" s="435" t="n"/>
      <c r="S34" s="435" t="n"/>
      <c r="T34" s="435" t="n"/>
      <c r="U34" s="69" t="n">
        <v>0</v>
      </c>
      <c r="V34" s="69" t="n"/>
      <c r="W34" s="70" t="n">
        <v>0.11</v>
      </c>
      <c r="X34" s="436" t="n">
        <v>0.111216644052465</v>
      </c>
      <c r="Y34" s="16">
        <f>VLOOKUP(C34,台股行情!A:D,4,FALSE)</f>
        <v/>
      </c>
      <c r="Z34" s="437">
        <f>VLOOKUP(C34,台股行情!A:E,5,FALSE)</f>
        <v/>
      </c>
      <c r="AA34" s="438">
        <f>IF(I34="",((TODAY()-A34)*G34)/365.24,((I34-A34)*G34)/365.24)</f>
        <v/>
      </c>
      <c r="AB34" s="103" t="inlineStr">
        <is>
          <t>存股</t>
        </is>
      </c>
    </row>
    <row r="35">
      <c r="A35" s="99" t="n">
        <v>45915</v>
      </c>
      <c r="B35" s="11" t="n"/>
      <c r="C35" s="11" t="n">
        <v>3661</v>
      </c>
      <c r="D35" s="189" t="inlineStr">
        <is>
          <t>世芯-KY</t>
        </is>
      </c>
      <c r="E35" s="11" t="n">
        <v>10</v>
      </c>
      <c r="F35" s="11" t="n">
        <v>3740</v>
      </c>
      <c r="G35" s="11" t="n">
        <v>37400</v>
      </c>
      <c r="H35" s="11" t="n">
        <v>53</v>
      </c>
      <c r="I35" s="308" t="n">
        <v>46024</v>
      </c>
      <c r="J35" s="16" t="n">
        <v>3655</v>
      </c>
      <c r="K35" s="11" t="n">
        <v>36550</v>
      </c>
      <c r="L35" s="11" t="n">
        <v>52</v>
      </c>
      <c r="M35" s="11" t="n">
        <v>109</v>
      </c>
      <c r="N35" s="11" t="n">
        <v>0</v>
      </c>
      <c r="O35" s="434" t="n">
        <v>0</v>
      </c>
      <c r="P35" s="435" t="n">
        <v>-1064</v>
      </c>
      <c r="Q35" s="435" t="n">
        <v>0</v>
      </c>
      <c r="R35" s="435" t="n"/>
      <c r="S35" s="435" t="n"/>
      <c r="T35" s="435" t="n"/>
      <c r="U35" s="69" t="n">
        <v>0</v>
      </c>
      <c r="V35" s="69" t="n"/>
      <c r="W35" s="70" t="n">
        <v>0.11</v>
      </c>
      <c r="X35" s="436" t="n">
        <v>-0.02844919786096257</v>
      </c>
      <c r="Y35" s="16">
        <f>VLOOKUP(C35,台股行情!A:D,4,FALSE)</f>
        <v/>
      </c>
      <c r="Z35" s="437">
        <f>VLOOKUP(C35,台股行情!A:E,5,FALSE)</f>
        <v/>
      </c>
      <c r="AA35" s="438">
        <f>IF(I35="",((TODAY()-A35)*G35)/365.24,((I35-A35)*G35)/365.24)</f>
        <v/>
      </c>
      <c r="AB35" s="103" t="inlineStr">
        <is>
          <t>存股</t>
        </is>
      </c>
      <c r="AC35" s="310" t="inlineStr">
        <is>
          <t>出清，換股操作</t>
        </is>
      </c>
    </row>
    <row r="36">
      <c r="A36" s="99" t="n">
        <v>45925</v>
      </c>
      <c r="B36" s="11" t="n"/>
      <c r="C36" s="11" t="n">
        <v>770</v>
      </c>
      <c r="D36" s="189">
        <f>VLOOKUP(C36,台股行情!A:B,2,FALSE)</f>
        <v/>
      </c>
      <c r="E36" s="11" t="n">
        <v>185</v>
      </c>
      <c r="F36" s="11" t="n">
        <v>53.8</v>
      </c>
      <c r="G36" s="11">
        <f>E36*F36</f>
        <v/>
      </c>
      <c r="H36" s="11" t="n">
        <v>1</v>
      </c>
      <c r="I36" s="308" t="n">
        <v>46090</v>
      </c>
      <c r="J36" s="16" t="n">
        <v>50.2</v>
      </c>
      <c r="K36" s="11">
        <f>E36*J36</f>
        <v/>
      </c>
      <c r="L36" s="11">
        <f>ROUND(J36*E36*0.1425%,0)</f>
        <v/>
      </c>
      <c r="M36" s="11">
        <f>ROUND(J36*E36*0.3%,0)</f>
        <v/>
      </c>
      <c r="N36" s="11" t="n">
        <v>0</v>
      </c>
      <c r="O36" s="434">
        <f>IF(I36="",E36*Y36,0)</f>
        <v/>
      </c>
      <c r="P36" s="435">
        <f>IF(I36="",R36-H36,(K36-H36-SUM(L36:N36)+R36-S36-T36)-G36)+(ROUND(R36*V36,0)-ROUND(R36*(1+V36),0)*W36)</f>
        <v/>
      </c>
      <c r="Q36" s="435">
        <f>IF(I36="",(O36-G36-(O36*0.1425%*0.65)-(O36*0.3%)-S36-T36),0)</f>
        <v/>
      </c>
      <c r="R36" s="435" t="n">
        <v>777</v>
      </c>
      <c r="S36" s="435" t="n"/>
      <c r="T36" s="435" t="n"/>
      <c r="U36" s="69">
        <f>(V36*50%)/(1+50%*V36)</f>
        <v/>
      </c>
      <c r="V36" s="69" t="n"/>
      <c r="W36" s="70" t="n">
        <v>0.11</v>
      </c>
      <c r="X36" s="436">
        <f>(P36+Q36)/G36</f>
        <v/>
      </c>
      <c r="Y36" s="16">
        <f>VLOOKUP(C36,台股行情!A:D,4,FALSE)</f>
        <v/>
      </c>
      <c r="Z36" s="437">
        <f>VLOOKUP(C36,台股行情!A:E,5,FALSE)</f>
        <v/>
      </c>
      <c r="AA36" s="438">
        <f>IF(I36="",((TODAY()-A36)*G36)/365.24,((I36-A36)*G36)/365.24)</f>
        <v/>
      </c>
      <c r="AB36" s="103" t="inlineStr">
        <is>
          <t>存股</t>
        </is>
      </c>
      <c r="AC36" s="310" t="inlineStr">
        <is>
          <t>美伊戰爭，憂心崩跌，認賠出場</t>
        </is>
      </c>
    </row>
    <row r="37" outlineLevel="1">
      <c r="A37" s="99" t="n">
        <v>45937</v>
      </c>
      <c r="B37" s="11" t="n"/>
      <c r="C37" s="11" t="n">
        <v>770</v>
      </c>
      <c r="D37" s="189">
        <f>VLOOKUP(C37,台股行情!A:B,2,FALSE)</f>
        <v/>
      </c>
      <c r="E37" s="11" t="n">
        <v>181</v>
      </c>
      <c r="F37" s="11" t="n">
        <v>54.96</v>
      </c>
      <c r="G37" s="11" t="n">
        <v>9947</v>
      </c>
      <c r="H37" s="11" t="n">
        <v>1</v>
      </c>
      <c r="I37" s="308" t="n">
        <v>46090</v>
      </c>
      <c r="J37" s="16" t="n">
        <v>50.2</v>
      </c>
      <c r="K37" s="11">
        <f>E37*J37</f>
        <v/>
      </c>
      <c r="L37" s="11">
        <f>ROUND(J37*E37*0.1425%,0)</f>
        <v/>
      </c>
      <c r="M37" s="11">
        <f>ROUND(J37*E37*0.3%,0)</f>
        <v/>
      </c>
      <c r="N37" s="11" t="n">
        <v>0</v>
      </c>
      <c r="O37" s="434">
        <f>IF(I37="",E37*Y37,0)</f>
        <v/>
      </c>
      <c r="P37" s="435">
        <f>IF(I37="",R37-H37,(K37-H37-SUM(L37:N37)+R37-S37-T37)-G37)+(ROUND(R37*V37,0)-ROUND(R37*(1+V37),0)*W37)</f>
        <v/>
      </c>
      <c r="Q37" s="435">
        <f>IF(I37="",(O37-G37-(O37*0.1425%*0.65)-(O37*0.3%)-S37-T37),0)</f>
        <v/>
      </c>
      <c r="R37" s="435" t="n">
        <v>760.2</v>
      </c>
      <c r="S37" s="435" t="n"/>
      <c r="T37" s="435" t="n"/>
      <c r="U37" s="69">
        <f>(V37*50%)/(1+50%*V37)</f>
        <v/>
      </c>
      <c r="V37" s="69" t="n"/>
      <c r="W37" s="70" t="n">
        <v>0.11</v>
      </c>
      <c r="X37" s="436">
        <f>(P37+Q37)/G37</f>
        <v/>
      </c>
      <c r="Y37" s="16">
        <f>VLOOKUP(C37,台股行情!A:D,4,FALSE)</f>
        <v/>
      </c>
      <c r="Z37" s="437">
        <f>VLOOKUP(C37,台股行情!A:E,5,FALSE)</f>
        <v/>
      </c>
      <c r="AA37" s="438">
        <f>IF(I37="",((TODAY()-A37)*G37)/365.24,((I37-A37)*G37)/365.24)</f>
        <v/>
      </c>
      <c r="AB37" s="103" t="inlineStr">
        <is>
          <t>存股</t>
        </is>
      </c>
      <c r="AC37" s="310" t="inlineStr">
        <is>
          <t>美伊戰爭，憂心崩跌，認賠出場</t>
        </is>
      </c>
    </row>
    <row r="38" outlineLevel="1">
      <c r="A38" s="99" t="n">
        <v>45945</v>
      </c>
      <c r="B38" s="11" t="n"/>
      <c r="C38" s="11" t="n">
        <v>770</v>
      </c>
      <c r="D38" s="189">
        <f>VLOOKUP(C38,台股行情!A:B,2,FALSE)</f>
        <v/>
      </c>
      <c r="E38" s="11" t="n">
        <v>182</v>
      </c>
      <c r="F38" s="11" t="n">
        <v>54.88</v>
      </c>
      <c r="G38" s="11" t="n">
        <v>9988</v>
      </c>
      <c r="H38" s="11" t="n">
        <v>1</v>
      </c>
      <c r="I38" s="308" t="n">
        <v>46090</v>
      </c>
      <c r="J38" s="16" t="n">
        <v>50.2</v>
      </c>
      <c r="K38" s="11">
        <f>E38*J38</f>
        <v/>
      </c>
      <c r="L38" s="11">
        <f>ROUND(J38*E38*0.1425%,0)</f>
        <v/>
      </c>
      <c r="M38" s="11">
        <f>ROUND(J38*E38*0.3%,0)</f>
        <v/>
      </c>
      <c r="N38" s="11" t="n">
        <v>0</v>
      </c>
      <c r="O38" s="434">
        <f>IF(I38="",E38*Y38,0)</f>
        <v/>
      </c>
      <c r="P38" s="435">
        <f>IF(I38="",R38-H38,(K38-H38-SUM(L38:N38)+R38-S38-T38)-G38)+(ROUND(R38*V38,0)-ROUND(R38*(1+V38),0)*W38)</f>
        <v/>
      </c>
      <c r="Q38" s="435">
        <f>IF(I38="",(O38-G38-(O38*0.1425%*0.65)-(O38*0.3%)-S38-T38),0)</f>
        <v/>
      </c>
      <c r="R38" s="435" t="n">
        <v>764.4</v>
      </c>
      <c r="S38" s="435" t="n"/>
      <c r="T38" s="435" t="n"/>
      <c r="U38" s="69">
        <f>(V38*50%)/(1+50%*V38)</f>
        <v/>
      </c>
      <c r="V38" s="69" t="n"/>
      <c r="W38" s="70" t="n">
        <v>0.11</v>
      </c>
      <c r="X38" s="436">
        <f>(P38+Q38)/G38</f>
        <v/>
      </c>
      <c r="Y38" s="16">
        <f>VLOOKUP(C38,台股行情!A:D,4,FALSE)</f>
        <v/>
      </c>
      <c r="Z38" s="437">
        <f>VLOOKUP(C38,台股行情!A:E,5,FALSE)</f>
        <v/>
      </c>
      <c r="AA38" s="438">
        <f>IF(I38="",((TODAY()-A38)*G38)/365.24,((I38-A38)*G38)/365.24)</f>
        <v/>
      </c>
      <c r="AB38" s="103" t="inlineStr">
        <is>
          <t>存股</t>
        </is>
      </c>
      <c r="AC38" s="310" t="inlineStr">
        <is>
          <t>美伊戰爭，憂心崩跌，認賠出場</t>
        </is>
      </c>
    </row>
    <row r="39" outlineLevel="1">
      <c r="A39" s="99" t="n">
        <v>45957</v>
      </c>
      <c r="B39" s="11" t="n"/>
      <c r="C39" s="11" t="n">
        <v>770</v>
      </c>
      <c r="D39" s="189">
        <f>VLOOKUP(C39,台股行情!A:B,2,FALSE)</f>
        <v/>
      </c>
      <c r="E39" s="11" t="n">
        <v>174</v>
      </c>
      <c r="F39" s="11" t="n">
        <v>57.41</v>
      </c>
      <c r="G39" s="11" t="n">
        <v>9989</v>
      </c>
      <c r="H39" s="11" t="n">
        <v>1</v>
      </c>
      <c r="I39" s="308" t="n">
        <v>46090</v>
      </c>
      <c r="J39" s="16" t="n">
        <v>50.2</v>
      </c>
      <c r="K39" s="11">
        <f>E39*J39</f>
        <v/>
      </c>
      <c r="L39" s="11">
        <f>ROUND(J39*E39*0.1425%,0)</f>
        <v/>
      </c>
      <c r="M39" s="11">
        <f>ROUND(J39*E39*0.3%,0)</f>
        <v/>
      </c>
      <c r="N39" s="11" t="n">
        <v>0</v>
      </c>
      <c r="O39" s="434">
        <f>IF(I39="",E39*Y39,0)</f>
        <v/>
      </c>
      <c r="P39" s="435">
        <f>IF(I39="",R39-H39,(K39-H39-SUM(L39:N39)+R39-S39-T39)-G39)+(ROUND(R39*V39,0)-ROUND(R39*(1+V39),0)*W39)</f>
        <v/>
      </c>
      <c r="Q39" s="435">
        <f>IF(I39="",(O39-G39-(O39*0.1425%*0.65)-(O39*0.3%)-S39-T39),0)</f>
        <v/>
      </c>
      <c r="R39" s="435" t="n">
        <v>730.8000000000001</v>
      </c>
      <c r="S39" s="435" t="n"/>
      <c r="T39" s="435" t="n"/>
      <c r="U39" s="69">
        <f>(V39*50%)/(1+50%*V39)</f>
        <v/>
      </c>
      <c r="V39" s="69" t="n"/>
      <c r="W39" s="70" t="n">
        <v>0.11</v>
      </c>
      <c r="X39" s="436">
        <f>(P39+Q39)/G39</f>
        <v/>
      </c>
      <c r="Y39" s="16">
        <f>VLOOKUP(C39,台股行情!A:D,4,FALSE)</f>
        <v/>
      </c>
      <c r="Z39" s="437">
        <f>VLOOKUP(C39,台股行情!A:E,5,FALSE)</f>
        <v/>
      </c>
      <c r="AA39" s="438">
        <f>IF(I39="",((TODAY()-A39)*G39)/365.24,((I39-A39)*G39)/365.24)</f>
        <v/>
      </c>
      <c r="AB39" s="103" t="inlineStr">
        <is>
          <t>存股</t>
        </is>
      </c>
      <c r="AC39" s="310" t="inlineStr">
        <is>
          <t>美伊戰爭，憂心崩跌，認賠出場</t>
        </is>
      </c>
    </row>
    <row r="40" outlineLevel="1">
      <c r="A40" s="99" t="n">
        <v>45966</v>
      </c>
      <c r="B40" s="11" t="n"/>
      <c r="C40" s="11" t="n">
        <v>770</v>
      </c>
      <c r="D40" s="189">
        <f>VLOOKUP(C40,台股行情!A:B,2,FALSE)</f>
        <v/>
      </c>
      <c r="E40" s="11" t="n">
        <v>174</v>
      </c>
      <c r="F40" s="11" t="n">
        <v>56.6</v>
      </c>
      <c r="G40" s="11" t="n">
        <v>9961</v>
      </c>
      <c r="H40" s="11" t="n">
        <v>1</v>
      </c>
      <c r="I40" s="308" t="n">
        <v>46090</v>
      </c>
      <c r="J40" s="16" t="n">
        <v>50.2</v>
      </c>
      <c r="K40" s="11">
        <f>E40*J40</f>
        <v/>
      </c>
      <c r="L40" s="11">
        <f>ROUND(J40*E40*0.1425%,0)</f>
        <v/>
      </c>
      <c r="M40" s="11">
        <f>ROUND(J40*E40*0.3%,0)</f>
        <v/>
      </c>
      <c r="N40" s="11" t="n">
        <v>0</v>
      </c>
      <c r="O40" s="434">
        <f>IF(I40="",E40*Y40,0)</f>
        <v/>
      </c>
      <c r="P40" s="435">
        <f>IF(I40="",R40-H40,(K40-H40-SUM(L40:N40)+R40-S40-T40)-G40)+(ROUND(R40*V40,0)-ROUND(R40*(1+V40),0)*W40)</f>
        <v/>
      </c>
      <c r="Q40" s="435">
        <f>IF(I40="",(O40-G40-(O40*0.1425%*0.65)-(O40*0.3%)-S40-T40),0)</f>
        <v/>
      </c>
      <c r="R40" s="435" t="n">
        <v>730.8000000000001</v>
      </c>
      <c r="S40" s="435" t="n"/>
      <c r="T40" s="435" t="n"/>
      <c r="U40" s="69">
        <f>(V40*50%)/(1+50%*V40)</f>
        <v/>
      </c>
      <c r="V40" s="69" t="n"/>
      <c r="W40" s="70" t="n">
        <v>0.11</v>
      </c>
      <c r="X40" s="436">
        <f>(P40+Q40)/G40</f>
        <v/>
      </c>
      <c r="Y40" s="16">
        <f>VLOOKUP(C40,台股行情!A:D,4,FALSE)</f>
        <v/>
      </c>
      <c r="Z40" s="437">
        <f>VLOOKUP(C40,台股行情!A:E,5,FALSE)</f>
        <v/>
      </c>
      <c r="AA40" s="438">
        <f>IF(I40="",((TODAY()-A40)*G40)/365.24,((I40-A40)*G40)/365.24)</f>
        <v/>
      </c>
      <c r="AB40" s="103" t="inlineStr">
        <is>
          <t>存股</t>
        </is>
      </c>
      <c r="AC40" s="310" t="inlineStr">
        <is>
          <t>美伊戰爭，憂心崩跌，認賠出場</t>
        </is>
      </c>
    </row>
    <row r="41" outlineLevel="1">
      <c r="A41" s="99" t="n">
        <v>45978</v>
      </c>
      <c r="B41" s="11" t="n"/>
      <c r="C41" s="11" t="n">
        <v>770</v>
      </c>
      <c r="D41" s="189">
        <f>VLOOKUP(C41,台股行情!A:B,2,FALSE)</f>
        <v/>
      </c>
      <c r="E41" s="11" t="n">
        <v>176</v>
      </c>
      <c r="F41" s="11" t="n">
        <v>56.51</v>
      </c>
      <c r="G41" s="11" t="n">
        <v>9945</v>
      </c>
      <c r="H41" s="11" t="n">
        <v>1</v>
      </c>
      <c r="I41" s="308" t="n">
        <v>46090</v>
      </c>
      <c r="J41" s="16" t="n">
        <v>50.2</v>
      </c>
      <c r="K41" s="11">
        <f>E41*J41</f>
        <v/>
      </c>
      <c r="L41" s="11">
        <f>ROUND(J41*E41*0.1425%,0)</f>
        <v/>
      </c>
      <c r="M41" s="11">
        <f>ROUND(J41*E41*0.3%,0)</f>
        <v/>
      </c>
      <c r="N41" s="11" t="n">
        <v>0</v>
      </c>
      <c r="O41" s="434">
        <f>IF(I41="",E41*Y41,0)</f>
        <v/>
      </c>
      <c r="P41" s="435">
        <f>IF(I41="",R41-H41,(K41-H41-SUM(L41:N41)+R41-S41-T41)-G41)+(ROUND(R41*V41,0)-ROUND(R41*(1+V41),0)*W41)</f>
        <v/>
      </c>
      <c r="Q41" s="435">
        <f>IF(I41="",(O41-G41-(O41*0.1425%*0.65)-(O41*0.3%)-S41-T41),0)</f>
        <v/>
      </c>
      <c r="R41" s="435" t="n">
        <v>739.2</v>
      </c>
      <c r="S41" s="435" t="n"/>
      <c r="T41" s="435" t="n"/>
      <c r="U41" s="69">
        <f>(V41*50%)/(1+50%*V41)</f>
        <v/>
      </c>
      <c r="V41" s="69" t="n"/>
      <c r="W41" s="70" t="n">
        <v>0.11</v>
      </c>
      <c r="X41" s="436">
        <f>(P41+Q41)/G41</f>
        <v/>
      </c>
      <c r="Y41" s="16">
        <f>VLOOKUP(C41,台股行情!A:D,4,FALSE)</f>
        <v/>
      </c>
      <c r="Z41" s="437">
        <f>VLOOKUP(C41,台股行情!A:E,5,FALSE)</f>
        <v/>
      </c>
      <c r="AA41" s="438">
        <f>IF(I41="",((TODAY()-A41)*G41)/365.24,((I41-A41)*G41)/365.24)</f>
        <v/>
      </c>
      <c r="AB41" s="103" t="inlineStr">
        <is>
          <t>存股</t>
        </is>
      </c>
      <c r="AC41" s="310" t="inlineStr">
        <is>
          <t>美伊戰爭，憂心崩跌，認賠出場</t>
        </is>
      </c>
    </row>
    <row r="42" outlineLevel="1">
      <c r="A42" s="99" t="n">
        <v>45986</v>
      </c>
      <c r="B42" s="11" t="n"/>
      <c r="C42" s="11" t="n">
        <v>770</v>
      </c>
      <c r="D42" s="189">
        <f>VLOOKUP(C42,台股行情!A:B,2,FALSE)</f>
        <v/>
      </c>
      <c r="E42" s="11" t="n">
        <v>176</v>
      </c>
      <c r="F42" s="11" t="n">
        <v>56.56</v>
      </c>
      <c r="G42" s="11" t="n">
        <v>9954</v>
      </c>
      <c r="H42" s="11" t="n">
        <v>1</v>
      </c>
      <c r="I42" s="308" t="n">
        <v>46090</v>
      </c>
      <c r="J42" s="16" t="n">
        <v>50.2</v>
      </c>
      <c r="K42" s="11">
        <f>E42*J42</f>
        <v/>
      </c>
      <c r="L42" s="11">
        <f>ROUND(J42*E42*0.1425%,0)</f>
        <v/>
      </c>
      <c r="M42" s="11">
        <f>ROUND(J42*E42*0.3%,0)</f>
        <v/>
      </c>
      <c r="N42" s="11" t="n">
        <v>0</v>
      </c>
      <c r="O42" s="434">
        <f>IF(I42="",E42*Y42,0)</f>
        <v/>
      </c>
      <c r="P42" s="435">
        <f>IF(I42="",R42-H42,(K42-H42-SUM(L42:N42)+R42-S42-T42)-G42)+(ROUND(R42*V42,0)-ROUND(R42*(1+V42),0)*W42)</f>
        <v/>
      </c>
      <c r="Q42" s="435">
        <f>IF(I42="",(O42-G42-(O42*0.1425%*0.65)-(O42*0.3%)-S42-T42),0)</f>
        <v/>
      </c>
      <c r="R42" s="435" t="n">
        <v>739.2</v>
      </c>
      <c r="S42" s="435" t="n"/>
      <c r="T42" s="435" t="n"/>
      <c r="U42" s="69">
        <f>(V42*50%)/(1+50%*V42)</f>
        <v/>
      </c>
      <c r="V42" s="69" t="n"/>
      <c r="W42" s="70" t="n">
        <v>0.11</v>
      </c>
      <c r="X42" s="436">
        <f>(P42+Q42)/G42</f>
        <v/>
      </c>
      <c r="Y42" s="16">
        <f>VLOOKUP(C42,台股行情!A:D,4,FALSE)</f>
        <v/>
      </c>
      <c r="Z42" s="437">
        <f>VLOOKUP(C42,台股行情!A:E,5,FALSE)</f>
        <v/>
      </c>
      <c r="AA42" s="438">
        <f>IF(I42="",((TODAY()-A42)*G42)/365.24,((I42-A42)*G42)/365.24)</f>
        <v/>
      </c>
      <c r="AB42" s="103" t="inlineStr">
        <is>
          <t>存股</t>
        </is>
      </c>
      <c r="AC42" s="310" t="inlineStr">
        <is>
          <t>美伊戰爭，憂心崩跌，認賠出場</t>
        </is>
      </c>
    </row>
    <row r="43" outlineLevel="1">
      <c r="A43" s="99" t="n">
        <v>45996</v>
      </c>
      <c r="B43" s="11" t="n"/>
      <c r="C43" s="11" t="n">
        <v>770</v>
      </c>
      <c r="D43" s="189">
        <f>VLOOKUP(C43,台股行情!A:B,2,FALSE)</f>
        <v/>
      </c>
      <c r="E43" s="11" t="n">
        <v>170</v>
      </c>
      <c r="F43" s="11" t="n">
        <v>58.51</v>
      </c>
      <c r="G43" s="11" t="n">
        <v>9946</v>
      </c>
      <c r="H43" s="11" t="n">
        <v>1</v>
      </c>
      <c r="I43" s="308" t="n">
        <v>46090</v>
      </c>
      <c r="J43" s="16" t="n">
        <v>50.2</v>
      </c>
      <c r="K43" s="11">
        <f>E43*J43</f>
        <v/>
      </c>
      <c r="L43" s="11">
        <f>ROUND(J43*E43*0.1425%,0)</f>
        <v/>
      </c>
      <c r="M43" s="11">
        <f>ROUND(J43*E43*0.3%,0)</f>
        <v/>
      </c>
      <c r="N43" s="11" t="n">
        <v>0</v>
      </c>
      <c r="O43" s="434">
        <f>IF(I43="",E43*Y43,0)</f>
        <v/>
      </c>
      <c r="P43" s="435">
        <f>IF(I43="",R43-H43,(K43-H43-SUM(L43:N43)+R43-S43-T43)-G43)+(ROUND(R43*V43,0)-ROUND(R43*(1+V43),0)*W43)</f>
        <v/>
      </c>
      <c r="Q43" s="435">
        <f>IF(I43="",(O43-G43-(O43*0.1425%*0.65)-(O43*0.3%)-S43-T43),0)</f>
        <v/>
      </c>
      <c r="R43" s="435" t="n">
        <v>714</v>
      </c>
      <c r="S43" s="435" t="n"/>
      <c r="T43" s="435" t="n"/>
      <c r="U43" s="69">
        <f>(V43*50%)/(1+50%*V43)</f>
        <v/>
      </c>
      <c r="V43" s="69" t="n"/>
      <c r="W43" s="70" t="n">
        <v>0.11</v>
      </c>
      <c r="X43" s="436">
        <f>(P43+Q43)/G43</f>
        <v/>
      </c>
      <c r="Y43" s="16">
        <f>VLOOKUP(C43,台股行情!A:D,4,FALSE)</f>
        <v/>
      </c>
      <c r="Z43" s="437">
        <f>VLOOKUP(C43,台股行情!A:E,5,FALSE)</f>
        <v/>
      </c>
      <c r="AA43" s="438">
        <f>IF(I43="",((TODAY()-A43)*G43)/365.24,((I43-A43)*G43)/365.24)</f>
        <v/>
      </c>
      <c r="AB43" s="103" t="inlineStr">
        <is>
          <t>存股</t>
        </is>
      </c>
      <c r="AC43" s="310" t="inlineStr">
        <is>
          <t>美伊戰爭，憂心崩跌，認賠出場</t>
        </is>
      </c>
    </row>
    <row r="44" outlineLevel="1">
      <c r="A44" s="99" t="n">
        <v>46006</v>
      </c>
      <c r="B44" s="11" t="n"/>
      <c r="C44" s="11" t="n">
        <v>770</v>
      </c>
      <c r="D44" s="189">
        <f>VLOOKUP(C44,台股行情!A:B,2,FALSE)</f>
        <v/>
      </c>
      <c r="E44" s="11" t="n">
        <v>173</v>
      </c>
      <c r="F44" s="11" t="n">
        <v>57.54</v>
      </c>
      <c r="G44" s="11" t="n">
        <v>9954</v>
      </c>
      <c r="H44" s="11" t="n">
        <v>1</v>
      </c>
      <c r="I44" s="308" t="n">
        <v>46090</v>
      </c>
      <c r="J44" s="16" t="n">
        <v>50.2</v>
      </c>
      <c r="K44" s="11">
        <f>E44*J44</f>
        <v/>
      </c>
      <c r="L44" s="11">
        <f>ROUND(J44*E44*0.1425%,0)</f>
        <v/>
      </c>
      <c r="M44" s="11">
        <f>ROUND(J44*E44*0.3%,0)</f>
        <v/>
      </c>
      <c r="N44" s="11" t="n">
        <v>0</v>
      </c>
      <c r="O44" s="434">
        <f>IF(I44="",E44*Y44,0)</f>
        <v/>
      </c>
      <c r="P44" s="435">
        <f>IF(I44="",R44-H44,(K44-H44-SUM(L44:N44)+R44-S44-T44)-G44)+(ROUND(R44*V44,0)-ROUND(R44*(1+V44),0)*W44)</f>
        <v/>
      </c>
      <c r="Q44" s="435">
        <f>IF(I44="",(O44-G44-(O44*0.1425%*0.65)-(O44*0.3%)-S44-T44),0)</f>
        <v/>
      </c>
      <c r="R44" s="435" t="n">
        <v>726.6</v>
      </c>
      <c r="S44" s="435" t="n"/>
      <c r="T44" s="435" t="n"/>
      <c r="U44" s="69">
        <f>(V44*50%)/(1+50%*V44)</f>
        <v/>
      </c>
      <c r="V44" s="69" t="n"/>
      <c r="W44" s="70" t="n">
        <v>0.11</v>
      </c>
      <c r="X44" s="436">
        <f>(P44+Q44)/G44</f>
        <v/>
      </c>
      <c r="Y44" s="16">
        <f>VLOOKUP(C44,台股行情!A:D,4,FALSE)</f>
        <v/>
      </c>
      <c r="Z44" s="437">
        <f>VLOOKUP(C44,台股行情!A:E,5,FALSE)</f>
        <v/>
      </c>
      <c r="AA44" s="438">
        <f>IF(I44="",((TODAY()-A44)*G44)/365.24,((I44-A44)*G44)/365.24)</f>
        <v/>
      </c>
      <c r="AB44" s="103" t="inlineStr">
        <is>
          <t>存股</t>
        </is>
      </c>
      <c r="AC44" s="310" t="inlineStr">
        <is>
          <t>美伊戰爭，憂心崩跌，認賠出場</t>
        </is>
      </c>
    </row>
    <row r="45" outlineLevel="1">
      <c r="A45" s="99" t="n">
        <v>46017</v>
      </c>
      <c r="B45" s="11" t="n"/>
      <c r="C45" s="11" t="n">
        <v>770</v>
      </c>
      <c r="D45" s="189">
        <f>VLOOKUP(C45,台股行情!A:B,2,FALSE)</f>
        <v/>
      </c>
      <c r="E45" s="11" t="n">
        <v>170</v>
      </c>
      <c r="F45" s="11" t="n">
        <v>58.61</v>
      </c>
      <c r="G45" s="11" t="n">
        <v>9963</v>
      </c>
      <c r="H45" s="11" t="n">
        <v>1</v>
      </c>
      <c r="I45" s="308" t="n">
        <v>46090</v>
      </c>
      <c r="J45" s="16" t="n">
        <v>50.2</v>
      </c>
      <c r="K45" s="11">
        <f>E45*J45</f>
        <v/>
      </c>
      <c r="L45" s="11">
        <f>ROUND(J45*E45*0.1425%,0)</f>
        <v/>
      </c>
      <c r="M45" s="11">
        <f>ROUND(J45*E45*0.3%,0)</f>
        <v/>
      </c>
      <c r="N45" s="11" t="n">
        <v>0</v>
      </c>
      <c r="O45" s="434">
        <f>IF(I45="",E45*Y45,0)</f>
        <v/>
      </c>
      <c r="P45" s="435">
        <f>IF(I45="",R45-H45,(K45-H45-SUM(L45:N45)+R45-S45-T45)-G45)+(ROUND(R45*V45,0)-ROUND(R45*(1+V45),0)*W45)</f>
        <v/>
      </c>
      <c r="Q45" s="435">
        <f>IF(I45="",(O45-G45-(O45*0.1425%*0.65)-(O45*0.3%)-S45-T45),0)</f>
        <v/>
      </c>
      <c r="R45" s="435" t="n">
        <v>714</v>
      </c>
      <c r="S45" s="435" t="n"/>
      <c r="T45" s="435" t="n"/>
      <c r="U45" s="69">
        <f>(V45*50%)/(1+50%*V45)</f>
        <v/>
      </c>
      <c r="V45" s="69" t="n"/>
      <c r="W45" s="70" t="n">
        <v>0.11</v>
      </c>
      <c r="X45" s="436">
        <f>(P45+Q45)/G45</f>
        <v/>
      </c>
      <c r="Y45" s="16">
        <f>VLOOKUP(C45,台股行情!A:D,4,FALSE)</f>
        <v/>
      </c>
      <c r="Z45" s="437">
        <f>VLOOKUP(C45,台股行情!A:E,5,FALSE)</f>
        <v/>
      </c>
      <c r="AA45" s="438">
        <f>IF(I45="",((TODAY()-A45)*G45)/365.24,((I45-A45)*G45)/365.24)</f>
        <v/>
      </c>
      <c r="AB45" s="103" t="inlineStr">
        <is>
          <t>存股</t>
        </is>
      </c>
      <c r="AC45" s="310" t="inlineStr">
        <is>
          <t>美伊戰爭，憂心崩跌，認賠出場</t>
        </is>
      </c>
    </row>
    <row r="46" outlineLevel="1">
      <c r="A46" s="99" t="n">
        <v>45882</v>
      </c>
      <c r="B46" s="11" t="n"/>
      <c r="C46" s="11" t="n">
        <v>6525</v>
      </c>
      <c r="D46" s="189">
        <f>VLOOKUP(C46,台股行情!A:B,2,FALSE)</f>
        <v/>
      </c>
      <c r="E46" s="11" t="n">
        <v>1000</v>
      </c>
      <c r="F46" s="11" t="n">
        <v>70.8</v>
      </c>
      <c r="G46" s="11">
        <f>E46*F46</f>
        <v/>
      </c>
      <c r="H46" s="11" t="n">
        <v>100</v>
      </c>
      <c r="I46" s="308" t="n">
        <v>46139</v>
      </c>
      <c r="J46" s="16" t="n">
        <v>88.8</v>
      </c>
      <c r="K46" s="11">
        <f>E46*J46</f>
        <v/>
      </c>
      <c r="L46" s="11" t="n">
        <v>126</v>
      </c>
      <c r="M46" s="11" t="n">
        <v>266</v>
      </c>
      <c r="N46" s="11" t="n">
        <v>0</v>
      </c>
      <c r="O46" s="434">
        <f>IF(I46="",E46*Y46,0)</f>
        <v/>
      </c>
      <c r="P46" s="435">
        <f>IF(I46="",R46-H46,(K46-H46-SUM(L46:N46)+R46-S46-T46)-G46)+(ROUND(R46*V46,0)-ROUND(R46*(1+V46),0)*W46)</f>
        <v/>
      </c>
      <c r="Q46" s="435">
        <f>IF(I46="",(O46-G46-(O46*0.1425%*0.65)-(O46*0.3%)-S46-T46),0)</f>
        <v/>
      </c>
      <c r="R46" s="435" t="n"/>
      <c r="S46" s="435" t="n"/>
      <c r="T46" s="435">
        <f>IF(ROUND(R46*(1+V46),0)&gt;20000,ROUND(ROUND(R46*(1+V46),0)*2%,0),0)</f>
        <v/>
      </c>
      <c r="U46" s="69">
        <f>(V46*50%)/(1+50%*V46)</f>
        <v/>
      </c>
      <c r="V46" s="69" t="n"/>
      <c r="W46" s="70" t="n">
        <v>0.11</v>
      </c>
      <c r="X46" s="436">
        <f>(P46+Q46)/G46</f>
        <v/>
      </c>
      <c r="Y46" s="16">
        <f>VLOOKUP(C46,台股行情!A:D,4,FALSE)</f>
        <v/>
      </c>
      <c r="Z46" s="437">
        <f>VLOOKUP(C46,台股行情!A:E,5,FALSE)</f>
        <v/>
      </c>
      <c r="AA46" s="438">
        <f>IF(I46="",((TODAY()-A46)*G46)/365.24,((I46-A46)*G46)/365.24)</f>
        <v/>
      </c>
      <c r="AB46" s="103" t="inlineStr">
        <is>
          <t>水某精選</t>
        </is>
      </c>
      <c r="AC46" s="310" t="n"/>
    </row>
    <row r="47">
      <c r="A47" s="99" t="n"/>
      <c r="B47" s="11" t="n"/>
      <c r="C47" s="11" t="n"/>
      <c r="D47" s="189" t="n"/>
      <c r="E47" s="11" t="n"/>
      <c r="F47" s="11" t="n"/>
      <c r="G47" s="11" t="n"/>
      <c r="H47" s="11" t="n"/>
      <c r="I47" s="104" t="n"/>
      <c r="J47" s="16" t="n"/>
      <c r="K47" s="11" t="n"/>
      <c r="L47" s="17" t="n"/>
      <c r="M47" s="11" t="n"/>
      <c r="N47" s="11" t="n"/>
      <c r="O47" s="434" t="n"/>
      <c r="P47" s="435" t="n"/>
      <c r="Q47" s="435" t="n"/>
      <c r="R47" s="435" t="n"/>
      <c r="S47" s="435" t="n"/>
      <c r="T47" s="435" t="n"/>
      <c r="U47" s="69" t="n"/>
      <c r="V47" s="69" t="n"/>
      <c r="W47" s="70" t="n"/>
      <c r="X47" s="436" t="n"/>
      <c r="Y47" s="16" t="n"/>
      <c r="Z47" s="437" t="n"/>
      <c r="AA47" s="438" t="n"/>
      <c r="AB47" s="103" t="n"/>
      <c r="AC47" s="310" t="n"/>
    </row>
    <row r="48">
      <c r="A48" s="39" t="n"/>
      <c r="B48" s="40" t="n"/>
      <c r="C48" s="40" t="n"/>
      <c r="D48" s="191" t="n"/>
      <c r="E48" s="40" t="n"/>
      <c r="F48" s="40" t="n"/>
      <c r="G48" s="40" t="n"/>
      <c r="H48" s="40" t="n"/>
      <c r="I48" s="41" t="n"/>
      <c r="J48" s="42" t="n"/>
      <c r="K48" s="40" t="n"/>
      <c r="L48" s="439" t="n"/>
      <c r="M48" s="40" t="n"/>
      <c r="N48" s="40" t="n"/>
      <c r="O48" s="440" t="n"/>
      <c r="P48" s="441" t="n"/>
      <c r="Q48" s="441" t="n"/>
      <c r="R48" s="441" t="n"/>
      <c r="S48" s="441" t="n"/>
      <c r="T48" s="441" t="n"/>
      <c r="U48" s="73" t="n"/>
      <c r="V48" s="73" t="n"/>
      <c r="W48" s="76" t="n"/>
      <c r="X48" s="442" t="n"/>
      <c r="Y48" s="42" t="n"/>
      <c r="Z48" s="47" t="n"/>
      <c r="AA48" s="438" t="n"/>
    </row>
    <row r="49">
      <c r="A49" s="10" t="n"/>
      <c r="B49" s="11" t="n"/>
      <c r="C49" s="11" t="n"/>
      <c r="D49" s="189" t="n"/>
      <c r="E49" s="11" t="n"/>
      <c r="F49" s="11" t="n"/>
      <c r="G49" s="11" t="n"/>
      <c r="H49" s="11" t="n"/>
      <c r="I49" s="12" t="n"/>
      <c r="J49" s="11" t="n"/>
      <c r="K49" s="11" t="n"/>
      <c r="L49" s="11" t="n"/>
      <c r="M49" s="11" t="n"/>
      <c r="N49" s="11" t="n"/>
      <c r="O49" s="434" t="n"/>
      <c r="P49" s="435" t="n"/>
      <c r="Q49" s="435" t="n"/>
      <c r="R49" s="435" t="n"/>
      <c r="S49" s="435" t="n"/>
      <c r="T49" s="435" t="n"/>
      <c r="U49" s="435" t="n"/>
      <c r="V49" s="69" t="n"/>
      <c r="W49" s="70" t="n"/>
      <c r="X49" s="436" t="n"/>
      <c r="Y49" s="16" t="n"/>
      <c r="Z49" s="437" t="n"/>
      <c r="AA49" s="438" t="n"/>
    </row>
    <row r="50">
      <c r="A50" s="18">
        <f>MIN(A51:A51)</f>
        <v/>
      </c>
      <c r="B50" s="19" t="n"/>
      <c r="C50" s="20" t="n"/>
      <c r="D50" s="192" t="n"/>
      <c r="E50" s="19" t="n"/>
      <c r="F50" s="19" t="n"/>
      <c r="G50" s="19" t="n"/>
      <c r="H50" s="19" t="n"/>
      <c r="I50" s="21" t="n"/>
      <c r="J50" s="22" t="n"/>
      <c r="K50" s="19" t="n"/>
      <c r="L50" s="443" t="n"/>
      <c r="M50" s="19" t="n"/>
      <c r="N50" s="19" t="n"/>
      <c r="O50" s="444" t="n"/>
      <c r="P50" s="445" t="n"/>
      <c r="Q50" s="445" t="n"/>
      <c r="R50" s="445" t="n"/>
      <c r="S50" s="445" t="n"/>
      <c r="T50" s="445" t="n"/>
      <c r="U50" s="445" t="n"/>
      <c r="V50" s="74" t="n"/>
      <c r="W50" s="77" t="n"/>
      <c r="X50" s="446" t="n"/>
      <c r="Y50" s="22" t="n"/>
      <c r="Z50" s="27" t="n"/>
      <c r="AA50" s="438" t="n"/>
    </row>
    <row r="51" ht="17.25" customHeight="1" thickBot="1">
      <c r="A51" s="48" t="n"/>
      <c r="B51" s="49" t="n"/>
      <c r="C51" s="49" t="n"/>
      <c r="D51" s="193" t="n"/>
      <c r="E51" s="49" t="n"/>
      <c r="F51" s="49" t="n"/>
      <c r="G51" s="49" t="n"/>
      <c r="H51" s="49" t="n"/>
      <c r="I51" s="50" t="n"/>
      <c r="J51" s="51" t="n"/>
      <c r="K51" s="49" t="n"/>
      <c r="L51" s="447" t="n"/>
      <c r="M51" s="49" t="n"/>
      <c r="N51" s="49" t="n"/>
      <c r="O51" s="448" t="n"/>
      <c r="P51" s="449" t="n"/>
      <c r="Q51" s="449" t="n"/>
      <c r="R51" s="449" t="n"/>
      <c r="S51" s="449" t="n"/>
      <c r="T51" s="450" t="n"/>
      <c r="U51" s="449" t="n"/>
      <c r="V51" s="449" t="n"/>
      <c r="W51" s="78" t="n"/>
      <c r="X51" s="451" t="n"/>
      <c r="Y51" s="51" t="n"/>
      <c r="Z51" s="56" t="n"/>
      <c r="AA51" s="438" t="n"/>
    </row>
    <row r="52" ht="17.25" customHeight="1" thickBot="1">
      <c r="A52" s="29" t="n"/>
      <c r="D52" s="28" t="n"/>
      <c r="I52" s="30" t="n"/>
      <c r="J52" s="31" t="n"/>
      <c r="L52" s="452" t="n"/>
      <c r="O52" s="453" t="n"/>
      <c r="P52" s="454" t="n"/>
      <c r="Q52" s="454" t="n"/>
      <c r="R52" s="454" t="n"/>
      <c r="S52" s="454" t="n"/>
      <c r="T52" s="454" t="n"/>
      <c r="U52" s="454" t="n"/>
      <c r="V52" s="454" t="n"/>
      <c r="W52" s="454" t="n"/>
      <c r="X52" s="455" t="inlineStr">
        <is>
          <t>‵</t>
        </is>
      </c>
      <c r="Y52" s="31" t="n"/>
      <c r="Z52" s="31" t="n"/>
      <c r="AA52" s="438" t="n"/>
    </row>
    <row r="53" ht="17.25" customHeight="1" thickBot="1">
      <c r="A53" s="179" t="n"/>
      <c r="B53" s="456" t="n"/>
      <c r="C53" s="456" t="n"/>
      <c r="D53" s="238" t="inlineStr">
        <is>
          <t>持股小計</t>
        </is>
      </c>
      <c r="E53" s="457" t="n"/>
      <c r="F53" s="458" t="n"/>
      <c r="G53" s="62">
        <f>SUM(G50:G51)</f>
        <v/>
      </c>
      <c r="H53" s="62">
        <f>SUM(H50:H51)</f>
        <v/>
      </c>
      <c r="I53" s="414" t="n"/>
      <c r="J53" s="414" t="n"/>
      <c r="K53" s="62" t="n"/>
      <c r="L53" s="459" t="n"/>
      <c r="M53" s="459" t="n"/>
      <c r="N53" s="460" t="n"/>
      <c r="O53" s="62">
        <f>SUM(O50:O51)</f>
        <v/>
      </c>
      <c r="P53" s="461">
        <f>SUM(P50:P51)</f>
        <v/>
      </c>
      <c r="Q53" s="461">
        <f>SUM(Q50:Q51)</f>
        <v/>
      </c>
      <c r="R53" s="62">
        <f>SUM(R50:R51)</f>
        <v/>
      </c>
      <c r="S53" s="407" t="n"/>
      <c r="T53" s="407" t="n"/>
      <c r="U53" s="407" t="n"/>
      <c r="V53" s="407" t="n"/>
      <c r="W53" s="407" t="n"/>
      <c r="X53" s="462">
        <f>(P53+Q53)/G53</f>
        <v/>
      </c>
      <c r="Y53" s="390" t="inlineStr">
        <is>
          <t>年化報酬率</t>
        </is>
      </c>
      <c r="Z53" s="463">
        <f>IF(AA53=0,0,(P53+Q53)/(AA53))</f>
        <v/>
      </c>
      <c r="AA53" s="438">
        <f>SUM(AA50:AA51)</f>
        <v/>
      </c>
    </row>
    <row r="54" ht="17.25" customFormat="1" customHeight="1" s="36" thickBot="1">
      <c r="A54" s="464" t="n"/>
      <c r="D54" s="238" t="inlineStr">
        <is>
          <t>2025總計</t>
        </is>
      </c>
      <c r="E54" s="464" t="n"/>
      <c r="F54" s="465" t="n"/>
      <c r="G54" s="63">
        <f>SUM(G2:G47,G34:G51)</f>
        <v/>
      </c>
      <c r="H54" s="63">
        <f>SUM(H2:H47,H34:H51)</f>
        <v/>
      </c>
      <c r="I54" s="466" t="n"/>
      <c r="J54" s="466" t="n"/>
      <c r="K54" s="63">
        <f>SUM(K47:K51)</f>
        <v/>
      </c>
      <c r="L54" s="63">
        <f>SUM(L47:L51)</f>
        <v/>
      </c>
      <c r="M54" s="63">
        <f>SUM(M47:M51)</f>
        <v/>
      </c>
      <c r="N54" s="63">
        <f>SUM(N47:N51)</f>
        <v/>
      </c>
      <c r="O54" s="63">
        <f>SUM(O2:O47,O34:O51)</f>
        <v/>
      </c>
      <c r="P54" s="63">
        <f>SUM(P2:P47,P34:P51)</f>
        <v/>
      </c>
      <c r="Q54" s="461">
        <f>SUM(Q36:Q51)</f>
        <v/>
      </c>
      <c r="R54" s="63">
        <f>SUM(R2:R47,R34:R51)</f>
        <v/>
      </c>
      <c r="S54" s="72" t="n"/>
      <c r="T54" s="72" t="n"/>
      <c r="U54" s="72" t="n"/>
      <c r="V54" s="72" t="n"/>
      <c r="W54" s="72" t="n"/>
      <c r="X54" s="462">
        <f>(P54+Q54)/G54</f>
        <v/>
      </c>
      <c r="Y54" s="467" t="n"/>
      <c r="Z54" s="463">
        <f>IF(AA54=0,0,(P54+Q54)/(AA54))</f>
        <v/>
      </c>
      <c r="AA54" s="438">
        <f>SUM(AA2:AA51)</f>
        <v/>
      </c>
      <c r="AB54" s="87" t="n"/>
      <c r="AC54" s="88" t="n"/>
    </row>
    <row r="55" ht="17.25" customFormat="1" customHeight="1" s="36" thickBot="1">
      <c r="A55" s="468" t="n"/>
      <c r="B55" s="469" t="n"/>
      <c r="C55" s="469" t="n"/>
      <c r="D55" s="238" t="inlineStr">
        <is>
          <t>總計</t>
        </is>
      </c>
      <c r="E55" s="468" t="n"/>
      <c r="F55" s="470" t="n"/>
      <c r="G55" s="63">
        <f>SUM(G2:G51)</f>
        <v/>
      </c>
      <c r="H55" s="63">
        <f>SUM(H2:H51)</f>
        <v/>
      </c>
      <c r="I55" s="471" t="n"/>
      <c r="J55" s="471" t="n"/>
      <c r="K55" s="63">
        <f>SUM(K47:K51)</f>
        <v/>
      </c>
      <c r="L55" s="63">
        <f>SUM(L47:L51)</f>
        <v/>
      </c>
      <c r="M55" s="63">
        <f>SUM(M47:M51)</f>
        <v/>
      </c>
      <c r="N55" s="63">
        <f>SUM(N47:N51)</f>
        <v/>
      </c>
      <c r="O55" s="63">
        <f>SUM(O2:O51)</f>
        <v/>
      </c>
      <c r="P55" s="472">
        <f>SUM(P2:P51)</f>
        <v/>
      </c>
      <c r="Q55" s="461">
        <f>SUM(Q2:Q51)</f>
        <v/>
      </c>
      <c r="R55" s="63">
        <f>SUM(R2:R51)</f>
        <v/>
      </c>
      <c r="S55" s="72" t="n"/>
      <c r="T55" s="72" t="n"/>
      <c r="U55" s="72" t="n"/>
      <c r="V55" s="72" t="n"/>
      <c r="W55" s="72" t="n"/>
      <c r="X55" s="462">
        <f>(P55+Q55)/G55</f>
        <v/>
      </c>
      <c r="Y55" s="473" t="n"/>
      <c r="Z55" s="463">
        <f>IF(AA55=0,0,(P55+Q55)/(AA55))</f>
        <v/>
      </c>
      <c r="AA55" s="438">
        <f>AA53</f>
        <v/>
      </c>
      <c r="AB55" s="87" t="n"/>
      <c r="AC55" s="87" t="n"/>
    </row>
    <row r="56" ht="17.25" customHeight="1" thickBot="1">
      <c r="B56" s="37" t="n"/>
      <c r="C56" s="37" t="n"/>
      <c r="D56" s="28" t="n"/>
    </row>
    <row r="57" ht="17.25" customFormat="1" customHeight="1" s="8" thickBot="1">
      <c r="A57" s="383" t="inlineStr">
        <is>
          <t>分析</t>
        </is>
      </c>
      <c r="B57" s="456" t="n"/>
      <c r="C57" s="474" t="n"/>
      <c r="D57" s="251" t="inlineStr">
        <is>
          <t>技法</t>
        </is>
      </c>
      <c r="E57" s="383" t="n"/>
      <c r="F57" s="474" t="n"/>
      <c r="G57" s="251" t="inlineStr">
        <is>
          <t>成交金額</t>
        </is>
      </c>
      <c r="H57" s="251" t="inlineStr">
        <is>
          <t>手續費</t>
        </is>
      </c>
      <c r="I57" s="383" t="n"/>
      <c r="J57" s="383" t="n"/>
      <c r="K57" s="383" t="n"/>
      <c r="L57" s="383" t="n"/>
      <c r="M57" s="383" t="n"/>
      <c r="N57" s="383" t="n"/>
      <c r="O57" s="251" t="inlineStr">
        <is>
          <t>參考現值</t>
        </is>
      </c>
      <c r="P57" s="251" t="inlineStr">
        <is>
          <t>已實現損益</t>
        </is>
      </c>
      <c r="Q57" s="251" t="inlineStr">
        <is>
          <t>未實現損益</t>
        </is>
      </c>
      <c r="R57" s="251" t="inlineStr">
        <is>
          <t>除息</t>
        </is>
      </c>
      <c r="S57" s="383" t="inlineStr">
        <is>
          <t>手續費</t>
        </is>
      </c>
      <c r="T57" s="383" t="inlineStr">
        <is>
          <t>健保補充保費</t>
        </is>
      </c>
      <c r="U57" s="383" t="n"/>
      <c r="V57" s="383" t="inlineStr">
        <is>
          <t>扣抵稅率</t>
        </is>
      </c>
      <c r="W57" s="383" t="inlineStr">
        <is>
          <t>所得稅率</t>
        </is>
      </c>
      <c r="X57" s="251" t="inlineStr">
        <is>
          <t>投資報酬率</t>
        </is>
      </c>
      <c r="Y57" s="251" t="inlineStr">
        <is>
          <t>年化報酬率</t>
        </is>
      </c>
      <c r="Z57" s="251" t="inlineStr">
        <is>
          <t>勝率</t>
        </is>
      </c>
      <c r="AA57" s="89" t="n"/>
      <c r="AB57" s="86" t="n"/>
      <c r="AC57" s="309" t="n"/>
    </row>
    <row r="58" outlineLevel="1">
      <c r="A58" s="464" t="n"/>
      <c r="C58" s="475" t="n"/>
      <c r="D58" s="383" t="inlineStr">
        <is>
          <t>阿水一式</t>
        </is>
      </c>
      <c r="E58" s="464" t="n"/>
      <c r="F58" s="475" t="n"/>
      <c r="G58" s="265">
        <f>SUMIF(AB$2:AB$52,D58,G$2:G$52)</f>
        <v/>
      </c>
      <c r="H58" s="265">
        <f>SUMIF(AB$2:AB$52,D58,H$2:H$52)</f>
        <v/>
      </c>
      <c r="I58" s="467" t="n"/>
      <c r="J58" s="249" t="n"/>
      <c r="K58" s="257" t="n"/>
      <c r="L58" s="257" t="n"/>
      <c r="M58" s="257" t="n"/>
      <c r="N58" s="257" t="n"/>
      <c r="O58" s="265">
        <f>SUMIF(AB$2:AB$52,D58,O$2:O$52)</f>
        <v/>
      </c>
      <c r="P58" s="476">
        <f>SUMIF(AB$2:AB$52,D58,P$2:P$52)</f>
        <v/>
      </c>
      <c r="Q58" s="476">
        <f>SUMIF(AB$2:AB$52,"*"&amp;D58&amp;"*",Q$2:Q$52)</f>
        <v/>
      </c>
      <c r="R58" s="265">
        <f>SUMIF(AB$2:AB$52,D58,R$2:R$52)</f>
        <v/>
      </c>
      <c r="S58" s="257" t="n"/>
      <c r="T58" s="257" t="n"/>
      <c r="U58" s="467" t="n"/>
      <c r="V58" s="257" t="n"/>
      <c r="W58" s="257" t="n"/>
      <c r="X58" s="477">
        <f>(SUMIF(AB$2:AB$52,D58,P$2:P$52)+SUMIF(AB$2:AB$52,"*"&amp;D58&amp;"*",Q$2:Q$52))/SUMIF(AB$2:AB$52,D58,G$2:G$52)</f>
        <v/>
      </c>
      <c r="Y58" s="477">
        <f>(P58+Q58)/(AA58)</f>
        <v/>
      </c>
      <c r="Z58" s="268">
        <f>COUNTIFS(X$2:X$52,"&gt;0",AB$2:AB$52,D58)/COUNTIF(AB$2:AB$52,D58)</f>
        <v/>
      </c>
      <c r="AA58" s="9">
        <f>SUMIF(AB$2:AB$52,D58,AA$2:AA$52)</f>
        <v/>
      </c>
    </row>
    <row r="59" outlineLevel="1">
      <c r="A59" s="464" t="n"/>
      <c r="C59" s="475" t="n"/>
      <c r="D59" s="247" t="inlineStr">
        <is>
          <t>動能股</t>
        </is>
      </c>
      <c r="E59" s="464" t="n"/>
      <c r="F59" s="475" t="n"/>
      <c r="G59" s="265">
        <f>SUMIF(AB$2:AB$52,D59,G$2:G$52)</f>
        <v/>
      </c>
      <c r="H59" s="265">
        <f>SUMIF(AB$2:AB$52,D59,H$2:H$52)</f>
        <v/>
      </c>
      <c r="I59" s="467" t="n"/>
      <c r="J59" s="249" t="n"/>
      <c r="K59" s="257" t="n"/>
      <c r="L59" s="257" t="n"/>
      <c r="M59" s="257" t="n"/>
      <c r="N59" s="257" t="n"/>
      <c r="O59" s="265">
        <f>SUMIF(AB$2:AB$52,D59,O$2:O$52)</f>
        <v/>
      </c>
      <c r="P59" s="476">
        <f>SUMIF(AB$2:AB$52,D59,P$2:P$52)</f>
        <v/>
      </c>
      <c r="Q59" s="476">
        <f>SUMIF(AB$2:AB$52,"*"&amp;D59&amp;"*",Q$2:Q$52)</f>
        <v/>
      </c>
      <c r="R59" s="265">
        <f>SUMIF(AB$2:AB$52,D59,R$2:R$52)</f>
        <v/>
      </c>
      <c r="S59" s="257" t="n"/>
      <c r="T59" s="257" t="n"/>
      <c r="U59" s="467" t="n"/>
      <c r="V59" s="257" t="n"/>
      <c r="W59" s="257" t="n"/>
      <c r="X59" s="477">
        <f>(SUMIF(AB$2:AB$52,D59,P$2:P$52)+SUMIF(AB$2:AB$52,"*"&amp;D59&amp;"*",Q$2:Q$52))/SUMIF(AB$2:AB$52,D59,G$2:G$52)</f>
        <v/>
      </c>
      <c r="Y59" s="477">
        <f>(P59+Q59)/(AA59)</f>
        <v/>
      </c>
      <c r="Z59" s="268">
        <f>COUNTIFS(X$2:X$52,"&gt;0",AB$2:AB$52,D59)/COUNTIF(AB$2:AB$52,D59)</f>
        <v/>
      </c>
      <c r="AA59" s="9">
        <f>SUMIF(AB$2:AB$52,D59,AA$2:AA$52)</f>
        <v/>
      </c>
    </row>
    <row r="60" outlineLevel="1" ht="17.25" customHeight="1" thickBot="1">
      <c r="A60" s="464" t="n"/>
      <c r="C60" s="475" t="n"/>
      <c r="D60" s="247" t="inlineStr">
        <is>
          <t>水某精選</t>
        </is>
      </c>
      <c r="E60" s="464" t="n"/>
      <c r="F60" s="475" t="n"/>
      <c r="G60" s="265">
        <f>SUMIF(AB$2:AB$52,D60,G$2:G$52)</f>
        <v/>
      </c>
      <c r="H60" s="265">
        <f>SUMIF(AB$2:AB$52,D60,H$2:H$52)</f>
        <v/>
      </c>
      <c r="I60" s="467" t="n"/>
      <c r="J60" s="352" t="n"/>
      <c r="K60" s="303" t="n"/>
      <c r="L60" s="303" t="n"/>
      <c r="M60" s="303" t="n"/>
      <c r="N60" s="303" t="n"/>
      <c r="O60" s="265">
        <f>SUMIF(AB$2:AB$52,D60,O$2:O$52)</f>
        <v/>
      </c>
      <c r="P60" s="476">
        <f>SUMIF(AB$2:AB$52,D60,P$2:P$52)</f>
        <v/>
      </c>
      <c r="Q60" s="476">
        <f>SUMIF(AB$2:AB$52,"*"&amp;D60&amp;"*",Q$2:Q$52)</f>
        <v/>
      </c>
      <c r="R60" s="265">
        <f>SUMIF(AB$2:AB$52,D60,R$2:R$52)</f>
        <v/>
      </c>
      <c r="S60" s="261" t="n"/>
      <c r="T60" s="261" t="n"/>
      <c r="U60" s="467" t="n"/>
      <c r="V60" s="261" t="n"/>
      <c r="W60" s="261" t="n"/>
      <c r="X60" s="477">
        <f>(SUMIF(AB$2:AB$52,D60,P$2:P$52)+SUMIF(AB$2:AB$52,"*"&amp;D60&amp;"*",Q$2:Q$52))/SUMIF(AB$2:AB$52,D60,G$2:G$52)</f>
        <v/>
      </c>
      <c r="Y60" s="477">
        <f>(P60+Q60)/(AA60)</f>
        <v/>
      </c>
      <c r="Z60" s="268">
        <f>COUNTIFS(X$2:X$52,"&gt;0",AB$2:AB$52,D60)/COUNTIF(AB$2:AB$52,D60)</f>
        <v/>
      </c>
      <c r="AA60" s="9">
        <f>SUMIF(AB$2:AB$52,D60,AA$2:AA$52)</f>
        <v/>
      </c>
    </row>
    <row r="61" outlineLevel="1">
      <c r="A61" s="464" t="n"/>
      <c r="C61" s="475" t="n"/>
      <c r="D61" s="247" t="inlineStr">
        <is>
          <t>除權息</t>
        </is>
      </c>
      <c r="E61" s="464" t="n"/>
      <c r="F61" s="475" t="n"/>
      <c r="G61" s="265">
        <f>SUMIF(AB$2:AB$52,D61,G$2:G$52)</f>
        <v/>
      </c>
      <c r="H61" s="265">
        <f>SUMIF(AB$2:AB$52,D61,H$2:H$52)</f>
        <v/>
      </c>
      <c r="I61" s="467" t="n"/>
      <c r="J61" s="249" t="n"/>
      <c r="K61" s="257" t="n"/>
      <c r="L61" s="257" t="n"/>
      <c r="M61" s="257" t="n"/>
      <c r="N61" s="257" t="n"/>
      <c r="O61" s="265">
        <f>SUMIF(AB$2:AB$52,D61,O$2:O$52)</f>
        <v/>
      </c>
      <c r="P61" s="476">
        <f>SUMIF(AB$2:AB$52,D61,P$2:P$52)</f>
        <v/>
      </c>
      <c r="Q61" s="476">
        <f>SUMIF(AB$2:AB$52,"*"&amp;D61&amp;"*",Q$2:Q$52)</f>
        <v/>
      </c>
      <c r="R61" s="265">
        <f>SUMIF(AB$2:AB$52,D61,R$2:R$52)</f>
        <v/>
      </c>
      <c r="S61" s="257" t="n"/>
      <c r="T61" s="257" t="n"/>
      <c r="U61" s="467" t="n"/>
      <c r="V61" s="257" t="n"/>
      <c r="W61" s="257" t="n"/>
      <c r="X61" s="477">
        <f>(SUMIF(AB$2:AB$52,D61,P$2:P$52)+SUMIF(AB$2:AB$52,"*"&amp;D61&amp;"*",Q$2:Q$52))/SUMIF(AB$2:AB$52,D61,G$2:G$52)</f>
        <v/>
      </c>
      <c r="Y61" s="477">
        <f>(P61+Q61)/(AA61)</f>
        <v/>
      </c>
      <c r="Z61" s="268">
        <f>COUNTIFS(X$2:X$52,"&gt;0",AB$2:AB$52,D61)/COUNTIF(AB$2:AB$52,D61)</f>
        <v/>
      </c>
      <c r="AA61" s="9">
        <f>SUMIF(AB$2:AB$52,D61,AA$2:AA$52)</f>
        <v/>
      </c>
    </row>
    <row r="62" outlineLevel="1" ht="17.25" customHeight="1" thickBot="1">
      <c r="A62" s="478" t="n"/>
      <c r="B62" s="479" t="n"/>
      <c r="C62" s="480" t="n"/>
      <c r="D62" s="248" t="inlineStr">
        <is>
          <t>存股</t>
        </is>
      </c>
      <c r="E62" s="478" t="n"/>
      <c r="F62" s="480" t="n"/>
      <c r="G62" s="252">
        <f>SUMIF(AB$2:AB$52,D62,G$2:G$52)</f>
        <v/>
      </c>
      <c r="H62" s="252">
        <f>SUMIF(AB$2:AB$52,D62,H$2:H$52)</f>
        <v/>
      </c>
      <c r="I62" s="481" t="n"/>
      <c r="J62" s="250" t="n"/>
      <c r="K62" s="261" t="n"/>
      <c r="L62" s="261" t="n"/>
      <c r="M62" s="261" t="n"/>
      <c r="N62" s="261" t="n"/>
      <c r="O62" s="252">
        <f>SUMIF(AB$2:AB$52,D62,O$2:O$52)</f>
        <v/>
      </c>
      <c r="P62" s="482">
        <f>SUMIF(AB$2:AB$52,D62,P$2:P$52)</f>
        <v/>
      </c>
      <c r="Q62" s="482">
        <f>SUMIF(AB$2:AB$52,"*"&amp;D62&amp;"*",Q$2:Q$52)</f>
        <v/>
      </c>
      <c r="R62" s="252">
        <f>SUMIF(AB$2:AB$52,D62,R$2:R$52)</f>
        <v/>
      </c>
      <c r="S62" s="261" t="n"/>
      <c r="T62" s="261" t="n"/>
      <c r="U62" s="481" t="n"/>
      <c r="V62" s="261" t="n"/>
      <c r="W62" s="261" t="n"/>
      <c r="X62" s="483">
        <f>(SUMIF(AB$2:AB$52,D62,P$2:P$52)+SUMIF(AB$2:AB$52,"*"&amp;D62&amp;"*",Q$2:Q$52))/SUMIF(AB$2:AB$52,D62,G$2:G$52)</f>
        <v/>
      </c>
      <c r="Y62" s="483">
        <f>(P62+Q62)/(AA62)</f>
        <v/>
      </c>
      <c r="Z62" s="255">
        <f>COUNTIFS(X$2:X$52,"&gt;0",AB$2:AB$52,D62)/COUNTIF(AB$2:AB$52,D62)</f>
        <v/>
      </c>
      <c r="AA62" s="9">
        <f>SUMIF(AB$2:AB$52,D62,AA$2:AA$52)</f>
        <v/>
      </c>
    </row>
    <row r="63">
      <c r="B63" s="37" t="n"/>
      <c r="C63" s="37" t="n"/>
      <c r="D63" s="28" t="n"/>
    </row>
    <row r="64" ht="17.25" customHeight="1" thickBot="1">
      <c r="B64" s="37" t="n"/>
      <c r="C64" s="37" t="n"/>
      <c r="D64" s="28" t="n"/>
    </row>
    <row r="65" customFormat="1" s="8">
      <c r="A65" s="1" t="inlineStr">
        <is>
          <t>買進日期</t>
        </is>
      </c>
      <c r="B65" s="2" t="inlineStr">
        <is>
          <t>種類</t>
        </is>
      </c>
      <c r="C65" s="3" t="inlineStr">
        <is>
          <t>股票代號</t>
        </is>
      </c>
      <c r="D65" s="4" t="inlineStr">
        <is>
          <t>股票名稱</t>
        </is>
      </c>
      <c r="E65" s="4" t="inlineStr">
        <is>
          <t>股數</t>
        </is>
      </c>
      <c r="F65" s="4" t="inlineStr">
        <is>
          <t>買進價</t>
        </is>
      </c>
      <c r="G65" s="4" t="inlineStr">
        <is>
          <t>成交金額</t>
        </is>
      </c>
      <c r="H65" s="432" t="inlineStr">
        <is>
          <t>手續費</t>
        </is>
      </c>
      <c r="I65" s="140" t="inlineStr">
        <is>
          <t>賣出日期</t>
        </is>
      </c>
      <c r="J65" s="4" t="inlineStr">
        <is>
          <t>賣出價</t>
        </is>
      </c>
      <c r="K65" s="4" t="inlineStr">
        <is>
          <t>成交金額</t>
        </is>
      </c>
      <c r="L65" s="432" t="inlineStr">
        <is>
          <t>手續費</t>
        </is>
      </c>
      <c r="M65" s="432" t="inlineStr">
        <is>
          <t>交易稅</t>
        </is>
      </c>
      <c r="N65" s="3" t="inlineStr">
        <is>
          <t>證所稅</t>
        </is>
      </c>
      <c r="O65" s="4" t="inlineStr">
        <is>
          <t>參考現值</t>
        </is>
      </c>
      <c r="P65" s="433" t="inlineStr">
        <is>
          <t>已實現損益</t>
        </is>
      </c>
      <c r="Q65" s="4" t="inlineStr">
        <is>
          <t>未實現損益</t>
        </is>
      </c>
      <c r="R65" s="4" t="inlineStr">
        <is>
          <t>除息</t>
        </is>
      </c>
      <c r="S65" s="68" t="inlineStr">
        <is>
          <t>手續費</t>
        </is>
      </c>
      <c r="T65" s="68" t="inlineStr">
        <is>
          <t>健保補充保費</t>
        </is>
      </c>
      <c r="U65" s="68" t="inlineStr">
        <is>
          <t>實質扣抵稅率</t>
        </is>
      </c>
      <c r="V65" s="68" t="inlineStr">
        <is>
          <t>扣抵稅率</t>
        </is>
      </c>
      <c r="W65" s="68" t="inlineStr">
        <is>
          <t>所得稅率</t>
        </is>
      </c>
      <c r="X65" s="4" t="inlineStr">
        <is>
          <t>投資報酬率</t>
        </is>
      </c>
      <c r="Y65" s="4" t="inlineStr">
        <is>
          <t>今日股價</t>
        </is>
      </c>
      <c r="Z65" s="7" t="inlineStr">
        <is>
          <t>漲跌</t>
        </is>
      </c>
      <c r="AA65" s="86" t="n"/>
      <c r="AC65" s="309" t="n"/>
    </row>
    <row r="66">
      <c r="A66" s="18">
        <f>MIN(A69:A69)</f>
        <v/>
      </c>
      <c r="B66" s="19" t="n"/>
      <c r="C66" s="20" t="n"/>
      <c r="D66" s="19" t="n"/>
      <c r="E66" s="19" t="n"/>
      <c r="F66" s="19" t="n"/>
      <c r="G66" s="19" t="n"/>
      <c r="H66" s="19" t="n"/>
      <c r="I66" s="21" t="n"/>
      <c r="J66" s="22" t="n"/>
      <c r="K66" s="19" t="n"/>
      <c r="L66" s="443" t="n"/>
      <c r="M66" s="19" t="n"/>
      <c r="N66" s="19" t="n"/>
      <c r="O66" s="444" t="n"/>
      <c r="P66" s="445" t="n"/>
      <c r="Q66" s="445" t="n"/>
      <c r="R66" s="445" t="n"/>
      <c r="S66" s="445" t="n"/>
      <c r="T66" s="445" t="n"/>
      <c r="U66" s="445" t="n"/>
      <c r="V66" s="74" t="n"/>
      <c r="W66" s="77" t="n"/>
      <c r="X66" s="446" t="n"/>
      <c r="Y66" s="22" t="n"/>
      <c r="Z66" s="27" t="n"/>
      <c r="AA66" s="28" t="n"/>
      <c r="AB66" s="9" t="n"/>
      <c r="AC66" s="312" t="n"/>
    </row>
    <row r="67">
      <c r="A67" s="224" t="n">
        <v>45442</v>
      </c>
      <c r="B67" s="11" t="inlineStr">
        <is>
          <t>普通買進</t>
        </is>
      </c>
      <c r="C67" s="225" t="inlineStr">
        <is>
          <t>NVDA</t>
        </is>
      </c>
      <c r="D67" s="189">
        <f>VLOOKUP(C67,美股行情!A:C,2,FALSE)</f>
        <v/>
      </c>
      <c r="E67" s="11" t="n">
        <v>80</v>
      </c>
      <c r="F67" s="11" t="n">
        <v>114.6</v>
      </c>
      <c r="G67" s="11">
        <f>E67*F67</f>
        <v/>
      </c>
      <c r="H67" s="485">
        <f>G67*0.25%</f>
        <v/>
      </c>
      <c r="I67" s="104" t="n"/>
      <c r="J67" s="16" t="n"/>
      <c r="K67" s="11">
        <f>E67*J67</f>
        <v/>
      </c>
      <c r="L67" s="17" t="n"/>
      <c r="M67" s="11" t="n"/>
      <c r="N67" s="11" t="n">
        <v>0</v>
      </c>
      <c r="O67" s="434">
        <f>IF(I67="",E67*Y67,0)</f>
        <v/>
      </c>
      <c r="P67" s="435">
        <f>IF(I67="",R67-H67,(K67-H67-SUM(L67:N67)+R67-S67-T67)-G67)+(ROUND(R67*V67,0)-ROUND(R67*(1+V67),0)*W67)</f>
        <v/>
      </c>
      <c r="Q67" s="435">
        <f>IF(I67="",(O67-G67-(O67*0.1425%*0.65)-(O67*0.3%)-S67-T67),0)</f>
        <v/>
      </c>
      <c r="R67" s="435">
        <f>0.56+0.56+0.56</f>
        <v/>
      </c>
      <c r="S67" s="435" t="n">
        <v>0</v>
      </c>
      <c r="T67" s="435">
        <f>IF(ROUND(R67*(1+V67),0)&gt;20000,ROUND(ROUND(R67*(1+V67),0)*2%,0),0)</f>
        <v/>
      </c>
      <c r="U67" s="69">
        <f>(V67*50%)/(1+50%*V67)</f>
        <v/>
      </c>
      <c r="V67" s="69" t="n"/>
      <c r="W67" s="70" t="n">
        <v>0.11</v>
      </c>
      <c r="X67" s="436">
        <f>(P67+Q67)/G67</f>
        <v/>
      </c>
      <c r="Y67" s="16">
        <f>VLOOKUP(C67,美股行情!A:C,3,FALSE)</f>
        <v/>
      </c>
      <c r="Z67" s="437">
        <f>VLOOKUP(C67,美股行情!A:G,7,FALSE)</f>
        <v/>
      </c>
      <c r="AA67" s="103" t="n"/>
      <c r="AB67" s="9" t="n"/>
      <c r="AC67" s="312" t="n"/>
    </row>
    <row r="68">
      <c r="A68" s="224" t="n">
        <v>45550</v>
      </c>
      <c r="B68" s="11" t="inlineStr">
        <is>
          <t>普通買進</t>
        </is>
      </c>
      <c r="C68" s="313" t="inlineStr">
        <is>
          <t>SNPS</t>
        </is>
      </c>
      <c r="D68" s="189">
        <f>VLOOKUP(C68,美股行情!A:C,2,FALSE)</f>
        <v/>
      </c>
      <c r="E68" s="11" t="n">
        <v>1</v>
      </c>
      <c r="F68" s="11" t="n">
        <v>432.3</v>
      </c>
      <c r="G68" s="11">
        <f>E68*F68</f>
        <v/>
      </c>
      <c r="H68" s="484">
        <f>G68*0.25%</f>
        <v/>
      </c>
      <c r="I68" s="104" t="n"/>
      <c r="J68" s="16" t="n"/>
      <c r="K68" s="11">
        <f>E68*J68</f>
        <v/>
      </c>
      <c r="L68" s="17" t="n"/>
      <c r="M68" s="11" t="n"/>
      <c r="N68" s="11" t="n">
        <v>0</v>
      </c>
      <c r="O68" s="434">
        <f>IF(I68="",E68*Y68,0)</f>
        <v/>
      </c>
      <c r="P68" s="435">
        <f>IF(I68="",R68-H68,(K68-H68-SUM(L68:N68)+R68-S68-T68)-G68)+(ROUND(R68*V68,0)-ROUND(R68*(1+V68),0)*W68)</f>
        <v/>
      </c>
      <c r="Q68" s="435">
        <f>IF(I68="",(O68-G68-(O68*0.1425%*0.65)-(O68*0.3%)-S68-T68),0)</f>
        <v/>
      </c>
      <c r="R68" s="435" t="n"/>
      <c r="S68" s="435" t="n">
        <v>0</v>
      </c>
      <c r="T68" s="435">
        <f>IF(ROUND(R68*(1+V68),0)&gt;20000,ROUND(ROUND(R68*(1+V68),0)*2%,0),0)</f>
        <v/>
      </c>
      <c r="U68" s="69">
        <f>(V68*50%)/(1+50%*V68)</f>
        <v/>
      </c>
      <c r="V68" s="69" t="n"/>
      <c r="W68" s="70" t="n">
        <v>0.11</v>
      </c>
      <c r="X68" s="436">
        <f>(P68+Q68)/G68</f>
        <v/>
      </c>
      <c r="Y68" s="16">
        <f>VLOOKUP(C68,美股行情!A:C,3,FALSE)</f>
        <v/>
      </c>
      <c r="Z68" s="437">
        <f>VLOOKUP(C68,美股行情!A:G,7,FALSE)</f>
        <v/>
      </c>
      <c r="AA68" s="103" t="n"/>
      <c r="AB68" s="9" t="n"/>
      <c r="AC68" s="312" t="n"/>
    </row>
    <row r="69" ht="17.25" customHeight="1" thickBot="1">
      <c r="A69" s="48" t="n"/>
      <c r="B69" s="49" t="n"/>
      <c r="C69" s="49" t="n"/>
      <c r="D69" s="49" t="n"/>
      <c r="E69" s="49" t="n"/>
      <c r="F69" s="49" t="n"/>
      <c r="G69" s="49" t="n"/>
      <c r="H69" s="49" t="n"/>
      <c r="I69" s="50" t="n"/>
      <c r="J69" s="51" t="n"/>
      <c r="K69" s="49" t="n"/>
      <c r="L69" s="447" t="n"/>
      <c r="M69" s="49" t="n"/>
      <c r="N69" s="49" t="n"/>
      <c r="O69" s="448" t="n"/>
      <c r="P69" s="449" t="n"/>
      <c r="Q69" s="449" t="n"/>
      <c r="R69" s="449" t="n"/>
      <c r="S69" s="449" t="n"/>
      <c r="T69" s="450" t="n"/>
      <c r="U69" s="449" t="n"/>
      <c r="V69" s="449" t="n"/>
      <c r="W69" s="78" t="n"/>
      <c r="X69" s="451" t="n"/>
      <c r="Y69" s="51" t="n"/>
      <c r="Z69" s="56" t="n"/>
      <c r="AA69" s="28" t="n"/>
      <c r="AB69" s="9" t="n"/>
      <c r="AC69" s="312" t="n"/>
    </row>
    <row r="70" ht="17.25" customFormat="1" customHeight="1" s="36" thickBot="1">
      <c r="A70" s="9" t="n"/>
      <c r="B70" s="9" t="n"/>
      <c r="C70" s="9" t="n"/>
      <c r="D70" s="179" t="inlineStr">
        <is>
          <t>外幣總計</t>
        </is>
      </c>
      <c r="E70" s="486" t="n"/>
      <c r="F70" s="460" t="n"/>
      <c r="G70" s="63">
        <f>SUM(G66:G69)</f>
        <v/>
      </c>
      <c r="H70" s="63">
        <f>SUM(H66:H69)</f>
        <v/>
      </c>
      <c r="I70" s="486" t="n"/>
      <c r="J70" s="460" t="n"/>
      <c r="K70" s="63">
        <f>SUM(K66:K69)</f>
        <v/>
      </c>
      <c r="L70" s="63">
        <f>SUM(L66:L69)</f>
        <v/>
      </c>
      <c r="M70" s="63">
        <f>SUM(M66:M69)</f>
        <v/>
      </c>
      <c r="N70" s="63">
        <f>SUM(N66:N69)</f>
        <v/>
      </c>
      <c r="O70" s="63">
        <f>SUM(O66:O69)</f>
        <v/>
      </c>
      <c r="P70" s="472">
        <f>SUM(P66:P69)</f>
        <v/>
      </c>
      <c r="Q70" s="461">
        <f>SUM(Q66:Q69)</f>
        <v/>
      </c>
      <c r="R70" s="63">
        <f>SUM(R66:R69)</f>
        <v/>
      </c>
      <c r="S70" s="72" t="n"/>
      <c r="T70" s="72" t="n"/>
      <c r="U70" s="72" t="n"/>
      <c r="V70" s="72" t="n"/>
      <c r="W70" s="72" t="n"/>
      <c r="X70" s="487">
        <f>(P70+Q70)/G70</f>
        <v/>
      </c>
      <c r="Y70" s="9" t="n"/>
      <c r="Z70" s="9" t="n"/>
      <c r="AA70" s="87" t="n"/>
    </row>
    <row r="71" ht="17.25" customFormat="1" customHeight="1" s="36" thickBot="1">
      <c r="A71" s="9" t="n"/>
      <c r="B71" s="9" t="n"/>
      <c r="C71" s="9" t="n"/>
      <c r="D71" s="179" t="inlineStr">
        <is>
          <t>換算台幣總計</t>
        </is>
      </c>
      <c r="E71" s="486" t="n"/>
      <c r="F71" s="460" t="n"/>
      <c r="G71" s="63">
        <f>G70*匯率!B3</f>
        <v/>
      </c>
      <c r="H71" s="63">
        <f>H70*匯率!B3</f>
        <v/>
      </c>
      <c r="I71" s="486" t="n"/>
      <c r="J71" s="460" t="n"/>
      <c r="K71" s="63">
        <f>SUM(K66:K70)</f>
        <v/>
      </c>
      <c r="L71" s="63">
        <f>SUM(L66:L70)</f>
        <v/>
      </c>
      <c r="M71" s="63">
        <f>SUM(M66:M70)</f>
        <v/>
      </c>
      <c r="N71" s="63">
        <f>SUM(N66:N70)</f>
        <v/>
      </c>
      <c r="O71" s="63">
        <f>O70*匯率!B3</f>
        <v/>
      </c>
      <c r="P71" s="472">
        <f>P70*匯率!B3</f>
        <v/>
      </c>
      <c r="Q71" s="63">
        <f>Q70*匯率!B3</f>
        <v/>
      </c>
      <c r="R71" s="63">
        <f>R70*匯率!B3</f>
        <v/>
      </c>
      <c r="S71" s="72" t="n"/>
      <c r="T71" s="72" t="n"/>
      <c r="U71" s="72" t="n"/>
      <c r="V71" s="72" t="n"/>
      <c r="W71" s="72" t="n"/>
      <c r="X71" s="487">
        <f>(P71+Q71)/G71</f>
        <v/>
      </c>
      <c r="Y71" s="9" t="n"/>
      <c r="Z71" s="9" t="n"/>
      <c r="AA71" s="87" t="n"/>
    </row>
    <row r="72">
      <c r="A72" s="37" t="n"/>
      <c r="B72" s="37" t="n"/>
      <c r="C72" s="37" t="n"/>
      <c r="D72" s="28" t="n"/>
    </row>
  </sheetData>
  <autoFilter ref="A1:AA74"/>
  <mergeCells count="14">
    <mergeCell ref="U57:U62"/>
    <mergeCell ref="J53:J55"/>
    <mergeCell ref="I53:I55"/>
    <mergeCell ref="A53:C55"/>
    <mergeCell ref="Y53:Y55"/>
    <mergeCell ref="K53:N53"/>
    <mergeCell ref="E71:F71"/>
    <mergeCell ref="E57:F62"/>
    <mergeCell ref="I71:J71"/>
    <mergeCell ref="E53:F55"/>
    <mergeCell ref="A57:C62"/>
    <mergeCell ref="I57:I62"/>
    <mergeCell ref="I70:J70"/>
    <mergeCell ref="E70:F70"/>
  </mergeCells>
  <conditionalFormatting sqref="Z1:AA25 Z48:AA56 Z63:AA64 Z72:AA1048576 AA58:AA62">
    <cfRule type="containsText" priority="273" operator="containsText" dxfId="12" text="△">
      <formula>NOT(ISERROR(SEARCH("△",Z1)))</formula>
    </cfRule>
    <cfRule type="containsText" priority="274" operator="containsText" dxfId="11" text="▽">
      <formula>NOT(ISERROR(SEARCH("▽",Z1)))</formula>
    </cfRule>
  </conditionalFormatting>
  <conditionalFormatting sqref="I48:I52">
    <cfRule type="expression" priority="271" dxfId="204">
      <formula>$I48&gt;(TODAY()-7)</formula>
    </cfRule>
    <cfRule type="expression" priority="272" dxfId="203">
      <formula>$I48&gt;(TODAY()-30)</formula>
    </cfRule>
  </conditionalFormatting>
  <conditionalFormatting sqref="Z2:Z46 Z48:Z51 Z66 Z69">
    <cfRule type="cellIs" priority="269" operator="lessThan" dxfId="8">
      <formula>0</formula>
    </cfRule>
    <cfRule type="cellIs" priority="270" operator="greaterThan" dxfId="7">
      <formula>0</formula>
    </cfRule>
  </conditionalFormatting>
  <conditionalFormatting sqref="Z47:AA47">
    <cfRule type="containsText" priority="265" operator="containsText" dxfId="12" text="△">
      <formula>NOT(ISERROR(SEARCH("△",Z47)))</formula>
    </cfRule>
    <cfRule type="containsText" priority="266" operator="containsText" dxfId="11" text="▽">
      <formula>NOT(ISERROR(SEARCH("▽",Z47)))</formula>
    </cfRule>
  </conditionalFormatting>
  <conditionalFormatting sqref="Z2:AA45 Z47:AA47">
    <cfRule type="containsText" priority="263" operator="containsText" dxfId="12" text="▲">
      <formula>NOT(ISERROR(SEARCH("▲",Z2)))</formula>
    </cfRule>
    <cfRule type="containsText" priority="264" operator="containsText" dxfId="11" text="▼">
      <formula>NOT(ISERROR(SEARCH("▼",Z2)))</formula>
    </cfRule>
  </conditionalFormatting>
  <conditionalFormatting sqref="Z47">
    <cfRule type="cellIs" priority="261" operator="lessThan" dxfId="8">
      <formula>0</formula>
    </cfRule>
    <cfRule type="cellIs" priority="262" operator="greaterThan" dxfId="7">
      <formula>0</formula>
    </cfRule>
  </conditionalFormatting>
  <conditionalFormatting sqref="Z65:Z66 Z69:Z70">
    <cfRule type="containsText" priority="235" operator="containsText" dxfId="12" text="△">
      <formula>NOT(ISERROR(SEARCH("△",Z65)))</formula>
    </cfRule>
    <cfRule type="containsText" priority="236" operator="containsText" dxfId="11" text="▽">
      <formula>NOT(ISERROR(SEARCH("▽",Z65)))</formula>
    </cfRule>
  </conditionalFormatting>
  <conditionalFormatting sqref="I69">
    <cfRule type="expression" priority="233" dxfId="204">
      <formula>$I69&gt;(TODAY()-7)</formula>
    </cfRule>
    <cfRule type="expression" priority="234" dxfId="203">
      <formula>$I69&gt;(TODAY()-30)</formula>
    </cfRule>
  </conditionalFormatting>
  <conditionalFormatting sqref="I66">
    <cfRule type="expression" priority="231" dxfId="204">
      <formula>$I66&gt;(TODAY()-7)</formula>
    </cfRule>
    <cfRule type="expression" priority="232" dxfId="203">
      <formula>$I66&gt;(TODAY()-30)</formula>
    </cfRule>
  </conditionalFormatting>
  <conditionalFormatting sqref="Z71">
    <cfRule type="containsText" priority="229" operator="containsText" dxfId="12" text="△">
      <formula>NOT(ISERROR(SEARCH("△",Z71)))</formula>
    </cfRule>
    <cfRule type="containsText" priority="230" operator="containsText" dxfId="11" text="▽">
      <formula>NOT(ISERROR(SEARCH("▽",Z71)))</formula>
    </cfRule>
  </conditionalFormatting>
  <conditionalFormatting sqref="AA57">
    <cfRule type="containsText" priority="183" operator="containsText" dxfId="12" text="△">
      <formula>NOT(ISERROR(SEARCH("△",AA57)))</formula>
    </cfRule>
    <cfRule type="containsText" priority="184" operator="containsText" dxfId="11" text="▽">
      <formula>NOT(ISERROR(SEARCH("▽",AA57)))</formula>
    </cfRule>
  </conditionalFormatting>
  <conditionalFormatting sqref="Z22:AA25">
    <cfRule type="containsText" priority="109" operator="containsText" dxfId="12" text="▲">
      <formula>NOT(ISERROR(SEARCH("▲",Z22)))</formula>
    </cfRule>
    <cfRule type="containsText" priority="110" operator="containsText" dxfId="11" text="▼">
      <formula>NOT(ISERROR(SEARCH("▼",Z22)))</formula>
    </cfRule>
  </conditionalFormatting>
  <conditionalFormatting sqref="Z21:AA25">
    <cfRule type="containsText" priority="41" operator="containsText" dxfId="12" text="▲">
      <formula>NOT(ISERROR(SEARCH("▲",Z21)))</formula>
    </cfRule>
    <cfRule type="containsText" priority="42" operator="containsText" dxfId="11" text="▼">
      <formula>NOT(ISERROR(SEARCH("▼",Z21)))</formula>
    </cfRule>
  </conditionalFormatting>
  <conditionalFormatting sqref="Z12:AA12">
    <cfRule type="containsText" priority="39" operator="containsText" dxfId="12" text="▲">
      <formula>NOT(ISERROR(SEARCH("▲",Z12)))</formula>
    </cfRule>
    <cfRule type="containsText" priority="40" operator="containsText" dxfId="11" text="▼">
      <formula>NOT(ISERROR(SEARCH("▼",Z12)))</formula>
    </cfRule>
    <cfRule type="containsText" priority="37" operator="containsText" dxfId="12" text="▲">
      <formula>NOT(ISERROR(SEARCH("▲",Z12)))</formula>
    </cfRule>
    <cfRule type="containsText" priority="38" operator="containsText" dxfId="11" text="▼">
      <formula>NOT(ISERROR(SEARCH("▼",Z12)))</formula>
    </cfRule>
  </conditionalFormatting>
  <conditionalFormatting sqref="Z8:AA8">
    <cfRule type="containsText" priority="35" operator="containsText" dxfId="12" text="▲">
      <formula>NOT(ISERROR(SEARCH("▲",Z8)))</formula>
    </cfRule>
    <cfRule type="containsText" priority="36" operator="containsText" dxfId="11" text="▼">
      <formula>NOT(ISERROR(SEARCH("▼",Z8)))</formula>
    </cfRule>
  </conditionalFormatting>
  <conditionalFormatting sqref="Z20:AA20">
    <cfRule type="containsText" priority="21" operator="containsText" dxfId="12" text="▲">
      <formula>NOT(ISERROR(SEARCH("▲",Z20)))</formula>
    </cfRule>
    <cfRule type="containsText" priority="22" operator="containsText" dxfId="11" text="▼">
      <formula>NOT(ISERROR(SEARCH("▼",Z20)))</formula>
    </cfRule>
  </conditionalFormatting>
  <conditionalFormatting sqref="Z19:AA25">
    <cfRule type="containsText" priority="19" operator="containsText" dxfId="12" text="▲">
      <formula>NOT(ISERROR(SEARCH("▲",Z19)))</formula>
    </cfRule>
    <cfRule type="containsText" priority="20" operator="containsText" dxfId="11" text="▼">
      <formula>NOT(ISERROR(SEARCH("▼",Z19)))</formula>
    </cfRule>
  </conditionalFormatting>
  <conditionalFormatting sqref="Z23:AA25">
    <cfRule type="containsText" priority="17" operator="containsText" dxfId="12" text="▲">
      <formula>NOT(ISERROR(SEARCH("▲",Z23)))</formula>
    </cfRule>
    <cfRule type="containsText" priority="18" operator="containsText" dxfId="11" text="▼">
      <formula>NOT(ISERROR(SEARCH("▼",Z23)))</formula>
    </cfRule>
  </conditionalFormatting>
  <conditionalFormatting sqref="Z67:Z68">
    <cfRule type="cellIs" priority="9" operator="lessThan" dxfId="8">
      <formula>0</formula>
    </cfRule>
    <cfRule type="cellIs" priority="10" operator="greaterThan" dxfId="7">
      <formula>0</formula>
    </cfRule>
    <cfRule type="containsText" priority="7" operator="containsText" dxfId="12" text="▲">
      <formula>NOT(ISERROR(SEARCH("▲",Z67)))</formula>
    </cfRule>
    <cfRule type="containsText" priority="8" operator="containsText" dxfId="11" text="▼">
      <formula>NOT(ISERROR(SEARCH("▼",Z67)))</formula>
    </cfRule>
  </conditionalFormatting>
  <conditionalFormatting sqref="Z46:AA46">
    <cfRule type="containsText" priority="1" operator="containsText" dxfId="12" text="▲">
      <formula>NOT(ISERROR(SEARCH("▲",Z46)))</formula>
    </cfRule>
    <cfRule type="containsText" priority="2" operator="containsText" dxfId="11" text="▼">
      <formula>NOT(ISERROR(SEARCH("▼",Z46)))</formula>
    </cfRule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Sheet19">
    <outlinePr summaryBelow="0" summaryRight="0"/>
    <pageSetUpPr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baseColWidth="8" defaultColWidth="9" defaultRowHeight="16.5" outlineLevelRow="1"/>
  <cols>
    <col width="11.125" customWidth="1" style="9" min="1" max="1"/>
    <col hidden="1" width="10" customWidth="1" style="9" min="2" max="2"/>
    <col width="11.375" customWidth="1" style="9" min="3" max="3"/>
    <col width="19.25" bestFit="1" customWidth="1" style="194" min="4" max="4"/>
    <col width="7.125" customWidth="1" style="9" min="5" max="5"/>
    <col width="9.125" customWidth="1" style="9" min="6" max="6"/>
    <col width="12.625" bestFit="1" customWidth="1" style="9" min="7" max="7"/>
    <col width="9.125" customWidth="1" style="9" min="8" max="8"/>
    <col collapsed="1" width="11.5" bestFit="1" customWidth="1" style="9" min="9" max="9"/>
    <col hidden="1" outlineLevel="1" width="9.375" customWidth="1" style="9" min="10" max="10"/>
    <col hidden="1" outlineLevel="1" width="13" customWidth="1" style="9" min="11" max="11"/>
    <col hidden="1" outlineLevel="1" width="9.625" customWidth="1" style="9" min="12" max="13"/>
    <col hidden="1" outlineLevel="1" width="9.125" customWidth="1" style="9" min="14" max="14"/>
    <col width="11.375" customWidth="1" style="9" min="15" max="15"/>
    <col width="13.375" customWidth="1" style="9" min="16" max="16"/>
    <col width="13.125" customWidth="1" style="9" min="17" max="17"/>
    <col collapsed="1" width="9.5" bestFit="1" customWidth="1" style="9" min="18" max="18"/>
    <col hidden="1" outlineLevel="1" width="11.625" customWidth="1" style="9" min="19" max="19"/>
    <col hidden="1" outlineLevel="1" width="18.625" customWidth="1" style="9" min="20" max="20"/>
    <col collapsed="1" width="18.625" bestFit="1" customWidth="1" style="9" min="21" max="21"/>
    <col hidden="1" outlineLevel="1" width="12.375" customWidth="1" style="9" min="22" max="23"/>
    <col width="13.875" customWidth="1" style="9" min="24" max="24"/>
    <col width="13.375" bestFit="1" customWidth="1" style="9" min="25" max="25"/>
    <col width="12.125" customWidth="1" style="9" min="26" max="26"/>
    <col width="12.875" customWidth="1" style="37" min="27" max="27"/>
    <col width="12.125" bestFit="1" customWidth="1" style="194" min="28" max="28"/>
    <col width="37.625" customWidth="1" style="194" min="29" max="29"/>
    <col width="22.625" bestFit="1" customWidth="1" style="9" min="30" max="30"/>
    <col width="9" customWidth="1" style="9" min="31" max="16384"/>
  </cols>
  <sheetData>
    <row r="1" customFormat="1" s="8">
      <c r="A1" s="1" t="inlineStr">
        <is>
          <t>買進日期</t>
        </is>
      </c>
      <c r="B1" s="2" t="inlineStr">
        <is>
          <t>種類</t>
        </is>
      </c>
      <c r="C1" s="3" t="inlineStr">
        <is>
          <t>股票代號</t>
        </is>
      </c>
      <c r="D1" s="190" t="inlineStr">
        <is>
          <t>股票名稱</t>
        </is>
      </c>
      <c r="E1" s="4" t="inlineStr">
        <is>
          <t>股數</t>
        </is>
      </c>
      <c r="F1" s="4" t="inlineStr">
        <is>
          <t>買進價</t>
        </is>
      </c>
      <c r="G1" s="4" t="inlineStr">
        <is>
          <t>成交金額</t>
        </is>
      </c>
      <c r="H1" s="432" t="inlineStr">
        <is>
          <t>手續費</t>
        </is>
      </c>
      <c r="I1" s="210" t="inlineStr">
        <is>
          <t>賣出日期</t>
        </is>
      </c>
      <c r="J1" s="4" t="inlineStr">
        <is>
          <t>賣出價</t>
        </is>
      </c>
      <c r="K1" s="4" t="inlineStr">
        <is>
          <t>成交金額</t>
        </is>
      </c>
      <c r="L1" s="432" t="inlineStr">
        <is>
          <t>手續費</t>
        </is>
      </c>
      <c r="M1" s="432" t="inlineStr">
        <is>
          <t>交易稅</t>
        </is>
      </c>
      <c r="N1" s="3" t="inlineStr">
        <is>
          <t>證所稅</t>
        </is>
      </c>
      <c r="O1" s="4" t="inlineStr">
        <is>
          <t>參考現值</t>
        </is>
      </c>
      <c r="P1" s="433" t="inlineStr">
        <is>
          <t>已實現損益</t>
        </is>
      </c>
      <c r="Q1" s="4" t="inlineStr">
        <is>
          <t>未實現損益</t>
        </is>
      </c>
      <c r="R1" s="4" t="inlineStr">
        <is>
          <t>除息</t>
        </is>
      </c>
      <c r="S1" s="68" t="inlineStr">
        <is>
          <t>手續費</t>
        </is>
      </c>
      <c r="T1" s="68" t="inlineStr">
        <is>
          <t>健保補充保費</t>
        </is>
      </c>
      <c r="U1" s="68" t="inlineStr">
        <is>
          <t>實質扣抵稅率</t>
        </is>
      </c>
      <c r="V1" s="68" t="inlineStr">
        <is>
          <t>扣抵稅率</t>
        </is>
      </c>
      <c r="W1" s="68" t="inlineStr">
        <is>
          <t>所得稅率</t>
        </is>
      </c>
      <c r="X1" s="4" t="inlineStr">
        <is>
          <t>投資報酬率</t>
        </is>
      </c>
      <c r="Y1" s="4" t="inlineStr">
        <is>
          <t>今日股價</t>
        </is>
      </c>
      <c r="Z1" s="7" t="inlineStr">
        <is>
          <t>漲跌</t>
        </is>
      </c>
      <c r="AA1" s="89" t="n"/>
      <c r="AB1" s="37" t="inlineStr">
        <is>
          <t>買進理由</t>
        </is>
      </c>
      <c r="AC1" s="321" t="inlineStr">
        <is>
          <t>賣出理由</t>
        </is>
      </c>
    </row>
    <row r="2">
      <c r="A2" s="99" t="n">
        <v>45349</v>
      </c>
      <c r="B2" s="11" t="n"/>
      <c r="C2" s="11" t="n">
        <v>3163</v>
      </c>
      <c r="D2" s="189">
        <f>VLOOKUP(C2,台股行情!A:B,2,FALSE)</f>
        <v/>
      </c>
      <c r="E2" s="11" t="n">
        <v>1000</v>
      </c>
      <c r="F2" s="11" t="n">
        <v>105.5</v>
      </c>
      <c r="G2" s="11">
        <f>E2*F2</f>
        <v/>
      </c>
      <c r="H2" s="11" t="n">
        <v>150</v>
      </c>
      <c r="I2" s="104" t="n">
        <v>45366</v>
      </c>
      <c r="J2" s="16" t="n">
        <v>106</v>
      </c>
      <c r="K2" s="11">
        <f>E2*J2</f>
        <v/>
      </c>
      <c r="L2" s="17" t="n">
        <v>151</v>
      </c>
      <c r="M2" s="11" t="n">
        <v>318</v>
      </c>
      <c r="N2" s="11" t="n">
        <v>0</v>
      </c>
      <c r="O2" s="434">
        <f>IF(I2="",E2*Y2,0)</f>
        <v/>
      </c>
      <c r="P2" s="435">
        <f>IF(I2="",R2-H2,(K2-H2-SUM(L2:N2)+R2-S2-T2)-G2)+(ROUND(R2*V2,0)-ROUND(R2*(1+V2),0)*W2)</f>
        <v/>
      </c>
      <c r="Q2" s="435">
        <f>IF(I2="",(O2-G2-(O2*0.1425%*0.65)-(O2*0.3%)-S2-T2),0)</f>
        <v/>
      </c>
      <c r="R2" s="435" t="n"/>
      <c r="S2" s="435" t="n"/>
      <c r="T2" s="435" t="n"/>
      <c r="U2" s="69">
        <f>(V2*50%)/(1+50%*V2)</f>
        <v/>
      </c>
      <c r="V2" s="69" t="n"/>
      <c r="W2" s="70" t="n">
        <v>0.11</v>
      </c>
      <c r="X2" s="436">
        <f>(P2+Q2)/G2</f>
        <v/>
      </c>
      <c r="Y2" s="16">
        <f>VLOOKUP(C2,台股行情!A:D,4,FALSE)</f>
        <v/>
      </c>
      <c r="Z2" s="437">
        <f>VLOOKUP(C2,台股行情!A:E,5,FALSE)</f>
        <v/>
      </c>
      <c r="AA2" s="438">
        <f>IF(I2="",((TODAY()-A2)*G2)/365.24,((I2-A2)*G2)/365.24)</f>
        <v/>
      </c>
      <c r="AB2" s="194" t="inlineStr">
        <is>
          <t>阿水一式</t>
        </is>
      </c>
      <c r="AC2" s="143" t="inlineStr">
        <is>
          <t>破 20MA，停損</t>
        </is>
      </c>
      <c r="AD2" s="103" t="n"/>
    </row>
    <row r="3" outlineLevel="1">
      <c r="A3" s="99" t="n">
        <v>45359</v>
      </c>
      <c r="B3" s="11" t="n"/>
      <c r="C3" s="11" t="n">
        <v>6176</v>
      </c>
      <c r="D3" s="189">
        <f>VLOOKUP(C3,台股行情!A:B,2,FALSE)</f>
        <v/>
      </c>
      <c r="E3" s="11" t="n">
        <v>1000</v>
      </c>
      <c r="F3" s="11" t="n">
        <v>168.5</v>
      </c>
      <c r="G3" s="11">
        <f>E3*F3</f>
        <v/>
      </c>
      <c r="H3" s="11" t="n">
        <v>240</v>
      </c>
      <c r="I3" s="104" t="n">
        <v>45366</v>
      </c>
      <c r="J3" s="16" t="n">
        <v>173</v>
      </c>
      <c r="K3" s="11">
        <f>E3*J3</f>
        <v/>
      </c>
      <c r="L3" s="17" t="n">
        <v>246</v>
      </c>
      <c r="M3" s="11" t="n">
        <v>519</v>
      </c>
      <c r="N3" s="11" t="n">
        <v>0</v>
      </c>
      <c r="O3" s="434">
        <f>IF(I3="",E3*Y3,0)</f>
        <v/>
      </c>
      <c r="P3" s="435">
        <f>IF(I3="",R3-H3,(K3-H3-SUM(L3:N3)+R3-S3-T3)-G3)+(ROUND(R3*V3,0)-ROUND(R3*(1+V3),0)*W3)</f>
        <v/>
      </c>
      <c r="Q3" s="435">
        <f>IF(I3="",(O3-G3-(O3*0.1425%*0.65)-(O3*0.3%)-S3-T3),0)</f>
        <v/>
      </c>
      <c r="R3" s="435" t="n"/>
      <c r="S3" s="435" t="n"/>
      <c r="T3" s="435" t="n"/>
      <c r="U3" s="69">
        <f>(V3*50%)/(1+50%*V3)</f>
        <v/>
      </c>
      <c r="V3" s="69" t="n"/>
      <c r="W3" s="70" t="n">
        <v>0.11</v>
      </c>
      <c r="X3" s="436">
        <f>(P3+Q3)/G3</f>
        <v/>
      </c>
      <c r="Y3" s="16">
        <f>VLOOKUP(C3,台股行情!A:D,4,FALSE)</f>
        <v/>
      </c>
      <c r="Z3" s="437">
        <f>VLOOKUP(C3,台股行情!A:E,5,FALSE)</f>
        <v/>
      </c>
      <c r="AA3" s="438">
        <f>IF(I3="",((TODAY()-A3)*G3)/365.24,((I3-A3)*G3)/365.24)</f>
        <v/>
      </c>
      <c r="AB3" s="194" t="inlineStr">
        <is>
          <t>阿水一式</t>
        </is>
      </c>
      <c r="AC3" s="194" t="inlineStr">
        <is>
          <t>碰 20MA，獲利了結</t>
        </is>
      </c>
      <c r="AD3" s="103" t="n"/>
    </row>
    <row r="4" outlineLevel="1">
      <c r="A4" s="99" t="n">
        <v>45362</v>
      </c>
      <c r="B4" s="11" t="n"/>
      <c r="C4" s="11" t="n">
        <v>3171</v>
      </c>
      <c r="D4" s="189">
        <f>VLOOKUP(C4,台股行情!A:B,2,FALSE)</f>
        <v/>
      </c>
      <c r="E4" s="11" t="n">
        <v>1000</v>
      </c>
      <c r="F4" s="11" t="n">
        <v>31.95</v>
      </c>
      <c r="G4" s="11">
        <f>E4*F4</f>
        <v/>
      </c>
      <c r="H4" s="11" t="n">
        <v>45</v>
      </c>
      <c r="I4" s="104" t="n">
        <v>45380</v>
      </c>
      <c r="J4" s="16" t="n">
        <v>30.4</v>
      </c>
      <c r="K4" s="11">
        <f>E4*J4</f>
        <v/>
      </c>
      <c r="L4" s="17" t="n">
        <v>43</v>
      </c>
      <c r="M4" s="11" t="n">
        <v>91</v>
      </c>
      <c r="N4" s="11" t="n">
        <v>0</v>
      </c>
      <c r="O4" s="434">
        <f>IF(I4="",E4*Y4,0)</f>
        <v/>
      </c>
      <c r="P4" s="435">
        <f>IF(I4="",R4-H4,(K4-H4-SUM(L4:N4)+R4-S4-T4)-G4)+(ROUND(R4*V4,0)-ROUND(R4*(1+V4),0)*W4)</f>
        <v/>
      </c>
      <c r="Q4" s="435">
        <f>IF(I4="",(O4-G4-(O4*0.1425%*0.65)-(O4*0.3%)-S4-T4),0)</f>
        <v/>
      </c>
      <c r="R4" s="435" t="n"/>
      <c r="S4" s="435" t="n"/>
      <c r="T4" s="435" t="n"/>
      <c r="U4" s="69">
        <f>(V4*50%)/(1+50%*V4)</f>
        <v/>
      </c>
      <c r="V4" s="69" t="n"/>
      <c r="W4" s="70" t="n">
        <v>0.11</v>
      </c>
      <c r="X4" s="436">
        <f>(P4+Q4)/G4</f>
        <v/>
      </c>
      <c r="Y4" s="16">
        <f>VLOOKUP(C4,台股行情!A:D,4,FALSE)</f>
        <v/>
      </c>
      <c r="Z4" s="437">
        <f>VLOOKUP(C4,台股行情!A:E,5,FALSE)</f>
        <v/>
      </c>
      <c r="AA4" s="438">
        <f>IF(I4="",((TODAY()-A4)*G4)/365.24,((I4-A4)*G4)/365.24)</f>
        <v/>
      </c>
      <c r="AB4" s="194" t="inlineStr">
        <is>
          <t>每月必漲股</t>
        </is>
      </c>
      <c r="AC4" s="194" t="inlineStr">
        <is>
          <t>月底出清</t>
        </is>
      </c>
      <c r="AD4" s="209" t="inlineStr">
        <is>
          <t>若在3/1買進23.95, 則為獲利</t>
        </is>
      </c>
    </row>
    <row r="5" outlineLevel="1">
      <c r="A5" s="99" t="n">
        <v>45359</v>
      </c>
      <c r="B5" s="11" t="n"/>
      <c r="C5" s="11" t="n">
        <v>6596</v>
      </c>
      <c r="D5" s="189">
        <f>VLOOKUP(C5,台股行情!A:B,2,FALSE)</f>
        <v/>
      </c>
      <c r="E5" s="11" t="n">
        <v>1000</v>
      </c>
      <c r="F5" s="11" t="n">
        <v>60</v>
      </c>
      <c r="G5" s="11">
        <f>E5*F5</f>
        <v/>
      </c>
      <c r="H5" s="11" t="n">
        <v>85</v>
      </c>
      <c r="I5" s="104" t="n">
        <v>45393</v>
      </c>
      <c r="J5" s="16" t="n">
        <v>71</v>
      </c>
      <c r="K5" s="11">
        <f>E5*J5</f>
        <v/>
      </c>
      <c r="L5" s="17" t="n">
        <v>101</v>
      </c>
      <c r="M5" s="11" t="n">
        <v>213</v>
      </c>
      <c r="N5" s="11" t="n">
        <v>0</v>
      </c>
      <c r="O5" s="434">
        <f>IF(I5="",E5*Y5,0)</f>
        <v/>
      </c>
      <c r="P5" s="435">
        <f>IF(I5="",R5-H5,(K5-H5-SUM(L5:N5)+R5-S5-T5)-G5)+(ROUND(R5*V5,0)-ROUND(R5*(1+V5),0)*W5)</f>
        <v/>
      </c>
      <c r="Q5" s="435">
        <f>IF(I5="",(O5-G5-(O5*0.1425%*0.65)-(O5*0.3%)-S5-T5),0)</f>
        <v/>
      </c>
      <c r="R5" s="435" t="n">
        <v>5300</v>
      </c>
      <c r="S5" s="435" t="n">
        <v>10</v>
      </c>
      <c r="T5" s="435" t="n"/>
      <c r="U5" s="69">
        <f>(V5*50%)/(1+50%*V5)</f>
        <v/>
      </c>
      <c r="V5" s="69" t="n"/>
      <c r="W5" s="70" t="n">
        <v>0.11</v>
      </c>
      <c r="X5" s="436">
        <f>(P5+Q5)/G5</f>
        <v/>
      </c>
      <c r="Y5" s="16">
        <f>VLOOKUP(C5,台股行情!A:D,4,FALSE)</f>
        <v/>
      </c>
      <c r="Z5" s="437">
        <f>VLOOKUP(C5,台股行情!A:E,5,FALSE)</f>
        <v/>
      </c>
      <c r="AA5" s="438">
        <f>IF(I5="",((TODAY()-A5)*G5)/365.24,((I5-A5)*G5)/365.24)</f>
        <v/>
      </c>
      <c r="AB5" s="194" t="inlineStr">
        <is>
          <t>阿水一式</t>
        </is>
      </c>
      <c r="AD5" s="135" t="n"/>
    </row>
    <row r="6" outlineLevel="1">
      <c r="A6" s="99" t="n">
        <v>45390</v>
      </c>
      <c r="B6" s="11" t="n"/>
      <c r="C6" s="11" t="n">
        <v>6899</v>
      </c>
      <c r="D6" s="189">
        <f>VLOOKUP(C6,台股行情!A:B,2,FALSE)</f>
        <v/>
      </c>
      <c r="E6" s="11" t="n">
        <v>1000</v>
      </c>
      <c r="F6" s="11" t="n">
        <v>50</v>
      </c>
      <c r="G6" s="11">
        <f>E6*F6</f>
        <v/>
      </c>
      <c r="H6" s="11" t="n">
        <v>50</v>
      </c>
      <c r="I6" s="104" t="n">
        <v>45393</v>
      </c>
      <c r="J6" s="16" t="n">
        <v>67.3</v>
      </c>
      <c r="K6" s="11">
        <f>E6*J6</f>
        <v/>
      </c>
      <c r="L6" s="17" t="n">
        <v>95</v>
      </c>
      <c r="M6" s="11" t="n">
        <v>201</v>
      </c>
      <c r="N6" s="11" t="n">
        <v>0</v>
      </c>
      <c r="O6" s="434">
        <f>IF(I6="",E6*Y6,0)</f>
        <v/>
      </c>
      <c r="P6" s="435">
        <f>IF(I6="",R6-H6,(K6-H6-SUM(L6:N6)+R6-S6-T6)-G6)+(ROUND(R6*V6,0)-ROUND(R6*(1+V6),0)*W6)</f>
        <v/>
      </c>
      <c r="Q6" s="435">
        <f>IF(I6="",(O6-G6-(O6*0.1425%*0.65)-(O6*0.3%)-S6-T6),0)</f>
        <v/>
      </c>
      <c r="R6" s="435" t="n"/>
      <c r="S6" s="435" t="n"/>
      <c r="T6" s="435" t="n"/>
      <c r="U6" s="69">
        <f>(V6*50%)/(1+50%*V6)</f>
        <v/>
      </c>
      <c r="V6" s="69" t="n"/>
      <c r="W6" s="70" t="n">
        <v>0.11</v>
      </c>
      <c r="X6" s="436">
        <f>(P6+Q6)/G6</f>
        <v/>
      </c>
      <c r="Y6" s="16">
        <f>VLOOKUP(C6,台股行情!A:D,4,FALSE)</f>
        <v/>
      </c>
      <c r="Z6" s="437">
        <f>VLOOKUP(C6,台股行情!A:E,5,FALSE)</f>
        <v/>
      </c>
      <c r="AA6" s="438">
        <f>IF(I6="",((TODAY()-A6)*G6)/365.24,((I6-A6)*G6)/365.24)</f>
        <v/>
      </c>
      <c r="AB6" s="194" t="inlineStr">
        <is>
          <t>抽籤</t>
        </is>
      </c>
      <c r="AD6" s="209" t="n"/>
    </row>
    <row r="7" outlineLevel="1">
      <c r="A7" s="99" t="n">
        <v>45383</v>
      </c>
      <c r="B7" s="11" t="n"/>
      <c r="C7" s="11" t="n">
        <v>1784</v>
      </c>
      <c r="D7" s="189">
        <f>VLOOKUP(C7,台股行情!A:B,2,FALSE)</f>
        <v/>
      </c>
      <c r="E7" s="11" t="n">
        <v>1000</v>
      </c>
      <c r="F7" s="11" t="n">
        <v>62.8</v>
      </c>
      <c r="G7" s="11">
        <f>E7*F7</f>
        <v/>
      </c>
      <c r="H7" s="11" t="n">
        <v>89</v>
      </c>
      <c r="I7" s="104" t="n">
        <v>45418</v>
      </c>
      <c r="J7" s="16" t="n">
        <v>67</v>
      </c>
      <c r="K7" s="11">
        <f>E7*J7</f>
        <v/>
      </c>
      <c r="L7" s="17" t="n">
        <v>95</v>
      </c>
      <c r="M7" s="11" t="n">
        <v>201</v>
      </c>
      <c r="N7" s="11" t="n">
        <v>0</v>
      </c>
      <c r="O7" s="434">
        <f>IF(I7="",E7*Y7,0)</f>
        <v/>
      </c>
      <c r="P7" s="435">
        <f>IF(I7="",R7-H7,(K7-H7-SUM(L7:N7)+R7-S7-T7)-G7)+(ROUND(R7*V7,0)-ROUND(R7*(1+V7),0)*W7)</f>
        <v/>
      </c>
      <c r="Q7" s="435">
        <f>IF(I7="",(O7-G7-(O7*0.1425%*0.65)-(O7*0.3%)-S7-T7),0)</f>
        <v/>
      </c>
      <c r="R7" s="435" t="n"/>
      <c r="S7" s="435" t="n"/>
      <c r="T7" s="435" t="n"/>
      <c r="U7" s="69">
        <f>(V7*50%)/(1+50%*V7)</f>
        <v/>
      </c>
      <c r="V7" s="69" t="n"/>
      <c r="W7" s="70" t="n">
        <v>0.11</v>
      </c>
      <c r="X7" s="436">
        <f>(P7+Q7)/G7</f>
        <v/>
      </c>
      <c r="Y7" s="16">
        <f>VLOOKUP(C7,台股行情!A:D,4,FALSE)</f>
        <v/>
      </c>
      <c r="Z7" s="437">
        <f>VLOOKUP(C7,台股行情!A:E,5,FALSE)</f>
        <v/>
      </c>
      <c r="AA7" s="438">
        <f>IF(I7="",((TODAY()-A7)*G7)/365.24,((I7-A7)*G7)/365.24)</f>
        <v/>
      </c>
      <c r="AB7" s="194" t="inlineStr">
        <is>
          <t>每月必漲股</t>
        </is>
      </c>
      <c r="AC7" s="194" t="inlineStr">
        <is>
          <t>月底出清</t>
        </is>
      </c>
      <c r="AD7" s="209" t="n"/>
    </row>
    <row r="8" outlineLevel="1">
      <c r="A8" s="99" t="n">
        <v>45383</v>
      </c>
      <c r="B8" s="11" t="n"/>
      <c r="C8" s="11" t="n">
        <v>4175</v>
      </c>
      <c r="D8" s="189">
        <f>VLOOKUP(C8,台股行情!A:B,2,FALSE)</f>
        <v/>
      </c>
      <c r="E8" s="11" t="n">
        <v>1000</v>
      </c>
      <c r="F8" s="11" t="n">
        <v>79.40000000000001</v>
      </c>
      <c r="G8" s="11">
        <f>E8*F8</f>
        <v/>
      </c>
      <c r="H8" s="11" t="n">
        <v>113</v>
      </c>
      <c r="I8" s="104" t="n">
        <v>45418</v>
      </c>
      <c r="J8" s="16" t="n">
        <v>76.8</v>
      </c>
      <c r="K8" s="11">
        <f>E8*J8</f>
        <v/>
      </c>
      <c r="L8" s="17" t="n">
        <v>109</v>
      </c>
      <c r="M8" s="11" t="n">
        <v>230</v>
      </c>
      <c r="N8" s="11" t="n">
        <v>0</v>
      </c>
      <c r="O8" s="434">
        <f>IF(I8="",E8*Y8,0)</f>
        <v/>
      </c>
      <c r="P8" s="435">
        <f>IF(I8="",R8-H8,(K8-H8-SUM(L8:N8)+R8-S8-T8)-G8)+(ROUND(R8*V8,0)-ROUND(R8*(1+V8),0)*W8)</f>
        <v/>
      </c>
      <c r="Q8" s="435">
        <f>IF(I8="",(O8-G8-(O8*0.1425%*0.65)-(O8*0.3%)-S8-T8),0)</f>
        <v/>
      </c>
      <c r="R8" s="435" t="n"/>
      <c r="S8" s="435" t="n"/>
      <c r="T8" s="435" t="n"/>
      <c r="U8" s="69">
        <f>(V8*50%)/(1+50%*V8)</f>
        <v/>
      </c>
      <c r="V8" s="69" t="n"/>
      <c r="W8" s="70" t="n">
        <v>0.11</v>
      </c>
      <c r="X8" s="436">
        <f>(P8+Q8)/G8</f>
        <v/>
      </c>
      <c r="Y8" s="16">
        <f>VLOOKUP(C8,台股行情!A:D,4,FALSE)</f>
        <v/>
      </c>
      <c r="Z8" s="437">
        <f>VLOOKUP(C8,台股行情!A:E,5,FALSE)</f>
        <v/>
      </c>
      <c r="AA8" s="438">
        <f>IF(I8="",((TODAY()-A8)*G8)/365.24,((I8-A8)*G8)/365.24)</f>
        <v/>
      </c>
      <c r="AB8" s="194" t="inlineStr">
        <is>
          <t>每月必漲股</t>
        </is>
      </c>
      <c r="AC8" s="194" t="inlineStr">
        <is>
          <t>月底出清</t>
        </is>
      </c>
      <c r="AD8" s="209" t="n"/>
    </row>
    <row r="9" outlineLevel="1">
      <c r="A9" s="99" t="n">
        <v>45383</v>
      </c>
      <c r="B9" s="11" t="n"/>
      <c r="C9" s="11" t="n">
        <v>6263</v>
      </c>
      <c r="D9" s="189">
        <f>VLOOKUP(C9,台股行情!A:B,2,FALSE)</f>
        <v/>
      </c>
      <c r="E9" s="11" t="n">
        <v>1000</v>
      </c>
      <c r="F9" s="11" t="n">
        <v>157</v>
      </c>
      <c r="G9" s="11">
        <f>E9*F9</f>
        <v/>
      </c>
      <c r="H9" s="11" t="n">
        <v>223</v>
      </c>
      <c r="I9" s="104" t="n">
        <v>45420</v>
      </c>
      <c r="J9" s="16" t="n">
        <v>159</v>
      </c>
      <c r="K9" s="11">
        <f>E9*J9</f>
        <v/>
      </c>
      <c r="L9" s="17" t="n">
        <v>226</v>
      </c>
      <c r="M9" s="11" t="n">
        <v>47</v>
      </c>
      <c r="N9" s="11" t="n">
        <v>0</v>
      </c>
      <c r="O9" s="434">
        <f>IF(I9="",E9*Y9,0)</f>
        <v/>
      </c>
      <c r="P9" s="435">
        <f>IF(I9="",R9-H9,(K9-H9-SUM(L9:N9)+R9-S9-T9)-G9)+(ROUND(R9*V9,0)-ROUND(R9*(1+V9),0)*W9)</f>
        <v/>
      </c>
      <c r="Q9" s="435">
        <f>IF(I9="",(O9-G9-(O9*0.1425%*0.65)-(O9*0.3%)-S9-T9),0)</f>
        <v/>
      </c>
      <c r="R9" s="435" t="n"/>
      <c r="S9" s="435" t="n"/>
      <c r="T9" s="435" t="n"/>
      <c r="U9" s="69">
        <f>(V9*50%)/(1+50%*V9)</f>
        <v/>
      </c>
      <c r="V9" s="69" t="n"/>
      <c r="W9" s="70" t="n">
        <v>0.11</v>
      </c>
      <c r="X9" s="436">
        <f>(P9+Q9)/G9</f>
        <v/>
      </c>
      <c r="Y9" s="16">
        <f>VLOOKUP(C9,台股行情!A:D,4,FALSE)</f>
        <v/>
      </c>
      <c r="Z9" s="437">
        <f>VLOOKUP(C9,台股行情!A:E,5,FALSE)</f>
        <v/>
      </c>
      <c r="AA9" s="438">
        <f>IF(I9="",((TODAY()-A9)*G9)/365.24,((I9-A9)*G9)/365.24)</f>
        <v/>
      </c>
      <c r="AB9" s="194" t="inlineStr">
        <is>
          <t>每月必漲股</t>
        </is>
      </c>
      <c r="AC9" s="194" t="inlineStr">
        <is>
          <t>月底出清</t>
        </is>
      </c>
      <c r="AD9" s="209" t="n"/>
    </row>
    <row r="10" outlineLevel="1">
      <c r="A10" s="99" t="n">
        <v>45455</v>
      </c>
      <c r="B10" s="11" t="n"/>
      <c r="C10" s="11" t="n">
        <v>4588</v>
      </c>
      <c r="D10" s="189">
        <f>VLOOKUP(C10,台股行情!A:B,2,FALSE)</f>
        <v/>
      </c>
      <c r="E10" s="11" t="n">
        <v>1000</v>
      </c>
      <c r="F10" s="11" t="n">
        <v>110.5</v>
      </c>
      <c r="G10" s="11">
        <f>E10*F10</f>
        <v/>
      </c>
      <c r="H10" s="11" t="n">
        <v>157</v>
      </c>
      <c r="I10" s="104" t="n">
        <v>45461</v>
      </c>
      <c r="J10" s="16" t="n">
        <v>115</v>
      </c>
      <c r="K10" s="11">
        <f>E10*J10</f>
        <v/>
      </c>
      <c r="L10" s="17" t="n">
        <v>163</v>
      </c>
      <c r="M10" s="11" t="n">
        <v>345</v>
      </c>
      <c r="N10" s="11" t="n">
        <v>0</v>
      </c>
      <c r="O10" s="434">
        <f>IF(I10="",E10*Y10,0)</f>
        <v/>
      </c>
      <c r="P10" s="435">
        <f>IF(I10="",R10-H10,(K10-H10-SUM(L10:N10)+R10-S10-T10)-G10)+(ROUND(R10*V10,0)-ROUND(R10*(1+V10),0)*W10)</f>
        <v/>
      </c>
      <c r="Q10" s="435">
        <f>IF(I10="",(O10-G10-(O10*0.1425%*0.65)-(O10*0.3%)-S10-T10),0)</f>
        <v/>
      </c>
      <c r="R10" s="435" t="n"/>
      <c r="S10" s="435" t="n"/>
      <c r="T10" s="435" t="n"/>
      <c r="U10" s="69">
        <f>(V10*50%)/(1+50%*V10)</f>
        <v/>
      </c>
      <c r="V10" s="69" t="n"/>
      <c r="W10" s="70" t="n">
        <v>0.11</v>
      </c>
      <c r="X10" s="436">
        <f>(P10+Q10)/G10</f>
        <v/>
      </c>
      <c r="Y10" s="16">
        <f>VLOOKUP(C10,台股行情!A:D,4,FALSE)</f>
        <v/>
      </c>
      <c r="Z10" s="437">
        <f>VLOOKUP(C10,台股行情!A:E,5,FALSE)</f>
        <v/>
      </c>
      <c r="AA10" s="438">
        <f>IF(I10="",((TODAY()-A10)*G10)/365.24,((I10-A10)*G10)/365.24)</f>
        <v/>
      </c>
      <c r="AB10" s="194" t="inlineStr">
        <is>
          <t>阿水一式</t>
        </is>
      </c>
      <c r="AC10" s="194" t="inlineStr">
        <is>
          <t>大盤已是高點，破 5MA，獲利了結</t>
        </is>
      </c>
    </row>
    <row r="11" outlineLevel="1">
      <c r="A11" s="99" t="n">
        <v>45464</v>
      </c>
      <c r="B11" s="11" t="n"/>
      <c r="C11" s="11" t="n">
        <v>6651</v>
      </c>
      <c r="D11" s="189">
        <f>VLOOKUP(C11,台股行情!A:B,2,FALSE)</f>
        <v/>
      </c>
      <c r="E11" s="11" t="n">
        <v>1000</v>
      </c>
      <c r="F11" s="11" t="n">
        <v>76.8</v>
      </c>
      <c r="G11" s="11">
        <f>E11*F11</f>
        <v/>
      </c>
      <c r="H11" s="11" t="n">
        <v>109</v>
      </c>
      <c r="I11" s="104" t="n">
        <v>45471</v>
      </c>
      <c r="J11" s="16" t="n">
        <v>72.5</v>
      </c>
      <c r="K11" s="11">
        <f>E11*J11</f>
        <v/>
      </c>
      <c r="L11" s="17" t="n">
        <v>103</v>
      </c>
      <c r="M11" s="11" t="n">
        <v>271</v>
      </c>
      <c r="N11" s="11" t="n">
        <v>0</v>
      </c>
      <c r="O11" s="434">
        <f>IF(I11="",E11*Y11,0)</f>
        <v/>
      </c>
      <c r="P11" s="435">
        <f>IF(I11="",R11-H11,(K11-H11-SUM(L11:N11)+R11-S11-T11)-G11)+(ROUND(R11*V11,0)-ROUND(R11*(1+V11),0)*W11)</f>
        <v/>
      </c>
      <c r="Q11" s="435">
        <f>IF(I11="",(O11-G11-(O11*0.1425%*0.65)-(O11*0.3%)-S11-T11),0)</f>
        <v/>
      </c>
      <c r="R11" s="435" t="n">
        <v>4000</v>
      </c>
      <c r="S11" s="435" t="n">
        <v>10</v>
      </c>
      <c r="T11" s="435" t="n"/>
      <c r="U11" s="69">
        <f>(V11*50%)/(1+50%*V11)</f>
        <v/>
      </c>
      <c r="V11" s="69" t="n"/>
      <c r="W11" s="70" t="n">
        <v>0.11</v>
      </c>
      <c r="X11" s="436">
        <f>(P11+Q11)/G11</f>
        <v/>
      </c>
      <c r="Y11" s="16">
        <f>VLOOKUP(C11,台股行情!A:D,4,FALSE)</f>
        <v/>
      </c>
      <c r="Z11" s="437">
        <f>VLOOKUP(C11,台股行情!A:E,5,FALSE)</f>
        <v/>
      </c>
      <c r="AA11" s="438">
        <f>IF(I11="",((TODAY()-A11)*G11)/365.24,((I11-A11)*G11)/365.24)</f>
        <v/>
      </c>
      <c r="AB11" s="194" t="inlineStr">
        <is>
          <t>除權息</t>
        </is>
      </c>
      <c r="AC11" s="143" t="inlineStr">
        <is>
          <t>破 20MA，停損</t>
        </is>
      </c>
      <c r="AD11" s="209" t="n"/>
    </row>
    <row r="12" outlineLevel="1">
      <c r="A12" s="99" t="n">
        <v>45469</v>
      </c>
      <c r="B12" s="11" t="n"/>
      <c r="C12" s="11" t="n">
        <v>1473</v>
      </c>
      <c r="D12" s="189">
        <f>VLOOKUP(C12,台股行情!A:B,2,FALSE)</f>
        <v/>
      </c>
      <c r="E12" s="11" t="n">
        <v>1000</v>
      </c>
      <c r="F12" s="11" t="n">
        <v>48.75</v>
      </c>
      <c r="G12" s="11">
        <f>E12*F12</f>
        <v/>
      </c>
      <c r="H12" s="11" t="n">
        <v>69</v>
      </c>
      <c r="I12" s="104" t="n">
        <v>45474</v>
      </c>
      <c r="J12" s="16" t="n">
        <v>44.5</v>
      </c>
      <c r="K12" s="11">
        <f>E12*J12</f>
        <v/>
      </c>
      <c r="L12" s="17" t="n">
        <v>62</v>
      </c>
      <c r="M12" s="11" t="n">
        <v>132</v>
      </c>
      <c r="N12" s="11" t="n">
        <v>0</v>
      </c>
      <c r="O12" s="434">
        <f>IF(I12="",E12*Y12,0)</f>
        <v/>
      </c>
      <c r="P12" s="435">
        <f>IF(I12="",R12-H12,(K12-H12-SUM(L12:N12)+R12-S12-T12)-G12)+(ROUND(R12*V12,0)-ROUND(R12*(1+V12),0)*W12)</f>
        <v/>
      </c>
      <c r="Q12" s="435">
        <f>IF(I12="",(O12-G12-(O12*0.1425%*0.65)-(O12*0.3%)-S12-T12),0)</f>
        <v/>
      </c>
      <c r="R12" s="435" t="n">
        <v>1200</v>
      </c>
      <c r="S12" s="435" t="n">
        <v>10</v>
      </c>
      <c r="T12" s="435" t="n"/>
      <c r="U12" s="69">
        <f>(V12*50%)/(1+50%*V12)</f>
        <v/>
      </c>
      <c r="V12" s="69" t="n"/>
      <c r="W12" s="70" t="n">
        <v>0.11</v>
      </c>
      <c r="X12" s="436">
        <f>(P12+Q12)/G12</f>
        <v/>
      </c>
      <c r="Y12" s="16">
        <f>VLOOKUP(C12,台股行情!A:D,4,FALSE)</f>
        <v/>
      </c>
      <c r="Z12" s="437">
        <f>VLOOKUP(C12,台股行情!A:E,5,FALSE)</f>
        <v/>
      </c>
      <c r="AA12" s="438">
        <f>IF(I12="",((TODAY()-A12)*G12)/365.24,((I12-A12)*G12)/365.24)</f>
        <v/>
      </c>
      <c r="AB12" s="194" t="inlineStr">
        <is>
          <t>除權息</t>
        </is>
      </c>
      <c r="AC12" s="143" t="inlineStr">
        <is>
          <t>破 20MA，停損</t>
        </is>
      </c>
      <c r="AD12" s="209" t="n"/>
    </row>
    <row r="13" outlineLevel="1">
      <c r="A13" s="99" t="n">
        <v>45455</v>
      </c>
      <c r="B13" s="11" t="n"/>
      <c r="C13" s="11" t="n">
        <v>6589</v>
      </c>
      <c r="D13" s="189">
        <f>VLOOKUP(C13,台股行情!A:B,2,FALSE)</f>
        <v/>
      </c>
      <c r="E13" s="11" t="n">
        <v>1000</v>
      </c>
      <c r="F13" s="11" t="n">
        <v>87.09999999999999</v>
      </c>
      <c r="G13" s="11">
        <f>E13*F13</f>
        <v/>
      </c>
      <c r="H13" s="11" t="n">
        <v>124</v>
      </c>
      <c r="I13" s="228" t="n">
        <v>45482</v>
      </c>
      <c r="J13" s="16" t="n">
        <v>90.2</v>
      </c>
      <c r="K13" s="11">
        <f>E13*J13</f>
        <v/>
      </c>
      <c r="L13" s="17" t="n">
        <v>128</v>
      </c>
      <c r="M13" s="11" t="n">
        <v>270</v>
      </c>
      <c r="N13" s="11" t="n">
        <v>0</v>
      </c>
      <c r="O13" s="434">
        <f>IF(I13="",E13*Y13,0)</f>
        <v/>
      </c>
      <c r="P13" s="435">
        <f>IF(I13="",R13-H13,(K13-H13-SUM(L13:N13)+R13-S13-T13)-G13)+(ROUND(R13*V13,0)-ROUND(R13*(1+V13),0)*W13)</f>
        <v/>
      </c>
      <c r="Q13" s="435">
        <f>IF(I13="",(O13-G13-(O13*0.1425%*0.65)-(O13*0.3%)-S13-T13),0)</f>
        <v/>
      </c>
      <c r="R13" s="435" t="n"/>
      <c r="S13" s="435" t="n"/>
      <c r="T13" s="435" t="n"/>
      <c r="U13" s="69">
        <f>(V13*50%)/(1+50%*V13)</f>
        <v/>
      </c>
      <c r="V13" s="69" t="n"/>
      <c r="W13" s="70" t="n">
        <v>0.11</v>
      </c>
      <c r="X13" s="436">
        <f>(P13+Q13)/G13</f>
        <v/>
      </c>
      <c r="Y13" s="16">
        <f>VLOOKUP(C13,台股行情!A:D,4,FALSE)</f>
        <v/>
      </c>
      <c r="Z13" s="437">
        <f>VLOOKUP(C13,台股行情!A:E,5,FALSE)</f>
        <v/>
      </c>
      <c r="AA13" s="438">
        <f>IF(I13="",((TODAY()-A13)*G13)/365.24,((I13-A13)*G13)/365.24)</f>
        <v/>
      </c>
      <c r="AB13" s="194" t="inlineStr">
        <is>
          <t>阿水一式</t>
        </is>
      </c>
      <c r="AC13" s="194" t="inlineStr">
        <is>
          <t>破 20MA，獲利了結</t>
        </is>
      </c>
    </row>
    <row r="14" outlineLevel="1">
      <c r="A14" s="99" t="n">
        <v>45455</v>
      </c>
      <c r="B14" s="11" t="n"/>
      <c r="C14" s="11" t="n">
        <v>1325</v>
      </c>
      <c r="D14" s="189">
        <f>VLOOKUP(C14,台股行情!A:B,2,FALSE)</f>
        <v/>
      </c>
      <c r="E14" s="11" t="n">
        <v>2000</v>
      </c>
      <c r="F14" s="11" t="n">
        <v>30.6</v>
      </c>
      <c r="G14" s="11">
        <f>E14*F14</f>
        <v/>
      </c>
      <c r="H14" s="11" t="n">
        <v>87</v>
      </c>
      <c r="I14" s="228" t="n">
        <v>45482</v>
      </c>
      <c r="J14" s="16" t="n">
        <v>32.1</v>
      </c>
      <c r="K14" s="11">
        <f>E14*J14</f>
        <v/>
      </c>
      <c r="L14" s="17" t="n">
        <v>91</v>
      </c>
      <c r="M14" s="11" t="n">
        <v>192</v>
      </c>
      <c r="N14" s="11" t="n">
        <v>0</v>
      </c>
      <c r="O14" s="434">
        <f>IF(I14="",E14*Y14,0)</f>
        <v/>
      </c>
      <c r="P14" s="435">
        <f>IF(I14="",R14-H14,(K14-H14-SUM(L14:N14)+R14-S14-T14)-G14)+(ROUND(R14*V14,0)-ROUND(R14*(1+V14),0)*W14)</f>
        <v/>
      </c>
      <c r="Q14" s="435">
        <f>IF(I14="",(O14-G14-(O14*0.1425%*0.65)-(O14*0.3%)-S14-T14),0)</f>
        <v/>
      </c>
      <c r="R14" s="435" t="n"/>
      <c r="S14" s="435" t="n"/>
      <c r="T14" s="435" t="n"/>
      <c r="U14" s="69">
        <f>(V14*50%)/(1+50%*V14)</f>
        <v/>
      </c>
      <c r="V14" s="69" t="n"/>
      <c r="W14" s="70" t="n">
        <v>0.11</v>
      </c>
      <c r="X14" s="436">
        <f>(P14+Q14)/G14</f>
        <v/>
      </c>
      <c r="Y14" s="16">
        <f>VLOOKUP(C14,台股行情!A:D,4,FALSE)</f>
        <v/>
      </c>
      <c r="Z14" s="437">
        <f>VLOOKUP(C14,台股行情!A:E,5,FALSE)</f>
        <v/>
      </c>
      <c r="AA14" s="438">
        <f>IF(I14="",((TODAY()-A14)*G14)/365.24,((I14-A14)*G14)/365.24)</f>
        <v/>
      </c>
      <c r="AB14" s="194" t="inlineStr">
        <is>
          <t>阿水一式</t>
        </is>
      </c>
      <c r="AC14" s="194" t="inlineStr">
        <is>
          <t>破 20MA，獲利了結</t>
        </is>
      </c>
      <c r="AD14" s="209" t="n"/>
    </row>
    <row r="15" outlineLevel="1">
      <c r="A15" s="99" t="n">
        <v>45463</v>
      </c>
      <c r="B15" s="11" t="n"/>
      <c r="C15" s="11" t="n">
        <v>2316</v>
      </c>
      <c r="D15" s="189">
        <f>VLOOKUP(C15,台股行情!A:B,2,FALSE)</f>
        <v/>
      </c>
      <c r="E15" s="11" t="n">
        <v>1000</v>
      </c>
      <c r="F15" s="11" t="n">
        <v>54.8</v>
      </c>
      <c r="G15" s="11">
        <f>E15*F15</f>
        <v/>
      </c>
      <c r="H15" s="11" t="n">
        <v>78</v>
      </c>
      <c r="I15" s="104" t="n">
        <v>45488</v>
      </c>
      <c r="J15" s="16" t="n">
        <v>53.9</v>
      </c>
      <c r="K15" s="11">
        <f>E15*J15</f>
        <v/>
      </c>
      <c r="L15" s="17" t="n">
        <v>76</v>
      </c>
      <c r="M15" s="11" t="n">
        <v>161</v>
      </c>
      <c r="N15" s="11" t="n">
        <v>0</v>
      </c>
      <c r="O15" s="434">
        <f>IF(I15="",E15*Y15,0)</f>
        <v/>
      </c>
      <c r="P15" s="435">
        <f>IF(I15="",R15-H15,(K15-H15-SUM(L15:N15)+R15-S15-T15)-G15)+(ROUND(R15*V15,0)-ROUND(R15*(1+V15),0)*W15)</f>
        <v/>
      </c>
      <c r="Q15" s="435">
        <f>IF(I15="",(O15-G15-(O15*0.1425%*0.65)-(O15*0.3%)-S15-T15),0)</f>
        <v/>
      </c>
      <c r="R15" s="435" t="n">
        <v>500</v>
      </c>
      <c r="S15" s="435" t="n">
        <v>10</v>
      </c>
      <c r="T15" s="435" t="n"/>
      <c r="U15" s="69">
        <f>(V15*50%)/(1+50%*V15)</f>
        <v/>
      </c>
      <c r="V15" s="69" t="n"/>
      <c r="W15" s="70" t="n">
        <v>0.11</v>
      </c>
      <c r="X15" s="436">
        <f>(P15+Q15)/G15</f>
        <v/>
      </c>
      <c r="Y15" s="16">
        <f>VLOOKUP(C15,台股行情!A:D,4,FALSE)</f>
        <v/>
      </c>
      <c r="Z15" s="437">
        <f>VLOOKUP(C15,台股行情!A:E,5,FALSE)</f>
        <v/>
      </c>
      <c r="AA15" s="438">
        <f>IF(I15="",((TODAY()-A15)*G15)/365.24,((I15-A15)*G15)/365.24)</f>
        <v/>
      </c>
      <c r="AB15" s="194" t="inlineStr">
        <is>
          <t>阿水一式</t>
        </is>
      </c>
      <c r="AC15" s="143" t="inlineStr">
        <is>
          <t>破 20MA，停損</t>
        </is>
      </c>
      <c r="AD15" s="209" t="n"/>
    </row>
    <row r="16" outlineLevel="1">
      <c r="A16" s="99" t="n">
        <v>45482</v>
      </c>
      <c r="B16" s="11" t="n"/>
      <c r="C16" s="11" t="n">
        <v>9905</v>
      </c>
      <c r="D16" s="189">
        <f>VLOOKUP(C16,台股行情!A:B,2,FALSE)</f>
        <v/>
      </c>
      <c r="E16" s="11" t="n">
        <v>2000</v>
      </c>
      <c r="F16" s="11" t="n">
        <v>24.55</v>
      </c>
      <c r="G16" s="11">
        <f>E16*F16</f>
        <v/>
      </c>
      <c r="H16" s="11" t="n">
        <v>69</v>
      </c>
      <c r="I16" s="104" t="n">
        <v>45490</v>
      </c>
      <c r="J16" s="16" t="n">
        <v>24</v>
      </c>
      <c r="K16" s="11">
        <f>E16*J16</f>
        <v/>
      </c>
      <c r="L16" s="17" t="n">
        <v>68</v>
      </c>
      <c r="M16" s="11" t="n">
        <v>144</v>
      </c>
      <c r="N16" s="11" t="n">
        <v>0</v>
      </c>
      <c r="O16" s="434">
        <f>IF(I16="",E16*Y16,0)</f>
        <v/>
      </c>
      <c r="P16" s="435">
        <f>IF(I16="",R16-H16,(K16-H16-SUM(L16:N16)+R16-S16-T16)-G16)+(ROUND(R16*V16,0)-ROUND(R16*(1+V16),0)*W16)</f>
        <v/>
      </c>
      <c r="Q16" s="435">
        <f>IF(I16="",(O16-G16-(O16*0.1425%*0.65)-(O16*0.3%)-S16-T16),0)</f>
        <v/>
      </c>
      <c r="R16" s="435" t="n">
        <v>2200</v>
      </c>
      <c r="S16" s="435" t="n">
        <v>10</v>
      </c>
      <c r="T16" s="435" t="n"/>
      <c r="U16" s="69">
        <f>(V16*50%)/(1+50%*V16)</f>
        <v/>
      </c>
      <c r="V16" s="69" t="n"/>
      <c r="W16" s="70" t="n">
        <v>0.11</v>
      </c>
      <c r="X16" s="436">
        <f>(P16+Q16)/G16</f>
        <v/>
      </c>
      <c r="Y16" s="16">
        <f>VLOOKUP(C16,台股行情!A:D,4,FALSE)</f>
        <v/>
      </c>
      <c r="Z16" s="437">
        <f>VLOOKUP(C16,台股行情!A:E,5,FALSE)</f>
        <v/>
      </c>
      <c r="AA16" s="438">
        <f>IF(I16="",((TODAY()-A16)*G16)/365.24,((I16-A16)*G16)/365.24)</f>
        <v/>
      </c>
      <c r="AB16" s="194" t="inlineStr">
        <is>
          <t>除權息</t>
        </is>
      </c>
      <c r="AC16" s="194" t="inlineStr">
        <is>
          <t>漲不動，獲利了結</t>
        </is>
      </c>
      <c r="AD16" s="209" t="n"/>
    </row>
    <row r="17" outlineLevel="1">
      <c r="A17" s="99" t="n">
        <v>45484</v>
      </c>
      <c r="B17" s="11" t="n"/>
      <c r="C17" s="11" t="n">
        <v>2392</v>
      </c>
      <c r="D17" s="189">
        <f>VLOOKUP(C17,台股行情!A:B,2,FALSE)</f>
        <v/>
      </c>
      <c r="E17" s="11" t="n">
        <v>1000</v>
      </c>
      <c r="F17" s="11" t="n">
        <v>91.5</v>
      </c>
      <c r="G17" s="11">
        <f>E17*F17</f>
        <v/>
      </c>
      <c r="H17" s="11" t="n">
        <v>130</v>
      </c>
      <c r="I17" s="104" t="n">
        <v>45490</v>
      </c>
      <c r="J17" s="16" t="n">
        <v>83.7</v>
      </c>
      <c r="K17" s="11">
        <f>E17*J17</f>
        <v/>
      </c>
      <c r="L17" s="17" t="n">
        <v>119</v>
      </c>
      <c r="M17" s="11" t="n">
        <v>251</v>
      </c>
      <c r="N17" s="11" t="n">
        <v>0</v>
      </c>
      <c r="O17" s="434">
        <f>IF(I17="",E17*Y17,0)</f>
        <v/>
      </c>
      <c r="P17" s="435">
        <f>IF(I17="",R17-H17,(K17-H17-SUM(L17:N17)+R17-S17-T17)-G17)+(ROUND(R17*V17,0)-ROUND(R17*(1+V17),0)*W17)</f>
        <v/>
      </c>
      <c r="Q17" s="435">
        <f>IF(I17="",(O17-G17-(O17*0.1425%*0.65)-(O17*0.3%)-S17-T17),0)</f>
        <v/>
      </c>
      <c r="R17" s="435" t="n"/>
      <c r="S17" s="435" t="n"/>
      <c r="T17" s="435" t="n"/>
      <c r="U17" s="69">
        <f>(V17*50%)/(1+50%*V17)</f>
        <v/>
      </c>
      <c r="V17" s="69" t="n"/>
      <c r="W17" s="70" t="n">
        <v>0.11</v>
      </c>
      <c r="X17" s="436">
        <f>(P17+Q17)/G17</f>
        <v/>
      </c>
      <c r="Y17" s="16">
        <f>VLOOKUP(C17,台股行情!A:D,4,FALSE)</f>
        <v/>
      </c>
      <c r="Z17" s="437">
        <f>VLOOKUP(C17,台股行情!A:E,5,FALSE)</f>
        <v/>
      </c>
      <c r="AA17" s="438">
        <f>IF(I17="",((TODAY()-A17)*G17)/365.24,((I17-A17)*G17)/365.24)</f>
        <v/>
      </c>
      <c r="AB17" s="194" t="inlineStr">
        <is>
          <t>阿水一式</t>
        </is>
      </c>
      <c r="AC17" s="143" t="inlineStr">
        <is>
          <t>破 20MA，停損</t>
        </is>
      </c>
      <c r="AD17" s="209" t="n"/>
    </row>
    <row r="18" outlineLevel="1">
      <c r="A18" s="99" t="n">
        <v>45485</v>
      </c>
      <c r="B18" s="11" t="n"/>
      <c r="C18" s="11" t="n">
        <v>6689</v>
      </c>
      <c r="D18" s="189">
        <f>VLOOKUP(C18,台股行情!A:B,2,FALSE)</f>
        <v/>
      </c>
      <c r="E18" s="11" t="n">
        <v>1000</v>
      </c>
      <c r="F18" s="11" t="n">
        <v>121.5</v>
      </c>
      <c r="G18" s="11">
        <f>E18*F18</f>
        <v/>
      </c>
      <c r="H18" s="11" t="n">
        <v>173</v>
      </c>
      <c r="I18" s="104" t="n">
        <v>45506</v>
      </c>
      <c r="J18" s="16" t="n">
        <v>108.5</v>
      </c>
      <c r="K18" s="11">
        <f>E18*J18</f>
        <v/>
      </c>
      <c r="L18" s="488" t="n">
        <v>154</v>
      </c>
      <c r="M18" s="489" t="n">
        <v>325</v>
      </c>
      <c r="N18" s="11" t="n">
        <v>0</v>
      </c>
      <c r="O18" s="434">
        <f>IF(I18="",E18*Y18,0)</f>
        <v/>
      </c>
      <c r="P18" s="435">
        <f>IF(I18="",R18-H18,(K18-H18-SUM(L18:N18)+R18-S18-T18)-G18)+(ROUND(R18*V18,0)-ROUND(R18*(1+V18),0)*W18)</f>
        <v/>
      </c>
      <c r="Q18" s="435">
        <f>IF(I18="",(O18-G18-(O18*0.1425%*0.65)-(O18*0.3%)-S18-T18),0)</f>
        <v/>
      </c>
      <c r="R18" s="435" t="n">
        <v>2000</v>
      </c>
      <c r="S18" s="435" t="n">
        <v>10</v>
      </c>
      <c r="T18" s="435" t="n"/>
      <c r="U18" s="69">
        <f>(V18*50%)/(1+50%*V18)</f>
        <v/>
      </c>
      <c r="V18" s="69" t="n"/>
      <c r="W18" s="70" t="n">
        <v>0.11</v>
      </c>
      <c r="X18" s="436">
        <f>(P18+Q18)/G18</f>
        <v/>
      </c>
      <c r="Y18" s="16">
        <f>VLOOKUP(C18,台股行情!A:D,4,FALSE)</f>
        <v/>
      </c>
      <c r="Z18" s="437">
        <f>VLOOKUP(C18,台股行情!A:E,5,FALSE)</f>
        <v/>
      </c>
      <c r="AA18" s="438">
        <f>IF(I18="",((TODAY()-A18)*G18)/365.24,((I18-A18)*G18)/365.24)</f>
        <v/>
      </c>
      <c r="AB18" s="194" t="inlineStr">
        <is>
          <t>阿水一式</t>
        </is>
      </c>
      <c r="AC18" s="143" t="inlineStr">
        <is>
          <t>破 20MA，停損</t>
        </is>
      </c>
      <c r="AD18" s="209" t="n"/>
    </row>
    <row r="19" outlineLevel="1">
      <c r="A19" s="99" t="n">
        <v>45482</v>
      </c>
      <c r="B19" s="11" t="n"/>
      <c r="C19" s="11" t="n">
        <v>2459</v>
      </c>
      <c r="D19" s="189">
        <f>VLOOKUP(C19,台股行情!A:B,2,FALSE)</f>
        <v/>
      </c>
      <c r="E19" s="11" t="n">
        <v>1000</v>
      </c>
      <c r="F19" s="11" t="n">
        <v>77</v>
      </c>
      <c r="G19" s="11">
        <f>E19*F19</f>
        <v/>
      </c>
      <c r="H19" s="11" t="n">
        <v>109</v>
      </c>
      <c r="I19" s="104" t="n">
        <v>45519</v>
      </c>
      <c r="J19" s="16" t="n">
        <v>72</v>
      </c>
      <c r="K19" s="11">
        <f>E19*J19</f>
        <v/>
      </c>
      <c r="L19" s="488" t="n">
        <v>102</v>
      </c>
      <c r="M19" s="489" t="n">
        <v>216</v>
      </c>
      <c r="N19" s="11" t="n">
        <v>0</v>
      </c>
      <c r="O19" s="434">
        <f>IF(I19="",E19*Y19,0)</f>
        <v/>
      </c>
      <c r="P19" s="435">
        <f>IF(I19="",R19-H19,(K19-H19-SUM(L19:N19)+R19-S19-T19)-G19)+(ROUND(R19*V19,0)-ROUND(R19*(1+V19),0)*W19)</f>
        <v/>
      </c>
      <c r="Q19" s="435">
        <f>IF(I19="",(O19-G19-(O19*0.1425%*0.65)-(O19*0.3%)-S19-T19),0)</f>
        <v/>
      </c>
      <c r="R19" s="435" t="n">
        <v>4000</v>
      </c>
      <c r="S19" s="435" t="n">
        <v>10</v>
      </c>
      <c r="T19" s="435" t="n"/>
      <c r="U19" s="69">
        <f>(V19*50%)/(1+50%*V19)</f>
        <v/>
      </c>
      <c r="V19" s="69" t="n"/>
      <c r="W19" s="70" t="n">
        <v>0.11</v>
      </c>
      <c r="X19" s="436">
        <f>(P19+Q19)/G19</f>
        <v/>
      </c>
      <c r="Y19" s="16">
        <f>VLOOKUP(C19,台股行情!A:D,4,FALSE)</f>
        <v/>
      </c>
      <c r="Z19" s="437">
        <f>VLOOKUP(C19,台股行情!A:E,5,FALSE)</f>
        <v/>
      </c>
      <c r="AA19" s="438">
        <f>IF(I19="",((TODAY()-A19)*G19)/365.24,((I19-A19)*G19)/365.24)</f>
        <v/>
      </c>
      <c r="AB19" s="194" t="inlineStr">
        <is>
          <t>除權息</t>
        </is>
      </c>
      <c r="AC19" s="143" t="inlineStr">
        <is>
          <t>燈號紅燈，漲不過20MA，停損</t>
        </is>
      </c>
      <c r="AD19" s="209" t="n"/>
    </row>
    <row r="20" outlineLevel="1">
      <c r="A20" s="99" t="n">
        <v>45485</v>
      </c>
      <c r="B20" s="11" t="n"/>
      <c r="C20" s="11" t="n">
        <v>1316</v>
      </c>
      <c r="D20" s="189">
        <f>VLOOKUP(C20,台股行情!A:B,2,FALSE)</f>
        <v/>
      </c>
      <c r="E20" s="11" t="n">
        <v>1000</v>
      </c>
      <c r="F20" s="11" t="n">
        <v>21.6</v>
      </c>
      <c r="G20" s="11">
        <f>E20*F20</f>
        <v/>
      </c>
      <c r="H20" s="11" t="n">
        <v>30</v>
      </c>
      <c r="I20" s="104" t="n">
        <v>45530</v>
      </c>
      <c r="J20" s="16" t="n">
        <v>19.85</v>
      </c>
      <c r="K20" s="11">
        <f>E20*J20</f>
        <v/>
      </c>
      <c r="L20" s="17" t="n">
        <v>28</v>
      </c>
      <c r="M20" s="11" t="n">
        <v>59</v>
      </c>
      <c r="N20" s="11" t="n">
        <v>0</v>
      </c>
      <c r="O20" s="434">
        <f>IF(I20="",E20*Y20,0)</f>
        <v/>
      </c>
      <c r="P20" s="435">
        <f>IF(I20="",R20-H20,(K20-H20-SUM(L20:N20)+R20-S20-T20)-G20)+(ROUND(R20*V20,0)-ROUND(R20*(1+V20),0)*W20)</f>
        <v/>
      </c>
      <c r="Q20" s="435">
        <f>IF(I20="",(O20-G20-(O20*0.1425%*0.65)-(O20*0.3%)-S20-T20),0)</f>
        <v/>
      </c>
      <c r="R20" s="435" t="n"/>
      <c r="S20" s="435" t="n"/>
      <c r="T20" s="435" t="n"/>
      <c r="U20" s="69">
        <f>(V20*50%)/(1+50%*V20)</f>
        <v/>
      </c>
      <c r="V20" s="69" t="n"/>
      <c r="W20" s="70" t="n">
        <v>0.11</v>
      </c>
      <c r="X20" s="436">
        <f>(P20+Q20)/G20</f>
        <v/>
      </c>
      <c r="Y20" s="16">
        <f>VLOOKUP(C20,台股行情!A:D,4,FALSE)</f>
        <v/>
      </c>
      <c r="Z20" s="437">
        <f>VLOOKUP(C20,台股行情!A:E,5,FALSE)</f>
        <v/>
      </c>
      <c r="AA20" s="438">
        <f>IF(I20="",((TODAY()-A20)*G20)/365.24,((I20-A20)*G20)/365.24)</f>
        <v/>
      </c>
      <c r="AB20" s="194" t="inlineStr">
        <is>
          <t>阿水一式</t>
        </is>
      </c>
      <c r="AC20" s="143" t="inlineStr">
        <is>
          <t>破 20MA，停損</t>
        </is>
      </c>
      <c r="AD20" s="209" t="n"/>
    </row>
    <row r="21" outlineLevel="1">
      <c r="A21" s="99" t="n">
        <v>45490</v>
      </c>
      <c r="B21" s="11" t="n"/>
      <c r="C21" s="11" t="n">
        <v>5263</v>
      </c>
      <c r="D21" s="189">
        <f>VLOOKUP(C21,台股行情!A:B,2,FALSE)</f>
        <v/>
      </c>
      <c r="E21" s="11" t="n">
        <v>1000</v>
      </c>
      <c r="F21" s="11" t="n">
        <v>186</v>
      </c>
      <c r="G21" s="11">
        <f>E21*F21</f>
        <v/>
      </c>
      <c r="H21" s="11" t="n">
        <v>265</v>
      </c>
      <c r="I21" s="104" t="n">
        <v>45534</v>
      </c>
      <c r="J21" s="16" t="n">
        <v>176.5</v>
      </c>
      <c r="K21" s="11">
        <f>E21*J21</f>
        <v/>
      </c>
      <c r="L21" s="17" t="n">
        <v>251</v>
      </c>
      <c r="M21" s="11" t="n">
        <v>529</v>
      </c>
      <c r="N21" s="11" t="n">
        <v>0</v>
      </c>
      <c r="O21" s="434">
        <f>IF(I21="",E21*Y21,0)</f>
        <v/>
      </c>
      <c r="P21" s="435">
        <f>IF(I21="",R21-H21,(K21-H21-SUM(L21:N21)+R21-S21-T21)-G21)+(ROUND(R21*V21,0)-ROUND(R21*(1+V21),0)*W21)</f>
        <v/>
      </c>
      <c r="Q21" s="435">
        <f>IF(I21="",(O21-G21-(O21*0.1425%*0.65)-(O21*0.3%)-S21-T21),0)</f>
        <v/>
      </c>
      <c r="R21" s="435" t="n"/>
      <c r="S21" s="435" t="n"/>
      <c r="T21" s="435" t="n"/>
      <c r="U21" s="69">
        <f>(V21*50%)/(1+50%*V21)</f>
        <v/>
      </c>
      <c r="V21" s="69" t="n"/>
      <c r="W21" s="70" t="n">
        <v>0.11</v>
      </c>
      <c r="X21" s="436">
        <f>(P21+Q21)/G21</f>
        <v/>
      </c>
      <c r="Y21" s="16">
        <f>VLOOKUP(C21,台股行情!A:D,4,FALSE)</f>
        <v/>
      </c>
      <c r="Z21" s="437">
        <f>VLOOKUP(C21,台股行情!A:E,5,FALSE)</f>
        <v/>
      </c>
      <c r="AA21" s="438">
        <f>IF(I21="",((TODAY()-A21)*G21)/365.24,((I21-A21)*G21)/365.24)</f>
        <v/>
      </c>
      <c r="AB21" s="194" t="inlineStr">
        <is>
          <t>阿水一式</t>
        </is>
      </c>
      <c r="AC21" s="143" t="inlineStr">
        <is>
          <t>破 20MA，停損</t>
        </is>
      </c>
      <c r="AD21" s="209" t="n"/>
    </row>
    <row r="22" outlineLevel="1">
      <c r="A22" s="99" t="n">
        <v>45455</v>
      </c>
      <c r="B22" s="11" t="n"/>
      <c r="C22" s="11" t="n">
        <v>3374</v>
      </c>
      <c r="D22" s="189">
        <f>VLOOKUP(C22,台股行情!A:B,2,FALSE)</f>
        <v/>
      </c>
      <c r="E22" s="11" t="n">
        <v>1000</v>
      </c>
      <c r="F22" s="11" t="n">
        <v>146.5</v>
      </c>
      <c r="G22" s="11">
        <f>E22*F22</f>
        <v/>
      </c>
      <c r="H22" s="11" t="n">
        <v>208</v>
      </c>
      <c r="I22" s="104" t="n">
        <v>45540</v>
      </c>
      <c r="J22" s="16" t="n">
        <v>233.5</v>
      </c>
      <c r="K22" s="11">
        <f>E22*J22</f>
        <v/>
      </c>
      <c r="L22" s="17" t="n">
        <v>332</v>
      </c>
      <c r="M22" s="11" t="n">
        <v>700</v>
      </c>
      <c r="N22" s="11" t="n">
        <v>0</v>
      </c>
      <c r="O22" s="434">
        <f>IF(I22="",E22*Y22,0)</f>
        <v/>
      </c>
      <c r="P22" s="435">
        <f>IF(I22="",R22-H22,(K22-H22-SUM(L22:N22)+R22-S22-T22)-G22)+(ROUND(R22*V22,0)-ROUND(R22*(1+V22),0)*W22)</f>
        <v/>
      </c>
      <c r="Q22" s="435">
        <f>IF(I22="",(O22-G22-(O22*0.1425%*0.65)-(O22*0.3%)-S22-T22),0)</f>
        <v/>
      </c>
      <c r="R22" s="435" t="n">
        <v>2000</v>
      </c>
      <c r="S22" s="435" t="n">
        <v>10</v>
      </c>
      <c r="T22" s="435" t="n"/>
      <c r="U22" s="69">
        <f>(V22*50%)/(1+50%*V22)</f>
        <v/>
      </c>
      <c r="V22" s="69" t="n"/>
      <c r="W22" s="70" t="n">
        <v>0.11</v>
      </c>
      <c r="X22" s="436">
        <f>(P22+Q22)/G22</f>
        <v/>
      </c>
      <c r="Y22" s="16">
        <f>VLOOKUP(C22,台股行情!A:D,4,FALSE)</f>
        <v/>
      </c>
      <c r="Z22" s="437">
        <f>VLOOKUP(C22,台股行情!A:E,5,FALSE)</f>
        <v/>
      </c>
      <c r="AA22" s="438">
        <f>IF(I22="",((TODAY()-A22)*G22)/365.24,((I22-A22)*G22)/365.24)</f>
        <v/>
      </c>
      <c r="AB22" s="194" t="inlineStr">
        <is>
          <t>阿水一式</t>
        </is>
      </c>
      <c r="AC22" s="322" t="inlineStr">
        <is>
          <t>破20MA，且燈號紅燈，獲利了結</t>
        </is>
      </c>
      <c r="AD22" s="209" t="n"/>
    </row>
    <row r="23" outlineLevel="1">
      <c r="A23" s="99" t="n">
        <v>45484</v>
      </c>
      <c r="B23" s="11" t="n"/>
      <c r="C23" s="11" t="n">
        <v>3284</v>
      </c>
      <c r="D23" s="189" t="inlineStr">
        <is>
          <t>太普高</t>
        </is>
      </c>
      <c r="E23" s="11" t="n">
        <v>2000</v>
      </c>
      <c r="F23" s="11" t="n">
        <v>45.3</v>
      </c>
      <c r="G23" s="11">
        <f>E23*F23</f>
        <v/>
      </c>
      <c r="H23" s="11" t="n">
        <v>129</v>
      </c>
      <c r="I23" s="104" t="n">
        <v>45544</v>
      </c>
      <c r="J23" s="16" t="n">
        <v>51.1</v>
      </c>
      <c r="K23" s="11">
        <f>E23*J23</f>
        <v/>
      </c>
      <c r="L23" s="17" t="n">
        <v>145</v>
      </c>
      <c r="M23" s="11" t="n">
        <v>306</v>
      </c>
      <c r="N23" s="11" t="n">
        <v>0</v>
      </c>
      <c r="O23" s="434">
        <f>IF(I23="",E23*Y23,0)</f>
        <v/>
      </c>
      <c r="P23" s="435">
        <f>IF(I23="",R23-H23,(K23-H23-SUM(L23:N23)+R23-S23-T23)-G23)+(ROUND(R23*V23,0)-ROUND(R23*(1+V23),0)*W23)</f>
        <v/>
      </c>
      <c r="Q23" s="435">
        <f>IF(I23="",(O23-G23-(O23*0.1425%*0.65)-(O23*0.3%)-S23-T23),0)</f>
        <v/>
      </c>
      <c r="R23" s="435">
        <f>400+2948</f>
        <v/>
      </c>
      <c r="S23" s="435" t="n">
        <v>10</v>
      </c>
      <c r="T23" s="435" t="n"/>
      <c r="U23" s="69">
        <f>(V23*50%)/(1+50%*V23)</f>
        <v/>
      </c>
      <c r="V23" s="69" t="n"/>
      <c r="W23" s="70" t="n">
        <v>0.11</v>
      </c>
      <c r="X23" s="436">
        <f>(P23+Q23)/G23</f>
        <v/>
      </c>
      <c r="Y23" s="16">
        <f>VLOOKUP(C23,台股行情!A:D,4,FALSE)</f>
        <v/>
      </c>
      <c r="Z23" s="437">
        <f>VLOOKUP(C23,台股行情!A:E,5,FALSE)</f>
        <v/>
      </c>
      <c r="AA23" s="438">
        <f>IF(I23="",((TODAY()-A23)*G23)/365.24,((I23-A23)*G23)/365.24)</f>
        <v/>
      </c>
      <c r="AB23" s="194" t="inlineStr">
        <is>
          <t>阿水一式</t>
        </is>
      </c>
      <c r="AC23" s="322" t="inlineStr">
        <is>
          <t>破20MA，且燈號紅燈，獲利了結</t>
        </is>
      </c>
      <c r="AD23" s="209" t="n"/>
    </row>
    <row r="24" outlineLevel="1">
      <c r="A24" s="99" t="n">
        <v>45499</v>
      </c>
      <c r="B24" s="11" t="n"/>
      <c r="C24" s="11" t="n">
        <v>5209</v>
      </c>
      <c r="D24" s="189">
        <f>VLOOKUP(C24,台股行情!A:B,2,FALSE)</f>
        <v/>
      </c>
      <c r="E24" s="11" t="n">
        <v>1000</v>
      </c>
      <c r="F24" s="11" t="n">
        <v>184</v>
      </c>
      <c r="G24" s="11">
        <f>E24*F24</f>
        <v/>
      </c>
      <c r="H24" s="11" t="n">
        <v>262</v>
      </c>
      <c r="I24" s="104" t="n">
        <v>45499</v>
      </c>
      <c r="J24" s="16" t="n">
        <v>183</v>
      </c>
      <c r="K24" s="11">
        <f>E24*J24</f>
        <v/>
      </c>
      <c r="L24" s="17" t="n">
        <v>260</v>
      </c>
      <c r="M24" s="11" t="n">
        <v>274</v>
      </c>
      <c r="N24" s="11" t="n">
        <v>0</v>
      </c>
      <c r="O24" s="434">
        <f>IF(I24="",E24*Y24,0)</f>
        <v/>
      </c>
      <c r="P24" s="435">
        <f>IF(I24="",R24-H24,(K24-H24-SUM(L24:N24)+R24-S24-T24)-G24)+(ROUND(R24*V24,0)-ROUND(R24*(1+V24),0)*W24)</f>
        <v/>
      </c>
      <c r="Q24" s="435">
        <f>IF(I24="",(O24-G24-(O24*0.1425%*0.65)-(O24*0.3%)-S24-T24),0)</f>
        <v/>
      </c>
      <c r="R24" s="435" t="n"/>
      <c r="S24" s="435" t="n"/>
      <c r="T24" s="435" t="n"/>
      <c r="U24" s="69">
        <f>(V24*50%)/(1+50%*V24)</f>
        <v/>
      </c>
      <c r="V24" s="69" t="n"/>
      <c r="W24" s="70" t="n">
        <v>0.11</v>
      </c>
      <c r="X24" s="436">
        <f>(P24+Q24)/G24</f>
        <v/>
      </c>
      <c r="Y24" s="16">
        <f>VLOOKUP(C24,台股行情!A:D,4,FALSE)</f>
        <v/>
      </c>
      <c r="Z24" s="437">
        <f>VLOOKUP(C24,台股行情!A:E,5,FALSE)</f>
        <v/>
      </c>
      <c r="AA24" s="438">
        <f>IF(I24="",((TODAY()-A24)*G24)/365.24,((I24-A24)*G24)/365.24)</f>
        <v/>
      </c>
      <c r="AB24" s="194" t="inlineStr">
        <is>
          <t>下錯單</t>
        </is>
      </c>
      <c r="AC24" s="143" t="inlineStr">
        <is>
          <t>停損</t>
        </is>
      </c>
      <c r="AD24" s="209" t="n"/>
    </row>
    <row r="25" outlineLevel="1">
      <c r="A25" s="99" t="n">
        <v>45499</v>
      </c>
      <c r="B25" s="11" t="n"/>
      <c r="C25" s="11" t="n">
        <v>1721</v>
      </c>
      <c r="D25" s="189">
        <f>VLOOKUP(C25,台股行情!A:B,2,FALSE)</f>
        <v/>
      </c>
      <c r="E25" s="11" t="n">
        <v>1000</v>
      </c>
      <c r="F25" s="11" t="n">
        <v>25.2</v>
      </c>
      <c r="G25" s="11">
        <f>E25*F25</f>
        <v/>
      </c>
      <c r="H25" s="11" t="n">
        <v>35</v>
      </c>
      <c r="I25" s="104" t="n">
        <v>45607</v>
      </c>
      <c r="J25" s="16" t="n">
        <v>19.6</v>
      </c>
      <c r="K25" s="11">
        <f>E25*J25</f>
        <v/>
      </c>
      <c r="L25" s="17" t="n">
        <v>27</v>
      </c>
      <c r="M25" s="11" t="n">
        <v>58</v>
      </c>
      <c r="N25" s="11" t="n">
        <v>0</v>
      </c>
      <c r="O25" s="434">
        <f>IF(I25="",E25*Y25,0)</f>
        <v/>
      </c>
      <c r="P25" s="435">
        <f>IF(I25="",R25-H25,(K25-H25-SUM(L25:N25)+R25-S25-T25)-G25)+(ROUND(R25*V25,0)-ROUND(R25*(1+V25),0)*W25)</f>
        <v/>
      </c>
      <c r="Q25" s="435">
        <f>IF(I25="",(O25-G25-(O25*0.1425%*0.65)-(O25*0.3%)-S25-T25),0)</f>
        <v/>
      </c>
      <c r="R25" s="435" t="n"/>
      <c r="S25" s="435" t="n"/>
      <c r="T25" s="435" t="n"/>
      <c r="U25" s="69">
        <f>(V25*50%)/(1+50%*V25)</f>
        <v/>
      </c>
      <c r="V25" s="69" t="n"/>
      <c r="W25" s="70" t="n">
        <v>0.11</v>
      </c>
      <c r="X25" s="436">
        <f>(P25+Q25)/G25</f>
        <v/>
      </c>
      <c r="Y25" s="16">
        <f>VLOOKUP(C25,台股行情!A:D,4,FALSE)</f>
        <v/>
      </c>
      <c r="Z25" s="437">
        <f>VLOOKUP(C25,台股行情!A:E,5,FALSE)</f>
        <v/>
      </c>
      <c r="AA25" s="438">
        <f>IF(I25="",((TODAY()-A25)*G25)/365.24,((I25-A25)*G25)/365.24)</f>
        <v/>
      </c>
      <c r="AB25" s="194" t="inlineStr">
        <is>
          <t>強勢股</t>
        </is>
      </c>
      <c r="AC25" s="143" t="inlineStr">
        <is>
          <t>破 20MA，停損</t>
        </is>
      </c>
      <c r="AD25" s="209" t="n"/>
    </row>
    <row r="26" outlineLevel="1">
      <c r="A26" s="99" t="n">
        <v>45499</v>
      </c>
      <c r="B26" s="11" t="n"/>
      <c r="C26" s="11" t="n">
        <v>2436</v>
      </c>
      <c r="D26" s="189">
        <f>VLOOKUP(C26,台股行情!A:B,2,FALSE)</f>
        <v/>
      </c>
      <c r="E26" s="11" t="n">
        <v>1000</v>
      </c>
      <c r="F26" s="11" t="n">
        <v>67.09999999999999</v>
      </c>
      <c r="G26" s="11">
        <f>E26*F26</f>
        <v/>
      </c>
      <c r="H26" s="11" t="n">
        <v>95</v>
      </c>
      <c r="I26" s="104" t="n">
        <v>45607</v>
      </c>
      <c r="J26" s="16" t="n">
        <v>53.8</v>
      </c>
      <c r="K26" s="11">
        <f>E26*J26</f>
        <v/>
      </c>
      <c r="L26" s="17" t="n">
        <v>76</v>
      </c>
      <c r="M26" s="11" t="n">
        <v>161</v>
      </c>
      <c r="N26" s="11" t="n">
        <v>0</v>
      </c>
      <c r="O26" s="434">
        <f>IF(I26="",E26*Y26,0)</f>
        <v/>
      </c>
      <c r="P26" s="435">
        <f>IF(I26="",R26-H26,(K26-H26-SUM(L26:N26)+R26-S26-T26)-G26)+(ROUND(R26*V26,0)-ROUND(R26*(1+V26),0)*W26)</f>
        <v/>
      </c>
      <c r="Q26" s="435">
        <f>IF(I26="",(O26-G26-(O26*0.1425%*0.65)-(O26*0.3%)-S26-T26),0)</f>
        <v/>
      </c>
      <c r="R26" s="435" t="n"/>
      <c r="S26" s="435" t="n"/>
      <c r="T26" s="435" t="n"/>
      <c r="U26" s="69">
        <f>(V26*50%)/(1+50%*V26)</f>
        <v/>
      </c>
      <c r="V26" s="69" t="n"/>
      <c r="W26" s="70" t="n">
        <v>0.11</v>
      </c>
      <c r="X26" s="436">
        <f>(P26+Q26)/G26</f>
        <v/>
      </c>
      <c r="Y26" s="16">
        <f>VLOOKUP(C26,台股行情!A:D,4,FALSE)</f>
        <v/>
      </c>
      <c r="Z26" s="437">
        <f>VLOOKUP(C26,台股行情!A:E,5,FALSE)</f>
        <v/>
      </c>
      <c r="AA26" s="438">
        <f>IF(I26="",((TODAY()-A26)*G26)/365.24,((I26-A26)*G26)/365.24)</f>
        <v/>
      </c>
      <c r="AB26" s="194" t="inlineStr">
        <is>
          <t>強勢股</t>
        </is>
      </c>
      <c r="AC26" s="143" t="inlineStr">
        <is>
          <t>破 20MA，停損</t>
        </is>
      </c>
      <c r="AD26" s="209" t="n"/>
    </row>
    <row r="27" outlineLevel="1">
      <c r="A27" s="99" t="n">
        <v>45383</v>
      </c>
      <c r="B27" s="11" t="n"/>
      <c r="C27" s="11" t="n">
        <v>1522</v>
      </c>
      <c r="D27" s="189">
        <f>VLOOKUP(C27,台股行情!A:B,2,FALSE)</f>
        <v/>
      </c>
      <c r="E27" s="11" t="n">
        <v>1000</v>
      </c>
      <c r="F27" s="11" t="n">
        <v>59.5</v>
      </c>
      <c r="G27" s="11">
        <f>E27*F27</f>
        <v/>
      </c>
      <c r="H27" s="11" t="n">
        <v>85</v>
      </c>
      <c r="I27" s="104" t="n">
        <v>45481</v>
      </c>
      <c r="J27" s="16" t="n">
        <v>68.2</v>
      </c>
      <c r="K27" s="11">
        <f>E27*J27</f>
        <v/>
      </c>
      <c r="L27" s="11" t="n">
        <v>97</v>
      </c>
      <c r="M27" s="11" t="n">
        <v>204</v>
      </c>
      <c r="N27" s="11" t="n">
        <v>0</v>
      </c>
      <c r="O27" s="434">
        <f>IF(I27="",E27*Y27,0)</f>
        <v/>
      </c>
      <c r="P27" s="435">
        <f>IF(I27="",R27-H27,(K27-H27-SUM(L27:N27)+R27-S27-T27)-G27)+(ROUND(R27*V27,0)-ROUND(R27*(1+V27),0)*W27)</f>
        <v/>
      </c>
      <c r="Q27" s="435">
        <f>IF(I27="",(O27-G27-(O27*0.1425%*0.65)-(O27*0.3%)-S27-T27),0)</f>
        <v/>
      </c>
      <c r="R27" s="435" t="n"/>
      <c r="S27" s="435" t="n"/>
      <c r="T27" s="435" t="n"/>
      <c r="U27" s="69">
        <f>(V27*50%)/(1+50%*V27)</f>
        <v/>
      </c>
      <c r="V27" s="69" t="n"/>
      <c r="W27" s="70" t="n">
        <v>0.11</v>
      </c>
      <c r="X27" s="436">
        <f>(P27+Q27)/G27</f>
        <v/>
      </c>
      <c r="Y27" s="16">
        <f>VLOOKUP(C27,台股行情!A:D,4,FALSE)</f>
        <v/>
      </c>
      <c r="Z27" s="437">
        <f>VLOOKUP(C27,台股行情!A:E,5,FALSE)</f>
        <v/>
      </c>
      <c r="AA27" s="438">
        <f>IF(I27="",((TODAY()-A27)*G27)/365.24,((I27-A27)*G27)/365.24)</f>
        <v/>
      </c>
      <c r="AB27" s="103" t="inlineStr">
        <is>
          <t>水某精選</t>
        </is>
      </c>
      <c r="AC27" s="311" t="n"/>
      <c r="AD27" s="209" t="n"/>
    </row>
    <row r="28" ht="33" customHeight="1">
      <c r="A28" s="329" t="n">
        <v>45631</v>
      </c>
      <c r="B28" s="11" t="n"/>
      <c r="C28" s="11" t="n">
        <v>7722</v>
      </c>
      <c r="D28" s="189">
        <f>VLOOKUP(C28,台股行情!A:B,2,FALSE)</f>
        <v/>
      </c>
      <c r="E28" s="11" t="n">
        <v>1000</v>
      </c>
      <c r="F28" s="11" t="n">
        <v>508</v>
      </c>
      <c r="G28" s="11">
        <f>E28*F28</f>
        <v/>
      </c>
      <c r="H28" s="11" t="n">
        <v>70</v>
      </c>
      <c r="I28" s="328" t="n">
        <v>45663</v>
      </c>
      <c r="J28" s="16" t="n">
        <v>512</v>
      </c>
      <c r="K28" s="11">
        <f>E28*J28</f>
        <v/>
      </c>
      <c r="L28" s="17" t="n">
        <v>729</v>
      </c>
      <c r="M28" s="11" t="n">
        <v>1536</v>
      </c>
      <c r="N28" s="11" t="n">
        <v>1</v>
      </c>
      <c r="O28" s="434">
        <f>IF(I28="",E28*Y28,0)</f>
        <v/>
      </c>
      <c r="P28" s="435">
        <f>IF(I28="",R28-H28,(K28-H28-SUM(L28:N28)+R28-S28-T28)-G28)+(ROUND(R28*V28,0)-ROUND(R28*(1+V28),0)*W28)</f>
        <v/>
      </c>
      <c r="Q28" s="435">
        <f>IF(I28="",(O28-G28-(O28*0.1425%*0.65)-(O28*0.3%)-S28-T28),0)</f>
        <v/>
      </c>
      <c r="R28" s="435" t="n"/>
      <c r="S28" s="435" t="n"/>
      <c r="T28" s="435" t="n"/>
      <c r="U28" s="69">
        <f>(V28*50%)/(1+50%*V28)</f>
        <v/>
      </c>
      <c r="V28" s="69" t="n"/>
      <c r="W28" s="70" t="n">
        <v>0.11</v>
      </c>
      <c r="X28" s="436">
        <f>(P28+Q28)/G28</f>
        <v/>
      </c>
      <c r="Y28" s="16">
        <f>VLOOKUP(C28,台股行情!A:D,4,FALSE)</f>
        <v/>
      </c>
      <c r="Z28" s="437">
        <f>VLOOKUP(C28,台股行情!A:E,5,FALSE)</f>
        <v/>
      </c>
      <c r="AA28" s="438">
        <f>IF(I28="",((TODAY()-A28)*G28)/365.24,((I28-A28)*G28)/365.24)</f>
        <v/>
      </c>
      <c r="AB28" s="194" t="inlineStr">
        <is>
          <t>抽籤</t>
        </is>
      </c>
      <c r="AC28" s="323" t="inlineStr">
        <is>
          <t>上市三週，均低於承銷價，漲回後賣出
賣出後一路漲至 904, 失敗代表作</t>
        </is>
      </c>
      <c r="AD28" s="209" t="n"/>
    </row>
    <row r="29">
      <c r="A29" s="99" t="n">
        <v>45469</v>
      </c>
      <c r="B29" s="11" t="n"/>
      <c r="C29" s="11" t="n">
        <v>5209</v>
      </c>
      <c r="D29" s="189">
        <f>VLOOKUP(C29,台股行情!A:B,2,FALSE)</f>
        <v/>
      </c>
      <c r="E29" s="11" t="n">
        <v>1000</v>
      </c>
      <c r="F29" s="11" t="n">
        <v>200</v>
      </c>
      <c r="G29" s="11">
        <f>E29*F29</f>
        <v/>
      </c>
      <c r="H29" s="11" t="n">
        <v>285</v>
      </c>
      <c r="I29" s="328" t="n">
        <v>45663</v>
      </c>
      <c r="J29" s="16" t="n">
        <v>173</v>
      </c>
      <c r="K29" s="11">
        <f>E29*J29</f>
        <v/>
      </c>
      <c r="L29" s="17" t="n">
        <v>246</v>
      </c>
      <c r="M29" s="11" t="n">
        <v>519</v>
      </c>
      <c r="N29" s="11" t="n">
        <v>0</v>
      </c>
      <c r="O29" s="434">
        <f>IF(I29="",E29*Y29,0)</f>
        <v/>
      </c>
      <c r="P29" s="435">
        <f>IF(I29="",R29-H29,(K29-H29-SUM(L29:N29)+R29-S29-T29)-G29)+(ROUND(R29*V29,0)-ROUND(R29*(1+V29),0)*W29)</f>
        <v/>
      </c>
      <c r="Q29" s="435">
        <f>IF(I29="",(O29-G29-(O29*0.1425%*0.65)-(O29*0.3%)-S29-T29),0)</f>
        <v/>
      </c>
      <c r="R29" s="435" t="n">
        <v>10511</v>
      </c>
      <c r="S29" s="435" t="n">
        <v>10</v>
      </c>
      <c r="T29" s="435" t="n"/>
      <c r="U29" s="69">
        <f>(V29*50%)/(1+50%*V29)</f>
        <v/>
      </c>
      <c r="V29" s="69" t="n"/>
      <c r="W29" s="70" t="n">
        <v>0.11</v>
      </c>
      <c r="X29" s="436">
        <f>(P29+Q29)/G29</f>
        <v/>
      </c>
      <c r="Y29" s="16">
        <f>VLOOKUP(C29,台股行情!A:D,4,FALSE)</f>
        <v/>
      </c>
      <c r="Z29" s="437">
        <f>VLOOKUP(C29,台股行情!A:E,5,FALSE)</f>
        <v/>
      </c>
      <c r="AA29" s="438">
        <f>IF(I29="",((TODAY()-A29)*G29)/365.24,((I29-A29)*G29)/365.24)</f>
        <v/>
      </c>
      <c r="AB29" s="194" t="inlineStr">
        <is>
          <t>除權息</t>
        </is>
      </c>
      <c r="AC29" s="143" t="inlineStr">
        <is>
          <t>久未填息，破 10MA，認賠出場</t>
        </is>
      </c>
      <c r="AD29" s="209" t="n"/>
    </row>
    <row r="30">
      <c r="A30" s="99" t="n">
        <v>45338</v>
      </c>
      <c r="B30" s="11" t="n"/>
      <c r="C30" s="11" t="n">
        <v>929</v>
      </c>
      <c r="D30" s="189">
        <f>VLOOKUP(C30,台股行情!A:B,2,FALSE)</f>
        <v/>
      </c>
      <c r="E30" s="11" t="n">
        <v>1000</v>
      </c>
      <c r="F30" s="11" t="n">
        <v>18.95</v>
      </c>
      <c r="G30" s="11">
        <f>E30*F30</f>
        <v/>
      </c>
      <c r="H30" s="11" t="n">
        <v>27</v>
      </c>
      <c r="I30" s="328" t="n">
        <v>45664</v>
      </c>
      <c r="J30" s="16" t="n">
        <v>18.33</v>
      </c>
      <c r="K30" s="11">
        <f>E30*J30</f>
        <v/>
      </c>
      <c r="L30" s="17" t="n">
        <v>26</v>
      </c>
      <c r="M30" s="11" t="n">
        <v>18</v>
      </c>
      <c r="N30" s="11" t="n">
        <v>0</v>
      </c>
      <c r="O30" s="434">
        <f>IF(I30="",E30*Y30,0)</f>
        <v/>
      </c>
      <c r="P30" s="435">
        <f>IF(I30="",R30-H30,(K30-H30-SUM(L30:N30)+R30-S30-T30)-G30)+(ROUND(R30*V30,0)-ROUND(R30*(1+V30),0)*W30)</f>
        <v/>
      </c>
      <c r="Q30" s="435">
        <f>IF(I30="",(O30-G30-(O30*0.1425%*0.65)-(O30*0.3%)-S30-T30),0)</f>
        <v/>
      </c>
      <c r="R30" s="435">
        <f>1600+1600+1440+1440+1280+1120+880+400</f>
        <v/>
      </c>
      <c r="S30" s="435" t="n">
        <v>50</v>
      </c>
      <c r="T30" s="435" t="n"/>
      <c r="U30" s="69">
        <f>(V30*50%)/(1+50%*V30)</f>
        <v/>
      </c>
      <c r="V30" s="69" t="n"/>
      <c r="W30" s="70" t="n">
        <v>0.11</v>
      </c>
      <c r="X30" s="436">
        <f>(P30+Q30)/G30</f>
        <v/>
      </c>
      <c r="Y30" s="16">
        <f>VLOOKUP(C30,台股行情!A:D,4,FALSE)</f>
        <v/>
      </c>
      <c r="Z30" s="437">
        <f>VLOOKUP(C30,台股行情!A:E,5,FALSE)</f>
        <v/>
      </c>
      <c r="AA30" s="438">
        <f>IF(I30="",((TODAY()-A30)*G30)/365.24,((I30-A30)*G30)/365.24)</f>
        <v/>
      </c>
      <c r="AB30" s="194" t="inlineStr">
        <is>
          <t>存股</t>
        </is>
      </c>
      <c r="AC30" s="194" t="inlineStr">
        <is>
          <t>配息率降低，轉換更好的標的</t>
        </is>
      </c>
      <c r="AD30" s="206" t="inlineStr">
        <is>
          <t>https://www.fhtrust.com.tw/Event/EC/2023_00929/index.html</t>
        </is>
      </c>
    </row>
    <row r="31">
      <c r="A31" s="99" t="n">
        <v>45468</v>
      </c>
      <c r="B31" s="11" t="n"/>
      <c r="C31" s="11" t="n">
        <v>2850</v>
      </c>
      <c r="D31" s="189">
        <f>VLOOKUP(C31,台股行情!A:B,2,FALSE)</f>
        <v/>
      </c>
      <c r="E31" s="11" t="n">
        <v>1000</v>
      </c>
      <c r="F31" s="11" t="n">
        <v>101</v>
      </c>
      <c r="G31" s="11">
        <f>E31*F31</f>
        <v/>
      </c>
      <c r="H31" s="11" t="n">
        <v>143</v>
      </c>
      <c r="I31" s="308" t="n">
        <v>45696</v>
      </c>
      <c r="J31" s="16" t="n">
        <v>102.5</v>
      </c>
      <c r="K31" s="11">
        <f>E31*J31</f>
        <v/>
      </c>
      <c r="L31" s="17" t="n">
        <v>146</v>
      </c>
      <c r="M31" s="11" t="n">
        <v>307</v>
      </c>
      <c r="N31" s="11" t="n">
        <v>0</v>
      </c>
      <c r="O31" s="434">
        <f>IF(I31="",E31*Y31,0)</f>
        <v/>
      </c>
      <c r="P31" s="435">
        <f>IF(I31="",R31-H31,(K31-H31-SUM(L31:N31)+R31-S31-T31)-G31)+(ROUND(R31*V31,0)-ROUND(R31*(1+V31),0)*W31)</f>
        <v/>
      </c>
      <c r="Q31" s="435">
        <f>IF(I31="",(O31-G31-(O31*0.1425%*0.65)-(O31*0.3%)-S31-T31),0)</f>
        <v/>
      </c>
      <c r="R31" s="435" t="n"/>
      <c r="S31" s="435" t="n"/>
      <c r="T31" s="435" t="n"/>
      <c r="U31" s="69">
        <f>(V31*50%)/(1+50%*V31)</f>
        <v/>
      </c>
      <c r="V31" s="69" t="n"/>
      <c r="W31" s="70" t="n">
        <v>0.11</v>
      </c>
      <c r="X31" s="436">
        <f>(P31+Q31)/G31</f>
        <v/>
      </c>
      <c r="Y31" s="16">
        <f>VLOOKUP(C31,台股行情!A:D,4,FALSE)</f>
        <v/>
      </c>
      <c r="Z31" s="437">
        <f>VLOOKUP(C31,台股行情!A:E,5,FALSE)</f>
        <v/>
      </c>
      <c r="AA31" s="438">
        <f>IF(I31="",((TODAY()-A31)*G31)/365.24,((I31-A31)*G31)/365.24)</f>
        <v/>
      </c>
      <c r="AB31" s="194" t="inlineStr">
        <is>
          <t>阿水一式</t>
        </is>
      </c>
      <c r="AC31" s="322" t="inlineStr">
        <is>
          <t>破 20MA，獲利了結</t>
        </is>
      </c>
      <c r="AD31" s="209" t="n"/>
    </row>
    <row r="32">
      <c r="A32" s="99" t="n">
        <v>45499</v>
      </c>
      <c r="B32" s="11" t="n"/>
      <c r="C32" s="11" t="n">
        <v>2615</v>
      </c>
      <c r="D32" s="189">
        <f>VLOOKUP(C32,台股行情!A:B,2,FALSE)</f>
        <v/>
      </c>
      <c r="E32" s="11" t="n">
        <v>1000</v>
      </c>
      <c r="F32" s="11" t="n">
        <v>100.5</v>
      </c>
      <c r="G32" s="11">
        <f>E32*F32</f>
        <v/>
      </c>
      <c r="H32" s="11" t="n">
        <v>143</v>
      </c>
      <c r="I32" s="308" t="n">
        <v>45721</v>
      </c>
      <c r="J32" s="16" t="n">
        <v>84.59999999999999</v>
      </c>
      <c r="K32" s="11">
        <f>E32*J32</f>
        <v/>
      </c>
      <c r="L32" s="11" t="n">
        <v>120</v>
      </c>
      <c r="M32" s="11" t="n">
        <v>253</v>
      </c>
      <c r="N32" s="11" t="n">
        <v>0</v>
      </c>
      <c r="O32" s="434">
        <f>IF(I32="",E32*Y32,0)</f>
        <v/>
      </c>
      <c r="P32" s="435">
        <f>IF(I32="",R32-H32,(K32-H32-SUM(L32:N32)+R32-S32-T32)-G32)+(ROUND(R32*V32,0)-ROUND(R32*(1+V32),0)*W32)</f>
        <v/>
      </c>
      <c r="Q32" s="435">
        <f>IF(I32="",(O32-G32-(O32*0.1425%*0.65)-(O32*0.3%)-S32-T32),0)</f>
        <v/>
      </c>
      <c r="R32" s="435" t="n"/>
      <c r="S32" s="435" t="n"/>
      <c r="T32" s="435" t="n"/>
      <c r="U32" s="69">
        <f>(V32*50%)/(1+50%*V32)</f>
        <v/>
      </c>
      <c r="V32" s="69" t="n"/>
      <c r="W32" s="70" t="n">
        <v>0.11</v>
      </c>
      <c r="X32" s="436">
        <f>(P32+Q32)/G32</f>
        <v/>
      </c>
      <c r="Y32" s="16">
        <f>VLOOKUP(C32,台股行情!A:D,4,FALSE)</f>
        <v/>
      </c>
      <c r="Z32" s="437">
        <f>VLOOKUP(C32,台股行情!A:E,5,FALSE)</f>
        <v/>
      </c>
      <c r="AA32" s="438">
        <f>IF(I32="",((TODAY()-A32)*G32)/365.24,((I32-A32)*G32)/365.24)</f>
        <v/>
      </c>
      <c r="AB32" s="194" t="inlineStr">
        <is>
          <t>阿水一式</t>
        </is>
      </c>
      <c r="AC32" s="143" t="inlineStr">
        <is>
          <t>破 10MA，認賠出場</t>
        </is>
      </c>
      <c r="AD32" s="209" t="n"/>
    </row>
    <row r="33">
      <c r="A33" s="99" t="n">
        <v>45469</v>
      </c>
      <c r="B33" s="11" t="n"/>
      <c r="C33" s="11" t="n">
        <v>2603</v>
      </c>
      <c r="D33" s="189">
        <f>VLOOKUP(C33,台股行情!A:B,2,FALSE)</f>
        <v/>
      </c>
      <c r="E33" s="11" t="n">
        <v>1000</v>
      </c>
      <c r="F33" s="11" t="n">
        <v>201</v>
      </c>
      <c r="G33" s="11">
        <f>E33*F33</f>
        <v/>
      </c>
      <c r="H33" s="11" t="n">
        <v>286</v>
      </c>
      <c r="I33" s="308" t="n">
        <v>45868</v>
      </c>
      <c r="J33" s="16" t="n">
        <v>200</v>
      </c>
      <c r="K33" s="11">
        <f>E33*J33</f>
        <v/>
      </c>
      <c r="L33" s="11" t="n">
        <v>285</v>
      </c>
      <c r="M33" s="11" t="n">
        <v>600</v>
      </c>
      <c r="N33" s="11" t="n">
        <v>0</v>
      </c>
      <c r="O33" s="434">
        <f>IF(I33="",E33*Y33,0)</f>
        <v/>
      </c>
      <c r="P33" s="435">
        <f>IF(I33="",R33-H33,(K33-H33-SUM(L33:N33)+R33-S33-T33)-G33)+(ROUND(R33*V33,0)-ROUND(R33*(1+V33),0)*W33)</f>
        <v/>
      </c>
      <c r="Q33" s="435">
        <f>IF(I33="",(O33-G33-(O33*0.1425%*0.65)-(O33*0.3%)-S33-T33),0)</f>
        <v/>
      </c>
      <c r="R33" s="435">
        <f>9965+32500</f>
        <v/>
      </c>
      <c r="S33" s="435" t="n">
        <v>20</v>
      </c>
      <c r="T33" s="435" t="n"/>
      <c r="U33" s="69">
        <f>(V33*50%)/(1+50%*V33)</f>
        <v/>
      </c>
      <c r="V33" s="69" t="n"/>
      <c r="W33" s="70" t="n">
        <v>0.11</v>
      </c>
      <c r="X33" s="436">
        <f>(P33+Q33)/G33</f>
        <v/>
      </c>
      <c r="Y33" s="16">
        <f>VLOOKUP(C33,台股行情!A:D,4,FALSE)</f>
        <v/>
      </c>
      <c r="Z33" s="437">
        <f>VLOOKUP(C33,台股行情!A:E,5,FALSE)</f>
        <v/>
      </c>
      <c r="AA33" s="438">
        <f>IF(I33="",((TODAY()-A33)*G33)/365.24,((I33-A33)*G33)/365.24)</f>
        <v/>
      </c>
      <c r="AB33" s="194" t="inlineStr">
        <is>
          <t>除權息</t>
        </is>
      </c>
      <c r="AC33" s="194" t="inlineStr">
        <is>
          <t>已填息</t>
        </is>
      </c>
      <c r="AD33" s="209" t="n"/>
    </row>
    <row r="34">
      <c r="A34" s="99" t="n">
        <v>45463</v>
      </c>
      <c r="B34" s="11" t="n"/>
      <c r="C34" s="11" t="n">
        <v>2382</v>
      </c>
      <c r="D34" s="189">
        <f>VLOOKUP(C34,台股行情!A:B,2,FALSE)</f>
        <v/>
      </c>
      <c r="E34" s="11" t="n">
        <v>1000</v>
      </c>
      <c r="F34" s="11" t="n">
        <v>320</v>
      </c>
      <c r="G34" s="11">
        <f>E34*F34</f>
        <v/>
      </c>
      <c r="H34" s="11" t="n">
        <v>456</v>
      </c>
      <c r="I34" s="308" t="n">
        <v>46090</v>
      </c>
      <c r="J34" s="16" t="n">
        <v>275</v>
      </c>
      <c r="K34" s="11">
        <f>E34*J34</f>
        <v/>
      </c>
      <c r="L34" s="11" t="n">
        <v>391</v>
      </c>
      <c r="M34" s="11" t="n">
        <v>825</v>
      </c>
      <c r="N34" s="11" t="n">
        <v>0</v>
      </c>
      <c r="O34" s="434">
        <f>IF(I34="",E34*Y34,0)</f>
        <v/>
      </c>
      <c r="P34" s="435">
        <f>IF(I34="",R34-H34,(K34-H34-SUM(L34:N34)+R34-S34-T34)-G34)+(ROUND(R34*V34,0)-ROUND(R34*(1+V34),0)*W34)</f>
        <v/>
      </c>
      <c r="Q34" s="435">
        <f>IF(I34="",(O34-G34-(O34*0.1425%*0.65)-(O34*0.3%)-S34-T34),0)</f>
        <v/>
      </c>
      <c r="R34" s="435" t="n">
        <v>13000</v>
      </c>
      <c r="S34" s="435" t="n">
        <v>10</v>
      </c>
      <c r="T34" s="435" t="n"/>
      <c r="U34" s="69">
        <f>(V34*50%)/(1+50%*V34)</f>
        <v/>
      </c>
      <c r="V34" s="69" t="n"/>
      <c r="W34" s="70" t="n">
        <v>0.11</v>
      </c>
      <c r="X34" s="436">
        <f>(P34+Q34)/G34</f>
        <v/>
      </c>
      <c r="Y34" s="16">
        <f>VLOOKUP(C34,台股行情!A:D,4,FALSE)</f>
        <v/>
      </c>
      <c r="Z34" s="437">
        <f>VLOOKUP(C34,台股行情!A:E,5,FALSE)</f>
        <v/>
      </c>
      <c r="AA34" s="438">
        <f>IF(I34="",((TODAY()-A34)*G34)/365.24,((I34-A34)*G34)/365.24)</f>
        <v/>
      </c>
      <c r="AB34" s="103" t="inlineStr">
        <is>
          <t>阿水一式</t>
        </is>
      </c>
      <c r="AC34" s="310" t="inlineStr">
        <is>
          <t>美伊戰爭，憂心 AI 估值過高，認賠出場</t>
        </is>
      </c>
      <c r="AD34" s="338" t="inlineStr">
        <is>
          <t>B. 中度套牢（-10%~ -30%）</t>
        </is>
      </c>
    </row>
    <row r="35">
      <c r="A35" s="99" t="n">
        <v>45482</v>
      </c>
      <c r="B35" s="11" t="n"/>
      <c r="C35" s="11" t="n">
        <v>3050</v>
      </c>
      <c r="D35" s="189">
        <f>VLOOKUP(C35,台股行情!A:B,2,FALSE)</f>
        <v/>
      </c>
      <c r="E35" s="11" t="n">
        <v>3000</v>
      </c>
      <c r="F35" s="11" t="n">
        <v>28.7</v>
      </c>
      <c r="G35" s="11">
        <f>E35*F35</f>
        <v/>
      </c>
      <c r="H35" s="11" t="n">
        <v>122</v>
      </c>
      <c r="I35" s="308" t="n">
        <v>46133</v>
      </c>
      <c r="J35" s="16" t="n">
        <v>13.2</v>
      </c>
      <c r="K35" s="11">
        <f>E35*J35</f>
        <v/>
      </c>
      <c r="L35" s="11">
        <f>ROUND(J35*E35*0.1425%,0)</f>
        <v/>
      </c>
      <c r="M35" s="11" t="n">
        <v>118</v>
      </c>
      <c r="N35" s="11" t="n">
        <v>0</v>
      </c>
      <c r="O35" s="434">
        <f>IF(I35="",E35*Y35,0)</f>
        <v/>
      </c>
      <c r="P35" s="435">
        <f>IF(I35="",R35-H35,(K35-H35-SUM(L35:N35)+R35-S35-T35)-G35)+(ROUND(R35*V35,0)-ROUND(R35*(1+V35),0)*W35)</f>
        <v/>
      </c>
      <c r="Q35" s="435">
        <f>IF(I35="",(O35-G35-(O35*0.1425%*0.65)-(O35*0.3%)-S35-T35),0)</f>
        <v/>
      </c>
      <c r="R35" s="435">
        <f>1500+1500</f>
        <v/>
      </c>
      <c r="S35" s="435" t="n">
        <v>20</v>
      </c>
      <c r="T35" s="435">
        <f>IF(ROUND(R35*(1+V35),0)&gt;20000,ROUND(ROUND(R35*(1+V35),0)*2%,0),0)</f>
        <v/>
      </c>
      <c r="U35" s="69">
        <f>(V35*50%)/(1+50%*V35)</f>
        <v/>
      </c>
      <c r="V35" s="69" t="n"/>
      <c r="W35" s="70" t="n">
        <v>0.11</v>
      </c>
      <c r="X35" s="436">
        <f>(P35+Q35)/G35</f>
        <v/>
      </c>
      <c r="Y35" s="16">
        <f>VLOOKUP(C35,台股行情!A:D,4,FALSE)</f>
        <v/>
      </c>
      <c r="Z35" s="437">
        <f>VLOOKUP(C35,台股行情!A:E,5,FALSE)</f>
        <v/>
      </c>
      <c r="AA35" s="438">
        <f>IF(I35="",((TODAY()-A35)*G35)/365.24,((I35-A35)*G35)/365.24)</f>
        <v/>
      </c>
      <c r="AB35" s="103" t="inlineStr">
        <is>
          <t>水某精選</t>
        </is>
      </c>
      <c r="AC35" s="311" t="n"/>
    </row>
    <row r="36">
      <c r="A36" s="99" t="n">
        <v>45341</v>
      </c>
      <c r="B36" s="11" t="n"/>
      <c r="C36" s="11" t="n">
        <v>4909</v>
      </c>
      <c r="D36" s="189">
        <f>VLOOKUP(C36,台股行情!A:B,2,FALSE)</f>
        <v/>
      </c>
      <c r="E36" s="11" t="n">
        <v>1000</v>
      </c>
      <c r="F36" s="11" t="n">
        <v>52.2</v>
      </c>
      <c r="G36" s="11">
        <f>E36*F36</f>
        <v/>
      </c>
      <c r="H36" s="11" t="n">
        <v>74</v>
      </c>
      <c r="I36" s="308" t="n">
        <v>46134</v>
      </c>
      <c r="J36" s="16" t="n">
        <v>64.09999999999999</v>
      </c>
      <c r="K36" s="11">
        <f>E36*J36</f>
        <v/>
      </c>
      <c r="L36" s="11">
        <f>ROUND(J36*E36*0.1425%,0)</f>
        <v/>
      </c>
      <c r="M36" s="11">
        <f>ROUND(J36*E36*0.3%,0)</f>
        <v/>
      </c>
      <c r="N36" s="11" t="n">
        <v>0</v>
      </c>
      <c r="O36" s="434">
        <f>IF(I36="",E36*Y36,0)</f>
        <v/>
      </c>
      <c r="P36" s="435">
        <f>IF(I36="",R36-H36,(K36-H36-SUM(L36:N36)+R36-S36-T36)-G36)+(ROUND(R36*V36,0)-ROUND(R36*(1+V36),0)*W36)</f>
        <v/>
      </c>
      <c r="Q36" s="435">
        <f>IF(I36="",(O36-G36-(O36*0.1425%*0.65)-(O36*0.3%)-S36-T36),0)</f>
        <v/>
      </c>
      <c r="R36" s="435">
        <f>500+6000</f>
        <v/>
      </c>
      <c r="S36" s="435" t="n">
        <v>20</v>
      </c>
      <c r="T36" s="435">
        <f>IF(ROUND(R36*(1+V36),0)&gt;20000,ROUND(ROUND(R36*(1+V36),0)*2%,0),0)</f>
        <v/>
      </c>
      <c r="U36" s="69">
        <f>(V36*50%)/(1+50%*V36)</f>
        <v/>
      </c>
      <c r="V36" s="69" t="n"/>
      <c r="W36" s="70" t="n">
        <v>0.11</v>
      </c>
      <c r="X36" s="436">
        <f>(P36+Q36)/G36</f>
        <v/>
      </c>
      <c r="Y36" s="16">
        <f>VLOOKUP(C36,台股行情!A:D,4,FALSE)</f>
        <v/>
      </c>
      <c r="Z36" s="437">
        <f>VLOOKUP(C36,台股行情!A:E,5,FALSE)</f>
        <v/>
      </c>
      <c r="AA36" s="438">
        <f>IF(I36="",((TODAY()-A36)*G36)/365.24,((I36-A36)*G36)/365.24)</f>
        <v/>
      </c>
      <c r="AB36" s="103" t="inlineStr">
        <is>
          <t>水某精選</t>
        </is>
      </c>
      <c r="AC36" s="311" t="n"/>
    </row>
    <row r="37">
      <c r="A37" s="99" t="n"/>
      <c r="B37" s="11" t="n"/>
      <c r="C37" s="11" t="n"/>
      <c r="D37" s="189" t="n"/>
      <c r="E37" s="11" t="n"/>
      <c r="F37" s="11" t="n"/>
      <c r="G37" s="11" t="n"/>
      <c r="H37" s="11" t="n"/>
      <c r="I37" s="104" t="n"/>
      <c r="J37" s="16" t="n"/>
      <c r="K37" s="11" t="n"/>
      <c r="L37" s="17" t="n"/>
      <c r="M37" s="11" t="n"/>
      <c r="N37" s="11" t="n"/>
      <c r="O37" s="434" t="n"/>
      <c r="P37" s="435" t="n"/>
      <c r="Q37" s="435" t="n"/>
      <c r="R37" s="435" t="n"/>
      <c r="S37" s="435" t="n"/>
      <c r="T37" s="435" t="n"/>
      <c r="U37" s="69" t="n"/>
      <c r="V37" s="69" t="n"/>
      <c r="W37" s="70" t="n"/>
      <c r="X37" s="436" t="n"/>
      <c r="Y37" s="16" t="n"/>
      <c r="Z37" s="437" t="n"/>
      <c r="AA37" s="438" t="n"/>
      <c r="AC37" s="143" t="n"/>
    </row>
    <row r="38">
      <c r="A38" s="39" t="n"/>
      <c r="B38" s="40" t="n"/>
      <c r="C38" s="40" t="n"/>
      <c r="D38" s="191" t="n"/>
      <c r="E38" s="40" t="n"/>
      <c r="F38" s="40" t="n"/>
      <c r="G38" s="40" t="n"/>
      <c r="H38" s="40" t="n"/>
      <c r="I38" s="41" t="n"/>
      <c r="J38" s="42" t="n"/>
      <c r="K38" s="40" t="n"/>
      <c r="L38" s="439" t="n"/>
      <c r="M38" s="40" t="n"/>
      <c r="N38" s="40" t="n"/>
      <c r="O38" s="440" t="n"/>
      <c r="P38" s="441" t="n"/>
      <c r="Q38" s="441" t="n"/>
      <c r="R38" s="441" t="n"/>
      <c r="S38" s="441" t="n"/>
      <c r="T38" s="441" t="n"/>
      <c r="U38" s="73" t="n"/>
      <c r="V38" s="73" t="n"/>
      <c r="W38" s="76" t="n"/>
      <c r="X38" s="442" t="n"/>
      <c r="Y38" s="42" t="n"/>
      <c r="Z38" s="47" t="n"/>
      <c r="AA38" s="438" t="n"/>
    </row>
    <row r="39">
      <c r="A39" s="10" t="n"/>
      <c r="B39" s="11" t="n"/>
      <c r="C39" s="11" t="n"/>
      <c r="D39" s="189" t="n"/>
      <c r="E39" s="11" t="n"/>
      <c r="F39" s="11" t="n"/>
      <c r="G39" s="11" t="n"/>
      <c r="H39" s="11" t="n"/>
      <c r="I39" s="12" t="n"/>
      <c r="J39" s="11" t="n"/>
      <c r="K39" s="11" t="n"/>
      <c r="L39" s="11" t="n"/>
      <c r="M39" s="11" t="n"/>
      <c r="N39" s="11" t="n"/>
      <c r="O39" s="434" t="n"/>
      <c r="P39" s="435" t="n"/>
      <c r="Q39" s="435" t="n"/>
      <c r="R39" s="435" t="n"/>
      <c r="S39" s="435" t="n"/>
      <c r="T39" s="435" t="n"/>
      <c r="U39" s="435" t="n"/>
      <c r="V39" s="69" t="n"/>
      <c r="W39" s="70" t="n"/>
      <c r="X39" s="436" t="n"/>
      <c r="Y39" s="16" t="n"/>
      <c r="Z39" s="437" t="n"/>
      <c r="AA39" s="438" t="n"/>
    </row>
    <row r="40">
      <c r="A40" s="18">
        <f>MIN(A41:A41)</f>
        <v/>
      </c>
      <c r="B40" s="19" t="n"/>
      <c r="C40" s="20" t="n"/>
      <c r="D40" s="192" t="n"/>
      <c r="E40" s="19" t="n"/>
      <c r="F40" s="19" t="n"/>
      <c r="G40" s="19" t="n"/>
      <c r="H40" s="19" t="n"/>
      <c r="I40" s="21" t="n"/>
      <c r="J40" s="22" t="n"/>
      <c r="K40" s="19" t="n"/>
      <c r="L40" s="443" t="n"/>
      <c r="M40" s="19" t="n"/>
      <c r="N40" s="19" t="n"/>
      <c r="O40" s="444" t="n"/>
      <c r="P40" s="445" t="n"/>
      <c r="Q40" s="445" t="n"/>
      <c r="R40" s="445" t="n"/>
      <c r="S40" s="445" t="n"/>
      <c r="T40" s="445" t="n"/>
      <c r="U40" s="445" t="n"/>
      <c r="V40" s="74" t="n"/>
      <c r="W40" s="77" t="n"/>
      <c r="X40" s="446" t="n"/>
      <c r="Y40" s="22" t="n"/>
      <c r="Z40" s="27" t="n"/>
      <c r="AA40" s="438" t="n"/>
    </row>
    <row r="41" ht="17.25" customHeight="1" thickBot="1">
      <c r="A41" s="48" t="n"/>
      <c r="B41" s="49" t="n"/>
      <c r="C41" s="49" t="n"/>
      <c r="D41" s="193" t="n"/>
      <c r="E41" s="49" t="n"/>
      <c r="F41" s="49" t="n"/>
      <c r="G41" s="49" t="n"/>
      <c r="H41" s="49" t="n"/>
      <c r="I41" s="50" t="n"/>
      <c r="J41" s="51" t="n"/>
      <c r="K41" s="49" t="n"/>
      <c r="L41" s="447" t="n"/>
      <c r="M41" s="49" t="n"/>
      <c r="N41" s="49" t="n"/>
      <c r="O41" s="448" t="n"/>
      <c r="P41" s="449" t="n"/>
      <c r="Q41" s="449" t="n"/>
      <c r="R41" s="449" t="n"/>
      <c r="S41" s="449" t="n"/>
      <c r="T41" s="450" t="n"/>
      <c r="U41" s="449" t="n"/>
      <c r="V41" s="449" t="n"/>
      <c r="W41" s="78" t="n"/>
      <c r="X41" s="451" t="n"/>
      <c r="Y41" s="51" t="n"/>
      <c r="Z41" s="56" t="n"/>
      <c r="AA41" s="438" t="n"/>
    </row>
    <row r="42" ht="17.25" customHeight="1" thickBot="1">
      <c r="A42" s="29" t="n"/>
      <c r="D42" s="28" t="n"/>
      <c r="I42" s="30" t="n"/>
      <c r="J42" s="31" t="n"/>
      <c r="L42" s="452" t="n"/>
      <c r="O42" s="453" t="n"/>
      <c r="P42" s="454" t="n"/>
      <c r="Q42" s="454" t="n"/>
      <c r="R42" s="454" t="n"/>
      <c r="S42" s="454" t="n"/>
      <c r="T42" s="454" t="n"/>
      <c r="U42" s="454" t="n"/>
      <c r="V42" s="454" t="n"/>
      <c r="W42" s="454" t="n"/>
      <c r="X42" s="455" t="n"/>
      <c r="Y42" s="31" t="n"/>
      <c r="Z42" s="31" t="n"/>
      <c r="AA42" s="438" t="n"/>
    </row>
    <row r="43" ht="17.25" customHeight="1" thickBot="1">
      <c r="A43" s="179" t="n"/>
      <c r="B43" s="456" t="n"/>
      <c r="C43" s="456" t="n"/>
      <c r="D43" s="238" t="inlineStr">
        <is>
          <t>持股小計</t>
        </is>
      </c>
      <c r="E43" s="457" t="n"/>
      <c r="F43" s="458" t="n"/>
      <c r="G43" s="62">
        <f>SUM(G40:G41)</f>
        <v/>
      </c>
      <c r="H43" s="62">
        <f>SUM(H40:H41)</f>
        <v/>
      </c>
      <c r="I43" s="414" t="n"/>
      <c r="J43" s="414" t="n"/>
      <c r="K43" s="62" t="n"/>
      <c r="L43" s="459" t="n"/>
      <c r="M43" s="459" t="n"/>
      <c r="N43" s="460" t="n"/>
      <c r="O43" s="62">
        <f>SUM(O40:O41)</f>
        <v/>
      </c>
      <c r="P43" s="461">
        <f>SUM(P40:P41)</f>
        <v/>
      </c>
      <c r="Q43" s="461">
        <f>SUM(Q40:Q41)</f>
        <v/>
      </c>
      <c r="R43" s="62">
        <f>SUM(R40:R41)</f>
        <v/>
      </c>
      <c r="S43" s="407" t="n"/>
      <c r="T43" s="407" t="n"/>
      <c r="U43" s="407" t="n"/>
      <c r="V43" s="407" t="n"/>
      <c r="W43" s="407" t="n"/>
      <c r="X43" s="462">
        <f>(P43+Q43)/G43</f>
        <v/>
      </c>
      <c r="Y43" s="390" t="inlineStr">
        <is>
          <t>年化報酬率</t>
        </is>
      </c>
      <c r="Z43" s="463">
        <f>IF(AA43=0,0,(P43+Q43)/(AA43))</f>
        <v/>
      </c>
      <c r="AA43" s="438">
        <f>SUM(AA40:AA41)</f>
        <v/>
      </c>
    </row>
    <row r="44" ht="17.25" customFormat="1" customHeight="1" s="36" thickBot="1">
      <c r="A44" s="464" t="n"/>
      <c r="D44" s="238" t="inlineStr">
        <is>
          <t>2024總計</t>
        </is>
      </c>
      <c r="E44" s="464" t="n"/>
      <c r="F44" s="465" t="n"/>
      <c r="G44" s="63">
        <f>SUM(G2:G41)</f>
        <v/>
      </c>
      <c r="H44" s="63">
        <f>SUM(H2:H41)</f>
        <v/>
      </c>
      <c r="I44" s="466" t="n"/>
      <c r="J44" s="466" t="n"/>
      <c r="K44" s="63">
        <f>SUM(K37:K41)</f>
        <v/>
      </c>
      <c r="L44" s="63">
        <f>SUM(L37:L41)</f>
        <v/>
      </c>
      <c r="M44" s="63">
        <f>SUM(M37:M41)</f>
        <v/>
      </c>
      <c r="N44" s="63">
        <f>SUM(N37:N41)</f>
        <v/>
      </c>
      <c r="O44" s="63">
        <f>SUM(O2:O41)</f>
        <v/>
      </c>
      <c r="P44" s="472">
        <f>SUM(P2:P41)</f>
        <v/>
      </c>
      <c r="Q44" s="461">
        <f>SUM(Q2:Q41)</f>
        <v/>
      </c>
      <c r="R44" s="63">
        <f>SUM(R2:R41)</f>
        <v/>
      </c>
      <c r="S44" s="72" t="n"/>
      <c r="T44" s="72" t="n"/>
      <c r="U44" s="72" t="n"/>
      <c r="V44" s="72" t="n"/>
      <c r="W44" s="72" t="n"/>
      <c r="X44" s="462">
        <f>(P44+Q44)/G44</f>
        <v/>
      </c>
      <c r="Y44" s="467" t="n"/>
      <c r="Z44" s="463">
        <f>IF(AA44=0,0,(P44+Q44)/(AA44))</f>
        <v/>
      </c>
      <c r="AA44" s="438">
        <f>SUM(AA37:AA41)</f>
        <v/>
      </c>
      <c r="AB44" s="324" t="n"/>
      <c r="AC44" s="325" t="n"/>
    </row>
    <row r="45" ht="17.25" customFormat="1" customHeight="1" s="36" thickBot="1">
      <c r="A45" s="468" t="n"/>
      <c r="B45" s="469" t="n"/>
      <c r="C45" s="469" t="n"/>
      <c r="D45" s="238" t="inlineStr">
        <is>
          <t>總計</t>
        </is>
      </c>
      <c r="E45" s="468" t="n"/>
      <c r="F45" s="470" t="n"/>
      <c r="G45" s="63">
        <f>SUM(G2:G41)</f>
        <v/>
      </c>
      <c r="H45" s="63">
        <f>SUM(H2:H41)</f>
        <v/>
      </c>
      <c r="I45" s="471" t="n"/>
      <c r="J45" s="471" t="n"/>
      <c r="K45" s="63">
        <f>SUM(K37:K41)</f>
        <v/>
      </c>
      <c r="L45" s="63">
        <f>SUM(L37:L41)</f>
        <v/>
      </c>
      <c r="M45" s="63">
        <f>SUM(M37:M41)</f>
        <v/>
      </c>
      <c r="N45" s="63">
        <f>SUM(N37:N41)</f>
        <v/>
      </c>
      <c r="O45" s="63">
        <f>SUM(O2:O41)</f>
        <v/>
      </c>
      <c r="P45" s="472">
        <f>SUM(P2:P41)</f>
        <v/>
      </c>
      <c r="Q45" s="461">
        <f>SUM(Q2:Q41)</f>
        <v/>
      </c>
      <c r="R45" s="63">
        <f>SUM(R2:R41)</f>
        <v/>
      </c>
      <c r="S45" s="72" t="n"/>
      <c r="T45" s="72" t="n"/>
      <c r="U45" s="72" t="n"/>
      <c r="V45" s="72" t="n"/>
      <c r="W45" s="72" t="n"/>
      <c r="X45" s="462">
        <f>(P45+Q45)/G45</f>
        <v/>
      </c>
      <c r="Y45" s="473" t="n"/>
      <c r="Z45" s="463">
        <f>IF(AA45=0,0,(P45+Q45)/(AA45))</f>
        <v/>
      </c>
      <c r="AA45" s="438">
        <f>AA44</f>
        <v/>
      </c>
      <c r="AB45" s="324" t="n"/>
      <c r="AC45" s="324" t="n"/>
    </row>
    <row r="46" ht="17.25" customHeight="1" thickBot="1">
      <c r="B46" s="37" t="n"/>
      <c r="C46" s="37" t="n"/>
      <c r="D46" s="28" t="n"/>
    </row>
    <row r="47" ht="17.25" customFormat="1" customHeight="1" s="8" thickBot="1">
      <c r="A47" s="383" t="inlineStr">
        <is>
          <t>分析</t>
        </is>
      </c>
      <c r="B47" s="456" t="n"/>
      <c r="C47" s="474" t="n"/>
      <c r="D47" s="251" t="inlineStr">
        <is>
          <t>技法</t>
        </is>
      </c>
      <c r="E47" s="383" t="n"/>
      <c r="F47" s="474" t="n"/>
      <c r="G47" s="251" t="inlineStr">
        <is>
          <t>成交金額</t>
        </is>
      </c>
      <c r="H47" s="251" t="inlineStr">
        <is>
          <t>手續費</t>
        </is>
      </c>
      <c r="I47" s="383" t="n"/>
      <c r="J47" s="383" t="n"/>
      <c r="K47" s="383" t="n"/>
      <c r="L47" s="383" t="n"/>
      <c r="M47" s="383" t="n"/>
      <c r="N47" s="383" t="n"/>
      <c r="O47" s="251" t="inlineStr">
        <is>
          <t>參考現值</t>
        </is>
      </c>
      <c r="P47" s="251" t="inlineStr">
        <is>
          <t>已實現損益</t>
        </is>
      </c>
      <c r="Q47" s="251" t="inlineStr">
        <is>
          <t>未實現損益</t>
        </is>
      </c>
      <c r="R47" s="251" t="inlineStr">
        <is>
          <t>除息</t>
        </is>
      </c>
      <c r="S47" s="383" t="inlineStr">
        <is>
          <t>手續費</t>
        </is>
      </c>
      <c r="T47" s="383" t="inlineStr">
        <is>
          <t>健保補充保費</t>
        </is>
      </c>
      <c r="U47" s="383" t="n"/>
      <c r="V47" s="383" t="inlineStr">
        <is>
          <t>扣抵稅率</t>
        </is>
      </c>
      <c r="W47" s="383" t="inlineStr">
        <is>
          <t>所得稅率</t>
        </is>
      </c>
      <c r="X47" s="251" t="inlineStr">
        <is>
          <t>投資報酬率</t>
        </is>
      </c>
      <c r="Y47" s="251" t="inlineStr">
        <is>
          <t>年化報酬率</t>
        </is>
      </c>
      <c r="Z47" s="251" t="inlineStr">
        <is>
          <t>勝率</t>
        </is>
      </c>
      <c r="AA47" s="89" t="n"/>
      <c r="AB47" s="37" t="n"/>
      <c r="AC47" s="321" t="n"/>
    </row>
    <row r="48" outlineLevel="1">
      <c r="A48" s="464" t="n"/>
      <c r="C48" s="475" t="n"/>
      <c r="D48" s="383" t="inlineStr">
        <is>
          <t>阿水一式</t>
        </is>
      </c>
      <c r="E48" s="464" t="n"/>
      <c r="F48" s="475" t="n"/>
      <c r="G48" s="265">
        <f>SUMIF(AB$2:AB$42,D48,G$2:G$42)</f>
        <v/>
      </c>
      <c r="H48" s="265">
        <f>SUMIF(AB$2:AB$42,D48,H$2:H$42)</f>
        <v/>
      </c>
      <c r="I48" s="467" t="n"/>
      <c r="J48" s="249" t="n"/>
      <c r="K48" s="257" t="n"/>
      <c r="L48" s="257" t="n"/>
      <c r="M48" s="257" t="n"/>
      <c r="N48" s="257" t="n"/>
      <c r="O48" s="265">
        <f>SUMIF(AB$2:AB$42,D48,O$2:O$42)</f>
        <v/>
      </c>
      <c r="P48" s="476">
        <f>SUMIF(AB$2:AB$42,D48,P$2:P$42)</f>
        <v/>
      </c>
      <c r="Q48" s="476">
        <f>SUMIF(AB$2:AB$42,"*"&amp;D48&amp;"*",Q$2:Q$42)</f>
        <v/>
      </c>
      <c r="R48" s="265">
        <f>SUMIF(AB$2:AB$42,D48,R$2:R$42)</f>
        <v/>
      </c>
      <c r="S48" s="257" t="n"/>
      <c r="T48" s="257" t="n"/>
      <c r="U48" s="467" t="n"/>
      <c r="V48" s="257" t="n"/>
      <c r="W48" s="257" t="n"/>
      <c r="X48" s="477">
        <f>(SUMIF(AB$2:AB$42,D48,P$2:P$42)+SUMIF(AB$2:AB$42,"*"&amp;D48&amp;"*",Q$2:Q$42))/SUMIF(AB$2:AB$42,D48,G$2:G$42)</f>
        <v/>
      </c>
      <c r="Y48" s="477">
        <f>(P48+Q48)/(AA48)</f>
        <v/>
      </c>
      <c r="Z48" s="268">
        <f>COUNTIFS(X$2:X$42,"&gt;0",AB$2:AB$42,D48)/COUNTIF(AB$2:AB$42,D48)</f>
        <v/>
      </c>
      <c r="AA48" s="37">
        <f>SUMIF(AB$2:AB$42,D48,AA$2:AA$42)</f>
        <v/>
      </c>
    </row>
    <row r="49" outlineLevel="1">
      <c r="A49" s="464" t="n"/>
      <c r="C49" s="475" t="n"/>
      <c r="D49" s="247" t="inlineStr">
        <is>
          <t>每月必漲股</t>
        </is>
      </c>
      <c r="E49" s="464" t="n"/>
      <c r="F49" s="475" t="n"/>
      <c r="G49" s="265">
        <f>SUMIF(AB$2:AB$42,D49,G$2:G$42)</f>
        <v/>
      </c>
      <c r="H49" s="265">
        <f>SUMIF(AB$2:AB$42,D49,H$2:H$42)</f>
        <v/>
      </c>
      <c r="I49" s="467" t="n"/>
      <c r="J49" s="249" t="n"/>
      <c r="K49" s="257" t="n"/>
      <c r="L49" s="257" t="n"/>
      <c r="M49" s="257" t="n"/>
      <c r="N49" s="257" t="n"/>
      <c r="O49" s="265">
        <f>SUMIF(AB$2:AB$42,D49,O$2:O$42)</f>
        <v/>
      </c>
      <c r="P49" s="476">
        <f>SUMIF(AB$2:AB$42,D49,P$2:P$42)</f>
        <v/>
      </c>
      <c r="Q49" s="476">
        <f>SUMIF(AB$2:AB$42,"*"&amp;D49&amp;"*",Q$2:Q$42)</f>
        <v/>
      </c>
      <c r="R49" s="265">
        <f>SUMIF(AB$2:AB$42,D49,R$2:R$42)</f>
        <v/>
      </c>
      <c r="S49" s="257" t="n"/>
      <c r="T49" s="257" t="n"/>
      <c r="U49" s="467" t="n"/>
      <c r="V49" s="257" t="n"/>
      <c r="W49" s="257" t="n"/>
      <c r="X49" s="477">
        <f>(SUMIF(AB$2:AB$42,D49,P$2:P$42)+SUMIF(AB$2:AB$42,"*"&amp;D49&amp;"*",Q$2:Q$42))/SUMIF(AB$2:AB$42,D49,G$2:G$42)</f>
        <v/>
      </c>
      <c r="Y49" s="477">
        <f>(P49+Q49)/(AA49)</f>
        <v/>
      </c>
      <c r="Z49" s="268">
        <f>COUNTIFS(X$2:X$42,"&gt;0",AB$2:AB$42,D49)/COUNTIF(AB$2:AB$42,D49)</f>
        <v/>
      </c>
      <c r="AA49" s="37">
        <f>SUMIF(AB$2:AB$42,D49,AA$2:AA$42)</f>
        <v/>
      </c>
    </row>
    <row r="50" outlineLevel="1" ht="17.25" customHeight="1" thickBot="1">
      <c r="A50" s="464" t="n"/>
      <c r="C50" s="475" t="n"/>
      <c r="D50" s="247" t="inlineStr">
        <is>
          <t>水某精選</t>
        </is>
      </c>
      <c r="E50" s="464" t="n"/>
      <c r="F50" s="475" t="n"/>
      <c r="G50" s="265">
        <f>SUMIF(AB$2:AB$42,D50,G$2:G$42)</f>
        <v/>
      </c>
      <c r="H50" s="265">
        <f>SUMIF(AB$2:AB$42,D50,H$2:H$42)</f>
        <v/>
      </c>
      <c r="I50" s="467" t="n"/>
      <c r="J50" s="250" t="n"/>
      <c r="K50" s="261" t="n"/>
      <c r="L50" s="261" t="n"/>
      <c r="M50" s="261" t="n"/>
      <c r="N50" s="261" t="n"/>
      <c r="O50" s="265">
        <f>SUMIF(AB$2:AB$42,D50,O$2:O$42)</f>
        <v/>
      </c>
      <c r="P50" s="476">
        <f>SUMIF(AB$2:AB$42,D50,P$2:P$42)</f>
        <v/>
      </c>
      <c r="Q50" s="476">
        <f>SUMIF(AB$2:AB$42,"*"&amp;D50&amp;"*",Q$2:Q$42)</f>
        <v/>
      </c>
      <c r="R50" s="265">
        <f>SUMIF(AB$2:AB$42,D50,R$2:R$42)</f>
        <v/>
      </c>
      <c r="S50" s="261" t="n"/>
      <c r="T50" s="261" t="n"/>
      <c r="U50" s="467" t="n"/>
      <c r="V50" s="261" t="n"/>
      <c r="W50" s="261" t="n"/>
      <c r="X50" s="477">
        <f>(SUMIF(AB$2:AB$42,D50,P$2:P$42)+SUMIF(AB$2:AB$42,"*"&amp;D50&amp;"*",Q$2:Q$42))/SUMIF(AB$2:AB$42,D50,G$2:G$42)</f>
        <v/>
      </c>
      <c r="Y50" s="477">
        <f>(P50+Q50)/(AA50)</f>
        <v/>
      </c>
      <c r="Z50" s="268">
        <f>COUNTIFS(X$2:X$42,"&gt;0",AB$2:AB$42,D50)/COUNTIF(AB$2:AB$42,D50)</f>
        <v/>
      </c>
      <c r="AA50" s="37">
        <f>SUMIF(AB$2:AB$42,D50,AA$2:AA$42)</f>
        <v/>
      </c>
    </row>
    <row r="51" outlineLevel="1">
      <c r="A51" s="464" t="n"/>
      <c r="C51" s="475" t="n"/>
      <c r="D51" s="247" t="inlineStr">
        <is>
          <t>除權息</t>
        </is>
      </c>
      <c r="E51" s="464" t="n"/>
      <c r="F51" s="475" t="n"/>
      <c r="G51" s="265">
        <f>SUMIF(AB$2:AB$42,D51,G$2:G$42)</f>
        <v/>
      </c>
      <c r="H51" s="265">
        <f>SUMIF(AB$2:AB$42,D51,H$2:H$42)</f>
        <v/>
      </c>
      <c r="I51" s="467" t="n"/>
      <c r="J51" s="249" t="n"/>
      <c r="K51" s="257" t="n"/>
      <c r="L51" s="257" t="n"/>
      <c r="M51" s="257" t="n"/>
      <c r="N51" s="257" t="n"/>
      <c r="O51" s="265">
        <f>SUMIF(AB$2:AB$42,D51,O$2:O$42)</f>
        <v/>
      </c>
      <c r="P51" s="476">
        <f>SUMIF(AB$2:AB$42,D51,P$2:P$42)</f>
        <v/>
      </c>
      <c r="Q51" s="476">
        <f>SUMIF(AB$2:AB$42,"*"&amp;D51&amp;"*",Q$2:Q$42)</f>
        <v/>
      </c>
      <c r="R51" s="265">
        <f>SUMIF(AB$2:AB$42,D51,R$2:R$42)</f>
        <v/>
      </c>
      <c r="S51" s="257" t="n"/>
      <c r="T51" s="257" t="n"/>
      <c r="U51" s="467" t="n"/>
      <c r="V51" s="257" t="n"/>
      <c r="W51" s="257" t="n"/>
      <c r="X51" s="477">
        <f>(SUMIF(AB$2:AB$42,D51,P$2:P$42)+SUMIF(AB$2:AB$42,"*"&amp;D51&amp;"*",Q$2:Q$42))/SUMIF(AB$2:AB$42,D51,G$2:G$42)</f>
        <v/>
      </c>
      <c r="Y51" s="477">
        <f>(P51+Q51)/(AA51)</f>
        <v/>
      </c>
      <c r="Z51" s="268">
        <f>COUNTIFS(X$2:X$42,"&gt;0",AB$2:AB$42,D51)/COUNTIF(AB$2:AB$42,D51)</f>
        <v/>
      </c>
      <c r="AA51" s="37">
        <f>SUMIF(AB$2:AB$42,D51,AA$2:AA$42)</f>
        <v/>
      </c>
    </row>
    <row r="52" outlineLevel="1">
      <c r="A52" s="464" t="n"/>
      <c r="C52" s="475" t="n"/>
      <c r="D52" s="247" t="inlineStr">
        <is>
          <t>強勢股</t>
        </is>
      </c>
      <c r="E52" s="464" t="n"/>
      <c r="F52" s="475" t="n"/>
      <c r="G52" s="265">
        <f>SUMIF(AB$2:AB$42,D52,G$2:G$42)</f>
        <v/>
      </c>
      <c r="H52" s="265">
        <f>SUMIF(AB$2:AB$42,D52,H$2:H$42)</f>
        <v/>
      </c>
      <c r="I52" s="467" t="n"/>
      <c r="J52" s="249" t="n"/>
      <c r="K52" s="257" t="n"/>
      <c r="L52" s="257" t="n"/>
      <c r="M52" s="257" t="n"/>
      <c r="N52" s="257" t="n"/>
      <c r="O52" s="265">
        <f>SUMIF(AB$2:AB$42,D52,O$2:O$42)</f>
        <v/>
      </c>
      <c r="P52" s="476">
        <f>SUMIF(AB$2:AB$42,D52,P$2:P$42)</f>
        <v/>
      </c>
      <c r="Q52" s="476">
        <f>SUMIF(AB$2:AB$42,"*"&amp;D52&amp;"*",Q$2:Q$42)</f>
        <v/>
      </c>
      <c r="R52" s="265">
        <f>SUMIF(AB$2:AB$42,D52,R$2:R$42)</f>
        <v/>
      </c>
      <c r="S52" s="257" t="n"/>
      <c r="T52" s="257" t="n"/>
      <c r="U52" s="467" t="n"/>
      <c r="V52" s="257" t="n"/>
      <c r="W52" s="257" t="n"/>
      <c r="X52" s="477">
        <f>(SUMIF(AB$2:AB$42,D52,P$2:P$42)+SUMIF(AB$2:AB$42,"*"&amp;D52&amp;"*",Q$2:Q$42))/SUMIF(AB$2:AB$42,D52,G$2:G$42)</f>
        <v/>
      </c>
      <c r="Y52" s="477">
        <f>(P52+Q52)/(AA52)</f>
        <v/>
      </c>
      <c r="Z52" s="268">
        <f>COUNTIFS(X$2:X$42,"&gt;0",AB$2:AB$42,D52)/COUNTIF(AB$2:AB$42,D52)</f>
        <v/>
      </c>
      <c r="AA52" s="37">
        <f>SUMIF(AB$2:AB$42,D52,AA$2:AA$42)</f>
        <v/>
      </c>
    </row>
    <row r="53" outlineLevel="1" ht="17.25" customHeight="1" thickBot="1">
      <c r="A53" s="464" t="n"/>
      <c r="C53" s="475" t="n"/>
      <c r="D53" s="247" t="inlineStr">
        <is>
          <t>存股</t>
        </is>
      </c>
      <c r="E53" s="464" t="n"/>
      <c r="F53" s="475" t="n"/>
      <c r="G53" s="265">
        <f>SUMIF(AB$2:AB$42,D53,G$2:G$42)</f>
        <v/>
      </c>
      <c r="H53" s="265">
        <f>SUMIF(AB$2:AB$42,D53,H$2:H$42)</f>
        <v/>
      </c>
      <c r="I53" s="467" t="n"/>
      <c r="J53" s="250" t="n"/>
      <c r="K53" s="261" t="n"/>
      <c r="L53" s="261" t="n"/>
      <c r="M53" s="261" t="n"/>
      <c r="N53" s="261" t="n"/>
      <c r="O53" s="265">
        <f>SUMIF(AB$2:AB$42,D53,O$2:O$42)</f>
        <v/>
      </c>
      <c r="P53" s="476">
        <f>SUMIF(AB$2:AB$42,D53,P$2:P$42)</f>
        <v/>
      </c>
      <c r="Q53" s="476">
        <f>SUMIF(AB$2:AB$42,"*"&amp;D53&amp;"*",Q$2:Q$42)</f>
        <v/>
      </c>
      <c r="R53" s="265">
        <f>SUMIF(AB$2:AB$42,D53,R$2:R$42)</f>
        <v/>
      </c>
      <c r="S53" s="261" t="n"/>
      <c r="T53" s="261" t="n"/>
      <c r="U53" s="467" t="n"/>
      <c r="V53" s="261" t="n"/>
      <c r="W53" s="261" t="n"/>
      <c r="X53" s="477">
        <f>(SUMIF(AB$2:AB$42,D53,P$2:P$42)+SUMIF(AB$2:AB$42,"*"&amp;D53&amp;"*",Q$2:Q$42))/SUMIF(AB$2:AB$42,D53,G$2:G$42)</f>
        <v/>
      </c>
      <c r="Y53" s="477">
        <f>(P53+Q53)/(AA53)</f>
        <v/>
      </c>
      <c r="Z53" s="268">
        <f>COUNTIFS(X$2:X$42,"&gt;0",AB$2:AB$42,D53)/COUNTIF(AB$2:AB$42,D53)</f>
        <v/>
      </c>
      <c r="AA53" s="37">
        <f>SUMIF(AB$2:AB$42,D53,AA$2:AA$42)</f>
        <v/>
      </c>
    </row>
    <row r="54" outlineLevel="1" ht="17.25" customHeight="1" thickBot="1">
      <c r="A54" s="478" t="n"/>
      <c r="B54" s="479" t="n"/>
      <c r="C54" s="480" t="n"/>
      <c r="D54" s="248" t="inlineStr">
        <is>
          <t>抽籤</t>
        </is>
      </c>
      <c r="E54" s="478" t="n"/>
      <c r="F54" s="480" t="n"/>
      <c r="G54" s="252">
        <f>SUMIF(AB$2:AB$42,D54,G$2:G$42)</f>
        <v/>
      </c>
      <c r="H54" s="252">
        <f>SUMIF(AB$2:AB$42,D54,H$2:H$42)</f>
        <v/>
      </c>
      <c r="I54" s="481" t="n"/>
      <c r="J54" s="250" t="n"/>
      <c r="K54" s="261" t="n"/>
      <c r="L54" s="261" t="n"/>
      <c r="M54" s="261" t="n"/>
      <c r="N54" s="261" t="n"/>
      <c r="O54" s="252">
        <f>SUMIF(AB$2:AB$42,D54,O$2:O$42)</f>
        <v/>
      </c>
      <c r="P54" s="482">
        <f>SUMIF(AB$2:AB$42,D54,P$2:P$42)</f>
        <v/>
      </c>
      <c r="Q54" s="482">
        <f>SUMIF(AB$2:AB$42,"*"&amp;D54&amp;"*",Q$2:Q$42)</f>
        <v/>
      </c>
      <c r="R54" s="252">
        <f>SUMIF(AB$2:AB$42,D54,R$2:R$42)</f>
        <v/>
      </c>
      <c r="S54" s="261" t="n"/>
      <c r="T54" s="261" t="n"/>
      <c r="U54" s="481" t="n"/>
      <c r="V54" s="261" t="n"/>
      <c r="W54" s="261" t="n"/>
      <c r="X54" s="483">
        <f>(SUMIF(AB$2:AB$42,D54,P$2:P$42)+SUMIF(AB$2:AB$42,"*"&amp;D54&amp;"*",Q$2:Q$42))/SUMIF(AB$2:AB$42,D54,G$2:G$42)</f>
        <v/>
      </c>
      <c r="Y54" s="483">
        <f>(P54+Q54)/(AA54)</f>
        <v/>
      </c>
      <c r="Z54" s="255">
        <f>COUNTIFS(X$2:X$42,"&gt;0",AB$2:AB$42,D54)/COUNTIF(AB$2:AB$42,D54)</f>
        <v/>
      </c>
      <c r="AA54" s="37">
        <f>SUMIF(AB$2:AB$42,D54,AA$2:AA$42)</f>
        <v/>
      </c>
    </row>
    <row r="55">
      <c r="B55" s="37" t="n"/>
      <c r="C55" s="37" t="n"/>
      <c r="D55" s="28" t="n"/>
    </row>
    <row r="56" ht="17.25" customHeight="1" thickBot="1">
      <c r="B56" s="37" t="n"/>
      <c r="C56" s="37" t="n"/>
      <c r="D56" s="28" t="n"/>
    </row>
    <row r="57" customFormat="1" s="8">
      <c r="A57" s="1" t="inlineStr">
        <is>
          <t>買進日期</t>
        </is>
      </c>
      <c r="B57" s="2" t="inlineStr">
        <is>
          <t>種類</t>
        </is>
      </c>
      <c r="C57" s="3" t="inlineStr">
        <is>
          <t>股票代號</t>
        </is>
      </c>
      <c r="D57" s="4" t="inlineStr">
        <is>
          <t>股票名稱</t>
        </is>
      </c>
      <c r="E57" s="4" t="inlineStr">
        <is>
          <t>股數</t>
        </is>
      </c>
      <c r="F57" s="4" t="inlineStr">
        <is>
          <t>買進價</t>
        </is>
      </c>
      <c r="G57" s="4" t="inlineStr">
        <is>
          <t>成交金額</t>
        </is>
      </c>
      <c r="H57" s="432" t="inlineStr">
        <is>
          <t>手續費</t>
        </is>
      </c>
      <c r="I57" s="140" t="inlineStr">
        <is>
          <t>賣出日期</t>
        </is>
      </c>
      <c r="J57" s="4" t="inlineStr">
        <is>
          <t>賣出價</t>
        </is>
      </c>
      <c r="K57" s="4" t="inlineStr">
        <is>
          <t>成交金額</t>
        </is>
      </c>
      <c r="L57" s="432" t="inlineStr">
        <is>
          <t>手續費</t>
        </is>
      </c>
      <c r="M57" s="432" t="inlineStr">
        <is>
          <t>交易稅</t>
        </is>
      </c>
      <c r="N57" s="3" t="inlineStr">
        <is>
          <t>證所稅</t>
        </is>
      </c>
      <c r="O57" s="4" t="inlineStr">
        <is>
          <t>參考現值</t>
        </is>
      </c>
      <c r="P57" s="433" t="inlineStr">
        <is>
          <t>已實現損益</t>
        </is>
      </c>
      <c r="Q57" s="4" t="inlineStr">
        <is>
          <t>未實現損益</t>
        </is>
      </c>
      <c r="R57" s="4" t="inlineStr">
        <is>
          <t>除息</t>
        </is>
      </c>
      <c r="S57" s="68" t="inlineStr">
        <is>
          <t>手續費</t>
        </is>
      </c>
      <c r="T57" s="68" t="inlineStr">
        <is>
          <t>健保補充保費</t>
        </is>
      </c>
      <c r="U57" s="68" t="inlineStr">
        <is>
          <t>實質扣抵稅率</t>
        </is>
      </c>
      <c r="V57" s="68" t="inlineStr">
        <is>
          <t>扣抵稅率</t>
        </is>
      </c>
      <c r="W57" s="68" t="inlineStr">
        <is>
          <t>所得稅率</t>
        </is>
      </c>
      <c r="X57" s="4" t="inlineStr">
        <is>
          <t>投資報酬率</t>
        </is>
      </c>
      <c r="Y57" s="4" t="inlineStr">
        <is>
          <t>今日股價</t>
        </is>
      </c>
      <c r="Z57" s="7" t="inlineStr">
        <is>
          <t>漲跌</t>
        </is>
      </c>
      <c r="AA57" s="37" t="n"/>
      <c r="AB57" s="321" t="n"/>
      <c r="AC57" s="321" t="n"/>
    </row>
    <row r="58">
      <c r="A58" s="18">
        <f>MIN(A60:A60)</f>
        <v/>
      </c>
      <c r="B58" s="19" t="n"/>
      <c r="C58" s="20" t="n"/>
      <c r="D58" s="19" t="n"/>
      <c r="E58" s="19" t="n"/>
      <c r="F58" s="19" t="n"/>
      <c r="G58" s="19" t="n"/>
      <c r="H58" s="19" t="n"/>
      <c r="I58" s="21" t="n"/>
      <c r="J58" s="22" t="n"/>
      <c r="K58" s="19" t="n"/>
      <c r="L58" s="443" t="n"/>
      <c r="M58" s="19" t="n"/>
      <c r="N58" s="19" t="n"/>
      <c r="O58" s="444" t="n"/>
      <c r="P58" s="445" t="n"/>
      <c r="Q58" s="445" t="n"/>
      <c r="R58" s="445" t="n"/>
      <c r="S58" s="445" t="n"/>
      <c r="T58" s="445" t="n"/>
      <c r="U58" s="445" t="n"/>
      <c r="V58" s="74" t="n"/>
      <c r="W58" s="77" t="n"/>
      <c r="X58" s="446" t="n"/>
      <c r="Y58" s="22" t="n"/>
      <c r="Z58" s="27" t="n"/>
      <c r="AA58" s="194" t="n"/>
      <c r="AB58" s="37" t="n"/>
      <c r="AC58" s="37" t="n"/>
    </row>
    <row r="59">
      <c r="A59" s="224" t="n">
        <v>45442</v>
      </c>
      <c r="B59" s="11" t="inlineStr">
        <is>
          <t>普通買進</t>
        </is>
      </c>
      <c r="C59" s="225" t="inlineStr">
        <is>
          <t>NVDA</t>
        </is>
      </c>
      <c r="D59" s="189">
        <f>VLOOKUP(C59,美股行情!A:C,2,FALSE)</f>
        <v/>
      </c>
      <c r="E59" s="11" t="n">
        <v>80</v>
      </c>
      <c r="F59" s="11" t="n">
        <v>114.6</v>
      </c>
      <c r="G59" s="11">
        <f>E59*F59</f>
        <v/>
      </c>
      <c r="H59" s="485">
        <f>G59*0.25%</f>
        <v/>
      </c>
      <c r="I59" s="104" t="n"/>
      <c r="J59" s="16" t="n"/>
      <c r="K59" s="11">
        <f>E59*J59</f>
        <v/>
      </c>
      <c r="L59" s="17" t="n"/>
      <c r="M59" s="11" t="n"/>
      <c r="N59" s="11" t="n">
        <v>0</v>
      </c>
      <c r="O59" s="434">
        <f>IF(I59="",E59*Y59,0)</f>
        <v/>
      </c>
      <c r="P59" s="435">
        <f>IF(I59="",R59-H59,(K59-H59-SUM(L59:N59)+R59-S59-T59)-G59)+(ROUND(R59*V59,0)-ROUND(R59*(1+V59),0)*W59)</f>
        <v/>
      </c>
      <c r="Q59" s="435">
        <f>IF(I59="",(O59-G59-(O59*0.1425%*0.65)-(O59*0.3%)-S59-T59),0)</f>
        <v/>
      </c>
      <c r="R59" s="435">
        <f>0.56+0.56+0.56</f>
        <v/>
      </c>
      <c r="S59" s="435" t="n">
        <v>0</v>
      </c>
      <c r="T59" s="435">
        <f>IF(ROUND(R59*(1+V59),0)&gt;20000,ROUND(ROUND(R59*(1+V59),0)*2%,0),0)</f>
        <v/>
      </c>
      <c r="U59" s="69">
        <f>(V59*50%)/(1+50%*V59)</f>
        <v/>
      </c>
      <c r="V59" s="69" t="n"/>
      <c r="W59" s="70" t="n">
        <v>0.11</v>
      </c>
      <c r="X59" s="436">
        <f>(P59+Q59)/G59</f>
        <v/>
      </c>
      <c r="Y59" s="16">
        <f>VLOOKUP(C59,美股行情!A:C,3,FALSE)</f>
        <v/>
      </c>
      <c r="Z59" s="437">
        <f>VLOOKUP(C59,美股行情!A:G,7,FALSE)</f>
        <v/>
      </c>
      <c r="AA59" s="103" t="n"/>
      <c r="AB59" s="9" t="n"/>
      <c r="AC59" s="312" t="n"/>
    </row>
    <row r="60" ht="17.25" customHeight="1" thickBot="1">
      <c r="A60" s="48" t="n"/>
      <c r="B60" s="49" t="n"/>
      <c r="C60" s="49" t="n"/>
      <c r="D60" s="49" t="n"/>
      <c r="E60" s="49" t="n"/>
      <c r="F60" s="49" t="n"/>
      <c r="G60" s="49" t="n"/>
      <c r="H60" s="49" t="n"/>
      <c r="I60" s="50" t="n"/>
      <c r="J60" s="51" t="n"/>
      <c r="K60" s="49" t="n"/>
      <c r="L60" s="447" t="n"/>
      <c r="M60" s="49" t="n"/>
      <c r="N60" s="49" t="n"/>
      <c r="O60" s="448" t="n"/>
      <c r="P60" s="449" t="n"/>
      <c r="Q60" s="449" t="n"/>
      <c r="R60" s="449" t="n"/>
      <c r="S60" s="449" t="n"/>
      <c r="T60" s="450" t="n"/>
      <c r="U60" s="449" t="n"/>
      <c r="V60" s="449" t="n"/>
      <c r="W60" s="78" t="n"/>
      <c r="X60" s="451" t="n"/>
      <c r="Y60" s="51" t="n"/>
      <c r="Z60" s="56" t="n"/>
      <c r="AA60" s="194" t="n"/>
      <c r="AB60" s="37" t="n"/>
      <c r="AC60" s="37" t="n"/>
    </row>
    <row r="61" ht="17.25" customFormat="1" customHeight="1" s="36" thickBot="1">
      <c r="A61" s="9" t="n"/>
      <c r="B61" s="9" t="n"/>
      <c r="C61" s="9" t="n"/>
      <c r="D61" s="179" t="inlineStr">
        <is>
          <t>外幣總計</t>
        </is>
      </c>
      <c r="E61" s="486" t="n"/>
      <c r="F61" s="460" t="n"/>
      <c r="G61" s="63">
        <f>SUM(G58:G60)</f>
        <v/>
      </c>
      <c r="H61" s="63">
        <f>SUM(H58:H60)</f>
        <v/>
      </c>
      <c r="I61" s="486" t="n"/>
      <c r="J61" s="460" t="n"/>
      <c r="K61" s="63">
        <f>SUM(K58:K60)</f>
        <v/>
      </c>
      <c r="L61" s="63">
        <f>SUM(L58:L60)</f>
        <v/>
      </c>
      <c r="M61" s="63">
        <f>SUM(M58:M60)</f>
        <v/>
      </c>
      <c r="N61" s="63">
        <f>SUM(N58:N60)</f>
        <v/>
      </c>
      <c r="O61" s="63">
        <f>SUM(O58:O60)</f>
        <v/>
      </c>
      <c r="P61" s="472">
        <f>SUM(P58:P60)</f>
        <v/>
      </c>
      <c r="Q61" s="461">
        <f>SUM(Q58:Q60)</f>
        <v/>
      </c>
      <c r="R61" s="63">
        <f>SUM(R58:R60)</f>
        <v/>
      </c>
      <c r="S61" s="72" t="n"/>
      <c r="T61" s="72" t="n"/>
      <c r="U61" s="72" t="n"/>
      <c r="V61" s="72" t="n"/>
      <c r="W61" s="72" t="n"/>
      <c r="X61" s="487">
        <f>(P61+Q61)/G61</f>
        <v/>
      </c>
      <c r="Y61" s="9" t="n"/>
      <c r="Z61" s="9" t="n"/>
      <c r="AA61" s="324" t="n"/>
      <c r="AB61" s="326" t="n"/>
      <c r="AC61" s="326" t="n"/>
    </row>
    <row r="62" ht="17.25" customFormat="1" customHeight="1" s="36" thickBot="1">
      <c r="A62" s="9" t="n"/>
      <c r="B62" s="9" t="n"/>
      <c r="C62" s="9" t="n"/>
      <c r="D62" s="179" t="inlineStr">
        <is>
          <t>換算台幣總計</t>
        </is>
      </c>
      <c r="E62" s="486" t="n"/>
      <c r="F62" s="460" t="n"/>
      <c r="G62" s="63">
        <f>G61*匯率!B3</f>
        <v/>
      </c>
      <c r="H62" s="63">
        <f>H61*匯率!B3</f>
        <v/>
      </c>
      <c r="I62" s="486" t="n"/>
      <c r="J62" s="460" t="n"/>
      <c r="K62" s="63">
        <f>SUM(K58:K61)</f>
        <v/>
      </c>
      <c r="L62" s="63">
        <f>SUM(L58:L61)</f>
        <v/>
      </c>
      <c r="M62" s="63">
        <f>SUM(M58:M61)</f>
        <v/>
      </c>
      <c r="N62" s="63">
        <f>SUM(N58:N61)</f>
        <v/>
      </c>
      <c r="O62" s="63">
        <f>O61*匯率!B3</f>
        <v/>
      </c>
      <c r="P62" s="472">
        <f>P61*匯率!B3</f>
        <v/>
      </c>
      <c r="Q62" s="63">
        <f>Q61*匯率!B3</f>
        <v/>
      </c>
      <c r="R62" s="63">
        <f>R61*匯率!B3</f>
        <v/>
      </c>
      <c r="S62" s="72" t="n"/>
      <c r="T62" s="72" t="n"/>
      <c r="U62" s="72" t="n"/>
      <c r="V62" s="72" t="n"/>
      <c r="W62" s="72" t="n"/>
      <c r="X62" s="487">
        <f>(P62+Q62)/G62</f>
        <v/>
      </c>
      <c r="Y62" s="9" t="n"/>
      <c r="Z62" s="9" t="n"/>
      <c r="AA62" s="324" t="n"/>
      <c r="AB62" s="326" t="n"/>
      <c r="AC62" s="326" t="n"/>
    </row>
    <row r="63">
      <c r="A63" s="37" t="n"/>
      <c r="B63" s="37" t="n"/>
      <c r="C63" s="37" t="n"/>
      <c r="D63" s="28" t="n"/>
    </row>
  </sheetData>
  <autoFilter ref="A1:AA65"/>
  <mergeCells count="14">
    <mergeCell ref="J43:J45"/>
    <mergeCell ref="U47:U54"/>
    <mergeCell ref="E43:F45"/>
    <mergeCell ref="E47:F54"/>
    <mergeCell ref="E62:F62"/>
    <mergeCell ref="Y43:Y45"/>
    <mergeCell ref="I62:J62"/>
    <mergeCell ref="I43:I45"/>
    <mergeCell ref="K43:N43"/>
    <mergeCell ref="I47:I54"/>
    <mergeCell ref="A43:C45"/>
    <mergeCell ref="E61:F61"/>
    <mergeCell ref="I61:J61"/>
    <mergeCell ref="A47:C54"/>
  </mergeCells>
  <conditionalFormatting sqref="Z1:AA3 Z38:AA46 Z55:AA56 Z63:AA1048576">
    <cfRule type="containsText" priority="221" operator="containsText" dxfId="12" text="△">
      <formula>NOT(ISERROR(SEARCH("△",Z1)))</formula>
    </cfRule>
    <cfRule type="containsText" priority="222" operator="containsText" dxfId="11" text="▽">
      <formula>NOT(ISERROR(SEARCH("▽",Z1)))</formula>
    </cfRule>
  </conditionalFormatting>
  <conditionalFormatting sqref="I38:I42">
    <cfRule type="expression" priority="219" dxfId="204">
      <formula>$I38&gt;(TODAY()-7)</formula>
    </cfRule>
    <cfRule type="expression" priority="220" dxfId="203">
      <formula>$I38&gt;(TODAY()-30)</formula>
    </cfRule>
  </conditionalFormatting>
  <conditionalFormatting sqref="Z2:Z27 Z38:Z41 Z58 Z60">
    <cfRule type="cellIs" priority="209" operator="lessThan" dxfId="8">
      <formula>0</formula>
    </cfRule>
    <cfRule type="cellIs" priority="210" operator="greaterThan" dxfId="7">
      <formula>0</formula>
    </cfRule>
  </conditionalFormatting>
  <conditionalFormatting sqref="Z2:AA2 Z10:AA27">
    <cfRule type="containsText" priority="205" operator="containsText" dxfId="12" text="▲">
      <formula>NOT(ISERROR(SEARCH("▲",Z2)))</formula>
    </cfRule>
    <cfRule type="containsText" priority="206" operator="containsText" dxfId="11" text="▼">
      <formula>NOT(ISERROR(SEARCH("▼",Z2)))</formula>
    </cfRule>
  </conditionalFormatting>
  <conditionalFormatting sqref="Z37:AA37">
    <cfRule type="containsText" priority="197" operator="containsText" dxfId="12" text="▲">
      <formula>NOT(ISERROR(SEARCH("▲",Z37)))</formula>
    </cfRule>
    <cfRule type="containsText" priority="198" operator="containsText" dxfId="11" text="▼">
      <formula>NOT(ISERROR(SEARCH("▼",Z37)))</formula>
    </cfRule>
  </conditionalFormatting>
  <conditionalFormatting sqref="Z37">
    <cfRule type="cellIs" priority="195" operator="lessThan" dxfId="8">
      <formula>0</formula>
    </cfRule>
    <cfRule type="cellIs" priority="196" operator="greaterThan" dxfId="7">
      <formula>0</formula>
    </cfRule>
  </conditionalFormatting>
  <conditionalFormatting sqref="Z6:AA27">
    <cfRule type="containsText" priority="165" operator="containsText" dxfId="12" text="▲">
      <formula>NOT(ISERROR(SEARCH("▲",Z6)))</formula>
    </cfRule>
    <cfRule type="containsText" priority="166" operator="containsText" dxfId="11" text="▼">
      <formula>NOT(ISERROR(SEARCH("▼",Z6)))</formula>
    </cfRule>
  </conditionalFormatting>
  <conditionalFormatting sqref="Z3:AA3">
    <cfRule type="containsText" priority="163" operator="containsText" dxfId="12" text="▲">
      <formula>NOT(ISERROR(SEARCH("▲",Z3)))</formula>
    </cfRule>
    <cfRule type="containsText" priority="164" operator="containsText" dxfId="11" text="▼">
      <formula>NOT(ISERROR(SEARCH("▼",Z3)))</formula>
    </cfRule>
  </conditionalFormatting>
  <conditionalFormatting sqref="Z5:AA27">
    <cfRule type="containsText" priority="161" operator="containsText" dxfId="12" text="▲">
      <formula>NOT(ISERROR(SEARCH("▲",Z5)))</formula>
    </cfRule>
    <cfRule type="containsText" priority="162" operator="containsText" dxfId="11" text="▼">
      <formula>NOT(ISERROR(SEARCH("▼",Z5)))</formula>
    </cfRule>
  </conditionalFormatting>
  <conditionalFormatting sqref="Z4:AA27">
    <cfRule type="containsText" priority="159" operator="containsText" dxfId="12" text="▲">
      <formula>NOT(ISERROR(SEARCH("▲",Z4)))</formula>
    </cfRule>
    <cfRule type="containsText" priority="160" operator="containsText" dxfId="11" text="▼">
      <formula>NOT(ISERROR(SEARCH("▼",Z4)))</formula>
    </cfRule>
  </conditionalFormatting>
  <conditionalFormatting sqref="Z8:AA27">
    <cfRule type="containsText" priority="157" operator="containsText" dxfId="12" text="▲">
      <formula>NOT(ISERROR(SEARCH("▲",Z8)))</formula>
    </cfRule>
    <cfRule type="containsText" priority="158" operator="containsText" dxfId="11" text="▼">
      <formula>NOT(ISERROR(SEARCH("▼",Z8)))</formula>
    </cfRule>
  </conditionalFormatting>
  <conditionalFormatting sqref="Z7:AA7">
    <cfRule type="containsText" priority="155" operator="containsText" dxfId="12" text="▲">
      <formula>NOT(ISERROR(SEARCH("▲",Z7)))</formula>
    </cfRule>
    <cfRule type="containsText" priority="156" operator="containsText" dxfId="11" text="▼">
      <formula>NOT(ISERROR(SEARCH("▼",Z7)))</formula>
    </cfRule>
  </conditionalFormatting>
  <conditionalFormatting sqref="Z9:AA27">
    <cfRule type="containsText" priority="153" operator="containsText" dxfId="12" text="▲">
      <formula>NOT(ISERROR(SEARCH("▲",Z9)))</formula>
    </cfRule>
    <cfRule type="containsText" priority="154" operator="containsText" dxfId="11" text="▼">
      <formula>NOT(ISERROR(SEARCH("▼",Z9)))</formula>
    </cfRule>
  </conditionalFormatting>
  <conditionalFormatting sqref="Z22:AA27">
    <cfRule type="containsText" priority="151" operator="containsText" dxfId="12" text="▲">
      <formula>NOT(ISERROR(SEARCH("▲",Z22)))</formula>
    </cfRule>
    <cfRule type="containsText" priority="152" operator="containsText" dxfId="11" text="▼">
      <formula>NOT(ISERROR(SEARCH("▼",Z22)))</formula>
    </cfRule>
  </conditionalFormatting>
  <conditionalFormatting sqref="Z57:Z58 Z60:Z61">
    <cfRule type="containsText" priority="149" operator="containsText" dxfId="12" text="△">
      <formula>NOT(ISERROR(SEARCH("△",Z57)))</formula>
    </cfRule>
    <cfRule type="containsText" priority="150" operator="containsText" dxfId="11" text="▽">
      <formula>NOT(ISERROR(SEARCH("▽",Z57)))</formula>
    </cfRule>
  </conditionalFormatting>
  <conditionalFormatting sqref="I60">
    <cfRule type="expression" priority="147" dxfId="204">
      <formula>$I60&gt;(TODAY()-7)</formula>
    </cfRule>
    <cfRule type="expression" priority="148" dxfId="203">
      <formula>$I60&gt;(TODAY()-30)</formula>
    </cfRule>
  </conditionalFormatting>
  <conditionalFormatting sqref="I58">
    <cfRule type="expression" priority="141" dxfId="204">
      <formula>$I58&gt;(TODAY()-7)</formula>
    </cfRule>
    <cfRule type="expression" priority="142" dxfId="203">
      <formula>$I58&gt;(TODAY()-30)</formula>
    </cfRule>
  </conditionalFormatting>
  <conditionalFormatting sqref="Z62">
    <cfRule type="containsText" priority="139" operator="containsText" dxfId="12" text="△">
      <formula>NOT(ISERROR(SEARCH("△",Z62)))</formula>
    </cfRule>
    <cfRule type="containsText" priority="140" operator="containsText" dxfId="11" text="▽">
      <formula>NOT(ISERROR(SEARCH("▽",Z62)))</formula>
    </cfRule>
  </conditionalFormatting>
  <conditionalFormatting sqref="Z13:AA13">
    <cfRule type="containsText" priority="137" operator="containsText" dxfId="12" text="▲">
      <formula>NOT(ISERROR(SEARCH("▲",Z13)))</formula>
    </cfRule>
    <cfRule type="containsText" priority="138" operator="containsText" dxfId="11" text="▼">
      <formula>NOT(ISERROR(SEARCH("▼",Z13)))</formula>
    </cfRule>
  </conditionalFormatting>
  <conditionalFormatting sqref="Z14:AA27">
    <cfRule type="containsText" priority="135" operator="containsText" dxfId="12" text="▲">
      <formula>NOT(ISERROR(SEARCH("▲",Z14)))</formula>
    </cfRule>
    <cfRule type="containsText" priority="136" operator="containsText" dxfId="11" text="▼">
      <formula>NOT(ISERROR(SEARCH("▼",Z14)))</formula>
    </cfRule>
  </conditionalFormatting>
  <conditionalFormatting sqref="Z15:AA27">
    <cfRule type="containsText" priority="129" operator="containsText" dxfId="12" text="▲">
      <formula>NOT(ISERROR(SEARCH("▲",Z15)))</formula>
    </cfRule>
    <cfRule type="containsText" priority="130" operator="containsText" dxfId="11" text="▼">
      <formula>NOT(ISERROR(SEARCH("▼",Z15)))</formula>
    </cfRule>
  </conditionalFormatting>
  <conditionalFormatting sqref="Z12:AA27">
    <cfRule type="containsText" priority="127" operator="containsText" dxfId="12" text="▲">
      <formula>NOT(ISERROR(SEARCH("▲",Z12)))</formula>
    </cfRule>
    <cfRule type="containsText" priority="128" operator="containsText" dxfId="11" text="▼">
      <formula>NOT(ISERROR(SEARCH("▼",Z12)))</formula>
    </cfRule>
  </conditionalFormatting>
  <conditionalFormatting sqref="Z11:AA27">
    <cfRule type="containsText" priority="123" operator="containsText" dxfId="12" text="▲">
      <formula>NOT(ISERROR(SEARCH("▲",Z11)))</formula>
    </cfRule>
    <cfRule type="containsText" priority="124" operator="containsText" dxfId="11" text="▼">
      <formula>NOT(ISERROR(SEARCH("▼",Z11)))</formula>
    </cfRule>
  </conditionalFormatting>
  <conditionalFormatting sqref="Z25:AA25">
    <cfRule type="containsText" priority="119" operator="containsText" dxfId="12" text="▲">
      <formula>NOT(ISERROR(SEARCH("▲",Z25)))</formula>
    </cfRule>
    <cfRule type="containsText" priority="120" operator="containsText" dxfId="11" text="▼">
      <formula>NOT(ISERROR(SEARCH("▼",Z25)))</formula>
    </cfRule>
  </conditionalFormatting>
  <conditionalFormatting sqref="Z21:AA27">
    <cfRule type="containsText" priority="117" operator="containsText" dxfId="12" text="▲">
      <formula>NOT(ISERROR(SEARCH("▲",Z21)))</formula>
    </cfRule>
    <cfRule type="containsText" priority="118" operator="containsText" dxfId="11" text="▼">
      <formula>NOT(ISERROR(SEARCH("▼",Z21)))</formula>
    </cfRule>
  </conditionalFormatting>
  <conditionalFormatting sqref="Z24:AA27">
    <cfRule type="containsText" priority="115" operator="containsText" dxfId="12" text="▲">
      <formula>NOT(ISERROR(SEARCH("▲",Z24)))</formula>
    </cfRule>
    <cfRule type="containsText" priority="116" operator="containsText" dxfId="11" text="▼">
      <formula>NOT(ISERROR(SEARCH("▼",Z24)))</formula>
    </cfRule>
  </conditionalFormatting>
  <conditionalFormatting sqref="Z20:AA20">
    <cfRule type="containsText" priority="111" operator="containsText" dxfId="12" text="▲">
      <formula>NOT(ISERROR(SEARCH("▲",Z20)))</formula>
    </cfRule>
    <cfRule type="containsText" priority="112" operator="containsText" dxfId="11" text="▼">
      <formula>NOT(ISERROR(SEARCH("▼",Z20)))</formula>
    </cfRule>
  </conditionalFormatting>
  <conditionalFormatting sqref="Z16:AA27">
    <cfRule type="containsText" priority="109" operator="containsText" dxfId="12" text="▲">
      <formula>NOT(ISERROR(SEARCH("▲",Z16)))</formula>
    </cfRule>
    <cfRule type="containsText" priority="110" operator="containsText" dxfId="11" text="▼">
      <formula>NOT(ISERROR(SEARCH("▼",Z16)))</formula>
    </cfRule>
  </conditionalFormatting>
  <conditionalFormatting sqref="Z19:AA27">
    <cfRule type="containsText" priority="107" operator="containsText" dxfId="12" text="▲">
      <formula>NOT(ISERROR(SEARCH("▲",Z19)))</formula>
    </cfRule>
    <cfRule type="containsText" priority="108" operator="containsText" dxfId="11" text="▼">
      <formula>NOT(ISERROR(SEARCH("▼",Z19)))</formula>
    </cfRule>
  </conditionalFormatting>
  <conditionalFormatting sqref="Z23:AA27">
    <cfRule type="containsText" priority="105" operator="containsText" dxfId="12" text="▲">
      <formula>NOT(ISERROR(SEARCH("▲",Z23)))</formula>
    </cfRule>
    <cfRule type="containsText" priority="106" operator="containsText" dxfId="11" text="▼">
      <formula>NOT(ISERROR(SEARCH("▼",Z23)))</formula>
    </cfRule>
  </conditionalFormatting>
  <conditionalFormatting sqref="Z17:AA27">
    <cfRule type="containsText" priority="103" operator="containsText" dxfId="12" text="▲">
      <formula>NOT(ISERROR(SEARCH("▲",Z17)))</formula>
    </cfRule>
    <cfRule type="containsText" priority="104" operator="containsText" dxfId="11" text="▼">
      <formula>NOT(ISERROR(SEARCH("▼",Z17)))</formula>
    </cfRule>
  </conditionalFormatting>
  <conditionalFormatting sqref="Z18:AA27">
    <cfRule type="containsText" priority="101" operator="containsText" dxfId="12" text="▲">
      <formula>NOT(ISERROR(SEARCH("▲",Z18)))</formula>
    </cfRule>
    <cfRule type="containsText" priority="102" operator="containsText" dxfId="11" text="▼">
      <formula>NOT(ISERROR(SEARCH("▼",Z18)))</formula>
    </cfRule>
  </conditionalFormatting>
  <conditionalFormatting sqref="AA47">
    <cfRule type="containsText" priority="91" operator="containsText" dxfId="12" text="△">
      <formula>NOT(ISERROR(SEARCH("△",AA47)))</formula>
    </cfRule>
    <cfRule type="containsText" priority="92" operator="containsText" dxfId="11" text="▽">
      <formula>NOT(ISERROR(SEARCH("▽",AA47)))</formula>
    </cfRule>
  </conditionalFormatting>
  <conditionalFormatting sqref="AA48:AA54">
    <cfRule type="containsText" priority="89" operator="containsText" dxfId="12" text="△">
      <formula>NOT(ISERROR(SEARCH("△",AA48)))</formula>
    </cfRule>
    <cfRule type="containsText" priority="90" operator="containsText" dxfId="11" text="▽">
      <formula>NOT(ISERROR(SEARCH("▽",AA48)))</formula>
    </cfRule>
  </conditionalFormatting>
  <conditionalFormatting sqref="Z2:AA2">
    <cfRule type="containsText" priority="81" operator="containsText" dxfId="12" text="△">
      <formula>NOT(ISERROR(SEARCH("△",Z2)))</formula>
    </cfRule>
    <cfRule type="containsText" priority="82" operator="containsText" dxfId="11" text="▽">
      <formula>NOT(ISERROR(SEARCH("▽",Z2)))</formula>
    </cfRule>
  </conditionalFormatting>
  <conditionalFormatting sqref="Z2">
    <cfRule type="containsText" priority="79" operator="containsText" dxfId="12" text="▲">
      <formula>NOT(ISERROR(SEARCH("▲",Z2)))</formula>
    </cfRule>
    <cfRule type="containsText" priority="80" operator="containsText" dxfId="11" text="▼">
      <formula>NOT(ISERROR(SEARCH("▼",Z2)))</formula>
    </cfRule>
    <cfRule type="cellIs" priority="53" operator="lessThan" dxfId="8">
      <formula>0</formula>
    </cfRule>
    <cfRule type="cellIs" priority="54" operator="greaterThan" dxfId="7">
      <formula>0</formula>
    </cfRule>
  </conditionalFormatting>
  <conditionalFormatting sqref="AA2">
    <cfRule type="containsText" priority="77" operator="containsText" dxfId="12" text="△">
      <formula>NOT(ISERROR(SEARCH("△",AA2)))</formula>
    </cfRule>
    <cfRule type="containsText" priority="78" operator="containsText" dxfId="11" text="▽">
      <formula>NOT(ISERROR(SEARCH("▽",AA2)))</formula>
    </cfRule>
    <cfRule type="containsText" priority="75" operator="containsText" dxfId="12" text="△">
      <formula>NOT(ISERROR(SEARCH("△",AA2)))</formula>
    </cfRule>
    <cfRule type="containsText" priority="76" operator="containsText" dxfId="11" text="▽">
      <formula>NOT(ISERROR(SEARCH("▽",AA2)))</formula>
    </cfRule>
    <cfRule type="containsText" priority="73" operator="containsText" dxfId="12" text="△">
      <formula>NOT(ISERROR(SEARCH("△",AA2)))</formula>
    </cfRule>
    <cfRule type="containsText" priority="74" operator="containsText" dxfId="11" text="▽">
      <formula>NOT(ISERROR(SEARCH("▽",AA2)))</formula>
    </cfRule>
    <cfRule type="containsText" priority="71" operator="containsText" dxfId="12" text="△">
      <formula>NOT(ISERROR(SEARCH("△",AA2)))</formula>
    </cfRule>
    <cfRule type="containsText" priority="72" operator="containsText" dxfId="11" text="▽">
      <formula>NOT(ISERROR(SEARCH("▽",AA2)))</formula>
    </cfRule>
    <cfRule type="containsText" priority="69" operator="containsText" dxfId="12" text="△">
      <formula>NOT(ISERROR(SEARCH("△",AA2)))</formula>
    </cfRule>
    <cfRule type="containsText" priority="70" operator="containsText" dxfId="11" text="▽">
      <formula>NOT(ISERROR(SEARCH("▽",AA2)))</formula>
    </cfRule>
    <cfRule type="containsText" priority="67" operator="containsText" dxfId="12" text="△">
      <formula>NOT(ISERROR(SEARCH("△",AA2)))</formula>
    </cfRule>
    <cfRule type="containsText" priority="68" operator="containsText" dxfId="11" text="▽">
      <formula>NOT(ISERROR(SEARCH("▽",AA2)))</formula>
    </cfRule>
    <cfRule type="containsText" priority="65" operator="containsText" dxfId="12" text="△">
      <formula>NOT(ISERROR(SEARCH("△",AA2)))</formula>
    </cfRule>
    <cfRule type="containsText" priority="66" operator="containsText" dxfId="11" text="▽">
      <formula>NOT(ISERROR(SEARCH("▽",AA2)))</formula>
    </cfRule>
    <cfRule type="containsText" priority="63" operator="containsText" dxfId="12" text="△">
      <formula>NOT(ISERROR(SEARCH("△",AA2)))</formula>
    </cfRule>
    <cfRule type="containsText" priority="64" operator="containsText" dxfId="11" text="▽">
      <formula>NOT(ISERROR(SEARCH("▽",AA2)))</formula>
    </cfRule>
    <cfRule type="containsText" priority="61" operator="containsText" dxfId="12" text="△">
      <formula>NOT(ISERROR(SEARCH("△",AA2)))</formula>
    </cfRule>
    <cfRule type="containsText" priority="62" operator="containsText" dxfId="11" text="▽">
      <formula>NOT(ISERROR(SEARCH("▽",AA2)))</formula>
    </cfRule>
    <cfRule type="containsText" priority="59" operator="containsText" dxfId="12" text="△">
      <formula>NOT(ISERROR(SEARCH("△",AA2)))</formula>
    </cfRule>
    <cfRule type="containsText" priority="60" operator="containsText" dxfId="11" text="▽">
      <formula>NOT(ISERROR(SEARCH("▽",AA2)))</formula>
    </cfRule>
    <cfRule type="containsText" priority="57" operator="containsText" dxfId="12" text="△">
      <formula>NOT(ISERROR(SEARCH("△",AA2)))</formula>
    </cfRule>
    <cfRule type="containsText" priority="58" operator="containsText" dxfId="11" text="▽">
      <formula>NOT(ISERROR(SEARCH("▽",AA2)))</formula>
    </cfRule>
    <cfRule type="containsText" priority="55" operator="containsText" dxfId="12" text="△">
      <formula>NOT(ISERROR(SEARCH("△",AA2)))</formula>
    </cfRule>
    <cfRule type="containsText" priority="56" operator="containsText" dxfId="11" text="▽">
      <formula>NOT(ISERROR(SEARCH("▽",AA2)))</formula>
    </cfRule>
  </conditionalFormatting>
  <conditionalFormatting sqref="Z28:AA31">
    <cfRule type="containsText" priority="51" operator="containsText" dxfId="12" text="△">
      <formula>NOT(ISERROR(SEARCH("△",Z28)))</formula>
    </cfRule>
    <cfRule type="containsText" priority="52" operator="containsText" dxfId="11" text="▽">
      <formula>NOT(ISERROR(SEARCH("▽",Z28)))</formula>
    </cfRule>
    <cfRule type="containsText" priority="47" operator="containsText" dxfId="12" text="▲">
      <formula>NOT(ISERROR(SEARCH("▲",Z28)))</formula>
    </cfRule>
    <cfRule type="containsText" priority="48" operator="containsText" dxfId="11" text="▼">
      <formula>NOT(ISERROR(SEARCH("▼",Z28)))</formula>
    </cfRule>
  </conditionalFormatting>
  <conditionalFormatting sqref="Z28:Z31">
    <cfRule type="cellIs" priority="49" operator="lessThan" dxfId="8">
      <formula>0</formula>
    </cfRule>
    <cfRule type="cellIs" priority="50" operator="greaterThan" dxfId="7">
      <formula>0</formula>
    </cfRule>
  </conditionalFormatting>
  <conditionalFormatting sqref="Z32:AA32">
    <cfRule type="containsText" priority="45" operator="containsText" dxfId="12" text="△">
      <formula>NOT(ISERROR(SEARCH("△",Z32)))</formula>
    </cfRule>
    <cfRule type="containsText" priority="46" operator="containsText" dxfId="11" text="▽">
      <formula>NOT(ISERROR(SEARCH("▽",Z32)))</formula>
    </cfRule>
    <cfRule type="containsText" priority="41" operator="containsText" dxfId="12" text="▲">
      <formula>NOT(ISERROR(SEARCH("▲",Z32)))</formula>
    </cfRule>
    <cfRule type="containsText" priority="42" operator="containsText" dxfId="11" text="▼">
      <formula>NOT(ISERROR(SEARCH("▼",Z32)))</formula>
    </cfRule>
  </conditionalFormatting>
  <conditionalFormatting sqref="Z32">
    <cfRule type="cellIs" priority="43" operator="lessThan" dxfId="8">
      <formula>0</formula>
    </cfRule>
    <cfRule type="cellIs" priority="44" operator="greaterThan" dxfId="7">
      <formula>0</formula>
    </cfRule>
  </conditionalFormatting>
  <conditionalFormatting sqref="Z33:AA33">
    <cfRule type="containsText" priority="39" operator="containsText" dxfId="12" text="△">
      <formula>NOT(ISERROR(SEARCH("△",Z33)))</formula>
    </cfRule>
    <cfRule type="containsText" priority="40" operator="containsText" dxfId="11" text="▽">
      <formula>NOT(ISERROR(SEARCH("▽",Z33)))</formula>
    </cfRule>
    <cfRule type="containsText" priority="35" operator="containsText" dxfId="12" text="▲">
      <formula>NOT(ISERROR(SEARCH("▲",Z33)))</formula>
    </cfRule>
    <cfRule type="containsText" priority="36" operator="containsText" dxfId="11" text="▼">
      <formula>NOT(ISERROR(SEARCH("▼",Z33)))</formula>
    </cfRule>
    <cfRule type="containsText" priority="33" operator="containsText" dxfId="12" text="▲">
      <formula>NOT(ISERROR(SEARCH("▲",Z33)))</formula>
    </cfRule>
    <cfRule type="containsText" priority="34" operator="containsText" dxfId="11" text="▼">
      <formula>NOT(ISERROR(SEARCH("▼",Z33)))</formula>
    </cfRule>
    <cfRule type="containsText" priority="31" operator="containsText" dxfId="12" text="▲">
      <formula>NOT(ISERROR(SEARCH("▲",Z33)))</formula>
    </cfRule>
    <cfRule type="containsText" priority="32" operator="containsText" dxfId="11" text="▼">
      <formula>NOT(ISERROR(SEARCH("▼",Z33)))</formula>
    </cfRule>
    <cfRule type="containsText" priority="29" operator="containsText" dxfId="12" text="▲">
      <formula>NOT(ISERROR(SEARCH("▲",Z33)))</formula>
    </cfRule>
    <cfRule type="containsText" priority="30" operator="containsText" dxfId="11" text="▼">
      <formula>NOT(ISERROR(SEARCH("▼",Z33)))</formula>
    </cfRule>
  </conditionalFormatting>
  <conditionalFormatting sqref="Z33">
    <cfRule type="cellIs" priority="37" operator="lessThan" dxfId="8">
      <formula>0</formula>
    </cfRule>
    <cfRule type="cellIs" priority="38" operator="greaterThan" dxfId="7">
      <formula>0</formula>
    </cfRule>
  </conditionalFormatting>
  <conditionalFormatting sqref="Z59">
    <cfRule type="cellIs" priority="27" operator="lessThan" dxfId="8">
      <formula>0</formula>
    </cfRule>
    <cfRule type="cellIs" priority="28" operator="greaterThan" dxfId="7">
      <formula>0</formula>
    </cfRule>
    <cfRule type="containsText" priority="25" operator="containsText" dxfId="12" text="▲">
      <formula>NOT(ISERROR(SEARCH("▲",Z59)))</formula>
    </cfRule>
    <cfRule type="containsText" priority="26" operator="containsText" dxfId="11" text="▼">
      <formula>NOT(ISERROR(SEARCH("▼",Z59)))</formula>
    </cfRule>
  </conditionalFormatting>
  <conditionalFormatting sqref="Z27">
    <cfRule type="cellIs" priority="23" operator="lessThan" dxfId="8">
      <formula>0</formula>
    </cfRule>
    <cfRule type="cellIs" priority="24" operator="greaterThan" dxfId="7">
      <formula>0</formula>
    </cfRule>
  </conditionalFormatting>
  <conditionalFormatting sqref="Z27:AA27">
    <cfRule type="containsText" priority="21" operator="containsText" dxfId="12" text="▲">
      <formula>NOT(ISERROR(SEARCH("▲",Z27)))</formula>
    </cfRule>
    <cfRule type="containsText" priority="22" operator="containsText" dxfId="11" text="▼">
      <formula>NOT(ISERROR(SEARCH("▼",Z27)))</formula>
    </cfRule>
    <cfRule type="containsText" priority="19" operator="containsText" dxfId="12" text="▲">
      <formula>NOT(ISERROR(SEARCH("▲",Z27)))</formula>
    </cfRule>
    <cfRule type="containsText" priority="20" operator="containsText" dxfId="11" text="▼">
      <formula>NOT(ISERROR(SEARCH("▼",Z27)))</formula>
    </cfRule>
  </conditionalFormatting>
  <conditionalFormatting sqref="Z34">
    <cfRule type="cellIs" priority="17" operator="lessThan" dxfId="8">
      <formula>0</formula>
    </cfRule>
    <cfRule type="cellIs" priority="18" operator="greaterThan" dxfId="7">
      <formula>0</formula>
    </cfRule>
  </conditionalFormatting>
  <conditionalFormatting sqref="Z34:AA34">
    <cfRule type="containsText" priority="15" operator="containsText" dxfId="12" text="▲">
      <formula>NOT(ISERROR(SEARCH("▲",Z34)))</formula>
    </cfRule>
    <cfRule type="containsText" priority="16" operator="containsText" dxfId="11" text="▼">
      <formula>NOT(ISERROR(SEARCH("▼",Z34)))</formula>
    </cfRule>
    <cfRule type="containsText" priority="13" operator="containsText" dxfId="12" text="▲">
      <formula>NOT(ISERROR(SEARCH("▲",Z34)))</formula>
    </cfRule>
    <cfRule type="containsText" priority="14" operator="containsText" dxfId="11" text="▼">
      <formula>NOT(ISERROR(SEARCH("▼",Z34)))</formula>
    </cfRule>
  </conditionalFormatting>
  <conditionalFormatting sqref="Z35">
    <cfRule type="cellIs" priority="11" operator="lessThan" dxfId="8">
      <formula>0</formula>
    </cfRule>
    <cfRule type="cellIs" priority="12" operator="greaterThan" dxfId="7">
      <formula>0</formula>
    </cfRule>
  </conditionalFormatting>
  <conditionalFormatting sqref="Z35:AA35">
    <cfRule type="containsText" priority="9" operator="containsText" dxfId="12" text="▲">
      <formula>NOT(ISERROR(SEARCH("▲",Z35)))</formula>
    </cfRule>
    <cfRule type="containsText" priority="10" operator="containsText" dxfId="11" text="▼">
      <formula>NOT(ISERROR(SEARCH("▼",Z35)))</formula>
    </cfRule>
    <cfRule type="containsText" priority="7" operator="containsText" dxfId="12" text="▲">
      <formula>NOT(ISERROR(SEARCH("▲",Z35)))</formula>
    </cfRule>
    <cfRule type="containsText" priority="8" operator="containsText" dxfId="11" text="▼">
      <formula>NOT(ISERROR(SEARCH("▼",Z35)))</formula>
    </cfRule>
  </conditionalFormatting>
  <conditionalFormatting sqref="Z36">
    <cfRule type="cellIs" priority="5" operator="lessThan" dxfId="8">
      <formula>0</formula>
    </cfRule>
    <cfRule type="cellIs" priority="6" operator="greaterThan" dxfId="7">
      <formula>0</formula>
    </cfRule>
  </conditionalFormatting>
  <conditionalFormatting sqref="Z36:AA36">
    <cfRule type="containsText" priority="3" operator="containsText" dxfId="12" text="▲">
      <formula>NOT(ISERROR(SEARCH("▲",Z36)))</formula>
    </cfRule>
    <cfRule type="containsText" priority="4" operator="containsText" dxfId="11" text="▼">
      <formula>NOT(ISERROR(SEARCH("▼",Z36)))</formula>
    </cfRule>
    <cfRule type="containsText" priority="1" operator="containsText" dxfId="12" text="▲">
      <formula>NOT(ISERROR(SEARCH("▲",Z36)))</formula>
    </cfRule>
    <cfRule type="containsText" priority="2" operator="containsText" dxfId="11" text="▼">
      <formula>NOT(ISERROR(SEARCH("▼",Z36)))</formula>
    </cfRule>
  </conditionalFormatting>
  <hyperlinks>
    <hyperlink xmlns:r="http://schemas.openxmlformats.org/officeDocument/2006/relationships" ref="AD30" r:id="rId1"/>
  </hyperlink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codeName="Sheet18">
    <tabColor rgb="FF92D050"/>
    <outlinePr summaryBelow="0" summaryRight="0"/>
    <pageSetUpPr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baseColWidth="8" defaultColWidth="9" defaultRowHeight="16.5" outlineLevelRow="1"/>
  <cols>
    <col width="11.125" customWidth="1" style="9" min="1" max="1"/>
    <col hidden="1" width="10" customWidth="1" style="9" min="2" max="2"/>
    <col width="11.375" customWidth="1" style="9" min="3" max="3"/>
    <col width="19.25" bestFit="1" customWidth="1" style="194" min="4" max="4"/>
    <col width="7.125" customWidth="1" style="9" min="5" max="5"/>
    <col width="9.125" customWidth="1" style="9" min="6" max="6"/>
    <col width="12.625" bestFit="1" customWidth="1" style="9" min="7" max="7"/>
    <col width="9.125" customWidth="1" style="9" min="8" max="8"/>
    <col collapsed="1" width="11.5" bestFit="1" customWidth="1" style="9" min="9" max="9"/>
    <col hidden="1" outlineLevel="1" width="9.375" customWidth="1" style="9" min="10" max="10"/>
    <col hidden="1" outlineLevel="1" width="13" customWidth="1" style="9" min="11" max="11"/>
    <col hidden="1" outlineLevel="1" width="9.625" customWidth="1" style="9" min="12" max="13"/>
    <col hidden="1" outlineLevel="1" width="9.125" customWidth="1" style="9" min="14" max="14"/>
    <col width="11.375" customWidth="1" style="9" min="15" max="15"/>
    <col width="13.375" customWidth="1" style="9" min="16" max="16"/>
    <col width="13.125" customWidth="1" style="9" min="17" max="17"/>
    <col collapsed="1" width="9.5" bestFit="1" customWidth="1" style="9" min="18" max="18"/>
    <col hidden="1" outlineLevel="1" width="11.625" customWidth="1" style="9" min="19" max="19"/>
    <col hidden="1" outlineLevel="1" width="18.625" customWidth="1" style="9" min="20" max="20"/>
    <col collapsed="1" width="18.625" bestFit="1" customWidth="1" style="9" min="21" max="21"/>
    <col hidden="1" outlineLevel="1" width="12.375" customWidth="1" style="9" min="22" max="23"/>
    <col width="13.875" customWidth="1" style="9" min="24" max="24"/>
    <col width="13.375" bestFit="1" customWidth="1" style="9" min="25" max="25"/>
    <col width="12.875" bestFit="1" customWidth="1" style="9" min="26" max="26"/>
    <col width="12.875" customWidth="1" style="9" min="27" max="27"/>
    <col width="10" bestFit="1" customWidth="1" style="28" min="28" max="28"/>
    <col width="33.125" bestFit="1" customWidth="1" style="28" min="29" max="29"/>
    <col width="22.625" bestFit="1" customWidth="1" style="9" min="30" max="30"/>
    <col width="9" customWidth="1" style="9" min="31" max="16384"/>
  </cols>
  <sheetData>
    <row r="1" customFormat="1" s="8">
      <c r="A1" s="1" t="inlineStr">
        <is>
          <t>買進日期</t>
        </is>
      </c>
      <c r="B1" s="2" t="inlineStr">
        <is>
          <t>種類</t>
        </is>
      </c>
      <c r="C1" s="3" t="inlineStr">
        <is>
          <t>股票代號</t>
        </is>
      </c>
      <c r="D1" s="190" t="inlineStr">
        <is>
          <t>股票名稱</t>
        </is>
      </c>
      <c r="E1" s="4" t="inlineStr">
        <is>
          <t>股數</t>
        </is>
      </c>
      <c r="F1" s="4" t="inlineStr">
        <is>
          <t>買進價</t>
        </is>
      </c>
      <c r="G1" s="4" t="inlineStr">
        <is>
          <t>成交金額</t>
        </is>
      </c>
      <c r="H1" s="432" t="inlineStr">
        <is>
          <t>手續費</t>
        </is>
      </c>
      <c r="I1" s="140" t="inlineStr">
        <is>
          <t>賣出日期</t>
        </is>
      </c>
      <c r="J1" s="4" t="inlineStr">
        <is>
          <t>賣出價</t>
        </is>
      </c>
      <c r="K1" s="4" t="inlineStr">
        <is>
          <t>成交金額</t>
        </is>
      </c>
      <c r="L1" s="432" t="inlineStr">
        <is>
          <t>手續費</t>
        </is>
      </c>
      <c r="M1" s="432" t="inlineStr">
        <is>
          <t>交易稅</t>
        </is>
      </c>
      <c r="N1" s="3" t="inlineStr">
        <is>
          <t>證所稅</t>
        </is>
      </c>
      <c r="O1" s="4" t="inlineStr">
        <is>
          <t>參考現值</t>
        </is>
      </c>
      <c r="P1" s="433" t="inlineStr">
        <is>
          <t>已實現損益</t>
        </is>
      </c>
      <c r="Q1" s="4" t="inlineStr">
        <is>
          <t>未實現損益</t>
        </is>
      </c>
      <c r="R1" s="4" t="inlineStr">
        <is>
          <t>除息</t>
        </is>
      </c>
      <c r="S1" s="68" t="inlineStr">
        <is>
          <t>手續費</t>
        </is>
      </c>
      <c r="T1" s="68" t="inlineStr">
        <is>
          <t>健保補充保費</t>
        </is>
      </c>
      <c r="U1" s="68" t="inlineStr">
        <is>
          <t>實質扣抵稅率</t>
        </is>
      </c>
      <c r="V1" s="68" t="inlineStr">
        <is>
          <t>扣抵稅率</t>
        </is>
      </c>
      <c r="W1" s="68" t="inlineStr">
        <is>
          <t>所得稅率</t>
        </is>
      </c>
      <c r="X1" s="4" t="inlineStr">
        <is>
          <t>投資報酬率</t>
        </is>
      </c>
      <c r="Y1" s="4" t="inlineStr">
        <is>
          <t>今日股價</t>
        </is>
      </c>
      <c r="Z1" s="7" t="inlineStr">
        <is>
          <t>漲跌</t>
        </is>
      </c>
      <c r="AA1" s="89" t="n"/>
      <c r="AB1" s="86" t="inlineStr">
        <is>
          <t>買進理由</t>
        </is>
      </c>
      <c r="AC1" s="182" t="inlineStr">
        <is>
          <t>賣出理由</t>
        </is>
      </c>
    </row>
    <row r="2" outlineLevel="1">
      <c r="A2" s="99" t="n">
        <v>45009</v>
      </c>
      <c r="B2" s="11" t="inlineStr">
        <is>
          <t>普通買進</t>
        </is>
      </c>
      <c r="C2" s="11" t="n">
        <v>4995</v>
      </c>
      <c r="D2" s="189" t="inlineStr">
        <is>
          <t>晶達</t>
        </is>
      </c>
      <c r="E2" s="11" t="n">
        <v>1000</v>
      </c>
      <c r="F2" s="11" t="n">
        <v>55.1</v>
      </c>
      <c r="G2" s="11" t="n">
        <v>55100</v>
      </c>
      <c r="H2" s="11" t="n">
        <v>78</v>
      </c>
      <c r="I2" s="104" t="n">
        <v>45028</v>
      </c>
      <c r="J2" s="16" t="n">
        <v>52.1</v>
      </c>
      <c r="K2" s="11" t="n">
        <v>52100</v>
      </c>
      <c r="L2" s="17" t="n">
        <v>74</v>
      </c>
      <c r="M2" s="11" t="n">
        <v>156</v>
      </c>
      <c r="N2" s="11" t="n">
        <v>0</v>
      </c>
      <c r="O2" s="434" t="n">
        <v>0</v>
      </c>
      <c r="P2" s="435">
        <f>IF(I2="",R2-H2,(K2-H2-SUM(L2:N2)+R2-S2-T2)-G2)+(ROUND(R2*V2,0)-ROUND(R2*(1+V2),0)*W2)</f>
        <v/>
      </c>
      <c r="Q2" s="435" t="n">
        <v>0</v>
      </c>
      <c r="R2" s="435" t="n"/>
      <c r="S2" s="435" t="n"/>
      <c r="T2" s="435" t="n"/>
      <c r="U2" s="69">
        <f>(V2*50%)/(1+50%*V2)</f>
        <v/>
      </c>
      <c r="V2" s="69" t="n"/>
      <c r="W2" s="70" t="n">
        <v>-0.89</v>
      </c>
      <c r="X2" s="436">
        <f>(P2+Q2)/G2</f>
        <v/>
      </c>
      <c r="Y2" s="16">
        <f>VLOOKUP(C2,台股行情!A:D,4,FALSE)</f>
        <v/>
      </c>
      <c r="Z2" s="437">
        <f>VLOOKUP(C2,台股行情!A:E,5,FALSE)</f>
        <v/>
      </c>
      <c r="AA2" s="438">
        <f>IF(I2="",((TODAY()-A2)*G2)/365.24,((I2-A2)*G2)/365.24)</f>
        <v/>
      </c>
      <c r="AB2" s="103" t="inlineStr">
        <is>
          <t>阿水一式</t>
        </is>
      </c>
      <c r="AC2" s="135" t="inlineStr">
        <is>
          <t>5% 停損</t>
        </is>
      </c>
    </row>
    <row r="3" outlineLevel="1">
      <c r="A3" s="99" t="n">
        <v>45103</v>
      </c>
      <c r="B3" s="11" t="n"/>
      <c r="C3" s="11" t="n">
        <v>5426</v>
      </c>
      <c r="D3" s="189" t="inlineStr">
        <is>
          <t>振發</t>
        </is>
      </c>
      <c r="E3" s="11" t="n">
        <v>1000</v>
      </c>
      <c r="F3" s="11" t="n">
        <v>15.7</v>
      </c>
      <c r="G3" s="11">
        <f>E3*F3</f>
        <v/>
      </c>
      <c r="H3" s="11" t="n">
        <v>22</v>
      </c>
      <c r="I3" s="104" t="n">
        <v>45117</v>
      </c>
      <c r="J3" s="16" t="n">
        <v>16.65</v>
      </c>
      <c r="K3" s="11">
        <f>E3*J3</f>
        <v/>
      </c>
      <c r="L3" s="17" t="n">
        <v>23</v>
      </c>
      <c r="M3" s="11" t="n">
        <v>49</v>
      </c>
      <c r="N3" s="11" t="n">
        <v>0</v>
      </c>
      <c r="O3" s="434">
        <f>IF(I3="",E3*Y3,0)</f>
        <v/>
      </c>
      <c r="P3" s="435">
        <f>IF(I3="",R3-H3,(K3-H3-SUM(L3:N3)+R3-S3-T3)-G3)+(ROUND(R3*V3,0)-ROUND(R3*(1+V3),0)*W3)</f>
        <v/>
      </c>
      <c r="Q3" s="435">
        <f>IF(I3="",(O3-G3-(O3*0.1425%*0.65)-(O3*0.3%)-S3-T3),0)</f>
        <v/>
      </c>
      <c r="R3" s="435" t="n"/>
      <c r="S3" s="435" t="n"/>
      <c r="T3" s="435" t="n"/>
      <c r="U3" s="69">
        <f>(V3*50%)/(1+50%*V3)</f>
        <v/>
      </c>
      <c r="V3" s="69" t="n"/>
      <c r="W3" s="70" t="n">
        <v>0.11</v>
      </c>
      <c r="X3" s="436">
        <f>(P3+Q3)/G3</f>
        <v/>
      </c>
      <c r="Y3" s="16">
        <f>VLOOKUP(C3,台股行情!A:D,4,FALSE)</f>
        <v/>
      </c>
      <c r="Z3" s="437">
        <f>VLOOKUP(C3,台股行情!A:E,5,FALSE)</f>
        <v/>
      </c>
      <c r="AA3" s="438">
        <f>IF(I3="",((TODAY()-A3)*G3)/365.24,((I3-A3)*G3)/365.24)</f>
        <v/>
      </c>
      <c r="AB3" s="103" t="inlineStr">
        <is>
          <t>阿水一式</t>
        </is>
      </c>
      <c r="AC3" s="187" t="inlineStr">
        <is>
          <t>紅燈，碰 10MA，獲利了結</t>
        </is>
      </c>
    </row>
    <row r="4" outlineLevel="1">
      <c r="A4" s="99" t="n">
        <v>45103</v>
      </c>
      <c r="B4" s="11" t="n"/>
      <c r="C4" s="11" t="n">
        <v>5426</v>
      </c>
      <c r="D4" s="189" t="inlineStr">
        <is>
          <t>振發</t>
        </is>
      </c>
      <c r="E4" s="11" t="n">
        <v>1000</v>
      </c>
      <c r="F4" s="11" t="n">
        <v>15.7</v>
      </c>
      <c r="G4" s="11">
        <f>E4*F4</f>
        <v/>
      </c>
      <c r="H4" s="11" t="n">
        <v>22</v>
      </c>
      <c r="I4" s="104" t="n">
        <v>45117</v>
      </c>
      <c r="J4" s="16" t="n">
        <v>16.5</v>
      </c>
      <c r="K4" s="11">
        <f>E4*J4</f>
        <v/>
      </c>
      <c r="L4" s="17" t="n">
        <v>23</v>
      </c>
      <c r="M4" s="11" t="n">
        <v>49</v>
      </c>
      <c r="N4" s="11" t="n">
        <v>0</v>
      </c>
      <c r="O4" s="434">
        <f>IF(I4="",E4*Y4,0)</f>
        <v/>
      </c>
      <c r="P4" s="435">
        <f>IF(I4="",R4-H4,(K4-H4-SUM(L4:N4)+R4-S4-T4)-G4)+(ROUND(R4*V4,0)-ROUND(R4*(1+V4),0)*W4)</f>
        <v/>
      </c>
      <c r="Q4" s="435">
        <f>IF(I4="",(O4-G4-(O4*0.1425%*0.65)-(O4*0.3%)-S4-T4),0)</f>
        <v/>
      </c>
      <c r="R4" s="435" t="n"/>
      <c r="S4" s="435" t="n"/>
      <c r="T4" s="435" t="n"/>
      <c r="U4" s="69">
        <f>(V4*50%)/(1+50%*V4)</f>
        <v/>
      </c>
      <c r="V4" s="69" t="n"/>
      <c r="W4" s="70" t="n">
        <v>0.11</v>
      </c>
      <c r="X4" s="436">
        <f>(P4+Q4)/G4</f>
        <v/>
      </c>
      <c r="Y4" s="16">
        <f>VLOOKUP(C4,台股行情!A:D,4,FALSE)</f>
        <v/>
      </c>
      <c r="Z4" s="437">
        <f>VLOOKUP(C4,台股行情!A:E,5,FALSE)</f>
        <v/>
      </c>
      <c r="AA4" s="438">
        <f>IF(I4="",((TODAY()-A4)*G4)/365.24,((I4-A4)*G4)/365.24)</f>
        <v/>
      </c>
      <c r="AB4" s="103" t="inlineStr">
        <is>
          <t>阿水一式</t>
        </is>
      </c>
      <c r="AC4" s="188" t="inlineStr">
        <is>
          <t>紅燈，碰 10MA，獲利了結</t>
        </is>
      </c>
    </row>
    <row r="5" outlineLevel="1">
      <c r="A5" s="99" t="n">
        <v>45103</v>
      </c>
      <c r="B5" s="11" t="n"/>
      <c r="C5" s="11" t="n">
        <v>5426</v>
      </c>
      <c r="D5" s="189" t="inlineStr">
        <is>
          <t>振發</t>
        </is>
      </c>
      <c r="E5" s="11" t="n">
        <v>1000</v>
      </c>
      <c r="F5" s="11" t="n">
        <v>15.7</v>
      </c>
      <c r="G5" s="11">
        <f>E5*F5</f>
        <v/>
      </c>
      <c r="H5" s="11" t="n">
        <v>23</v>
      </c>
      <c r="I5" s="104" t="n">
        <v>45118</v>
      </c>
      <c r="J5" s="16" t="n">
        <v>16.15</v>
      </c>
      <c r="K5" s="11">
        <f>E5*J5</f>
        <v/>
      </c>
      <c r="L5" s="17" t="n">
        <v>23</v>
      </c>
      <c r="M5" s="11" t="n">
        <v>48</v>
      </c>
      <c r="N5" s="11" t="n">
        <v>0</v>
      </c>
      <c r="O5" s="434">
        <f>IF(I5="",E5*Y5,0)</f>
        <v/>
      </c>
      <c r="P5" s="435">
        <f>IF(I5="",R5-H5,(K5-H5-SUM(L5:N5)+R5-S5-T5)-G5)+(ROUND(R5*V5,0)-ROUND(R5*(1+V5),0)*W5)</f>
        <v/>
      </c>
      <c r="Q5" s="435">
        <f>IF(I5="",(O5-G5-(O5*0.1425%*0.65)-(O5*0.3%)-S5-T5),0)</f>
        <v/>
      </c>
      <c r="R5" s="435" t="n"/>
      <c r="S5" s="435" t="n"/>
      <c r="T5" s="435" t="n"/>
      <c r="U5" s="69">
        <f>(V5*50%)/(1+50%*V5)</f>
        <v/>
      </c>
      <c r="V5" s="69" t="n"/>
      <c r="W5" s="70" t="n">
        <v>0.11</v>
      </c>
      <c r="X5" s="436">
        <f>(P5+Q5)/G5</f>
        <v/>
      </c>
      <c r="Y5" s="16">
        <f>VLOOKUP(C5,台股行情!A:D,4,FALSE)</f>
        <v/>
      </c>
      <c r="Z5" s="437">
        <f>VLOOKUP(C5,台股行情!A:E,5,FALSE)</f>
        <v/>
      </c>
      <c r="AA5" s="438">
        <f>IF(I5="",((TODAY()-A5)*G5)/365.24,((I5-A5)*G5)/365.24)</f>
        <v/>
      </c>
      <c r="AB5" s="103" t="inlineStr">
        <is>
          <t>阿水一式</t>
        </is>
      </c>
      <c r="AC5" s="188" t="inlineStr">
        <is>
          <t>紅燈，碰 10MA，獲利了結</t>
        </is>
      </c>
    </row>
    <row r="6" outlineLevel="1">
      <c r="A6" s="99" t="n">
        <v>45103</v>
      </c>
      <c r="B6" s="11" t="n"/>
      <c r="C6" s="11" t="n">
        <v>6695</v>
      </c>
      <c r="D6" s="189" t="inlineStr">
        <is>
          <t>芯鼎</t>
        </is>
      </c>
      <c r="E6" s="11" t="n">
        <v>1000</v>
      </c>
      <c r="F6" s="11" t="n">
        <v>46.8</v>
      </c>
      <c r="G6" s="11">
        <f>E6*F6</f>
        <v/>
      </c>
      <c r="H6" s="11" t="n">
        <v>66</v>
      </c>
      <c r="I6" s="104" t="n">
        <v>45113</v>
      </c>
      <c r="J6" s="16" t="n">
        <v>44.75</v>
      </c>
      <c r="K6" s="11">
        <f>E6*J6</f>
        <v/>
      </c>
      <c r="L6" s="17" t="n">
        <v>63</v>
      </c>
      <c r="M6" s="11" t="n">
        <v>134</v>
      </c>
      <c r="N6" s="11" t="n">
        <v>0</v>
      </c>
      <c r="O6" s="434">
        <f>IF(I6="",E6*Y6,0)</f>
        <v/>
      </c>
      <c r="P6" s="435">
        <f>IF(I6="",R6-H6,(K6-H6-SUM(L6:N6)+R6-S6-T6)-G6)+(ROUND(R6*V6,0)-ROUND(R6*(1+V6),0)*W6)</f>
        <v/>
      </c>
      <c r="Q6" s="435">
        <f>IF(I6="",(O6-G6-(O6*0.1425%*0.65)-(O6*0.3%)-S6-T6),0)</f>
        <v/>
      </c>
      <c r="R6" s="435" t="n"/>
      <c r="S6" s="435" t="n"/>
      <c r="T6" s="435" t="n"/>
      <c r="U6" s="69">
        <f>(V6*50%)/(1+50%*V6)</f>
        <v/>
      </c>
      <c r="V6" s="69" t="n"/>
      <c r="W6" s="70" t="n">
        <v>0.11</v>
      </c>
      <c r="X6" s="436">
        <f>(P6+Q6)/G6</f>
        <v/>
      </c>
      <c r="Y6" s="16">
        <f>VLOOKUP(C6,台股行情!A:D,4,FALSE)</f>
        <v/>
      </c>
      <c r="Z6" s="437">
        <f>VLOOKUP(C6,台股行情!A:E,5,FALSE)</f>
        <v/>
      </c>
      <c r="AA6" s="438">
        <f>IF(I6="",((TODAY()-A6)*G6)/365.24,((I6-A6)*G6)/365.24)</f>
        <v/>
      </c>
      <c r="AB6" s="103" t="inlineStr">
        <is>
          <t>阿水一式</t>
        </is>
      </c>
      <c r="AC6" s="135" t="inlineStr">
        <is>
          <t>5% 停損</t>
        </is>
      </c>
    </row>
    <row r="7" outlineLevel="1">
      <c r="A7" s="99" t="n">
        <v>45138</v>
      </c>
      <c r="B7" s="11" t="n"/>
      <c r="C7" s="11" t="n">
        <v>9927</v>
      </c>
      <c r="D7" s="189" t="inlineStr">
        <is>
          <t>泰銘</t>
        </is>
      </c>
      <c r="E7" s="11" t="n">
        <v>1000</v>
      </c>
      <c r="F7" s="11" t="n">
        <v>54</v>
      </c>
      <c r="G7" s="11">
        <f>E7*F7</f>
        <v/>
      </c>
      <c r="H7" s="203" t="n">
        <v>76</v>
      </c>
      <c r="I7" s="202" t="n">
        <v>45145</v>
      </c>
      <c r="J7" s="16" t="n">
        <v>56</v>
      </c>
      <c r="K7" s="11">
        <f>E7*J7</f>
        <v/>
      </c>
      <c r="L7" s="17" t="n">
        <v>79</v>
      </c>
      <c r="M7" s="11" t="n">
        <v>168</v>
      </c>
      <c r="N7" s="11" t="n">
        <v>0</v>
      </c>
      <c r="O7" s="434">
        <f>IF(I7="",E7*Y7,0)</f>
        <v/>
      </c>
      <c r="P7" s="435">
        <f>IF(I7="",R7-H7,(K7-H7-SUM(L7:N7)+R7-S7-T7)-G7)+(ROUND(R7*V7,0)-ROUND(R7*(1+V7),0)*W7)</f>
        <v/>
      </c>
      <c r="Q7" s="435">
        <f>IF(I7="",(O7-G7-(O7*0.1425%*0.65)-(O7*0.3%)-S7-T7),0)</f>
        <v/>
      </c>
      <c r="R7" s="435" t="n"/>
      <c r="S7" s="435" t="n"/>
      <c r="T7" s="435" t="n"/>
      <c r="U7" s="69">
        <f>(V7*50%)/(1+50%*V7)</f>
        <v/>
      </c>
      <c r="V7" s="69" t="n"/>
      <c r="W7" s="70" t="n">
        <v>0.11</v>
      </c>
      <c r="X7" s="436">
        <f>(P7+Q7)/G7</f>
        <v/>
      </c>
      <c r="Y7" s="16">
        <f>VLOOKUP(C7,台股行情!A:D,4,FALSE)</f>
        <v/>
      </c>
      <c r="Z7" s="437">
        <f>VLOOKUP(C7,台股行情!A:E,5,FALSE)</f>
        <v/>
      </c>
      <c r="AA7" s="438">
        <f>IF(I7="",((TODAY()-A7)*G7)/365.24,((I7-A7)*G7)/365.24)</f>
        <v/>
      </c>
      <c r="AB7" s="103" t="inlineStr">
        <is>
          <t>阿水一式</t>
        </is>
      </c>
      <c r="AC7" s="188" t="inlineStr">
        <is>
          <t>紅燈，碰 10MA，獲利了結</t>
        </is>
      </c>
    </row>
    <row r="8" outlineLevel="1">
      <c r="A8" s="99" t="n">
        <v>45103</v>
      </c>
      <c r="B8" s="11" t="inlineStr">
        <is>
          <t>普通買進</t>
        </is>
      </c>
      <c r="C8" s="11" t="n">
        <v>1515</v>
      </c>
      <c r="D8" s="189" t="inlineStr">
        <is>
          <t>力山</t>
        </is>
      </c>
      <c r="E8" s="11" t="n">
        <v>1000</v>
      </c>
      <c r="F8" s="11" t="n">
        <v>37</v>
      </c>
      <c r="G8" s="11">
        <f>E8*F8</f>
        <v/>
      </c>
      <c r="H8" s="203" t="n">
        <v>52</v>
      </c>
      <c r="I8" s="202" t="n">
        <v>45142</v>
      </c>
      <c r="J8" s="16" t="n">
        <v>37.2</v>
      </c>
      <c r="K8" s="11">
        <f>E8*J8</f>
        <v/>
      </c>
      <c r="L8" s="17" t="n">
        <v>53</v>
      </c>
      <c r="M8" s="11" t="n">
        <v>111</v>
      </c>
      <c r="N8" s="11" t="n">
        <v>0</v>
      </c>
      <c r="O8" s="434">
        <f>IF(I8="",E8*Y8,0)</f>
        <v/>
      </c>
      <c r="P8" s="435">
        <f>IF(I8="",R8-H8,(K8-H8-SUM(L8:N8)+R8-S8-T8)-G8)+(ROUND(R8*V8,0)-ROUND(R8*(1+V8),0)*W8)</f>
        <v/>
      </c>
      <c r="Q8" s="435">
        <f>IF(I8="",(O8-G8-(O8*0.1425%*0.65)-(O8*0.3%)-S8-T8),0)</f>
        <v/>
      </c>
      <c r="R8" s="435" t="n"/>
      <c r="S8" s="435" t="n"/>
      <c r="T8" s="435" t="n"/>
      <c r="U8" s="69">
        <f>(V8*50%)/(1+50%*V8)</f>
        <v/>
      </c>
      <c r="V8" s="69" t="n"/>
      <c r="W8" s="70" t="n">
        <v>0.11</v>
      </c>
      <c r="X8" s="436">
        <f>(P8+Q8)/G8</f>
        <v/>
      </c>
      <c r="Y8" s="16">
        <f>VLOOKUP(C8,台股行情!A:D,4,FALSE)</f>
        <v/>
      </c>
      <c r="Z8" s="437">
        <f>VLOOKUP(C8,台股行情!A:E,5,FALSE)</f>
        <v/>
      </c>
      <c r="AA8" s="438">
        <f>IF(I8="",((TODAY()-A8)*G8)/365.24,((I8-A8)*G8)/365.24)</f>
        <v/>
      </c>
      <c r="AB8" s="103" t="inlineStr">
        <is>
          <t>阿水一式</t>
        </is>
      </c>
      <c r="AC8" s="188" t="inlineStr">
        <is>
          <t>紅燈，碰 10MA，獲利了結</t>
        </is>
      </c>
    </row>
    <row r="9" outlineLevel="1">
      <c r="A9" s="99" t="n">
        <v>45103</v>
      </c>
      <c r="B9" s="11" t="inlineStr">
        <is>
          <t>普通買進</t>
        </is>
      </c>
      <c r="C9" s="11" t="n">
        <v>1515</v>
      </c>
      <c r="D9" s="189" t="inlineStr">
        <is>
          <t>力山</t>
        </is>
      </c>
      <c r="E9" s="11" t="n">
        <v>1000</v>
      </c>
      <c r="F9" s="11" t="n">
        <v>37</v>
      </c>
      <c r="G9" s="11">
        <f>E9*F9</f>
        <v/>
      </c>
      <c r="H9" s="11" t="n">
        <v>53</v>
      </c>
      <c r="I9" s="204" t="n">
        <v>45152</v>
      </c>
      <c r="J9" s="16" t="n">
        <v>37.3</v>
      </c>
      <c r="K9" s="11">
        <f>E9*J9</f>
        <v/>
      </c>
      <c r="L9" s="17" t="n">
        <v>53</v>
      </c>
      <c r="M9" s="11" t="n">
        <v>111</v>
      </c>
      <c r="N9" s="11" t="n">
        <v>0</v>
      </c>
      <c r="O9" s="434">
        <f>IF(I9="",E9*Y9,0)</f>
        <v/>
      </c>
      <c r="P9" s="435">
        <f>IF(I9="",R9-H9,(K9-H9-SUM(L9:N9)+R9-S9-T9)-G9)+(ROUND(R9*V9,0)-ROUND(R9*(1+V9),0)*W9)</f>
        <v/>
      </c>
      <c r="Q9" s="435">
        <f>IF(I9="",(O9-G9-(O9*0.1425%*0.65)-(O9*0.3%)-S9-T9),0)</f>
        <v/>
      </c>
      <c r="R9" s="435" t="n"/>
      <c r="S9" s="435" t="n"/>
      <c r="T9" s="435" t="n"/>
      <c r="U9" s="69">
        <f>(V9*50%)/(1+50%*V9)</f>
        <v/>
      </c>
      <c r="V9" s="69" t="n"/>
      <c r="W9" s="70" t="n">
        <v>0.11</v>
      </c>
      <c r="X9" s="436">
        <f>(P9+Q9)/G9</f>
        <v/>
      </c>
      <c r="Y9" s="16">
        <f>VLOOKUP(C9,台股行情!A:D,4,FALSE)</f>
        <v/>
      </c>
      <c r="Z9" s="437">
        <f>VLOOKUP(C9,台股行情!A:E,5,FALSE)</f>
        <v/>
      </c>
      <c r="AA9" s="438">
        <f>IF(I9="",((TODAY()-A9)*G9)/365.24,((I9-A9)*G9)/365.24)</f>
        <v/>
      </c>
      <c r="AB9" s="103" t="inlineStr">
        <is>
          <t>阿水一式</t>
        </is>
      </c>
      <c r="AC9" s="103" t="n"/>
    </row>
    <row r="10" outlineLevel="1">
      <c r="A10" s="99" t="n">
        <v>45287</v>
      </c>
      <c r="B10" s="11" t="n"/>
      <c r="C10" s="11" t="n">
        <v>2832</v>
      </c>
      <c r="D10" s="189" t="inlineStr">
        <is>
          <t>台產</t>
        </is>
      </c>
      <c r="E10" s="11" t="n">
        <v>2000</v>
      </c>
      <c r="F10" s="11" t="n">
        <v>26.85</v>
      </c>
      <c r="G10" s="11">
        <f>E10*F10</f>
        <v/>
      </c>
      <c r="H10" s="11" t="n">
        <v>76</v>
      </c>
      <c r="I10" s="327" t="n">
        <v>45313</v>
      </c>
      <c r="J10" s="16" t="n">
        <v>25.3</v>
      </c>
      <c r="K10" s="11">
        <f>E10*J10</f>
        <v/>
      </c>
      <c r="L10" s="17" t="n">
        <v>72</v>
      </c>
      <c r="M10" s="11" t="n">
        <v>151</v>
      </c>
      <c r="N10" s="11" t="n">
        <v>0</v>
      </c>
      <c r="O10" s="434">
        <f>IF(I10="",E10*Y10,0)</f>
        <v/>
      </c>
      <c r="P10" s="435">
        <f>IF(I10="",R10-H10,(K10-H10-SUM(L10:N10)+R10-S10-T10)-G10)+(ROUND(R10*V10,0)-ROUND(R10*(1+V10),0)*W10)</f>
        <v/>
      </c>
      <c r="Q10" s="435">
        <f>IF(I10="",(O10-G10-(O10*0.1425%*0.65)-(O10*0.3%)-S10-T10),0)</f>
        <v/>
      </c>
      <c r="R10" s="435" t="n"/>
      <c r="S10" s="435" t="n"/>
      <c r="T10" s="435" t="n"/>
      <c r="U10" s="69">
        <f>(V10*50%)/(1+50%*V10)</f>
        <v/>
      </c>
      <c r="V10" s="69" t="n"/>
      <c r="W10" s="70" t="n">
        <v>0.11</v>
      </c>
      <c r="X10" s="436">
        <f>(P10+Q10)/G10</f>
        <v/>
      </c>
      <c r="Y10" s="16">
        <f>VLOOKUP(C10,台股行情!A:D,4,FALSE)</f>
        <v/>
      </c>
      <c r="Z10" s="437">
        <f>VLOOKUP(C10,台股行情!A:E,5,FALSE)</f>
        <v/>
      </c>
      <c r="AA10" s="438">
        <f>IF(I10="",((TODAY()-A10)*G10)/365.24,((I10-A10)*G10)/365.24)</f>
        <v/>
      </c>
      <c r="AB10" s="103" t="inlineStr">
        <is>
          <t>阿水一式</t>
        </is>
      </c>
      <c r="AC10" s="135" t="inlineStr">
        <is>
          <t>5% 停損</t>
        </is>
      </c>
    </row>
    <row r="11" outlineLevel="1">
      <c r="A11" s="99" t="n">
        <v>45273</v>
      </c>
      <c r="B11" s="11" t="n"/>
      <c r="C11" s="11" t="n">
        <v>1519</v>
      </c>
      <c r="D11" s="189" t="inlineStr">
        <is>
          <t>華城</t>
        </is>
      </c>
      <c r="E11" s="11" t="n">
        <v>1000</v>
      </c>
      <c r="F11" s="11" t="n">
        <v>362</v>
      </c>
      <c r="G11" s="11">
        <f>E11*F11</f>
        <v/>
      </c>
      <c r="H11" s="11" t="n">
        <v>515</v>
      </c>
      <c r="I11" s="327" t="n">
        <v>45320</v>
      </c>
      <c r="J11" s="16" t="n">
        <v>394</v>
      </c>
      <c r="K11" s="11">
        <f>E11*J11</f>
        <v/>
      </c>
      <c r="L11" s="17" t="n">
        <v>561</v>
      </c>
      <c r="M11" s="11" t="n">
        <v>1182</v>
      </c>
      <c r="N11" s="11" t="n">
        <v>0</v>
      </c>
      <c r="O11" s="434">
        <f>IF(I11="",E11*Y11,0)</f>
        <v/>
      </c>
      <c r="P11" s="435">
        <f>IF(I11="",R11-H11,(K11-H11-SUM(L11:N11)+R11-S11-T11)-G11)+(ROUND(R11*V11,0)-ROUND(R11*(1+V11),0)*W11)</f>
        <v/>
      </c>
      <c r="Q11" s="435">
        <f>IF(I11="",(O11-G11-(O11*0.1425%*0.65)-(O11*0.3%)-S11-T11),0)</f>
        <v/>
      </c>
      <c r="R11" s="435" t="n"/>
      <c r="S11" s="435" t="n"/>
      <c r="T11" s="435" t="n"/>
      <c r="U11" s="69">
        <f>(V11*50%)/(1+50%*V11)</f>
        <v/>
      </c>
      <c r="V11" s="69" t="n"/>
      <c r="W11" s="70" t="n">
        <v>0.11</v>
      </c>
      <c r="X11" s="436">
        <f>(P11+Q11)/G11</f>
        <v/>
      </c>
      <c r="Y11" s="16">
        <f>VLOOKUP(C11,台股行情!A:D,4,FALSE)</f>
        <v/>
      </c>
      <c r="Z11" s="437">
        <f>VLOOKUP(C11,台股行情!A:E,5,FALSE)</f>
        <v/>
      </c>
      <c r="AA11" s="438">
        <f>IF(I11="",((TODAY()-A11)*G11)/365.24,((I11-A11)*G11)/365.24)</f>
        <v/>
      </c>
      <c r="AB11" s="103" t="inlineStr">
        <is>
          <t>水某精選</t>
        </is>
      </c>
      <c r="AC11" s="103" t="n"/>
    </row>
    <row r="12" outlineLevel="1">
      <c r="A12" s="99" t="n">
        <v>45125</v>
      </c>
      <c r="B12" s="11" t="n"/>
      <c r="C12" s="11" t="n">
        <v>2610</v>
      </c>
      <c r="D12" s="189" t="inlineStr">
        <is>
          <t>華航</t>
        </is>
      </c>
      <c r="E12" s="11" t="n">
        <v>1000</v>
      </c>
      <c r="F12" s="11" t="n">
        <v>24.95</v>
      </c>
      <c r="G12" s="11">
        <f>E12*F12</f>
        <v/>
      </c>
      <c r="H12" s="11" t="n">
        <v>35</v>
      </c>
      <c r="I12" s="308" t="n">
        <v>45540</v>
      </c>
      <c r="J12" s="16" t="n">
        <v>20.35</v>
      </c>
      <c r="K12" s="11">
        <f>E12*J12</f>
        <v/>
      </c>
      <c r="L12" s="17" t="n">
        <v>28</v>
      </c>
      <c r="M12" s="11" t="n">
        <v>61</v>
      </c>
      <c r="N12" s="11" t="n">
        <v>0</v>
      </c>
      <c r="O12" s="434">
        <f>IF(I12="",E12*Y12,0)</f>
        <v/>
      </c>
      <c r="P12" s="435">
        <f>IF(I12="",R12-H12,(K12-H12-SUM(L12:N12)+R12-S12-T12)-G12)+(ROUND(R12*V12,0)-ROUND(R12*(1+V12),0)*W12)</f>
        <v/>
      </c>
      <c r="Q12" s="435">
        <f>IF(I12="",(O12-G12-(O12*0.1425%*0.65)-(O12*0.3%)-S12-T12),0)</f>
        <v/>
      </c>
      <c r="R12" s="435" t="n">
        <v>690</v>
      </c>
      <c r="S12" s="435" t="n">
        <v>10</v>
      </c>
      <c r="T12" s="435" t="n"/>
      <c r="U12" s="69">
        <f>(V12*50%)/(1+50%*V12)</f>
        <v/>
      </c>
      <c r="V12" s="69" t="n"/>
      <c r="W12" s="70" t="n">
        <v>0.11</v>
      </c>
      <c r="X12" s="436">
        <f>(P12+Q12)/G12</f>
        <v/>
      </c>
      <c r="Y12" s="16">
        <f>VLOOKUP(C12,台股行情!A:D,4,FALSE)</f>
        <v/>
      </c>
      <c r="Z12" s="437">
        <f>VLOOKUP(C12,台股行情!A:E,5,FALSE)</f>
        <v/>
      </c>
      <c r="AA12" s="438">
        <f>IF(I12="",((TODAY()-A12)*G12)/365.24,((I12-A12)*G12)/365.24)</f>
        <v/>
      </c>
      <c r="AB12" s="103" t="inlineStr">
        <is>
          <t>除權息</t>
        </is>
      </c>
      <c r="AC12" s="135" t="inlineStr">
        <is>
          <t>除息多次，又遇紅燈，認賠出場</t>
        </is>
      </c>
    </row>
    <row r="13" outlineLevel="1">
      <c r="A13" s="99" t="n">
        <v>45125</v>
      </c>
      <c r="B13" s="11" t="inlineStr">
        <is>
          <t>普通買進</t>
        </is>
      </c>
      <c r="C13" s="11" t="n">
        <v>2618</v>
      </c>
      <c r="D13" s="189">
        <f>VLOOKUP(C13,台股行情!A:B,2,FALSE)</f>
        <v/>
      </c>
      <c r="E13" s="11" t="n">
        <v>1000</v>
      </c>
      <c r="F13" s="11" t="n">
        <v>37.1</v>
      </c>
      <c r="G13" s="11">
        <f>E13*F13</f>
        <v/>
      </c>
      <c r="H13" s="11" t="n">
        <v>52</v>
      </c>
      <c r="I13" s="308" t="n">
        <v>45566</v>
      </c>
      <c r="J13" s="16" t="n">
        <v>37.15</v>
      </c>
      <c r="K13" s="11">
        <f>E13*J13</f>
        <v/>
      </c>
      <c r="L13" s="17" t="n">
        <v>52</v>
      </c>
      <c r="M13" s="11" t="n">
        <v>111</v>
      </c>
      <c r="N13" s="11" t="n">
        <v>0</v>
      </c>
      <c r="O13" s="434">
        <f>IF(I13="",E13*Y13,0)</f>
        <v/>
      </c>
      <c r="P13" s="435">
        <f>IF(I13="",R13-H13,(K13-H13-SUM(L13:N13)+R13-S13-T13)-G13)+(ROUND(R13*V13,0)-ROUND(R13*(1+V13),0)*W13)</f>
        <v/>
      </c>
      <c r="Q13" s="435">
        <f>IF(I13="",(O13-G13-(O13*0.1425%*0.65)-(O13*0.3%)-S13-T13),0)</f>
        <v/>
      </c>
      <c r="R13" s="435" t="n">
        <v>1800</v>
      </c>
      <c r="S13" s="435" t="n">
        <v>10</v>
      </c>
      <c r="T13" s="435" t="n"/>
      <c r="U13" s="69">
        <f>(V13*50%)/(1+50%*V13)</f>
        <v/>
      </c>
      <c r="V13" s="69" t="n"/>
      <c r="W13" s="70" t="n">
        <v>0.11</v>
      </c>
      <c r="X13" s="436">
        <f>(P13+Q13)/G13</f>
        <v/>
      </c>
      <c r="Y13" s="16">
        <f>VLOOKUP(C13,台股行情!A:D,4,FALSE)</f>
        <v/>
      </c>
      <c r="Z13" s="437">
        <f>VLOOKUP(C13,台股行情!A:E,5,FALSE)</f>
        <v/>
      </c>
      <c r="AA13" s="438">
        <f>IF(I13="",((TODAY()-A13)*G13)/365.24,((I13-A13)*G13)/365.24)</f>
        <v/>
      </c>
      <c r="AB13" s="103" t="inlineStr">
        <is>
          <t>除權息</t>
        </is>
      </c>
      <c r="AC13" s="135" t="inlineStr">
        <is>
          <t>除息多次，又遇紅燈，認賠出場</t>
        </is>
      </c>
    </row>
    <row r="14" outlineLevel="1">
      <c r="A14" s="99" t="n">
        <v>45140</v>
      </c>
      <c r="B14" s="11" t="n"/>
      <c r="C14" s="11" t="n">
        <v>929</v>
      </c>
      <c r="D14" s="189">
        <f>VLOOKUP(C14,台股行情!A:B,2,FALSE)</f>
        <v/>
      </c>
      <c r="E14" s="11" t="n">
        <v>3000</v>
      </c>
      <c r="F14" s="11" t="n">
        <v>16.48</v>
      </c>
      <c r="G14" s="11">
        <f>E14*F14</f>
        <v/>
      </c>
      <c r="H14" s="11" t="n">
        <v>70</v>
      </c>
      <c r="I14" s="308" t="n">
        <v>45664</v>
      </c>
      <c r="J14" s="16" t="n">
        <v>18.33</v>
      </c>
      <c r="K14" s="11">
        <f>E14*J14</f>
        <v/>
      </c>
      <c r="L14" s="17" t="n">
        <v>26</v>
      </c>
      <c r="M14" s="11" t="n">
        <v>19</v>
      </c>
      <c r="N14" s="11" t="n">
        <v>0</v>
      </c>
      <c r="O14" s="434">
        <f>IF(I14="",E14*Y14,0)</f>
        <v/>
      </c>
      <c r="P14" s="435">
        <f>IF(I14="",R14-H14,(K14-H14-SUM(L14:N14)+R14-S14-T14)-G14)+(ROUND(R14*V14,0)-ROUND(R14*(1+V14),0)*W14)</f>
        <v/>
      </c>
      <c r="Q14" s="435">
        <f>IF(I14="",(O14-G14-(O14*0.1425%*0.65)-(O14*0.3%)-S14-T14),0)</f>
        <v/>
      </c>
      <c r="R14" s="435">
        <f>330+330+330+330+330</f>
        <v/>
      </c>
      <c r="S14" s="435" t="n">
        <v>10</v>
      </c>
      <c r="T14" s="435" t="n"/>
      <c r="U14" s="69">
        <f>(V14*50%)/(1+50%*V14)</f>
        <v/>
      </c>
      <c r="V14" s="69" t="n"/>
      <c r="W14" s="70" t="n">
        <v>0.11</v>
      </c>
      <c r="X14" s="436">
        <f>(P14+Q14)/G14</f>
        <v/>
      </c>
      <c r="Y14" s="16">
        <f>VLOOKUP(C14,台股行情!A:D,4,FALSE)</f>
        <v/>
      </c>
      <c r="Z14" s="437">
        <f>VLOOKUP(C14,台股行情!A:E,5,FALSE)</f>
        <v/>
      </c>
      <c r="AA14" s="438">
        <f>IF(I14="",((TODAY()-A14)*G14)/365.24,((I14-A14)*G14)/365.24)</f>
        <v/>
      </c>
      <c r="AB14" s="103" t="inlineStr">
        <is>
          <t>存股</t>
        </is>
      </c>
      <c r="AC14" s="270" t="inlineStr">
        <is>
          <t>配息率降低，轉換更好的標的</t>
        </is>
      </c>
      <c r="AD14" s="206" t="inlineStr">
        <is>
          <t>https://www.fhtrust.com.tw/Event/EC/2023_00929/index.html</t>
        </is>
      </c>
    </row>
    <row r="15" outlineLevel="1">
      <c r="A15" s="99" t="n">
        <v>45176</v>
      </c>
      <c r="B15" s="11" t="n"/>
      <c r="C15" s="11" t="n">
        <v>929</v>
      </c>
      <c r="D15" s="189">
        <f>VLOOKUP(C15,台股行情!A:B,2,FALSE)</f>
        <v/>
      </c>
      <c r="E15" s="11" t="n">
        <v>1000</v>
      </c>
      <c r="F15" s="11" t="n">
        <v>17.75</v>
      </c>
      <c r="G15" s="11">
        <f>E15*F15</f>
        <v/>
      </c>
      <c r="H15" s="11" t="n">
        <v>25</v>
      </c>
      <c r="I15" s="308" t="n">
        <v>45664</v>
      </c>
      <c r="J15" s="16" t="n">
        <v>18.33</v>
      </c>
      <c r="K15" s="11">
        <f>E15*J15</f>
        <v/>
      </c>
      <c r="L15" s="17" t="n">
        <v>26</v>
      </c>
      <c r="M15" s="11" t="n">
        <v>19</v>
      </c>
      <c r="N15" s="11" t="n">
        <v>0</v>
      </c>
      <c r="O15" s="434">
        <f>IF(I15="",E15*Y15,0)</f>
        <v/>
      </c>
      <c r="P15" s="435">
        <f>IF(I15="",R15-H15,(K15-H15-SUM(L15:N15)+R15-S15-T15)-G15)+(ROUND(R15*V15,0)-ROUND(R15*(1+V15),0)*W15)</f>
        <v/>
      </c>
      <c r="Q15" s="435">
        <f>IF(I15="",(O15-G15-(O15*0.1425%*0.65)-(O15*0.3%)-S15-T15),0)</f>
        <v/>
      </c>
      <c r="R15" s="435">
        <f>110+110+110+110</f>
        <v/>
      </c>
      <c r="S15" s="435" t="n">
        <v>10</v>
      </c>
      <c r="T15" s="435" t="n"/>
      <c r="U15" s="69">
        <f>(V15*50%)/(1+50%*V15)</f>
        <v/>
      </c>
      <c r="V15" s="69" t="n"/>
      <c r="W15" s="70" t="n">
        <v>0.11</v>
      </c>
      <c r="X15" s="436">
        <f>(P15+Q15)/G15</f>
        <v/>
      </c>
      <c r="Y15" s="16">
        <f>VLOOKUP(C15,台股行情!A:D,4,FALSE)</f>
        <v/>
      </c>
      <c r="Z15" s="437">
        <f>VLOOKUP(C15,台股行情!A:E,5,FALSE)</f>
        <v/>
      </c>
      <c r="AA15" s="438">
        <f>IF(I15="",((TODAY()-A15)*G15)/365.24,((I15-A15)*G15)/365.24)</f>
        <v/>
      </c>
      <c r="AB15" s="103" t="inlineStr">
        <is>
          <t>存股</t>
        </is>
      </c>
      <c r="AC15" s="270" t="inlineStr">
        <is>
          <t>配息率降低，轉換更好的標的</t>
        </is>
      </c>
      <c r="AD15" s="206" t="inlineStr">
        <is>
          <t>https://www.fhtrust.com.tw/Event/EC/2023_00929/index.html</t>
        </is>
      </c>
    </row>
    <row r="16" outlineLevel="1">
      <c r="A16" s="99" t="n">
        <v>45205</v>
      </c>
      <c r="B16" s="11" t="n"/>
      <c r="C16" s="11" t="n">
        <v>929</v>
      </c>
      <c r="D16" s="189">
        <f>VLOOKUP(C16,台股行情!A:B,2,FALSE)</f>
        <v/>
      </c>
      <c r="E16" s="11" t="n">
        <v>1000</v>
      </c>
      <c r="F16" s="11" t="n">
        <v>17.52</v>
      </c>
      <c r="G16" s="11">
        <f>E16*F16</f>
        <v/>
      </c>
      <c r="H16" s="11" t="n">
        <v>24</v>
      </c>
      <c r="I16" s="308" t="n">
        <v>45664</v>
      </c>
      <c r="J16" s="16" t="n">
        <v>18.33</v>
      </c>
      <c r="K16" s="11">
        <f>E16*J16</f>
        <v/>
      </c>
      <c r="L16" s="17" t="n">
        <v>26</v>
      </c>
      <c r="M16" s="11" t="n">
        <v>18</v>
      </c>
      <c r="N16" s="11" t="n">
        <v>0</v>
      </c>
      <c r="O16" s="434">
        <f>IF(I16="",E16*Y16,0)</f>
        <v/>
      </c>
      <c r="P16" s="435">
        <f>IF(I16="",R16-H16,(K16-H16-SUM(L16:N16)+R16-S16-T16)-G16)+(ROUND(R16*V16,0)-ROUND(R16*(1+V16),0)*W16)</f>
        <v/>
      </c>
      <c r="Q16" s="435">
        <f>IF(I16="",(O16-G16-(O16*0.1425%*0.65)-(O16*0.3%)-S16-T16),0)</f>
        <v/>
      </c>
      <c r="R16" s="435">
        <f>110+110+110</f>
        <v/>
      </c>
      <c r="S16" s="435" t="n">
        <v>10</v>
      </c>
      <c r="T16" s="435" t="n"/>
      <c r="U16" s="69">
        <f>(V16*50%)/(1+50%*V16)</f>
        <v/>
      </c>
      <c r="V16" s="69" t="n"/>
      <c r="W16" s="70" t="n">
        <v>0.11</v>
      </c>
      <c r="X16" s="436">
        <f>(P16+Q16)/G16</f>
        <v/>
      </c>
      <c r="Y16" s="16">
        <f>VLOOKUP(C16,台股行情!A:D,4,FALSE)</f>
        <v/>
      </c>
      <c r="Z16" s="437">
        <f>VLOOKUP(C16,台股行情!A:E,5,FALSE)</f>
        <v/>
      </c>
      <c r="AA16" s="438">
        <f>IF(I16="",((TODAY()-A16)*G16)/365.24,((I16-A16)*G16)/365.24)</f>
        <v/>
      </c>
      <c r="AB16" s="103" t="inlineStr">
        <is>
          <t>存股</t>
        </is>
      </c>
      <c r="AC16" s="270" t="inlineStr">
        <is>
          <t>配息率降低，轉換更好的標的</t>
        </is>
      </c>
      <c r="AD16" s="206" t="inlineStr">
        <is>
          <t>https://www.fhtrust.com.tw/Event/EC/2023_00929/index.html</t>
        </is>
      </c>
    </row>
    <row r="17" outlineLevel="1">
      <c r="A17" s="99" t="n">
        <v>45287</v>
      </c>
      <c r="B17" s="11" t="n"/>
      <c r="C17" s="11" t="n">
        <v>929</v>
      </c>
      <c r="D17" s="189">
        <f>VLOOKUP(C17,台股行情!A:B,2,FALSE)</f>
        <v/>
      </c>
      <c r="E17" s="11" t="n">
        <v>2000</v>
      </c>
      <c r="F17" s="11" t="n">
        <v>19.24</v>
      </c>
      <c r="G17" s="11">
        <f>E17*F17</f>
        <v/>
      </c>
      <c r="H17" s="11" t="n">
        <v>54</v>
      </c>
      <c r="I17" s="308" t="n">
        <v>45664</v>
      </c>
      <c r="J17" s="16" t="n">
        <v>18.33</v>
      </c>
      <c r="K17" s="11">
        <f>E17*J17</f>
        <v/>
      </c>
      <c r="L17" s="17" t="n">
        <v>26</v>
      </c>
      <c r="M17" s="11" t="n">
        <v>18</v>
      </c>
      <c r="N17" s="11" t="n">
        <v>0</v>
      </c>
      <c r="O17" s="434">
        <f>IF(I17="",E17*Y17,0)</f>
        <v/>
      </c>
      <c r="P17" s="435">
        <f>IF(I17="",R17-H17,(K17-H17-SUM(L17:N17)+R17-S17-T17)-G17)+(ROUND(R17*V17,0)-ROUND(R17*(1+V17),0)*W17)</f>
        <v/>
      </c>
      <c r="Q17" s="435">
        <f>IF(I17="",(O17-G17-(O17*0.1425%*0.65)-(O17*0.3%)-S17-T17),0)</f>
        <v/>
      </c>
      <c r="R17" s="435">
        <f>110+110+110+910+910+1040+1040+1600</f>
        <v/>
      </c>
      <c r="S17" s="435" t="n">
        <v>30</v>
      </c>
      <c r="T17" s="435" t="n"/>
      <c r="U17" s="69">
        <f>(V17*50%)/(1+50%*V17)</f>
        <v/>
      </c>
      <c r="V17" s="69" t="n"/>
      <c r="W17" s="70" t="n">
        <v>0.11</v>
      </c>
      <c r="X17" s="436">
        <f>(P17+Q17)/G17</f>
        <v/>
      </c>
      <c r="Y17" s="16">
        <f>VLOOKUP(C17,台股行情!A:D,4,FALSE)</f>
        <v/>
      </c>
      <c r="Z17" s="437">
        <f>VLOOKUP(C17,台股行情!A:E,5,FALSE)</f>
        <v/>
      </c>
      <c r="AA17" s="438">
        <f>IF(I17="",((TODAY()-A17)*G17)/365.24,((I17-A17)*G17)/365.24)</f>
        <v/>
      </c>
      <c r="AB17" s="103" t="inlineStr">
        <is>
          <t>存股</t>
        </is>
      </c>
      <c r="AC17" s="270" t="inlineStr">
        <is>
          <t>配息率降低，轉換更好的標的</t>
        </is>
      </c>
      <c r="AD17" s="206" t="inlineStr">
        <is>
          <t>https://www.fhtrust.com.tw/Event/EC/2023_00929/index.html</t>
        </is>
      </c>
    </row>
    <row r="18">
      <c r="A18" s="99" t="n">
        <v>45104</v>
      </c>
      <c r="B18" s="11" t="n"/>
      <c r="C18" s="11" t="n">
        <v>3038</v>
      </c>
      <c r="D18" s="189">
        <f>VLOOKUP(C18,台股行情!A:B,2,FALSE)</f>
        <v/>
      </c>
      <c r="E18" s="11" t="n">
        <v>1000</v>
      </c>
      <c r="F18" s="11" t="n">
        <v>42.75</v>
      </c>
      <c r="G18" s="11">
        <f>E18*F18</f>
        <v/>
      </c>
      <c r="H18" s="11" t="n">
        <v>60</v>
      </c>
      <c r="I18" s="308" t="n">
        <v>45882</v>
      </c>
      <c r="J18" s="16" t="n">
        <v>22.3</v>
      </c>
      <c r="K18" s="11">
        <f>E18*J18</f>
        <v/>
      </c>
      <c r="L18" s="11" t="n">
        <v>31</v>
      </c>
      <c r="M18" s="11" t="n">
        <v>66</v>
      </c>
      <c r="N18" s="11" t="n">
        <v>0</v>
      </c>
      <c r="O18" s="434">
        <f>IF(I18="",E18*Y18,0)</f>
        <v/>
      </c>
      <c r="P18" s="435">
        <f>IF(I18="",R18-H18,(K18-H18-SUM(L18:N18)+R18-S18-T18)-G18)+(ROUND(R18*V18,0)-ROUND(R18*(1+V18),0)*W18)</f>
        <v/>
      </c>
      <c r="Q18" s="435">
        <f>IF(I18="",(O18-G18-(O18*0.1425%*0.65)-(O18*0.3%)-S18-T18),0)</f>
        <v/>
      </c>
      <c r="R18" s="435">
        <f>1600+1600+1500</f>
        <v/>
      </c>
      <c r="S18" s="435" t="n">
        <v>30</v>
      </c>
      <c r="T18" s="435" t="n"/>
      <c r="U18" s="69">
        <f>(V18*50%)/(1+50%*V18)</f>
        <v/>
      </c>
      <c r="V18" s="69" t="n"/>
      <c r="W18" s="70" t="n">
        <v>0.11</v>
      </c>
      <c r="X18" s="436">
        <f>(P18+Q18)/G18</f>
        <v/>
      </c>
      <c r="Y18" s="16">
        <f>VLOOKUP(C18,台股行情!A:D,4,FALSE)</f>
        <v/>
      </c>
      <c r="Z18" s="437">
        <f>VLOOKUP(C18,台股行情!A:E,5,FALSE)</f>
        <v/>
      </c>
      <c r="AA18" s="438">
        <f>IF(I18="",((TODAY()-A18)*G18)/365.24,((I18-A18)*G18)/365.24)</f>
        <v/>
      </c>
      <c r="AB18" s="103" t="inlineStr">
        <is>
          <t>水某精選</t>
        </is>
      </c>
      <c r="AC18" s="103" t="n"/>
    </row>
    <row r="19">
      <c r="A19" s="99" t="n"/>
      <c r="B19" s="11" t="n"/>
      <c r="C19" s="11" t="n"/>
      <c r="D19" s="189" t="n"/>
      <c r="E19" s="11" t="n"/>
      <c r="F19" s="11" t="n"/>
      <c r="G19" s="11" t="n"/>
      <c r="H19" s="11" t="n"/>
      <c r="I19" s="104" t="n"/>
      <c r="J19" s="16" t="n"/>
      <c r="K19" s="11" t="n"/>
      <c r="L19" s="17" t="n"/>
      <c r="M19" s="11" t="n"/>
      <c r="N19" s="11" t="n"/>
      <c r="O19" s="434" t="n"/>
      <c r="P19" s="435" t="n"/>
      <c r="Q19" s="435" t="n"/>
      <c r="R19" s="435" t="n"/>
      <c r="S19" s="435" t="n"/>
      <c r="T19" s="435" t="n"/>
      <c r="U19" s="69" t="n"/>
      <c r="V19" s="69" t="n"/>
      <c r="W19" s="70" t="n"/>
      <c r="X19" s="436" t="n"/>
      <c r="Y19" s="16" t="n"/>
      <c r="Z19" s="437" t="n"/>
      <c r="AA19" s="438" t="n"/>
      <c r="AB19" s="103" t="n"/>
      <c r="AC19" s="135" t="n"/>
    </row>
    <row r="20">
      <c r="A20" s="39" t="n"/>
      <c r="B20" s="40" t="n"/>
      <c r="C20" s="40" t="n"/>
      <c r="D20" s="191" t="n"/>
      <c r="E20" s="40" t="n"/>
      <c r="F20" s="40" t="n"/>
      <c r="G20" s="40" t="n"/>
      <c r="H20" s="40" t="n"/>
      <c r="I20" s="41" t="n"/>
      <c r="J20" s="42" t="n"/>
      <c r="K20" s="40" t="n"/>
      <c r="L20" s="439" t="n"/>
      <c r="M20" s="40" t="n"/>
      <c r="N20" s="40" t="n"/>
      <c r="O20" s="440" t="n"/>
      <c r="P20" s="441" t="n"/>
      <c r="Q20" s="441" t="n"/>
      <c r="R20" s="441" t="n"/>
      <c r="S20" s="441" t="n"/>
      <c r="T20" s="441" t="n"/>
      <c r="U20" s="73" t="n"/>
      <c r="V20" s="73" t="n"/>
      <c r="W20" s="76" t="n"/>
      <c r="X20" s="442" t="n"/>
      <c r="Y20" s="42" t="n"/>
      <c r="Z20" s="47" t="n"/>
      <c r="AA20" s="438" t="n"/>
    </row>
    <row r="21">
      <c r="A21" s="10" t="n"/>
      <c r="B21" s="11" t="n"/>
      <c r="C21" s="11" t="n"/>
      <c r="D21" s="189" t="n"/>
      <c r="E21" s="11" t="n"/>
      <c r="F21" s="11" t="n"/>
      <c r="G21" s="11" t="n"/>
      <c r="H21" s="11" t="n"/>
      <c r="I21" s="12" t="n"/>
      <c r="J21" s="11" t="n"/>
      <c r="K21" s="11" t="n"/>
      <c r="L21" s="11" t="n"/>
      <c r="M21" s="11" t="n"/>
      <c r="N21" s="11" t="n"/>
      <c r="O21" s="434" t="n"/>
      <c r="P21" s="435" t="n"/>
      <c r="Q21" s="435" t="n"/>
      <c r="R21" s="435" t="n"/>
      <c r="S21" s="435" t="n"/>
      <c r="T21" s="435" t="n"/>
      <c r="U21" s="435" t="n"/>
      <c r="V21" s="69" t="n"/>
      <c r="W21" s="70" t="n"/>
      <c r="X21" s="436" t="n"/>
      <c r="Y21" s="16" t="n"/>
      <c r="Z21" s="437" t="n"/>
      <c r="AA21" s="438" t="n"/>
    </row>
    <row r="22">
      <c r="A22" s="18">
        <f>MIN(A24:A24)</f>
        <v/>
      </c>
      <c r="B22" s="19" t="n"/>
      <c r="C22" s="20" t="n"/>
      <c r="D22" s="192" t="n"/>
      <c r="E22" s="19" t="n"/>
      <c r="F22" s="19" t="n"/>
      <c r="G22" s="19" t="n"/>
      <c r="H22" s="19" t="n"/>
      <c r="I22" s="21" t="n"/>
      <c r="J22" s="22" t="n"/>
      <c r="K22" s="19" t="n"/>
      <c r="L22" s="443" t="n"/>
      <c r="M22" s="19" t="n"/>
      <c r="N22" s="19" t="n"/>
      <c r="O22" s="444" t="n"/>
      <c r="P22" s="445" t="n"/>
      <c r="Q22" s="445" t="n"/>
      <c r="R22" s="445" t="n"/>
      <c r="S22" s="445" t="n"/>
      <c r="T22" s="445" t="n"/>
      <c r="U22" s="445" t="n"/>
      <c r="V22" s="74" t="n"/>
      <c r="W22" s="77" t="n"/>
      <c r="X22" s="446" t="n"/>
      <c r="Y22" s="22" t="n"/>
      <c r="Z22" s="27" t="n"/>
      <c r="AA22" s="438" t="n"/>
    </row>
    <row r="23">
      <c r="A23" s="99" t="n"/>
      <c r="B23" s="11" t="n"/>
      <c r="C23" s="11" t="n"/>
      <c r="D23" s="189" t="n"/>
      <c r="E23" s="11" t="n"/>
      <c r="F23" s="11" t="n"/>
      <c r="G23" s="11" t="n"/>
      <c r="H23" s="11" t="n"/>
      <c r="I23" s="104" t="n"/>
      <c r="J23" s="16" t="n"/>
      <c r="K23" s="11" t="n"/>
      <c r="L23" s="17" t="n"/>
      <c r="M23" s="11" t="n"/>
      <c r="N23" s="11" t="n"/>
      <c r="O23" s="434" t="n"/>
      <c r="P23" s="435" t="n"/>
      <c r="Q23" s="435" t="n"/>
      <c r="R23" s="435" t="n"/>
      <c r="S23" s="435" t="n"/>
      <c r="T23" s="435" t="n"/>
      <c r="U23" s="69" t="n"/>
      <c r="V23" s="69" t="n"/>
      <c r="W23" s="70" t="n"/>
      <c r="X23" s="436" t="n"/>
      <c r="Y23" s="16" t="n"/>
      <c r="Z23" s="437" t="n"/>
      <c r="AA23" s="438" t="n"/>
      <c r="AB23" s="184" t="n"/>
      <c r="AC23" s="103" t="n"/>
    </row>
    <row r="24" ht="17.25" customHeight="1" thickBot="1">
      <c r="A24" s="48" t="n"/>
      <c r="B24" s="49" t="n"/>
      <c r="C24" s="49" t="n"/>
      <c r="D24" s="193" t="n"/>
      <c r="E24" s="49" t="n"/>
      <c r="F24" s="49" t="n"/>
      <c r="G24" s="49" t="n"/>
      <c r="H24" s="49" t="n"/>
      <c r="I24" s="50" t="n"/>
      <c r="J24" s="51" t="n"/>
      <c r="K24" s="49" t="n"/>
      <c r="L24" s="447" t="n"/>
      <c r="M24" s="49" t="n"/>
      <c r="N24" s="49" t="n"/>
      <c r="O24" s="448" t="n"/>
      <c r="P24" s="449" t="n"/>
      <c r="Q24" s="449" t="n"/>
      <c r="R24" s="449" t="n"/>
      <c r="S24" s="449" t="n"/>
      <c r="T24" s="450" t="n"/>
      <c r="U24" s="449" t="n"/>
      <c r="V24" s="449" t="n"/>
      <c r="W24" s="78" t="n"/>
      <c r="X24" s="451" t="n"/>
      <c r="Y24" s="51" t="n"/>
      <c r="Z24" s="56" t="n"/>
      <c r="AA24" s="438" t="n"/>
    </row>
    <row r="25" ht="17.25" customHeight="1" thickBot="1">
      <c r="A25" s="29" t="n"/>
      <c r="D25" s="28" t="n"/>
      <c r="I25" s="30" t="n"/>
      <c r="J25" s="31" t="n"/>
      <c r="L25" s="452" t="n"/>
      <c r="O25" s="453" t="n"/>
      <c r="P25" s="454" t="n"/>
      <c r="Q25" s="454" t="n"/>
      <c r="R25" s="454" t="n"/>
      <c r="S25" s="454" t="n"/>
      <c r="T25" s="454" t="n"/>
      <c r="U25" s="454" t="n"/>
      <c r="V25" s="454" t="n"/>
      <c r="W25" s="454" t="n"/>
      <c r="X25" s="455" t="n"/>
      <c r="Y25" s="31" t="n"/>
      <c r="Z25" s="31" t="n"/>
      <c r="AA25" s="438" t="n"/>
    </row>
    <row r="26" ht="17.25" customHeight="1" thickBot="1">
      <c r="A26" s="179" t="inlineStr">
        <is>
          <t>總表</t>
        </is>
      </c>
      <c r="B26" s="456" t="n"/>
      <c r="C26" s="456" t="n"/>
      <c r="D26" s="238" t="inlineStr">
        <is>
          <t>持股小計</t>
        </is>
      </c>
      <c r="E26" s="490" t="n"/>
      <c r="F26" s="460" t="n"/>
      <c r="G26" s="62">
        <f>SUM(G22:G24)</f>
        <v/>
      </c>
      <c r="H26" s="62">
        <f>SUM(H22:H24)</f>
        <v/>
      </c>
      <c r="I26" s="414" t="n"/>
      <c r="J26" s="382" t="n"/>
      <c r="K26" s="62" t="n"/>
      <c r="L26" s="459" t="n"/>
      <c r="M26" s="459" t="n"/>
      <c r="N26" s="460" t="n"/>
      <c r="O26" s="62">
        <f>SUM(O22:O24)</f>
        <v/>
      </c>
      <c r="P26" s="461">
        <f>SUM(P22:P24)</f>
        <v/>
      </c>
      <c r="Q26" s="461">
        <f>SUM(Q22:Q24)</f>
        <v/>
      </c>
      <c r="R26" s="62">
        <f>SUM(R22:R24)</f>
        <v/>
      </c>
      <c r="S26" s="407" t="n"/>
      <c r="T26" s="407" t="n"/>
      <c r="U26" s="407" t="n"/>
      <c r="V26" s="407" t="n"/>
      <c r="W26" s="407" t="n"/>
      <c r="X26" s="462">
        <f>(P26+Q26)/G26</f>
        <v/>
      </c>
      <c r="Y26" s="390" t="inlineStr">
        <is>
          <t>年化報酬率</t>
        </is>
      </c>
      <c r="Z26" s="463">
        <f>IF(AA26=0,0,(P26+Q26)/(AA26))</f>
        <v/>
      </c>
      <c r="AA26" s="438">
        <f>SUM(AA22:AA24)</f>
        <v/>
      </c>
    </row>
    <row r="27" ht="17.25" customFormat="1" customHeight="1" s="36" thickBot="1">
      <c r="A27" s="464" t="n"/>
      <c r="D27" s="238" t="inlineStr">
        <is>
          <t>2023總計</t>
        </is>
      </c>
      <c r="E27" s="490" t="n"/>
      <c r="F27" s="460" t="n"/>
      <c r="G27" s="63">
        <f>SUM(G2:G24)</f>
        <v/>
      </c>
      <c r="H27" s="63">
        <f>SUM(H2:H24)</f>
        <v/>
      </c>
      <c r="I27" s="414" t="n"/>
      <c r="J27" s="382" t="n"/>
      <c r="K27" s="63">
        <f>SUM(K2:K24)</f>
        <v/>
      </c>
      <c r="L27" s="63">
        <f>SUM(L2:L24)</f>
        <v/>
      </c>
      <c r="M27" s="63">
        <f>SUM(M2:M24)</f>
        <v/>
      </c>
      <c r="N27" s="63">
        <f>SUM(N2:N24)</f>
        <v/>
      </c>
      <c r="O27" s="63">
        <f>SUM(O2:O24)</f>
        <v/>
      </c>
      <c r="P27" s="472">
        <f>SUM(P2:P24)</f>
        <v/>
      </c>
      <c r="Q27" s="461">
        <f>SUM(Q2:Q24)</f>
        <v/>
      </c>
      <c r="R27" s="63">
        <f>SUM(R2:R24)</f>
        <v/>
      </c>
      <c r="S27" s="72" t="n"/>
      <c r="T27" s="72" t="n"/>
      <c r="U27" s="72" t="n"/>
      <c r="V27" s="72" t="n"/>
      <c r="W27" s="72" t="n"/>
      <c r="X27" s="462">
        <f>(P27+Q27)/G27</f>
        <v/>
      </c>
      <c r="Y27" s="467" t="n"/>
      <c r="Z27" s="463">
        <f>IF(AA27=0,0,(P27+Q27)/(AA27))</f>
        <v/>
      </c>
      <c r="AA27" s="438">
        <f>SUM(AA2:AA24)</f>
        <v/>
      </c>
      <c r="AB27" s="87" t="n"/>
      <c r="AC27" s="88" t="n"/>
    </row>
    <row r="28" ht="17.25" customFormat="1" customHeight="1" s="36" thickBot="1">
      <c r="A28" s="468" t="n"/>
      <c r="B28" s="469" t="n"/>
      <c r="C28" s="469" t="n"/>
      <c r="D28" s="238" t="inlineStr">
        <is>
          <t>總計</t>
        </is>
      </c>
      <c r="E28" s="490" t="n"/>
      <c r="F28" s="460" t="n"/>
      <c r="G28" s="63">
        <f>SUM(G2:G24)</f>
        <v/>
      </c>
      <c r="H28" s="63">
        <f>SUM(H2:H24)</f>
        <v/>
      </c>
      <c r="I28" s="414" t="n"/>
      <c r="J28" s="382" t="n"/>
      <c r="K28" s="63">
        <f>SUM(K2:K24)</f>
        <v/>
      </c>
      <c r="L28" s="63">
        <f>SUM(L2:L24)</f>
        <v/>
      </c>
      <c r="M28" s="63">
        <f>SUM(M2:M24)</f>
        <v/>
      </c>
      <c r="N28" s="63">
        <f>SUM(N2:N24)</f>
        <v/>
      </c>
      <c r="O28" s="63">
        <f>SUM(O2:O24)</f>
        <v/>
      </c>
      <c r="P28" s="472">
        <f>SUM(P2:P24)</f>
        <v/>
      </c>
      <c r="Q28" s="461">
        <f>SUM(Q2:Q24)</f>
        <v/>
      </c>
      <c r="R28" s="63">
        <f>SUM(R2:R24)</f>
        <v/>
      </c>
      <c r="S28" s="72" t="n"/>
      <c r="T28" s="72" t="n"/>
      <c r="U28" s="72" t="n"/>
      <c r="V28" s="72" t="n"/>
      <c r="W28" s="72" t="n"/>
      <c r="X28" s="462">
        <f>(P28+Q28)/G28</f>
        <v/>
      </c>
      <c r="Y28" s="473" t="n"/>
      <c r="Z28" s="463">
        <f>IF(AA28=0,0,(P28+Q28)/(AA28))</f>
        <v/>
      </c>
      <c r="AA28" s="438">
        <f>AA27</f>
        <v/>
      </c>
      <c r="AB28" s="87" t="n"/>
      <c r="AC28" s="87" t="n"/>
    </row>
    <row r="29" ht="17.25" customHeight="1" thickBot="1">
      <c r="B29" s="37" t="n"/>
      <c r="C29" s="37" t="n"/>
      <c r="D29" s="9" t="n"/>
    </row>
    <row r="30" ht="17.25" customFormat="1" customHeight="1" s="8" thickBot="1">
      <c r="A30" s="383" t="inlineStr">
        <is>
          <t>分析</t>
        </is>
      </c>
      <c r="B30" s="456" t="n"/>
      <c r="C30" s="474" t="n"/>
      <c r="D30" s="251" t="inlineStr">
        <is>
          <t>技法</t>
        </is>
      </c>
      <c r="E30" s="383" t="n"/>
      <c r="F30" s="474" t="n"/>
      <c r="G30" s="251" t="inlineStr">
        <is>
          <t>成交金額</t>
        </is>
      </c>
      <c r="H30" s="251" t="inlineStr">
        <is>
          <t>手續費</t>
        </is>
      </c>
      <c r="I30" s="383" t="n"/>
      <c r="J30" s="383" t="n"/>
      <c r="K30" s="383" t="n"/>
      <c r="L30" s="383" t="n"/>
      <c r="M30" s="383" t="n"/>
      <c r="N30" s="383" t="n"/>
      <c r="O30" s="251" t="inlineStr">
        <is>
          <t>參考現值</t>
        </is>
      </c>
      <c r="P30" s="251" t="inlineStr">
        <is>
          <t>已實現損益</t>
        </is>
      </c>
      <c r="Q30" s="251" t="inlineStr">
        <is>
          <t>未實現損益</t>
        </is>
      </c>
      <c r="R30" s="251" t="inlineStr">
        <is>
          <t>除息</t>
        </is>
      </c>
      <c r="S30" s="383" t="inlineStr">
        <is>
          <t>手續費</t>
        </is>
      </c>
      <c r="T30" s="383" t="inlineStr">
        <is>
          <t>健保補充保費</t>
        </is>
      </c>
      <c r="U30" s="383" t="n"/>
      <c r="V30" s="383" t="inlineStr">
        <is>
          <t>扣抵稅率</t>
        </is>
      </c>
      <c r="W30" s="383" t="inlineStr">
        <is>
          <t>所得稅率</t>
        </is>
      </c>
      <c r="X30" s="251" t="inlineStr">
        <is>
          <t>投資報酬率</t>
        </is>
      </c>
      <c r="Y30" s="251" t="inlineStr">
        <is>
          <t>年化報酬率</t>
        </is>
      </c>
      <c r="Z30" s="251" t="inlineStr">
        <is>
          <t>勝率</t>
        </is>
      </c>
      <c r="AA30" s="89" t="n"/>
      <c r="AB30" s="86" t="n"/>
      <c r="AC30" s="182" t="n"/>
    </row>
    <row r="31">
      <c r="A31" s="464" t="n"/>
      <c r="C31" s="475" t="n"/>
      <c r="D31" s="385" t="inlineStr">
        <is>
          <t>阿水一式</t>
        </is>
      </c>
      <c r="E31" s="464" t="n"/>
      <c r="F31" s="475" t="n"/>
      <c r="G31" s="265">
        <f>SUMIF(AB$2:AB$28,D31,G$2:G$28)</f>
        <v/>
      </c>
      <c r="H31" s="265">
        <f>SUMIF(AB$2:AB$28,D31,H$2:H$28)</f>
        <v/>
      </c>
      <c r="I31" s="467" t="n"/>
      <c r="J31" s="249" t="n"/>
      <c r="K31" s="257" t="n"/>
      <c r="L31" s="257" t="n"/>
      <c r="M31" s="257" t="n"/>
      <c r="N31" s="257" t="n"/>
      <c r="O31" s="265">
        <f>SUMIF(AB$2:AB$28,D31,O$2:O$28)</f>
        <v/>
      </c>
      <c r="P31" s="476">
        <f>SUMIF(AB$2:AB$28,D31,P$2:P$28)</f>
        <v/>
      </c>
      <c r="Q31" s="476">
        <f>SUMIF(AB$2:AB$28,"*"&amp;D31&amp;"*",Q$2:Q$28)</f>
        <v/>
      </c>
      <c r="R31" s="265">
        <f>SUMIF(AB$2:AB$28,D31,R$2:R$28)</f>
        <v/>
      </c>
      <c r="S31" s="257" t="n"/>
      <c r="T31" s="257" t="n"/>
      <c r="U31" s="467" t="n"/>
      <c r="V31" s="257" t="n"/>
      <c r="W31" s="257" t="n"/>
      <c r="X31" s="477">
        <f>(SUMIF(AB$2:AB$25,D31,P$2:P$25)+SUMIF(AB$2:AB$25,"*"&amp;D31&amp;"*",Q$2:Q$25))/SUMIF(AB$2:AB$25,D31,G$2:G$25)</f>
        <v/>
      </c>
      <c r="Y31" s="477">
        <f>(P31+Q31)/(AA31)</f>
        <v/>
      </c>
      <c r="Z31" s="268">
        <f>COUNTIFS(X$2:X$25,"&gt;0",AB$2:AB$25,D31)/COUNTIF(AB$2:AB$25,D31)</f>
        <v/>
      </c>
      <c r="AA31" s="9">
        <f>SUMIF(AB$2:AB$25,D31,AA$2:AA$25)</f>
        <v/>
      </c>
    </row>
    <row r="32">
      <c r="A32" s="464" t="n"/>
      <c r="C32" s="475" t="n"/>
      <c r="D32" s="247" t="inlineStr">
        <is>
          <t>除權息</t>
        </is>
      </c>
      <c r="E32" s="464" t="n"/>
      <c r="F32" s="475" t="n"/>
      <c r="G32" s="265">
        <f>SUMIF(AB$2:AB$28,D32,G$2:G$28)</f>
        <v/>
      </c>
      <c r="H32" s="265">
        <f>SUMIF(AB$2:AB$28,D32,H$2:H$28)</f>
        <v/>
      </c>
      <c r="I32" s="467" t="n"/>
      <c r="J32" s="249" t="n"/>
      <c r="K32" s="257" t="n"/>
      <c r="L32" s="257" t="n"/>
      <c r="M32" s="257" t="n"/>
      <c r="N32" s="257" t="n"/>
      <c r="O32" s="265">
        <f>SUMIF(AB$2:AB$28,D32,O$2:O$28)</f>
        <v/>
      </c>
      <c r="P32" s="476">
        <f>SUMIF(AB$2:AB$28,D32,P$2:P$28)</f>
        <v/>
      </c>
      <c r="Q32" s="476">
        <f>SUMIF(AB$2:AB$28,"*"&amp;D32&amp;"*",Q$2:Q$28)</f>
        <v/>
      </c>
      <c r="R32" s="265">
        <f>SUMIF(AB$2:AB$28,D32,R$2:R$28)</f>
        <v/>
      </c>
      <c r="S32" s="257" t="n"/>
      <c r="T32" s="257" t="n"/>
      <c r="U32" s="467" t="n"/>
      <c r="V32" s="257" t="n"/>
      <c r="W32" s="257" t="n"/>
      <c r="X32" s="477">
        <f>(SUMIF(AB$2:AB$25,D32,P$2:P$25)+SUMIF(AB$2:AB$25,"*"&amp;D32&amp;"*",Q$2:Q$25))/SUMIF(AB$2:AB$25,D32,G$2:G$25)</f>
        <v/>
      </c>
      <c r="Y32" s="477">
        <f>(P32+Q32)/(AA32)</f>
        <v/>
      </c>
      <c r="Z32" s="268">
        <f>COUNTIFS(X$2:X$25,"&gt;0",AB$2:AB$25,D32)/COUNTIF(AB$2:AB$25,D32)</f>
        <v/>
      </c>
      <c r="AA32" s="9">
        <f>SUMIF(AB$2:AB$25,D32,AA$2:AA$25)</f>
        <v/>
      </c>
    </row>
    <row r="33" ht="17.25" customHeight="1" thickBot="1">
      <c r="A33" s="464" t="n"/>
      <c r="C33" s="475" t="n"/>
      <c r="D33" s="269" t="inlineStr">
        <is>
          <t>水某精選</t>
        </is>
      </c>
      <c r="E33" s="464" t="n"/>
      <c r="F33" s="475" t="n"/>
      <c r="G33" s="265">
        <f>SUMIF(AB$2:AB$28,D33,G$2:G$28)</f>
        <v/>
      </c>
      <c r="H33" s="265">
        <f>SUMIF(AB$2:AB$28,D33,H$2:H$28)</f>
        <v/>
      </c>
      <c r="I33" s="467" t="n"/>
      <c r="J33" s="250" t="n"/>
      <c r="K33" s="261" t="n"/>
      <c r="L33" s="261" t="n"/>
      <c r="M33" s="261" t="n"/>
      <c r="N33" s="261" t="n"/>
      <c r="O33" s="265">
        <f>SUMIF(AB$2:AB$28,D33,O$2:O$28)</f>
        <v/>
      </c>
      <c r="P33" s="476">
        <f>SUMIF(AB$2:AB$28,D33,P$2:P$28)</f>
        <v/>
      </c>
      <c r="Q33" s="476">
        <f>SUMIF(AB$2:AB$28,"*"&amp;D33&amp;"*",Q$2:Q$28)</f>
        <v/>
      </c>
      <c r="R33" s="265">
        <f>SUMIF(AB$2:AB$28,D33,R$2:R$28)</f>
        <v/>
      </c>
      <c r="S33" s="261" t="n"/>
      <c r="T33" s="261" t="n"/>
      <c r="U33" s="467" t="n"/>
      <c r="V33" s="261" t="n"/>
      <c r="W33" s="261" t="n"/>
      <c r="X33" s="477">
        <f>(SUMIF(AB$2:AB$25,D33,P$2:P$25)+SUMIF(AB$2:AB$25,"*"&amp;D33&amp;"*",Q$2:Q$25))/SUMIF(AB$2:AB$25,D33,G$2:G$25)</f>
        <v/>
      </c>
      <c r="Y33" s="477">
        <f>(P33+Q33)/(AA33)</f>
        <v/>
      </c>
      <c r="Z33" s="268">
        <f>COUNTIFS(X$2:X$25,"&gt;0",AB$2:AB$25,D33)/COUNTIF(AB$2:AB$25,D33)</f>
        <v/>
      </c>
      <c r="AA33" s="9">
        <f>SUMIF(AB$2:AB$25,D33,AA$2:AA$25)</f>
        <v/>
      </c>
    </row>
    <row r="34" ht="17.25" customHeight="1" thickBot="1">
      <c r="A34" s="478" t="n"/>
      <c r="B34" s="479" t="n"/>
      <c r="C34" s="480" t="n"/>
      <c r="D34" s="248" t="inlineStr">
        <is>
          <t>存股</t>
        </is>
      </c>
      <c r="E34" s="478" t="n"/>
      <c r="F34" s="480" t="n"/>
      <c r="G34" s="252">
        <f>SUMIF(AB$2:AB$28,D34,G$2:G$28)</f>
        <v/>
      </c>
      <c r="H34" s="252">
        <f>SUMIF(AB$2:AB$28,D34,H$2:H$28)</f>
        <v/>
      </c>
      <c r="I34" s="481" t="n"/>
      <c r="J34" s="250" t="n"/>
      <c r="K34" s="261" t="n"/>
      <c r="L34" s="261" t="n"/>
      <c r="M34" s="261" t="n"/>
      <c r="N34" s="261" t="n"/>
      <c r="O34" s="252">
        <f>SUMIF(AB$2:AB$28,D34,O$2:O$28)</f>
        <v/>
      </c>
      <c r="P34" s="482">
        <f>SUMIF(AB$2:AB$28,D34,P$2:P$28)</f>
        <v/>
      </c>
      <c r="Q34" s="482">
        <f>SUMIF(AB$2:AB$28,"*"&amp;D34&amp;"*",Q$2:Q$28)</f>
        <v/>
      </c>
      <c r="R34" s="252">
        <f>SUMIF(AB$2:AB$28,D34,R$2:R$28)</f>
        <v/>
      </c>
      <c r="S34" s="261" t="n"/>
      <c r="T34" s="261" t="n"/>
      <c r="U34" s="481" t="n"/>
      <c r="V34" s="261" t="n"/>
      <c r="W34" s="261" t="n"/>
      <c r="X34" s="483">
        <f>(SUMIF(AB$2:AB$25,D34,P$2:P$25)+SUMIF(AB$2:AB$25,"*"&amp;D34&amp;"*",Q$2:Q$25))/SUMIF(AB$2:AB$25,D34,G$2:G$25)</f>
        <v/>
      </c>
      <c r="Y34" s="483">
        <f>(P34+Q34)/(AA34)</f>
        <v/>
      </c>
      <c r="Z34" s="255">
        <f>COUNTIFS(X$2:X$25,"&gt;0",AB$2:AB$25,D34)/COUNTIF(AB$2:AB$25,D34)</f>
        <v/>
      </c>
      <c r="AA34" s="9">
        <f>SUMIF(AB$2:AB$25,D34,AA$2:AA$25)</f>
        <v/>
      </c>
    </row>
    <row r="35">
      <c r="A35" s="37" t="n"/>
      <c r="B35" s="37" t="n"/>
      <c r="C35" s="37" t="n"/>
      <c r="D35" s="28" t="n"/>
    </row>
    <row r="36">
      <c r="A36" s="37" t="n"/>
      <c r="B36" s="37" t="n"/>
      <c r="C36" s="37" t="n"/>
      <c r="D36" s="28" t="n"/>
    </row>
    <row r="37">
      <c r="A37" s="37" t="n"/>
      <c r="B37" s="37" t="n"/>
      <c r="C37" s="37" t="n"/>
      <c r="D37" s="28" t="n"/>
    </row>
    <row r="38">
      <c r="A38" s="37" t="n"/>
      <c r="B38" s="37" t="n"/>
      <c r="C38" s="37" t="n"/>
      <c r="D38" s="28" t="n"/>
    </row>
    <row r="39">
      <c r="A39" s="37" t="n"/>
      <c r="B39" s="37" t="n"/>
      <c r="C39" s="37" t="n"/>
      <c r="D39" s="28" t="n"/>
    </row>
    <row r="40">
      <c r="A40" s="37" t="n"/>
      <c r="B40" s="37" t="n"/>
      <c r="C40" s="37" t="n"/>
      <c r="D40" s="28" t="n"/>
    </row>
  </sheetData>
  <autoFilter ref="A1:AA42"/>
  <mergeCells count="10">
    <mergeCell ref="E30:F34"/>
    <mergeCell ref="U30:U34"/>
    <mergeCell ref="Y26:Y28"/>
    <mergeCell ref="K26:N26"/>
    <mergeCell ref="I30:I34"/>
    <mergeCell ref="E27:F27"/>
    <mergeCell ref="A30:C34"/>
    <mergeCell ref="E28:F28"/>
    <mergeCell ref="A26:C28"/>
    <mergeCell ref="E26:F26"/>
  </mergeCells>
  <conditionalFormatting sqref="Z1:AA1 Z20:AA22 Z24:AA28 Z35:AA1048576 AA2">
    <cfRule type="containsText" priority="213" operator="containsText" dxfId="12" text="△">
      <formula>NOT(ISERROR(SEARCH("△",Z1)))</formula>
    </cfRule>
    <cfRule type="containsText" priority="214" operator="containsText" dxfId="11" text="▽">
      <formula>NOT(ISERROR(SEARCH("▽",Z1)))</formula>
    </cfRule>
  </conditionalFormatting>
  <conditionalFormatting sqref="I20:I22 I24:I25">
    <cfRule type="expression" priority="211" dxfId="204">
      <formula>$I20&gt;(TODAY()-7)</formula>
    </cfRule>
    <cfRule type="expression" priority="212" dxfId="203">
      <formula>$I20&gt;(TODAY()-30)</formula>
    </cfRule>
  </conditionalFormatting>
  <conditionalFormatting sqref="Z2:Z17 Z20:Z22 Z24">
    <cfRule type="cellIs" priority="199" operator="lessThan" dxfId="8">
      <formula>0</formula>
    </cfRule>
    <cfRule type="cellIs" priority="200" operator="greaterThan" dxfId="7">
      <formula>0</formula>
    </cfRule>
  </conditionalFormatting>
  <conditionalFormatting sqref="Z2:Z6 Z6:AA6 Z8:AA17 AA2">
    <cfRule type="containsText" priority="187" operator="containsText" dxfId="12" text="▲">
      <formula>NOT(ISERROR(SEARCH("▲",Z2)))</formula>
    </cfRule>
    <cfRule type="containsText" priority="188" operator="containsText" dxfId="11" text="▼">
      <formula>NOT(ISERROR(SEARCH("▼",Z2)))</formula>
    </cfRule>
  </conditionalFormatting>
  <conditionalFormatting sqref="Z19:AA19">
    <cfRule type="containsText" priority="173" operator="containsText" dxfId="12" text="▲">
      <formula>NOT(ISERROR(SEARCH("▲",Z19)))</formula>
    </cfRule>
    <cfRule type="containsText" priority="174" operator="containsText" dxfId="11" text="▼">
      <formula>NOT(ISERROR(SEARCH("▼",Z19)))</formula>
    </cfRule>
  </conditionalFormatting>
  <conditionalFormatting sqref="Z19">
    <cfRule type="cellIs" priority="171" operator="lessThan" dxfId="8">
      <formula>0</formula>
    </cfRule>
    <cfRule type="cellIs" priority="172" operator="greaterThan" dxfId="7">
      <formula>0</formula>
    </cfRule>
  </conditionalFormatting>
  <conditionalFormatting sqref="Z23:AA23">
    <cfRule type="containsText" priority="121" operator="containsText" dxfId="12" text="▲">
      <formula>NOT(ISERROR(SEARCH("▲",Z23)))</formula>
    </cfRule>
    <cfRule type="containsText" priority="122" operator="containsText" dxfId="11" text="▼">
      <formula>NOT(ISERROR(SEARCH("▼",Z23)))</formula>
    </cfRule>
  </conditionalFormatting>
  <conditionalFormatting sqref="Z23">
    <cfRule type="cellIs" priority="119" operator="lessThan" dxfId="8">
      <formula>0</formula>
    </cfRule>
    <cfRule type="cellIs" priority="120" operator="greaterThan" dxfId="7">
      <formula>0</formula>
    </cfRule>
  </conditionalFormatting>
  <conditionalFormatting sqref="AA3:AA6">
    <cfRule type="containsText" priority="65" operator="containsText" dxfId="12" text="▲">
      <formula>NOT(ISERROR(SEARCH("▲",AA3)))</formula>
    </cfRule>
    <cfRule type="containsText" priority="66" operator="containsText" dxfId="11" text="▼">
      <formula>NOT(ISERROR(SEARCH("▼",AA3)))</formula>
    </cfRule>
  </conditionalFormatting>
  <conditionalFormatting sqref="Z13:AA17">
    <cfRule type="containsText" priority="63" operator="containsText" dxfId="12" text="▲">
      <formula>NOT(ISERROR(SEARCH("▲",Z13)))</formula>
    </cfRule>
    <cfRule type="containsText" priority="64" operator="containsText" dxfId="11" text="▼">
      <formula>NOT(ISERROR(SEARCH("▼",Z13)))</formula>
    </cfRule>
  </conditionalFormatting>
  <conditionalFormatting sqref="Z7:AA17">
    <cfRule type="containsText" priority="59" operator="containsText" dxfId="12" text="▲">
      <formula>NOT(ISERROR(SEARCH("▲",Z7)))</formula>
    </cfRule>
    <cfRule type="containsText" priority="60" operator="containsText" dxfId="11" text="▼">
      <formula>NOT(ISERROR(SEARCH("▼",Z7)))</formula>
    </cfRule>
  </conditionalFormatting>
  <conditionalFormatting sqref="Z14:AA14">
    <cfRule type="containsText" priority="55" operator="containsText" dxfId="12" text="▲">
      <formula>NOT(ISERROR(SEARCH("▲",Z14)))</formula>
    </cfRule>
    <cfRule type="containsText" priority="56" operator="containsText" dxfId="11" text="▼">
      <formula>NOT(ISERROR(SEARCH("▼",Z14)))</formula>
    </cfRule>
  </conditionalFormatting>
  <conditionalFormatting sqref="Z15:AA15">
    <cfRule type="containsText" priority="53" operator="containsText" dxfId="12" text="▲">
      <formula>NOT(ISERROR(SEARCH("▲",Z15)))</formula>
    </cfRule>
    <cfRule type="containsText" priority="54" operator="containsText" dxfId="11" text="▼">
      <formula>NOT(ISERROR(SEARCH("▼",Z15)))</formula>
    </cfRule>
  </conditionalFormatting>
  <conditionalFormatting sqref="Z29:AA29 AA30">
    <cfRule type="containsText" priority="51" operator="containsText" dxfId="12" text="△">
      <formula>NOT(ISERROR(SEARCH("△",Z29)))</formula>
    </cfRule>
    <cfRule type="containsText" priority="52" operator="containsText" dxfId="11" text="▽">
      <formula>NOT(ISERROR(SEARCH("▽",Z29)))</formula>
    </cfRule>
  </conditionalFormatting>
  <conditionalFormatting sqref="AA31:AA34">
    <cfRule type="containsText" priority="49" operator="containsText" dxfId="12" text="△">
      <formula>NOT(ISERROR(SEARCH("△",AA31)))</formula>
    </cfRule>
    <cfRule type="containsText" priority="50" operator="containsText" dxfId="11" text="▽">
      <formula>NOT(ISERROR(SEARCH("▽",AA31)))</formula>
    </cfRule>
  </conditionalFormatting>
  <conditionalFormatting sqref="Z2:AA2">
    <cfRule type="containsText" priority="47" operator="containsText" dxfId="12" text="△">
      <formula>NOT(ISERROR(SEARCH("△",Z2)))</formula>
    </cfRule>
    <cfRule type="containsText" priority="48" operator="containsText" dxfId="11" text="▽">
      <formula>NOT(ISERROR(SEARCH("▽",Z2)))</formula>
    </cfRule>
  </conditionalFormatting>
  <conditionalFormatting sqref="Z2">
    <cfRule type="containsText" priority="45" operator="containsText" dxfId="12" text="▲">
      <formula>NOT(ISERROR(SEARCH("▲",Z2)))</formula>
    </cfRule>
    <cfRule type="containsText" priority="46" operator="containsText" dxfId="11" text="▼">
      <formula>NOT(ISERROR(SEARCH("▼",Z2)))</formula>
    </cfRule>
    <cfRule type="cellIs" priority="19" operator="lessThan" dxfId="8">
      <formula>0</formula>
    </cfRule>
    <cfRule type="cellIs" priority="20" operator="greaterThan" dxfId="7">
      <formula>0</formula>
    </cfRule>
  </conditionalFormatting>
  <conditionalFormatting sqref="AA2">
    <cfRule type="containsText" priority="43" operator="containsText" dxfId="12" text="△">
      <formula>NOT(ISERROR(SEARCH("△",AA2)))</formula>
    </cfRule>
    <cfRule type="containsText" priority="44" operator="containsText" dxfId="11" text="▽">
      <formula>NOT(ISERROR(SEARCH("▽",AA2)))</formula>
    </cfRule>
    <cfRule type="containsText" priority="41" operator="containsText" dxfId="12" text="△">
      <formula>NOT(ISERROR(SEARCH("△",AA2)))</formula>
    </cfRule>
    <cfRule type="containsText" priority="42" operator="containsText" dxfId="11" text="▽">
      <formula>NOT(ISERROR(SEARCH("▽",AA2)))</formula>
    </cfRule>
    <cfRule type="containsText" priority="39" operator="containsText" dxfId="12" text="△">
      <formula>NOT(ISERROR(SEARCH("△",AA2)))</formula>
    </cfRule>
    <cfRule type="containsText" priority="40" operator="containsText" dxfId="11" text="▽">
      <formula>NOT(ISERROR(SEARCH("▽",AA2)))</formula>
    </cfRule>
    <cfRule type="containsText" priority="37" operator="containsText" dxfId="12" text="△">
      <formula>NOT(ISERROR(SEARCH("△",AA2)))</formula>
    </cfRule>
    <cfRule type="containsText" priority="38" operator="containsText" dxfId="11" text="▽">
      <formula>NOT(ISERROR(SEARCH("▽",AA2)))</formula>
    </cfRule>
    <cfRule type="containsText" priority="31" operator="containsText" dxfId="12" text="△">
      <formula>NOT(ISERROR(SEARCH("△",AA2)))</formula>
    </cfRule>
    <cfRule type="containsText" priority="32" operator="containsText" dxfId="11" text="▽">
      <formula>NOT(ISERROR(SEARCH("▽",AA2)))</formula>
    </cfRule>
    <cfRule type="containsText" priority="29" operator="containsText" dxfId="12" text="△">
      <formula>NOT(ISERROR(SEARCH("△",AA2)))</formula>
    </cfRule>
    <cfRule type="containsText" priority="30" operator="containsText" dxfId="11" text="▽">
      <formula>NOT(ISERROR(SEARCH("▽",AA2)))</formula>
    </cfRule>
    <cfRule type="containsText" priority="27" operator="containsText" dxfId="12" text="△">
      <formula>NOT(ISERROR(SEARCH("△",AA2)))</formula>
    </cfRule>
    <cfRule type="containsText" priority="28" operator="containsText" dxfId="11" text="▽">
      <formula>NOT(ISERROR(SEARCH("▽",AA2)))</formula>
    </cfRule>
    <cfRule type="containsText" priority="25" operator="containsText" dxfId="12" text="△">
      <formula>NOT(ISERROR(SEARCH("△",AA2)))</formula>
    </cfRule>
    <cfRule type="containsText" priority="26" operator="containsText" dxfId="11" text="▽">
      <formula>NOT(ISERROR(SEARCH("▽",AA2)))</formula>
    </cfRule>
    <cfRule type="containsText" priority="23" operator="containsText" dxfId="12" text="△">
      <formula>NOT(ISERROR(SEARCH("△",AA2)))</formula>
    </cfRule>
    <cfRule type="containsText" priority="24" operator="containsText" dxfId="11" text="▽">
      <formula>NOT(ISERROR(SEARCH("▽",AA2)))</formula>
    </cfRule>
    <cfRule type="containsText" priority="21" operator="containsText" dxfId="12" text="△">
      <formula>NOT(ISERROR(SEARCH("△",AA2)))</formula>
    </cfRule>
    <cfRule type="containsText" priority="22" operator="containsText" dxfId="11" text="▽">
      <formula>NOT(ISERROR(SEARCH("▽",AA2)))</formula>
    </cfRule>
  </conditionalFormatting>
  <conditionalFormatting sqref="Z18:AA18">
    <cfRule type="containsText" priority="17" operator="containsText" dxfId="12" text="△">
      <formula>NOT(ISERROR(SEARCH("△",Z18)))</formula>
    </cfRule>
    <cfRule type="containsText" priority="18" operator="containsText" dxfId="11" text="▽">
      <formula>NOT(ISERROR(SEARCH("▽",Z18)))</formula>
    </cfRule>
    <cfRule type="containsText" priority="13" operator="containsText" dxfId="12" text="▲">
      <formula>NOT(ISERROR(SEARCH("▲",Z18)))</formula>
    </cfRule>
    <cfRule type="containsText" priority="14" operator="containsText" dxfId="11" text="▼">
      <formula>NOT(ISERROR(SEARCH("▼",Z18)))</formula>
    </cfRule>
    <cfRule type="containsText" priority="9" operator="containsText" dxfId="12" text="▲">
      <formula>NOT(ISERROR(SEARCH("▲",Z18)))</formula>
    </cfRule>
    <cfRule type="containsText" priority="10" operator="containsText" dxfId="11" text="▼">
      <formula>NOT(ISERROR(SEARCH("▼",Z18)))</formula>
    </cfRule>
    <cfRule type="containsText" priority="7" operator="containsText" dxfId="12" text="▲">
      <formula>NOT(ISERROR(SEARCH("▲",Z18)))</formula>
    </cfRule>
    <cfRule type="containsText" priority="8" operator="containsText" dxfId="11" text="▼">
      <formula>NOT(ISERROR(SEARCH("▼",Z18)))</formula>
    </cfRule>
    <cfRule type="containsText" priority="5" operator="containsText" dxfId="12" text="▲">
      <formula>NOT(ISERROR(SEARCH("▲",Z18)))</formula>
    </cfRule>
    <cfRule type="containsText" priority="6" operator="containsText" dxfId="11" text="▼">
      <formula>NOT(ISERROR(SEARCH("▼",Z18)))</formula>
    </cfRule>
    <cfRule type="containsText" priority="3" operator="containsText" dxfId="12" text="▲">
      <formula>NOT(ISERROR(SEARCH("▲",Z18)))</formula>
    </cfRule>
    <cfRule type="containsText" priority="4" operator="containsText" dxfId="11" text="▼">
      <formula>NOT(ISERROR(SEARCH("▼",Z18)))</formula>
    </cfRule>
    <cfRule type="containsText" priority="1" operator="containsText" dxfId="12" text="▲">
      <formula>NOT(ISERROR(SEARCH("▲",Z18)))</formula>
    </cfRule>
    <cfRule type="containsText" priority="2" operator="containsText" dxfId="11" text="▼">
      <formula>NOT(ISERROR(SEARCH("▼",Z18)))</formula>
    </cfRule>
  </conditionalFormatting>
  <conditionalFormatting sqref="Z18">
    <cfRule type="cellIs" priority="15" operator="lessThan" dxfId="8">
      <formula>0</formula>
    </cfRule>
    <cfRule type="cellIs" priority="16" operator="greaterThan" dxfId="7">
      <formula>0</formula>
    </cfRule>
    <cfRule type="cellIs" priority="11" operator="lessThan" dxfId="8">
      <formula>0</formula>
    </cfRule>
    <cfRule type="cellIs" priority="12" operator="greaterThan" dxfId="7">
      <formula>0</formula>
    </cfRule>
  </conditionalFormatting>
  <hyperlinks>
    <hyperlink xmlns:r="http://schemas.openxmlformats.org/officeDocument/2006/relationships" ref="AD14" r:id="rId1"/>
    <hyperlink xmlns:r="http://schemas.openxmlformats.org/officeDocument/2006/relationships" ref="AD15" r:id="rId2"/>
    <hyperlink xmlns:r="http://schemas.openxmlformats.org/officeDocument/2006/relationships" ref="AD16" r:id="rId3"/>
    <hyperlink xmlns:r="http://schemas.openxmlformats.org/officeDocument/2006/relationships" ref="AD17" r:id="rId4"/>
  </hyperlink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codeName="Sheet17">
    <tabColor rgb="FF92D050"/>
    <outlinePr summaryBelow="0" summaryRight="0"/>
    <pageSetUpPr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6" sqref="A26:Z26"/>
    </sheetView>
  </sheetViews>
  <sheetFormatPr baseColWidth="8" defaultColWidth="9" defaultRowHeight="16.5" outlineLevelRow="1"/>
  <cols>
    <col width="11.125" customWidth="1" style="9" min="1" max="1"/>
    <col hidden="1" width="10" customWidth="1" style="9" min="2" max="2"/>
    <col width="11.375" customWidth="1" style="9" min="3" max="3"/>
    <col width="11.375" customWidth="1" style="37" min="4" max="4"/>
    <col width="7.125" customWidth="1" style="9" min="5" max="5"/>
    <col width="9.125" customWidth="1" style="9" min="6" max="6"/>
    <col width="12.625" bestFit="1" customWidth="1" style="9" min="7" max="7"/>
    <col width="9.125" customWidth="1" style="9" min="8" max="8"/>
    <col collapsed="1" width="11.5" bestFit="1" customWidth="1" style="9" min="9" max="9"/>
    <col hidden="1" outlineLevel="1" width="9.375" customWidth="1" style="9" min="10" max="10"/>
    <col hidden="1" outlineLevel="1" width="13" customWidth="1" style="9" min="11" max="11"/>
    <col hidden="1" outlineLevel="1" width="9.625" customWidth="1" style="9" min="12" max="13"/>
    <col hidden="1" outlineLevel="1" width="9.125" customWidth="1" style="9" min="14" max="14"/>
    <col width="11.375" customWidth="1" style="9" min="15" max="15"/>
    <col width="13.375" customWidth="1" style="9" min="16" max="16"/>
    <col width="13.125" customWidth="1" style="9" min="17" max="17"/>
    <col collapsed="1" width="9.5" bestFit="1" customWidth="1" style="9" min="18" max="18"/>
    <col hidden="1" outlineLevel="1" width="11.625" customWidth="1" style="9" min="19" max="19"/>
    <col hidden="1" outlineLevel="1" width="18.625" customWidth="1" style="9" min="20" max="20"/>
    <col collapsed="1" width="18.625" bestFit="1" customWidth="1" style="9" min="21" max="21"/>
    <col hidden="1" outlineLevel="1" width="12.375" customWidth="1" style="9" min="22" max="23"/>
    <col width="13.875" customWidth="1" style="9" min="24" max="24"/>
    <col width="13.375" bestFit="1" customWidth="1" style="9" min="25" max="25"/>
    <col width="12.875" bestFit="1" customWidth="1" style="9" min="26" max="26"/>
    <col width="12.875" customWidth="1" style="9" min="27" max="27"/>
    <col width="10" bestFit="1" customWidth="1" style="28" min="28" max="28"/>
    <col width="33.125" bestFit="1" customWidth="1" style="28" min="29" max="29"/>
    <col width="22.625" bestFit="1" customWidth="1" style="9" min="30" max="30"/>
    <col width="9" customWidth="1" style="9" min="31" max="16384"/>
  </cols>
  <sheetData>
    <row r="1" customFormat="1" s="8">
      <c r="A1" s="1" t="inlineStr">
        <is>
          <t>買進日期</t>
        </is>
      </c>
      <c r="B1" s="2" t="inlineStr">
        <is>
          <t>種類</t>
        </is>
      </c>
      <c r="C1" s="3" t="inlineStr">
        <is>
          <t>股票代號</t>
        </is>
      </c>
      <c r="D1" s="4" t="inlineStr">
        <is>
          <t>股票名稱</t>
        </is>
      </c>
      <c r="E1" s="4" t="inlineStr">
        <is>
          <t>股數</t>
        </is>
      </c>
      <c r="F1" s="4" t="inlineStr">
        <is>
          <t>買進價</t>
        </is>
      </c>
      <c r="G1" s="4" t="inlineStr">
        <is>
          <t>成交金額</t>
        </is>
      </c>
      <c r="H1" s="432" t="inlineStr">
        <is>
          <t>手續費</t>
        </is>
      </c>
      <c r="I1" s="140" t="inlineStr">
        <is>
          <t>賣出日期</t>
        </is>
      </c>
      <c r="J1" s="4" t="inlineStr">
        <is>
          <t>賣出價</t>
        </is>
      </c>
      <c r="K1" s="4" t="inlineStr">
        <is>
          <t>成交金額</t>
        </is>
      </c>
      <c r="L1" s="432" t="inlineStr">
        <is>
          <t>手續費</t>
        </is>
      </c>
      <c r="M1" s="432" t="inlineStr">
        <is>
          <t>交易稅</t>
        </is>
      </c>
      <c r="N1" s="3" t="inlineStr">
        <is>
          <t>證所稅</t>
        </is>
      </c>
      <c r="O1" s="4" t="inlineStr">
        <is>
          <t>參考現值</t>
        </is>
      </c>
      <c r="P1" s="433" t="inlineStr">
        <is>
          <t>已實現損益</t>
        </is>
      </c>
      <c r="Q1" s="4" t="inlineStr">
        <is>
          <t>未實現損益</t>
        </is>
      </c>
      <c r="R1" s="4" t="inlineStr">
        <is>
          <t>除息</t>
        </is>
      </c>
      <c r="S1" s="68" t="inlineStr">
        <is>
          <t>手續費</t>
        </is>
      </c>
      <c r="T1" s="68" t="inlineStr">
        <is>
          <t>健保補充保費</t>
        </is>
      </c>
      <c r="U1" s="68" t="inlineStr">
        <is>
          <t>實質扣抵稅率</t>
        </is>
      </c>
      <c r="V1" s="68" t="inlineStr">
        <is>
          <t>扣抵稅率</t>
        </is>
      </c>
      <c r="W1" s="68" t="inlineStr">
        <is>
          <t>所得稅率</t>
        </is>
      </c>
      <c r="X1" s="4" t="inlineStr">
        <is>
          <t>投資報酬率</t>
        </is>
      </c>
      <c r="Y1" s="4" t="inlineStr">
        <is>
          <t>今日股價</t>
        </is>
      </c>
      <c r="Z1" s="7" t="inlineStr">
        <is>
          <t>漲跌</t>
        </is>
      </c>
      <c r="AA1" s="89" t="n"/>
      <c r="AB1" s="86" t="inlineStr">
        <is>
          <t>買進理由</t>
        </is>
      </c>
      <c r="AC1" s="182" t="inlineStr">
        <is>
          <t>賣出理由</t>
        </is>
      </c>
    </row>
    <row r="2" outlineLevel="1">
      <c r="A2" s="99" t="n">
        <v>44571</v>
      </c>
      <c r="B2" s="11" t="inlineStr">
        <is>
          <t>普通買進</t>
        </is>
      </c>
      <c r="C2" s="11" t="n">
        <v>2358</v>
      </c>
      <c r="D2" s="11" t="inlineStr">
        <is>
          <t>廷鑫</t>
        </is>
      </c>
      <c r="E2" s="11" t="n">
        <v>1000</v>
      </c>
      <c r="F2" s="11" t="n">
        <v>27.95</v>
      </c>
      <c r="G2" s="11">
        <f>E2*F2</f>
        <v/>
      </c>
      <c r="H2" s="11" t="n">
        <v>39</v>
      </c>
      <c r="I2" s="104" t="n">
        <v>44580</v>
      </c>
      <c r="J2" s="16" t="n">
        <v>25.15</v>
      </c>
      <c r="K2" s="11">
        <f>E2*J2</f>
        <v/>
      </c>
      <c r="L2" s="17" t="n">
        <v>35</v>
      </c>
      <c r="M2" s="11" t="n">
        <v>75</v>
      </c>
      <c r="N2" s="11" t="n">
        <v>0</v>
      </c>
      <c r="O2" s="434">
        <f>IF(I2="",E2*Y2,0)</f>
        <v/>
      </c>
      <c r="P2" s="435">
        <f>IF(I2="",R2-H2,(K2-H2-SUM(L2:N2)+R2-S2-T2)-G2)+(ROUND(R2*V2,0)-ROUND(R2*(1+V2),0)*W2)</f>
        <v/>
      </c>
      <c r="Q2" s="435">
        <f>IF(I2="",(O2-G2-(O2*0.1425%*0.65)-(O2*0.3%)-S2-T2),0)</f>
        <v/>
      </c>
      <c r="R2" s="435" t="n"/>
      <c r="S2" s="435" t="n"/>
      <c r="T2" s="435">
        <f>IF(ROUND(R2*(1+V2),0)&gt;20000,ROUND(ROUND(R2*(1+V2),0)*2%,0),0)</f>
        <v/>
      </c>
      <c r="U2" s="69">
        <f>(V2*50%)/(1+50%*V2)</f>
        <v/>
      </c>
      <c r="V2" s="69" t="n"/>
      <c r="W2" s="70" t="n">
        <v>0.11</v>
      </c>
      <c r="X2" s="436">
        <f>(P2+Q2)/G2</f>
        <v/>
      </c>
      <c r="Y2" s="16">
        <f>VLOOKUP(C2,台股行情!A:D,4,FALSE)</f>
        <v/>
      </c>
      <c r="Z2" s="437">
        <f>VLOOKUP(C2,台股行情!A:E,5,FALSE)</f>
        <v/>
      </c>
      <c r="AA2" s="438">
        <f>IF(I2="",((TODAY()-A2)*G2)/365.24,((I2-A2)*G2)/365.24)</f>
        <v/>
      </c>
      <c r="AB2" s="103" t="inlineStr">
        <is>
          <t>阿水一式</t>
        </is>
      </c>
      <c r="AC2" s="207" t="inlineStr">
        <is>
          <t>-5% 停損</t>
        </is>
      </c>
    </row>
    <row r="3" outlineLevel="1">
      <c r="A3" s="99" t="n">
        <v>44571</v>
      </c>
      <c r="B3" s="11" t="inlineStr">
        <is>
          <t>普通買進</t>
        </is>
      </c>
      <c r="C3" s="11" t="n">
        <v>2358</v>
      </c>
      <c r="D3" s="11" t="inlineStr">
        <is>
          <t>廷鑫</t>
        </is>
      </c>
      <c r="E3" s="11" t="n">
        <v>1000</v>
      </c>
      <c r="F3" s="11" t="n">
        <v>27.95</v>
      </c>
      <c r="G3" s="11">
        <f>E3*F3</f>
        <v/>
      </c>
      <c r="H3" s="11" t="n">
        <v>40</v>
      </c>
      <c r="I3" s="104" t="n">
        <v>44581</v>
      </c>
      <c r="J3" s="16" t="n">
        <v>24.75</v>
      </c>
      <c r="K3" s="11">
        <f>E3*J3</f>
        <v/>
      </c>
      <c r="L3" s="17" t="n">
        <v>35</v>
      </c>
      <c r="M3" s="11" t="n">
        <v>74</v>
      </c>
      <c r="N3" s="11" t="n">
        <v>0</v>
      </c>
      <c r="O3" s="434">
        <f>IF(I3="",E3*Y3,0)</f>
        <v/>
      </c>
      <c r="P3" s="435">
        <f>IF(I3="",R3-H3,(K3-H3-SUM(L3:N3)+R3-S3-T3)-G3)+(ROUND(R3*V3,0)-ROUND(R3*(1+V3),0)*W3)</f>
        <v/>
      </c>
      <c r="Q3" s="435">
        <f>IF(I3="",(O3-G3-(O3*0.1425%*0.65)-(O3*0.3%)-S3-T3),0)</f>
        <v/>
      </c>
      <c r="R3" s="435" t="n"/>
      <c r="S3" s="435" t="n"/>
      <c r="T3" s="435">
        <f>IF(ROUND(R3*(1+V3),0)&gt;20000,ROUND(ROUND(R3*(1+V3),0)*2%,0),0)</f>
        <v/>
      </c>
      <c r="U3" s="69">
        <f>(V3*50%)/(1+50%*V3)</f>
        <v/>
      </c>
      <c r="V3" s="69" t="n"/>
      <c r="W3" s="70" t="n">
        <v>0.11</v>
      </c>
      <c r="X3" s="436">
        <f>(P3+Q3)/G3</f>
        <v/>
      </c>
      <c r="Y3" s="16">
        <f>VLOOKUP(C3,台股行情!A:D,4,FALSE)</f>
        <v/>
      </c>
      <c r="Z3" s="437">
        <f>VLOOKUP(C3,台股行情!A:E,5,FALSE)</f>
        <v/>
      </c>
      <c r="AA3" s="438">
        <f>IF(I3="",((TODAY()-A3)*G3)/365.24,((I3-A3)*G3)/365.24)</f>
        <v/>
      </c>
      <c r="AB3" s="103" t="inlineStr">
        <is>
          <t>阿水一式</t>
        </is>
      </c>
      <c r="AC3" s="207" t="inlineStr">
        <is>
          <t>-5% 停損</t>
        </is>
      </c>
    </row>
    <row r="4" outlineLevel="1">
      <c r="A4" s="99" t="n">
        <v>44571</v>
      </c>
      <c r="B4" s="11" t="inlineStr">
        <is>
          <t>普通買進</t>
        </is>
      </c>
      <c r="C4" s="11" t="n">
        <v>4728</v>
      </c>
      <c r="D4" s="11" t="inlineStr">
        <is>
          <t>雙美</t>
        </is>
      </c>
      <c r="E4" s="11" t="n">
        <v>1000</v>
      </c>
      <c r="F4" s="11" t="n">
        <v>90.8</v>
      </c>
      <c r="G4" s="11">
        <f>E4*F4</f>
        <v/>
      </c>
      <c r="H4" s="11" t="n">
        <v>129</v>
      </c>
      <c r="I4" s="104" t="n">
        <v>44581</v>
      </c>
      <c r="J4" s="16" t="n">
        <v>90.3</v>
      </c>
      <c r="K4" s="11">
        <f>E4*J4</f>
        <v/>
      </c>
      <c r="L4" s="17" t="n">
        <v>128</v>
      </c>
      <c r="M4" s="11" t="n">
        <v>270</v>
      </c>
      <c r="N4" s="11" t="n">
        <v>0</v>
      </c>
      <c r="O4" s="434">
        <f>IF(I4="",E4*Y4,0)</f>
        <v/>
      </c>
      <c r="P4" s="435">
        <f>IF(I4="",R4-H4,(K4-H4-SUM(L4:N4)+R4-S4-T4)-G4)+(ROUND(R4*V4,0)-ROUND(R4*(1+V4),0)*W4)</f>
        <v/>
      </c>
      <c r="Q4" s="435">
        <f>IF(I4="",(O4-G4-(O4*0.1425%*0.65)-(O4*0.3%)-S4-T4),0)</f>
        <v/>
      </c>
      <c r="R4" s="435" t="n"/>
      <c r="S4" s="435" t="n"/>
      <c r="T4" s="435">
        <f>IF(ROUND(R4*(1+V4),0)&gt;20000,ROUND(ROUND(R4*(1+V4),0)*2%,0),0)</f>
        <v/>
      </c>
      <c r="U4" s="69">
        <f>(V4*50%)/(1+50%*V4)</f>
        <v/>
      </c>
      <c r="V4" s="69" t="n"/>
      <c r="W4" s="70" t="n">
        <v>0.11</v>
      </c>
      <c r="X4" s="436">
        <f>(P4+Q4)/G4</f>
        <v/>
      </c>
      <c r="Y4" s="16">
        <f>VLOOKUP(C4,台股行情!A:D,4,FALSE)</f>
        <v/>
      </c>
      <c r="Z4" s="437">
        <f>VLOOKUP(C4,台股行情!A:E,5,FALSE)</f>
        <v/>
      </c>
      <c r="AA4" s="438">
        <f>IF(I4="",((TODAY()-A4)*G4)/365.24,((I4-A4)*G4)/365.24)</f>
        <v/>
      </c>
      <c r="AB4" s="103" t="inlineStr">
        <is>
          <t>阿水一式</t>
        </is>
      </c>
      <c r="AC4" s="135" t="inlineStr">
        <is>
          <t>跌破10日線，停損</t>
        </is>
      </c>
    </row>
    <row r="5" outlineLevel="1">
      <c r="A5" s="99" t="n">
        <v>44581</v>
      </c>
      <c r="B5" s="11" t="inlineStr">
        <is>
          <t>普通買進</t>
        </is>
      </c>
      <c r="C5" s="11" t="n">
        <v>3338</v>
      </c>
      <c r="D5" s="11" t="inlineStr">
        <is>
          <t>泰碩</t>
        </is>
      </c>
      <c r="E5" s="11" t="n">
        <v>1000</v>
      </c>
      <c r="F5" s="11" t="n">
        <v>58.8</v>
      </c>
      <c r="G5" s="11">
        <f>E5*F5</f>
        <v/>
      </c>
      <c r="H5" s="11" t="n">
        <v>83</v>
      </c>
      <c r="I5" s="104" t="n">
        <v>44616</v>
      </c>
      <c r="J5" s="16" t="n">
        <v>54.5</v>
      </c>
      <c r="K5" s="11">
        <f>E5*J5</f>
        <v/>
      </c>
      <c r="L5" s="17" t="n">
        <v>77</v>
      </c>
      <c r="M5" s="11" t="n">
        <v>163</v>
      </c>
      <c r="N5" s="11" t="n">
        <v>0</v>
      </c>
      <c r="O5" s="434">
        <f>IF(I5="",E5*Y5,0)</f>
        <v/>
      </c>
      <c r="P5" s="435">
        <f>IF(I5="",R5-H5,(K5-H5-SUM(L5:N5)+R5-S5-T5)-G5)+(ROUND(R5*V5,0)-ROUND(R5*(1+V5),0)*W5)</f>
        <v/>
      </c>
      <c r="Q5" s="435">
        <f>IF(I5="",(O5-G5-(O5*0.1425%*0.65)-(O5*0.3%)-S5-T5),0)</f>
        <v/>
      </c>
      <c r="R5" s="435" t="n"/>
      <c r="S5" s="435" t="n"/>
      <c r="T5" s="435">
        <f>IF(ROUND(R5*(1+V5),0)&gt;20000,ROUND(ROUND(R5*(1+V5),0)*2%,0),0)</f>
        <v/>
      </c>
      <c r="U5" s="69">
        <f>(V5*50%)/(1+50%*V5)</f>
        <v/>
      </c>
      <c r="V5" s="69" t="n"/>
      <c r="W5" s="70" t="n">
        <v>0.11</v>
      </c>
      <c r="X5" s="436">
        <f>(P5+Q5)/G5</f>
        <v/>
      </c>
      <c r="Y5" s="16">
        <f>VLOOKUP(C5,台股行情!A:D,4,FALSE)</f>
        <v/>
      </c>
      <c r="Z5" s="437">
        <f>VLOOKUP(C5,台股行情!A:E,5,FALSE)</f>
        <v/>
      </c>
      <c r="AA5" s="438">
        <f>IF(I5="",((TODAY()-A5)*G5)/365.24,((I5-A5)*G5)/365.24)</f>
        <v/>
      </c>
      <c r="AB5" s="103" t="inlineStr">
        <is>
          <t>阿水一式</t>
        </is>
      </c>
      <c r="AC5" s="207" t="inlineStr">
        <is>
          <t>-5% 停損</t>
        </is>
      </c>
    </row>
    <row r="6" outlineLevel="1">
      <c r="A6" s="99" t="n">
        <v>44623</v>
      </c>
      <c r="B6" s="11" t="inlineStr">
        <is>
          <t>普通買進</t>
        </is>
      </c>
      <c r="C6" s="11" t="n">
        <v>1304</v>
      </c>
      <c r="D6" s="11" t="inlineStr">
        <is>
          <t>台聚</t>
        </is>
      </c>
      <c r="E6" s="11" t="n">
        <v>2000</v>
      </c>
      <c r="F6" s="11" t="n">
        <v>31.6</v>
      </c>
      <c r="G6" s="11">
        <f>E6*F6</f>
        <v/>
      </c>
      <c r="H6" s="11" t="n">
        <v>90</v>
      </c>
      <c r="I6" s="104" t="n">
        <v>44623</v>
      </c>
      <c r="J6" s="16" t="n">
        <v>31.6</v>
      </c>
      <c r="K6" s="11">
        <f>E6*J6</f>
        <v/>
      </c>
      <c r="L6" s="17" t="n">
        <v>90</v>
      </c>
      <c r="M6" s="11" t="n">
        <v>94</v>
      </c>
      <c r="N6" s="11" t="n">
        <v>0</v>
      </c>
      <c r="O6" s="434">
        <f>IF(I6="",E6*Y6,0)</f>
        <v/>
      </c>
      <c r="P6" s="435">
        <f>IF(I6="",R6-H6,(K6-H6-SUM(L6:N6)+R6-S6-T6)-G6)+(ROUND(R6*V6,0)-ROUND(R6*(1+V6),0)*W6)</f>
        <v/>
      </c>
      <c r="Q6" s="435">
        <f>IF(I6="",(O6-G6-(O6*0.1425%*0.65)-(O6*0.3%)-S6-T6),0)</f>
        <v/>
      </c>
      <c r="R6" s="435" t="n"/>
      <c r="S6" s="435" t="n"/>
      <c r="T6" s="435">
        <f>IF(ROUND(R6*(1+V6),0)&gt;20000,ROUND(ROUND(R6*(1+V6),0)*2%,0),0)</f>
        <v/>
      </c>
      <c r="U6" s="69">
        <f>(V6*50%)/(1+50%*V6)</f>
        <v/>
      </c>
      <c r="V6" s="69" t="n"/>
      <c r="W6" s="70" t="n">
        <v>0.11</v>
      </c>
      <c r="X6" s="436">
        <f>(P6+Q6)/G6</f>
        <v/>
      </c>
      <c r="Y6" s="16">
        <f>VLOOKUP(C6,台股行情!A:D,4,FALSE)</f>
        <v/>
      </c>
      <c r="Z6" s="437">
        <f>VLOOKUP(C6,台股行情!A:E,5,FALSE)</f>
        <v/>
      </c>
      <c r="AA6" s="438">
        <f>IF(I6="",((TODAY()-A6)*G6)/365.24,((I6-A6)*G6)/365.24)</f>
        <v/>
      </c>
      <c r="AB6" s="103" t="inlineStr">
        <is>
          <t>當沖</t>
        </is>
      </c>
      <c r="AC6" s="135" t="inlineStr">
        <is>
          <t>當沖</t>
        </is>
      </c>
    </row>
    <row r="7" outlineLevel="1">
      <c r="A7" s="99" t="n">
        <v>44623</v>
      </c>
      <c r="B7" s="11" t="inlineStr">
        <is>
          <t>普通買進</t>
        </is>
      </c>
      <c r="C7" s="11" t="n">
        <v>2211</v>
      </c>
      <c r="D7" s="11" t="inlineStr">
        <is>
          <t>長榮鋼</t>
        </is>
      </c>
      <c r="E7" s="11" t="n">
        <v>1000</v>
      </c>
      <c r="F7" s="11" t="n">
        <v>63.7</v>
      </c>
      <c r="G7" s="11">
        <f>E7*F7</f>
        <v/>
      </c>
      <c r="H7" s="11" t="n">
        <v>90</v>
      </c>
      <c r="I7" s="104" t="n">
        <v>44623</v>
      </c>
      <c r="J7" s="16" t="n">
        <v>62.5</v>
      </c>
      <c r="K7" s="11">
        <f>E7*J7</f>
        <v/>
      </c>
      <c r="L7" s="17" t="n">
        <v>89</v>
      </c>
      <c r="M7" s="11" t="n">
        <v>93</v>
      </c>
      <c r="N7" s="11" t="n">
        <v>0</v>
      </c>
      <c r="O7" s="434">
        <f>IF(I7="",E7*Y7,0)</f>
        <v/>
      </c>
      <c r="P7" s="435">
        <f>IF(I7="",R7-H7,(K7-H7-SUM(L7:N7)+R7-S7-T7)-G7)+(ROUND(R7*V7,0)-ROUND(R7*(1+V7),0)*W7)</f>
        <v/>
      </c>
      <c r="Q7" s="435">
        <f>IF(I7="",(O7-G7-(O7*0.1425%*0.65)-(O7*0.3%)-S7-T7),0)</f>
        <v/>
      </c>
      <c r="R7" s="435" t="n"/>
      <c r="S7" s="435" t="n"/>
      <c r="T7" s="435">
        <f>IF(ROUND(R7*(1+V7),0)&gt;20000,ROUND(ROUND(R7*(1+V7),0)*2%,0),0)</f>
        <v/>
      </c>
      <c r="U7" s="69">
        <f>(V7*50%)/(1+50%*V7)</f>
        <v/>
      </c>
      <c r="V7" s="69" t="n"/>
      <c r="W7" s="70" t="n">
        <v>0.11</v>
      </c>
      <c r="X7" s="436">
        <f>(P7+Q7)/G7</f>
        <v/>
      </c>
      <c r="Y7" s="16">
        <f>VLOOKUP(C7,台股行情!A:D,4,FALSE)</f>
        <v/>
      </c>
      <c r="Z7" s="437">
        <f>VLOOKUP(C7,台股行情!A:E,5,FALSE)</f>
        <v/>
      </c>
      <c r="AA7" s="438">
        <f>IF(I7="",((TODAY()-A7)*G7)/365.24,((I7-A7)*G7)/365.24)</f>
        <v/>
      </c>
      <c r="AB7" s="103" t="inlineStr">
        <is>
          <t>當沖</t>
        </is>
      </c>
      <c r="AC7" s="135" t="inlineStr">
        <is>
          <t>當沖</t>
        </is>
      </c>
    </row>
    <row r="8" outlineLevel="1">
      <c r="A8" s="99" t="n">
        <v>44623</v>
      </c>
      <c r="B8" s="11" t="inlineStr">
        <is>
          <t>普通買進</t>
        </is>
      </c>
      <c r="C8" s="11" t="n">
        <v>3663</v>
      </c>
      <c r="D8" s="11" t="inlineStr">
        <is>
          <t>鑫科</t>
        </is>
      </c>
      <c r="E8" s="11" t="n">
        <v>2000</v>
      </c>
      <c r="F8" s="11" t="n">
        <v>34.35</v>
      </c>
      <c r="G8" s="11">
        <f>E8*F8</f>
        <v/>
      </c>
      <c r="H8" s="11" t="n">
        <v>97</v>
      </c>
      <c r="I8" s="104" t="n">
        <v>44623</v>
      </c>
      <c r="J8" s="16" t="n">
        <v>33.75</v>
      </c>
      <c r="K8" s="11">
        <f>E8*J8</f>
        <v/>
      </c>
      <c r="L8" s="17" t="n">
        <v>96</v>
      </c>
      <c r="M8" s="11" t="n">
        <v>101</v>
      </c>
      <c r="N8" s="11" t="n">
        <v>0</v>
      </c>
      <c r="O8" s="434">
        <f>IF(I8="",E8*Y8,0)</f>
        <v/>
      </c>
      <c r="P8" s="435">
        <f>IF(I8="",R8-H8,(K8-H8-SUM(L8:N8)+R8-S8-T8)-G8)+(ROUND(R8*V8,0)-ROUND(R8*(1+V8),0)*W8)</f>
        <v/>
      </c>
      <c r="Q8" s="435">
        <f>IF(I8="",(O8-G8-(O8*0.1425%*0.65)-(O8*0.3%)-S8-T8),0)</f>
        <v/>
      </c>
      <c r="R8" s="435" t="n"/>
      <c r="S8" s="435" t="n"/>
      <c r="T8" s="435">
        <f>IF(ROUND(R8*(1+V8),0)&gt;20000,ROUND(ROUND(R8*(1+V8),0)*2%,0),0)</f>
        <v/>
      </c>
      <c r="U8" s="69">
        <f>(V8*50%)/(1+50%*V8)</f>
        <v/>
      </c>
      <c r="V8" s="69" t="n"/>
      <c r="W8" s="70" t="n">
        <v>0.11</v>
      </c>
      <c r="X8" s="436">
        <f>(P8+Q8)/G8</f>
        <v/>
      </c>
      <c r="Y8" s="16">
        <f>VLOOKUP(C8,台股行情!A:D,4,FALSE)</f>
        <v/>
      </c>
      <c r="Z8" s="437">
        <f>VLOOKUP(C8,台股行情!A:E,5,FALSE)</f>
        <v/>
      </c>
      <c r="AA8" s="438">
        <f>IF(I8="",((TODAY()-A8)*G8)/365.24,((I8-A8)*G8)/365.24)</f>
        <v/>
      </c>
      <c r="AB8" s="103" t="inlineStr">
        <is>
          <t>當沖</t>
        </is>
      </c>
      <c r="AC8" s="135" t="inlineStr">
        <is>
          <t>當沖</t>
        </is>
      </c>
    </row>
    <row r="9" outlineLevel="1">
      <c r="A9" s="99" t="n">
        <v>44601</v>
      </c>
      <c r="B9" s="11" t="inlineStr">
        <is>
          <t>普通買進</t>
        </is>
      </c>
      <c r="C9" s="11" t="n">
        <v>3017</v>
      </c>
      <c r="D9" s="11" t="inlineStr">
        <is>
          <t>奇鋐</t>
        </is>
      </c>
      <c r="E9" s="11" t="n">
        <v>1000</v>
      </c>
      <c r="F9" s="11" t="n">
        <v>105</v>
      </c>
      <c r="G9" s="11">
        <f>E9*F9</f>
        <v/>
      </c>
      <c r="H9" s="11" t="n">
        <v>149</v>
      </c>
      <c r="I9" s="104" t="n">
        <v>44624</v>
      </c>
      <c r="J9" s="16" t="n">
        <v>115</v>
      </c>
      <c r="K9" s="11">
        <f>E9*J9</f>
        <v/>
      </c>
      <c r="L9" s="17" t="n">
        <v>163</v>
      </c>
      <c r="M9" s="11" t="n">
        <v>345</v>
      </c>
      <c r="N9" s="11" t="n">
        <v>0</v>
      </c>
      <c r="O9" s="434">
        <f>IF(I9="",E9*Y9,0)</f>
        <v/>
      </c>
      <c r="P9" s="435">
        <f>IF(I9="",R9-H9,(K9-H9-SUM(L9:N9)+R9-S9-T9)-G9)+(ROUND(R9*V9,0)-ROUND(R9*(1+V9),0)*W9)</f>
        <v/>
      </c>
      <c r="Q9" s="435">
        <f>IF(I9="",(O9-G9-(O9*0.1425%*0.65)-(O9*0.3%)-S9-T9),0)</f>
        <v/>
      </c>
      <c r="R9" s="435" t="n"/>
      <c r="S9" s="435" t="n"/>
      <c r="T9" s="435">
        <f>IF(ROUND(R9*(1+V9),0)&gt;20000,ROUND(ROUND(R9*(1+V9),0)*2%,0),0)</f>
        <v/>
      </c>
      <c r="U9" s="69">
        <f>(V9*50%)/(1+50%*V9)</f>
        <v/>
      </c>
      <c r="V9" s="69" t="n"/>
      <c r="W9" s="70" t="n">
        <v>0.11</v>
      </c>
      <c r="X9" s="436">
        <f>(P9+Q9)/G9</f>
        <v/>
      </c>
      <c r="Y9" s="16">
        <f>VLOOKUP(C9,台股行情!A:D,4,FALSE)</f>
        <v/>
      </c>
      <c r="Z9" s="437">
        <f>VLOOKUP(C9,台股行情!A:E,5,FALSE)</f>
        <v/>
      </c>
      <c r="AA9" s="438">
        <f>IF(I9="",((TODAY()-A9)*G9)/365.24,((I9-A9)*G9)/365.24)</f>
        <v/>
      </c>
      <c r="AB9" s="103" t="inlineStr">
        <is>
          <t>水某精選</t>
        </is>
      </c>
      <c r="AC9" s="103" t="n"/>
    </row>
    <row r="10" outlineLevel="1">
      <c r="A10" s="99" t="n">
        <v>44567</v>
      </c>
      <c r="B10" s="11" t="inlineStr">
        <is>
          <t>普通買進</t>
        </is>
      </c>
      <c r="C10" s="11" t="n">
        <v>1474</v>
      </c>
      <c r="D10" s="11" t="inlineStr">
        <is>
          <t>弘裕</t>
        </is>
      </c>
      <c r="E10" s="11" t="n">
        <v>2000</v>
      </c>
      <c r="F10" s="11" t="n">
        <v>15.8</v>
      </c>
      <c r="G10" s="11">
        <f>E10*F10</f>
        <v/>
      </c>
      <c r="H10" s="11" t="n">
        <v>45</v>
      </c>
      <c r="I10" s="104" t="n">
        <v>44644</v>
      </c>
      <c r="J10" s="16" t="n">
        <v>15.1</v>
      </c>
      <c r="K10" s="11">
        <f>E10*J10</f>
        <v/>
      </c>
      <c r="L10" s="17" t="n">
        <v>43</v>
      </c>
      <c r="M10" s="11" t="n">
        <v>90</v>
      </c>
      <c r="N10" s="11" t="n">
        <v>0</v>
      </c>
      <c r="O10" s="434">
        <f>IF(I10="",E10*Y10,0)</f>
        <v/>
      </c>
      <c r="P10" s="435">
        <f>IF(I10="",R10-H10,(K10-H10-SUM(L10:N10)+R10-S10-T10)-G10)+(ROUND(R10*V10,0)-ROUND(R10*(1+V10),0)*W10)</f>
        <v/>
      </c>
      <c r="Q10" s="435">
        <f>IF(I10="",(O10-G10-(O10*0.1425%*0.65)-(O10*0.3%)-S10-T10),0)</f>
        <v/>
      </c>
      <c r="R10" s="435" t="n"/>
      <c r="S10" s="435" t="n"/>
      <c r="T10" s="435">
        <f>IF(ROUND(R10*(1+V10),0)&gt;20000,ROUND(ROUND(R10*(1+V10),0)*2%,0),0)</f>
        <v/>
      </c>
      <c r="U10" s="69">
        <f>(V10*50%)/(1+50%*V10)</f>
        <v/>
      </c>
      <c r="V10" s="69" t="n"/>
      <c r="W10" s="70" t="n">
        <v>0.11</v>
      </c>
      <c r="X10" s="436">
        <f>(P10+Q10)/G10</f>
        <v/>
      </c>
      <c r="Y10" s="16">
        <f>VLOOKUP(C10,台股行情!A:D,4,FALSE)</f>
        <v/>
      </c>
      <c r="Z10" s="437">
        <f>VLOOKUP(C10,台股行情!A:E,5,FALSE)</f>
        <v/>
      </c>
      <c r="AA10" s="438">
        <f>IF(I10="",((TODAY()-A10)*G10)/365.24,((I10-A10)*G10)/365.24)</f>
        <v/>
      </c>
      <c r="AB10" s="103" t="inlineStr">
        <is>
          <t>阿水一式</t>
        </is>
      </c>
      <c r="AC10" s="207" t="inlineStr">
        <is>
          <t>-5% 停損</t>
        </is>
      </c>
    </row>
    <row r="11" outlineLevel="1">
      <c r="A11" s="99" t="n">
        <v>44600</v>
      </c>
      <c r="B11" s="11" t="inlineStr">
        <is>
          <t>普通買進</t>
        </is>
      </c>
      <c r="C11" s="11" t="n">
        <v>2006</v>
      </c>
      <c r="D11" s="11" t="inlineStr">
        <is>
          <t>東和鋼鐵</t>
        </is>
      </c>
      <c r="E11" s="11" t="n">
        <v>1000</v>
      </c>
      <c r="F11" s="11" t="n">
        <v>71.90000000000001</v>
      </c>
      <c r="G11" s="11">
        <f>E11*F11</f>
        <v/>
      </c>
      <c r="H11" s="11" t="n">
        <v>102</v>
      </c>
      <c r="I11" s="104" t="n">
        <v>44624</v>
      </c>
      <c r="J11" s="16" t="n">
        <v>80.8</v>
      </c>
      <c r="K11" s="11">
        <f>E11*J11</f>
        <v/>
      </c>
      <c r="L11" s="17" t="n">
        <v>115</v>
      </c>
      <c r="M11" s="11" t="n">
        <v>242</v>
      </c>
      <c r="N11" s="11" t="n">
        <v>0</v>
      </c>
      <c r="O11" s="434">
        <f>IF(I11="",E11*Y11,0)</f>
        <v/>
      </c>
      <c r="P11" s="435">
        <f>IF(I11="",R11-H11,(K11-H11-SUM(L11:N11)+R11-S11-T11)-G11)+(ROUND(R11*V11,0)-ROUND(R11*(1+V11),0)*W11)</f>
        <v/>
      </c>
      <c r="Q11" s="435">
        <f>IF(I11="",(O11-G11-(O11*0.1425%*0.65)-(O11*0.3%)-S11-T11),0)</f>
        <v/>
      </c>
      <c r="R11" s="435" t="n"/>
      <c r="S11" s="435" t="n"/>
      <c r="T11" s="435">
        <f>IF(ROUND(R11*(1+V11),0)&gt;20000,ROUND(ROUND(R11*(1+V11),0)*2%,0),0)</f>
        <v/>
      </c>
      <c r="U11" s="69">
        <f>(V11*50%)/(1+50%*V11)</f>
        <v/>
      </c>
      <c r="V11" s="69" t="n"/>
      <c r="W11" s="70" t="n">
        <v>0.11</v>
      </c>
      <c r="X11" s="436">
        <f>(P11+Q11)/G11</f>
        <v/>
      </c>
      <c r="Y11" s="16">
        <f>VLOOKUP(C11,台股行情!A:D,4,FALSE)</f>
        <v/>
      </c>
      <c r="Z11" s="437">
        <f>VLOOKUP(C11,台股行情!A:E,5,FALSE)</f>
        <v/>
      </c>
      <c r="AA11" s="438">
        <f>IF(I11="",((TODAY()-A11)*G11)/365.24,((I11-A11)*G11)/365.24)</f>
        <v/>
      </c>
      <c r="AB11" s="103" t="inlineStr">
        <is>
          <t>水某精選</t>
        </is>
      </c>
      <c r="AC11" s="103" t="n"/>
    </row>
    <row r="12" outlineLevel="1">
      <c r="A12" s="99" t="n">
        <v>44651</v>
      </c>
      <c r="B12" s="11" t="inlineStr">
        <is>
          <t>普通買進</t>
        </is>
      </c>
      <c r="C12" s="11" t="n">
        <v>2312</v>
      </c>
      <c r="D12" s="11" t="inlineStr">
        <is>
          <t>金寶</t>
        </is>
      </c>
      <c r="E12" s="11" t="n">
        <v>1000</v>
      </c>
      <c r="F12" s="11" t="n">
        <v>17.05</v>
      </c>
      <c r="G12" s="11">
        <f>E12*F12</f>
        <v/>
      </c>
      <c r="H12" s="11" t="n">
        <v>24</v>
      </c>
      <c r="I12" s="104" t="n">
        <v>44658</v>
      </c>
      <c r="J12" s="16" t="n">
        <v>15.35</v>
      </c>
      <c r="K12" s="11">
        <f>E12*J12</f>
        <v/>
      </c>
      <c r="L12" s="17" t="n">
        <v>21</v>
      </c>
      <c r="M12" s="11" t="n">
        <v>46</v>
      </c>
      <c r="N12" s="11" t="n">
        <v>0</v>
      </c>
      <c r="O12" s="434">
        <f>IF(I12="",E12*Y12,0)</f>
        <v/>
      </c>
      <c r="P12" s="435">
        <f>IF(I12="",R12-H12,(K12-H12-SUM(L12:N12)+R12-S12-T12)-G12)+(ROUND(R12*V12,0)-ROUND(R12*(1+V12),0)*W12)</f>
        <v/>
      </c>
      <c r="Q12" s="435">
        <f>IF(I12="",(O12-G12-(O12*0.1425%*0.65)-(O12*0.3%)-S12-T12),0)</f>
        <v/>
      </c>
      <c r="R12" s="435" t="n"/>
      <c r="S12" s="435" t="n"/>
      <c r="T12" s="435">
        <f>IF(ROUND(R12*(1+V12),0)&gt;20000,ROUND(ROUND(R12*(1+V12),0)*2%,0),0)</f>
        <v/>
      </c>
      <c r="U12" s="69">
        <f>(V12*50%)/(1+50%*V12)</f>
        <v/>
      </c>
      <c r="V12" s="69" t="n"/>
      <c r="W12" s="70" t="n">
        <v>0.11</v>
      </c>
      <c r="X12" s="436">
        <f>(P12+Q12)/G12</f>
        <v/>
      </c>
      <c r="Y12" s="16">
        <f>VLOOKUP(C12,台股行情!A:D,4,FALSE)</f>
        <v/>
      </c>
      <c r="Z12" s="437">
        <f>VLOOKUP(C12,台股行情!A:E,5,FALSE)</f>
        <v/>
      </c>
      <c r="AA12" s="438">
        <f>IF(I12="",((TODAY()-A12)*G12)/365.24,((I12-A12)*G12)/365.24)</f>
        <v/>
      </c>
      <c r="AB12" s="103" t="inlineStr">
        <is>
          <t>阿水一式</t>
        </is>
      </c>
      <c r="AC12" s="207" t="inlineStr">
        <is>
          <t>-5% 停損</t>
        </is>
      </c>
    </row>
    <row r="13" outlineLevel="1">
      <c r="A13" s="99" t="n">
        <v>44651</v>
      </c>
      <c r="B13" s="11" t="inlineStr">
        <is>
          <t>普通買進</t>
        </is>
      </c>
      <c r="C13" s="11" t="n">
        <v>2312</v>
      </c>
      <c r="D13" s="11" t="inlineStr">
        <is>
          <t>金寶</t>
        </is>
      </c>
      <c r="E13" s="11" t="n">
        <v>1000</v>
      </c>
      <c r="F13" s="11" t="n">
        <v>17.05</v>
      </c>
      <c r="G13" s="11">
        <f>E13*F13</f>
        <v/>
      </c>
      <c r="H13" s="11" t="n">
        <v>24</v>
      </c>
      <c r="I13" s="104" t="n">
        <v>44662</v>
      </c>
      <c r="J13" s="16" t="n">
        <v>14.6</v>
      </c>
      <c r="K13" s="11">
        <f>E13*J13</f>
        <v/>
      </c>
      <c r="L13" s="17" t="n">
        <v>20</v>
      </c>
      <c r="M13" s="11" t="n">
        <v>43</v>
      </c>
      <c r="N13" s="11" t="n">
        <v>0</v>
      </c>
      <c r="O13" s="434">
        <f>IF(I13="",E13*Y13,0)</f>
        <v/>
      </c>
      <c r="P13" s="435">
        <f>IF(I13="",R13-H13,(K13-H13-SUM(L13:N13)+R13-S13-T13)-G13)+(ROUND(R13*V13,0)-ROUND(R13*(1+V13),0)*W13)</f>
        <v/>
      </c>
      <c r="Q13" s="435">
        <f>IF(I13="",(O13-G13-(O13*0.1425%*0.65)-(O13*0.3%)-S13-T13),0)</f>
        <v/>
      </c>
      <c r="R13" s="435" t="n"/>
      <c r="S13" s="435" t="n"/>
      <c r="T13" s="435">
        <f>IF(ROUND(R13*(1+V13),0)&gt;20000,ROUND(ROUND(R13*(1+V13),0)*2%,0),0)</f>
        <v/>
      </c>
      <c r="U13" s="69">
        <f>(V13*50%)/(1+50%*V13)</f>
        <v/>
      </c>
      <c r="V13" s="69" t="n"/>
      <c r="W13" s="70" t="n">
        <v>0.11</v>
      </c>
      <c r="X13" s="436">
        <f>(P13+Q13)/G13</f>
        <v/>
      </c>
      <c r="Y13" s="16">
        <f>VLOOKUP(C13,台股行情!A:D,4,FALSE)</f>
        <v/>
      </c>
      <c r="Z13" s="437">
        <f>VLOOKUP(C13,台股行情!A:E,5,FALSE)</f>
        <v/>
      </c>
      <c r="AA13" s="438">
        <f>IF(I13="",((TODAY()-A13)*G13)/365.24,((I13-A13)*G13)/365.24)</f>
        <v/>
      </c>
      <c r="AB13" s="103" t="inlineStr">
        <is>
          <t>阿水一式</t>
        </is>
      </c>
      <c r="AC13" s="207" t="inlineStr">
        <is>
          <t>-5% 停損</t>
        </is>
      </c>
    </row>
    <row r="14" outlineLevel="1">
      <c r="A14" s="99" t="n">
        <v>44663</v>
      </c>
      <c r="B14" s="11" t="inlineStr">
        <is>
          <t>普通買進</t>
        </is>
      </c>
      <c r="C14" s="11" t="n">
        <v>6020</v>
      </c>
      <c r="D14" s="11" t="inlineStr">
        <is>
          <t>大展證</t>
        </is>
      </c>
      <c r="E14" s="11" t="n">
        <v>1000</v>
      </c>
      <c r="F14" s="11" t="n">
        <v>23.9</v>
      </c>
      <c r="G14" s="11">
        <f>E14*F14</f>
        <v/>
      </c>
      <c r="H14" s="11" t="n">
        <v>34</v>
      </c>
      <c r="I14" s="104" t="n">
        <v>44664</v>
      </c>
      <c r="J14" s="16" t="n">
        <v>24.15</v>
      </c>
      <c r="K14" s="11">
        <f>E14*J14</f>
        <v/>
      </c>
      <c r="L14" s="17" t="n">
        <v>34</v>
      </c>
      <c r="M14" s="11" t="n">
        <v>72</v>
      </c>
      <c r="N14" s="11" t="n">
        <v>0</v>
      </c>
      <c r="O14" s="434">
        <f>IF(I14="",E14*Y14,0)</f>
        <v/>
      </c>
      <c r="P14" s="435">
        <f>IF(I14="",R14-H14,(K14-H14-SUM(L14:N14)+R14-S14-T14)-G14)+(ROUND(R14*V14,0)-ROUND(R14*(1+V14),0)*W14)</f>
        <v/>
      </c>
      <c r="Q14" s="435">
        <f>IF(I14="",(O14-G14-(O14*0.1425%*0.65)-(O14*0.3%)-S14-T14),0)</f>
        <v/>
      </c>
      <c r="R14" s="435" t="n"/>
      <c r="S14" s="435" t="n"/>
      <c r="T14" s="435">
        <f>IF(ROUND(R14*(1+V14),0)&gt;20000,ROUND(ROUND(R14*(1+V14),0)*2%,0),0)</f>
        <v/>
      </c>
      <c r="U14" s="69">
        <f>(V14*50%)/(1+50%*V14)</f>
        <v/>
      </c>
      <c r="V14" s="69" t="n"/>
      <c r="W14" s="70" t="n">
        <v>0.11</v>
      </c>
      <c r="X14" s="436">
        <f>(P14+Q14)/G14</f>
        <v/>
      </c>
      <c r="Y14" s="16">
        <f>VLOOKUP(C14,台股行情!A:D,4,FALSE)</f>
        <v/>
      </c>
      <c r="Z14" s="437">
        <f>VLOOKUP(C14,台股行情!A:E,5,FALSE)</f>
        <v/>
      </c>
      <c r="AA14" s="438">
        <f>IF(I14="",((TODAY()-A14)*G14)/365.24,((I14-A14)*G14)/365.24)</f>
        <v/>
      </c>
      <c r="AB14" s="184" t="inlineStr">
        <is>
          <t>除權息</t>
        </is>
      </c>
      <c r="AC14" s="184" t="inlineStr">
        <is>
          <t>高股息，棄息操作</t>
        </is>
      </c>
      <c r="AD14" s="185" t="inlineStr">
        <is>
          <t>近 5 年填息機率 100%</t>
        </is>
      </c>
    </row>
    <row r="15" outlineLevel="1">
      <c r="A15" s="99" t="n">
        <v>44658</v>
      </c>
      <c r="B15" s="11" t="inlineStr">
        <is>
          <t>普通買進</t>
        </is>
      </c>
      <c r="C15" s="11" t="n">
        <v>5468</v>
      </c>
      <c r="D15" s="11" t="inlineStr">
        <is>
          <t>凱鈺</t>
        </is>
      </c>
      <c r="E15" s="11" t="n">
        <v>1000</v>
      </c>
      <c r="F15" s="11" t="n">
        <v>29.35</v>
      </c>
      <c r="G15" s="11">
        <f>E15*F15</f>
        <v/>
      </c>
      <c r="H15" s="11" t="n">
        <v>42</v>
      </c>
      <c r="I15" s="104" t="n">
        <v>44718</v>
      </c>
      <c r="J15" s="16" t="n">
        <v>38.5</v>
      </c>
      <c r="K15" s="11">
        <f>E15*J15</f>
        <v/>
      </c>
      <c r="L15" s="17" t="n">
        <v>54</v>
      </c>
      <c r="M15" s="11" t="n">
        <v>115</v>
      </c>
      <c r="N15" s="11" t="n">
        <v>0</v>
      </c>
      <c r="O15" s="434">
        <f>IF(I15="",E15*Y15,0)</f>
        <v/>
      </c>
      <c r="P15" s="435">
        <f>IF(I15="",R15-H15,(K15-H15-SUM(L15:N15)+R15-S15-T15)-G15)+(ROUND(R15*V15,0)-ROUND(R15*(1+V15),0)*W15)</f>
        <v/>
      </c>
      <c r="Q15" s="435">
        <f>IF(I15="",(O15-G15-(O15*0.1425%*0.65)-(O15*0.3%)-S15-T15),0)</f>
        <v/>
      </c>
      <c r="R15" s="435" t="n"/>
      <c r="S15" s="435" t="n"/>
      <c r="T15" s="435">
        <f>IF(ROUND(R15*(1+V15),0)&gt;20000,ROUND(ROUND(R15*(1+V15),0)*2%,0),0)</f>
        <v/>
      </c>
      <c r="U15" s="69">
        <f>(V15*50%)/(1+50%*V15)</f>
        <v/>
      </c>
      <c r="V15" s="69" t="n"/>
      <c r="W15" s="70" t="n">
        <v>0.11</v>
      </c>
      <c r="X15" s="436">
        <f>(P15+Q15)/G15</f>
        <v/>
      </c>
      <c r="Y15" s="16">
        <f>VLOOKUP(C15,台股行情!A:D,4,FALSE)</f>
        <v/>
      </c>
      <c r="Z15" s="437">
        <f>VLOOKUP(C15,台股行情!A:E,5,FALSE)</f>
        <v/>
      </c>
      <c r="AA15" s="438">
        <f>IF(I15="",((TODAY()-A15)*G15)/365.24,((I15-A15)*G15)/365.24)</f>
        <v/>
      </c>
      <c r="AB15" s="103" t="inlineStr">
        <is>
          <t>阿水一式</t>
        </is>
      </c>
      <c r="AC15" s="103" t="inlineStr">
        <is>
          <t>碰 20MA，獲利了結</t>
        </is>
      </c>
    </row>
    <row r="16" outlineLevel="1">
      <c r="A16" s="99" t="n">
        <v>44658</v>
      </c>
      <c r="B16" s="11" t="inlineStr">
        <is>
          <t>普通買進</t>
        </is>
      </c>
      <c r="C16" s="11" t="n">
        <v>5468</v>
      </c>
      <c r="D16" s="11" t="inlineStr">
        <is>
          <t>凱鈺</t>
        </is>
      </c>
      <c r="E16" s="11" t="n">
        <v>1000</v>
      </c>
      <c r="F16" s="11" t="n">
        <v>29.35</v>
      </c>
      <c r="G16" s="11">
        <f>E16*F16</f>
        <v/>
      </c>
      <c r="H16" s="11" t="n">
        <v>41</v>
      </c>
      <c r="I16" s="104" t="n">
        <v>44720</v>
      </c>
      <c r="J16" s="16" t="n">
        <v>35.15</v>
      </c>
      <c r="K16" s="11">
        <f>E16*J16</f>
        <v/>
      </c>
      <c r="L16" s="17" t="n">
        <v>50</v>
      </c>
      <c r="M16" s="11" t="n">
        <v>105</v>
      </c>
      <c r="N16" s="11" t="n">
        <v>0</v>
      </c>
      <c r="O16" s="434">
        <f>IF(I16="",E16*Y16,0)</f>
        <v/>
      </c>
      <c r="P16" s="435">
        <f>IF(I16="",R16-H16,(K16-H16-SUM(L16:N16)+R16-S16-T16)-G16)+(ROUND(R16*V16,0)-ROUND(R16*(1+V16),0)*W16)</f>
        <v/>
      </c>
      <c r="Q16" s="435">
        <f>IF(I16="",(O16-G16-(O16*0.1425%*0.65)-(O16*0.3%)-S16-T16),0)</f>
        <v/>
      </c>
      <c r="R16" s="435" t="n"/>
      <c r="S16" s="435" t="n"/>
      <c r="T16" s="435">
        <f>IF(ROUND(R16*(1+V16),0)&gt;20000,ROUND(ROUND(R16*(1+V16),0)*2%,0),0)</f>
        <v/>
      </c>
      <c r="U16" s="69">
        <f>(V16*50%)/(1+50%*V16)</f>
        <v/>
      </c>
      <c r="V16" s="69" t="n"/>
      <c r="W16" s="70" t="n">
        <v>0.11</v>
      </c>
      <c r="X16" s="436">
        <f>(P16+Q16)/G16</f>
        <v/>
      </c>
      <c r="Y16" s="16">
        <f>VLOOKUP(C16,台股行情!A:D,4,FALSE)</f>
        <v/>
      </c>
      <c r="Z16" s="437">
        <f>VLOOKUP(C16,台股行情!A:E,5,FALSE)</f>
        <v/>
      </c>
      <c r="AA16" s="438">
        <f>IF(I16="",((TODAY()-A16)*G16)/365.24,((I16-A16)*G16)/365.24)</f>
        <v/>
      </c>
      <c r="AB16" s="103" t="inlineStr">
        <is>
          <t>阿水一式</t>
        </is>
      </c>
      <c r="AC16" s="103" t="inlineStr">
        <is>
          <t>碰 20MA，獲利了結</t>
        </is>
      </c>
    </row>
    <row r="17" outlineLevel="1">
      <c r="A17" s="99" t="n">
        <v>44650</v>
      </c>
      <c r="B17" s="11" t="inlineStr">
        <is>
          <t>普通買進</t>
        </is>
      </c>
      <c r="C17" s="11" t="n">
        <v>6176</v>
      </c>
      <c r="D17" s="11" t="inlineStr">
        <is>
          <t>瑞儀</t>
        </is>
      </c>
      <c r="E17" s="11" t="n">
        <v>1000</v>
      </c>
      <c r="F17" s="11" t="n">
        <v>104</v>
      </c>
      <c r="G17" s="11">
        <f>E17*F17</f>
        <v/>
      </c>
      <c r="H17" s="11" t="n">
        <v>148</v>
      </c>
      <c r="I17" s="104" t="n">
        <v>44718</v>
      </c>
      <c r="J17" s="16" t="n">
        <v>105.5</v>
      </c>
      <c r="K17" s="11">
        <f>E17*J17</f>
        <v/>
      </c>
      <c r="L17" s="17" t="n">
        <v>150</v>
      </c>
      <c r="M17" s="11" t="n">
        <v>316</v>
      </c>
      <c r="N17" s="11" t="n">
        <v>0</v>
      </c>
      <c r="O17" s="434">
        <f>IF(I17="",E17*Y17,0)</f>
        <v/>
      </c>
      <c r="P17" s="435">
        <f>IF(I17="",R17-H17,(K17-H17-SUM(L17:N17)+R17-S17-T17)-G17)+(ROUND(R17*V17,0)-ROUND(R17*(1+V17),0)*W17)</f>
        <v/>
      </c>
      <c r="Q17" s="435">
        <f>IF(I17="",(O17-G17-(O17*0.1425%*0.65)-(O17*0.3%)-S17-T17),0)</f>
        <v/>
      </c>
      <c r="R17" s="435" t="n"/>
      <c r="S17" s="435" t="n"/>
      <c r="T17" s="435">
        <f>IF(ROUND(R17*(1+V17),0)&gt;20000,ROUND(ROUND(R17*(1+V17),0)*2%,0),0)</f>
        <v/>
      </c>
      <c r="U17" s="69">
        <f>(V17*50%)/(1+50%*V17)</f>
        <v/>
      </c>
      <c r="V17" s="69" t="n"/>
      <c r="W17" s="70" t="n">
        <v>0.11</v>
      </c>
      <c r="X17" s="436">
        <f>(P17+Q17)/G17</f>
        <v/>
      </c>
      <c r="Y17" s="16">
        <f>VLOOKUP(C17,台股行情!A:D,4,FALSE)</f>
        <v/>
      </c>
      <c r="Z17" s="437">
        <f>VLOOKUP(C17,台股行情!A:E,5,FALSE)</f>
        <v/>
      </c>
      <c r="AA17" s="438">
        <f>IF(I17="",((TODAY()-A17)*G17)/365.24,((I17-A17)*G17)/365.24)</f>
        <v/>
      </c>
      <c r="AB17" s="103" t="inlineStr">
        <is>
          <t>阿水一式</t>
        </is>
      </c>
      <c r="AC17" s="103" t="inlineStr">
        <is>
          <t>碰 10MA，獲利了結</t>
        </is>
      </c>
    </row>
    <row r="18" outlineLevel="1">
      <c r="A18" s="99" t="n">
        <v>44581</v>
      </c>
      <c r="B18" s="11" t="inlineStr">
        <is>
          <t>普通買進</t>
        </is>
      </c>
      <c r="C18" s="11" t="n">
        <v>3548</v>
      </c>
      <c r="D18" s="11" t="inlineStr">
        <is>
          <t>兆利</t>
        </is>
      </c>
      <c r="E18" s="11" t="n">
        <v>1000</v>
      </c>
      <c r="F18" s="11" t="n">
        <v>74.2</v>
      </c>
      <c r="G18" s="11">
        <f>E18*F18</f>
        <v/>
      </c>
      <c r="H18" s="11" t="n">
        <v>105</v>
      </c>
      <c r="I18" s="104" t="n">
        <v>44722</v>
      </c>
      <c r="J18" s="16" t="n">
        <v>67.2</v>
      </c>
      <c r="K18" s="11">
        <f>E18*J18</f>
        <v/>
      </c>
      <c r="L18" s="17" t="n">
        <v>95</v>
      </c>
      <c r="M18" s="11" t="n">
        <v>201</v>
      </c>
      <c r="N18" s="11" t="n">
        <v>0</v>
      </c>
      <c r="O18" s="434">
        <f>IF(I18="",E18*Y18,0)</f>
        <v/>
      </c>
      <c r="P18" s="435">
        <f>IF(I18="",R18-H18,(K18-H18-SUM(L18:N18)+R18-S18-T18)-G18)+(ROUND(R18*V18,0)-ROUND(R18*(1+V18),0)*W18)</f>
        <v/>
      </c>
      <c r="Q18" s="435">
        <f>IF(I18="",(O18-G18-(O18*0.1425%*0.65)-(O18*0.3%)-S18-T18),0)</f>
        <v/>
      </c>
      <c r="R18" s="435" t="n"/>
      <c r="S18" s="435" t="n"/>
      <c r="T18" s="435">
        <f>IF(ROUND(R18*(1+V18),0)&gt;20000,ROUND(ROUND(R18*(1+V18),0)*2%,0),0)</f>
        <v/>
      </c>
      <c r="U18" s="69">
        <f>(V18*50%)/(1+50%*V18)</f>
        <v/>
      </c>
      <c r="V18" s="69" t="n"/>
      <c r="W18" s="70" t="n">
        <v>0.11</v>
      </c>
      <c r="X18" s="436">
        <f>(P18+Q18)/G18</f>
        <v/>
      </c>
      <c r="Y18" s="16">
        <f>VLOOKUP(C18,台股行情!A:D,4,FALSE)</f>
        <v/>
      </c>
      <c r="Z18" s="437">
        <f>VLOOKUP(C18,台股行情!A:E,5,FALSE)</f>
        <v/>
      </c>
      <c r="AA18" s="438">
        <f>IF(I18="",((TODAY()-A18)*G18)/365.24,((I18-A18)*G18)/365.24)</f>
        <v/>
      </c>
      <c r="AB18" s="103" t="inlineStr">
        <is>
          <t>阿水一式</t>
        </is>
      </c>
      <c r="AC18" s="135" t="inlineStr">
        <is>
          <t>破 20MA，停損</t>
        </is>
      </c>
    </row>
    <row r="19" outlineLevel="1">
      <c r="A19" s="99" t="n">
        <v>44565</v>
      </c>
      <c r="B19" s="11" t="inlineStr">
        <is>
          <t>普通買進</t>
        </is>
      </c>
      <c r="C19" s="11" t="n">
        <v>2368</v>
      </c>
      <c r="D19" s="11" t="inlineStr">
        <is>
          <t>金像電</t>
        </is>
      </c>
      <c r="E19" s="11" t="n">
        <v>1000</v>
      </c>
      <c r="F19" s="11" t="n">
        <v>79.7</v>
      </c>
      <c r="G19" s="11">
        <f>E19*F19</f>
        <v/>
      </c>
      <c r="H19" s="11" t="n">
        <v>113</v>
      </c>
      <c r="I19" s="104" t="n">
        <v>44726</v>
      </c>
      <c r="J19" s="16" t="n">
        <v>91.90000000000001</v>
      </c>
      <c r="K19" s="11">
        <f>E19*J19</f>
        <v/>
      </c>
      <c r="L19" s="17" t="n">
        <v>130</v>
      </c>
      <c r="M19" s="11" t="n">
        <v>275</v>
      </c>
      <c r="N19" s="11" t="n">
        <v>0</v>
      </c>
      <c r="O19" s="434">
        <f>IF(I19="",E19*Y19,0)</f>
        <v/>
      </c>
      <c r="P19" s="435">
        <f>IF(I19="",R19-H19,(K19-H19-SUM(L19:N19)+R19-S19-T19)-G19)+(ROUND(R19*V19,0)-ROUND(R19*(1+V19),0)*W19)</f>
        <v/>
      </c>
      <c r="Q19" s="435">
        <f>IF(I19="",(O19-G19-(O19*0.1425%*0.65)-(O19*0.3%)-S19-T19),0)</f>
        <v/>
      </c>
      <c r="R19" s="435" t="n"/>
      <c r="S19" s="435" t="n"/>
      <c r="T19" s="435">
        <f>IF(ROUND(R19*(1+V19),0)&gt;20000,ROUND(ROUND(R19*(1+V19),0)*2%,0),0)</f>
        <v/>
      </c>
      <c r="U19" s="69">
        <f>(V19*50%)/(1+50%*V19)</f>
        <v/>
      </c>
      <c r="V19" s="69" t="n"/>
      <c r="W19" s="70" t="n">
        <v>0.11</v>
      </c>
      <c r="X19" s="436">
        <f>(P19+Q19)/G19</f>
        <v/>
      </c>
      <c r="Y19" s="16">
        <f>VLOOKUP(C19,台股行情!A:D,4,FALSE)</f>
        <v/>
      </c>
      <c r="Z19" s="437">
        <f>VLOOKUP(C19,台股行情!A:E,5,FALSE)</f>
        <v/>
      </c>
      <c r="AA19" s="438">
        <f>IF(I19="",((TODAY()-A19)*G19)/365.24,((I19-A19)*G19)/365.24)</f>
        <v/>
      </c>
      <c r="AB19" s="103" t="inlineStr">
        <is>
          <t>水某精選</t>
        </is>
      </c>
      <c r="AC19" s="103" t="n"/>
    </row>
    <row r="20" outlineLevel="1">
      <c r="A20" s="99" t="n">
        <v>44650</v>
      </c>
      <c r="B20" s="11" t="inlineStr">
        <is>
          <t>普通買進</t>
        </is>
      </c>
      <c r="C20" s="11" t="n">
        <v>6123</v>
      </c>
      <c r="D20" s="11" t="inlineStr">
        <is>
          <t>上奇</t>
        </is>
      </c>
      <c r="E20" s="11" t="n">
        <v>1000</v>
      </c>
      <c r="F20" s="11" t="n">
        <v>54.5</v>
      </c>
      <c r="G20" s="11">
        <f>E20*F20</f>
        <v/>
      </c>
      <c r="H20" s="11" t="n">
        <v>77</v>
      </c>
      <c r="I20" s="104" t="n">
        <v>44749</v>
      </c>
      <c r="J20" s="16" t="n">
        <v>50.7</v>
      </c>
      <c r="K20" s="11">
        <f>E20*J20</f>
        <v/>
      </c>
      <c r="L20" s="17" t="n">
        <v>72</v>
      </c>
      <c r="M20" s="11" t="n">
        <v>152</v>
      </c>
      <c r="N20" s="11" t="n">
        <v>0</v>
      </c>
      <c r="O20" s="434">
        <f>IF(I20="",E20*Y20,0)</f>
        <v/>
      </c>
      <c r="P20" s="435">
        <f>IF(I20="",R20-H20,(K20-H20-SUM(L20:N20)+R20-S20-T20)-G20)+(ROUND(R20*V20,0)-ROUND(R20*(1+V20),0)*W20)</f>
        <v/>
      </c>
      <c r="Q20" s="435">
        <f>IF(I20="",(O20-G20-(O20*0.1425%*0.65)-(O20*0.3%)-S20-T20),0)</f>
        <v/>
      </c>
      <c r="R20" s="435" t="n">
        <v>3000</v>
      </c>
      <c r="S20" s="435" t="n">
        <v>10</v>
      </c>
      <c r="T20" s="435">
        <f>IF(ROUND(R20*(1+V20),0)&gt;20000,ROUND(ROUND(R20*(1+V20),0)*2%,0),0)</f>
        <v/>
      </c>
      <c r="U20" s="69">
        <f>(V20*50%)/(1+50%*V20)</f>
        <v/>
      </c>
      <c r="V20" s="69" t="n"/>
      <c r="W20" s="70" t="n">
        <v>0.11</v>
      </c>
      <c r="X20" s="436">
        <f>(P20+Q20)/G20</f>
        <v/>
      </c>
      <c r="Y20" s="16">
        <f>VLOOKUP(C20,台股行情!A:D,4,FALSE)</f>
        <v/>
      </c>
      <c r="Z20" s="437">
        <f>VLOOKUP(C20,台股行情!A:E,5,FALSE)</f>
        <v/>
      </c>
      <c r="AA20" s="438">
        <f>IF(I20="",((TODAY()-A20)*G20)/365.24,((I20-A20)*G20)/365.24)</f>
        <v/>
      </c>
      <c r="AB20" s="103" t="inlineStr">
        <is>
          <t>阿水一式</t>
        </is>
      </c>
      <c r="AC20" s="143" t="inlineStr">
        <is>
          <t>未嚴守紀律，認賠</t>
        </is>
      </c>
    </row>
    <row r="21" outlineLevel="1">
      <c r="A21" s="99" t="n">
        <v>44601</v>
      </c>
      <c r="B21" s="11" t="inlineStr">
        <is>
          <t>普通買進</t>
        </is>
      </c>
      <c r="C21" s="11" t="n">
        <v>2233</v>
      </c>
      <c r="D21" s="11" t="inlineStr">
        <is>
          <t>宇隆</t>
        </is>
      </c>
      <c r="E21" s="11" t="n">
        <v>1000</v>
      </c>
      <c r="F21" s="11" t="n">
        <v>118</v>
      </c>
      <c r="G21" s="11">
        <f>E21*F21</f>
        <v/>
      </c>
      <c r="H21" s="11" t="n">
        <v>168</v>
      </c>
      <c r="I21" s="308" t="n">
        <v>45273</v>
      </c>
      <c r="J21" s="16" t="n">
        <v>138</v>
      </c>
      <c r="K21" s="11">
        <f>E21*J21</f>
        <v/>
      </c>
      <c r="L21" s="17" t="n">
        <v>196</v>
      </c>
      <c r="M21" s="11" t="n">
        <v>414</v>
      </c>
      <c r="N21" s="11" t="n">
        <v>0</v>
      </c>
      <c r="O21" s="434">
        <f>IF(I21="",E21*Y21,0)</f>
        <v/>
      </c>
      <c r="P21" s="435">
        <f>IF(I21="",R21-H21,(K21-H21-SUM(L21:N21)+R21-S21-T21)-G21)+(ROUND(R21*V21,0)-ROUND(R21*(1+V21),0)*W21)</f>
        <v/>
      </c>
      <c r="Q21" s="435">
        <f>IF(I21="",(O21-G21-(O21*0.1425%*0.65)-(O21*0.3%)-S21-T21),0)</f>
        <v/>
      </c>
      <c r="R21" s="435">
        <f>5400+6000</f>
        <v/>
      </c>
      <c r="S21" s="435" t="n">
        <v>20</v>
      </c>
      <c r="T21" s="435">
        <f>IF(ROUND(R21*(1+V21),0)&gt;20000,ROUND(ROUND(R21*(1+V21),0)*2%,0),0)</f>
        <v/>
      </c>
      <c r="U21" s="69">
        <f>(V21*50%)/(1+50%*V21)</f>
        <v/>
      </c>
      <c r="V21" s="69" t="n"/>
      <c r="W21" s="70" t="n">
        <v>0.11</v>
      </c>
      <c r="X21" s="436">
        <f>(P21+Q21)/G21</f>
        <v/>
      </c>
      <c r="Y21" s="16">
        <f>VLOOKUP(C21,台股行情!A:D,4,FALSE)</f>
        <v/>
      </c>
      <c r="Z21" s="437">
        <f>VLOOKUP(C21,台股行情!A:E,5,FALSE)</f>
        <v/>
      </c>
      <c r="AA21" s="438">
        <f>IF(I21="",((TODAY()-A21)*G21)/365.24,((I21-A21)*G21)/365.24)</f>
        <v/>
      </c>
      <c r="AB21" s="103" t="inlineStr">
        <is>
          <t>水某精選</t>
        </is>
      </c>
      <c r="AC21" s="103" t="n"/>
    </row>
    <row r="22" outlineLevel="1">
      <c r="A22" s="99" t="n">
        <v>44603</v>
      </c>
      <c r="B22" s="11" t="inlineStr">
        <is>
          <t>普通買進</t>
        </is>
      </c>
      <c r="C22" s="11" t="n">
        <v>8299</v>
      </c>
      <c r="D22" s="11" t="inlineStr">
        <is>
          <t>群聯</t>
        </is>
      </c>
      <c r="E22" s="11" t="n">
        <v>1000</v>
      </c>
      <c r="F22" s="11" t="n">
        <v>503</v>
      </c>
      <c r="G22" s="11">
        <f>E22*F22</f>
        <v/>
      </c>
      <c r="H22" s="11" t="n">
        <v>716</v>
      </c>
      <c r="I22" s="308" t="n">
        <v>45384</v>
      </c>
      <c r="J22" s="16" t="n">
        <v>720</v>
      </c>
      <c r="K22" s="11">
        <f>E22*J22</f>
        <v/>
      </c>
      <c r="L22" s="17" t="n">
        <v>1026</v>
      </c>
      <c r="M22" s="11" t="n">
        <v>2160</v>
      </c>
      <c r="N22" s="11" t="n">
        <v>0</v>
      </c>
      <c r="O22" s="434">
        <f>IF(I22="",E22*Y22,0)</f>
        <v/>
      </c>
      <c r="P22" s="435">
        <f>IF(I22="",R22-H22,(K22-H22-SUM(L22:N22)+R22-S22-T22)-G22)+(ROUND(R22*V22,0)-ROUND(R22*(1+V22),0)*W22)</f>
        <v/>
      </c>
      <c r="Q22" s="435">
        <f>IF(I22="",(O22-G22-(O22*0.1425%*0.65)-(O22*0.3%)-S22-T22),0)</f>
        <v/>
      </c>
      <c r="R22" s="435">
        <f>13000+10277+4450+4424</f>
        <v/>
      </c>
      <c r="S22" s="435" t="n">
        <v>30</v>
      </c>
      <c r="T22" s="435">
        <f>IF(ROUND(R22*(1+V22),0)&gt;20000,ROUND(ROUND(R22*(1+V22),0)*2%,0),0)</f>
        <v/>
      </c>
      <c r="U22" s="69">
        <f>(V22*50%)/(1+50%*V22)</f>
        <v/>
      </c>
      <c r="V22" s="69" t="n"/>
      <c r="W22" s="70" t="n">
        <v>0.11</v>
      </c>
      <c r="X22" s="436">
        <f>(P22+Q22)/G22</f>
        <v/>
      </c>
      <c r="Y22" s="16">
        <f>VLOOKUP(C22,台股行情!A:D,4,FALSE)</f>
        <v/>
      </c>
      <c r="Z22" s="437">
        <f>VLOOKUP(C22,台股行情!A:E,5,FALSE)</f>
        <v/>
      </c>
      <c r="AA22" s="438">
        <f>IF(I22="",((TODAY()-A22)*G22)/365.24,((I22-A22)*G22)/365.24)</f>
        <v/>
      </c>
      <c r="AB22" s="103" t="inlineStr">
        <is>
          <t>水某精選</t>
        </is>
      </c>
      <c r="AC22" s="103" t="n"/>
    </row>
    <row r="23" outlineLevel="1">
      <c r="A23" s="99" t="n">
        <v>44658</v>
      </c>
      <c r="B23" s="11" t="inlineStr">
        <is>
          <t>普通買進</t>
        </is>
      </c>
      <c r="C23" s="11" t="n">
        <v>2892</v>
      </c>
      <c r="D23" s="11" t="inlineStr">
        <is>
          <t>第一金</t>
        </is>
      </c>
      <c r="E23" s="11" t="n">
        <v>1050</v>
      </c>
      <c r="F23" s="11" t="n">
        <v>29.75</v>
      </c>
      <c r="G23" s="11" t="n">
        <v>29750</v>
      </c>
      <c r="H23" s="11" t="n">
        <v>42</v>
      </c>
      <c r="I23" s="308" t="n">
        <v>45436</v>
      </c>
      <c r="J23" s="16" t="n">
        <v>28.25</v>
      </c>
      <c r="K23" s="489">
        <f>E23*J23</f>
        <v/>
      </c>
      <c r="L23" s="17" t="n">
        <v>42</v>
      </c>
      <c r="M23" s="11" t="n">
        <v>84</v>
      </c>
      <c r="N23" s="11" t="n">
        <v>0</v>
      </c>
      <c r="O23" s="434">
        <f>IF(I23="",E23*Y23,0)</f>
        <v/>
      </c>
      <c r="P23" s="435">
        <f>IF(I23="",R23-H23,(K23-H23-SUM(L23:N23)+R23-S23-T23)-G23)+(ROUND(R23*V23,0)-ROUND(R23*(1+V23),0)*W23)</f>
        <v/>
      </c>
      <c r="Q23" s="435">
        <f>IF(I23="",(O23-G23-(O23*0.1425%*0.65)-(O23*0.3%)-S23-T23),0)</f>
        <v/>
      </c>
      <c r="R23" s="435" t="n">
        <v>816</v>
      </c>
      <c r="S23" s="435" t="n">
        <v>10</v>
      </c>
      <c r="T23" s="435">
        <f>IF(ROUND(R23*(1+V23),0)&gt;20000,ROUND(ROUND(R23*(1+V23),0)*2%,0),0)</f>
        <v/>
      </c>
      <c r="U23" s="69">
        <f>(V23*50%)/(1+50%*V23)</f>
        <v/>
      </c>
      <c r="V23" s="69" t="n"/>
      <c r="W23" s="70" t="n">
        <v>0.11</v>
      </c>
      <c r="X23" s="436">
        <f>(P23+Q23)/G23</f>
        <v/>
      </c>
      <c r="Y23" s="16">
        <f>VLOOKUP(C23,台股行情!A:D,4,FALSE)</f>
        <v/>
      </c>
      <c r="Z23" s="437">
        <f>VLOOKUP(C23,台股行情!A:E,5,FALSE)</f>
        <v/>
      </c>
      <c r="AA23" s="438">
        <f>IF(I23="",((TODAY()-A23)*G23)/365.24,((I23-A23)*G23)/365.24)</f>
        <v/>
      </c>
      <c r="AB23" s="184" t="inlineStr">
        <is>
          <t>除權息</t>
        </is>
      </c>
      <c r="AC23" s="103" t="n"/>
    </row>
    <row r="24" outlineLevel="1">
      <c r="A24" s="99" t="n">
        <v>44658</v>
      </c>
      <c r="B24" s="11" t="inlineStr">
        <is>
          <t>普通買進</t>
        </is>
      </c>
      <c r="C24" s="11" t="n">
        <v>5880</v>
      </c>
      <c r="D24" s="11">
        <f>VLOOKUP(C24,台股行情!A:B,2,FALSE)</f>
        <v/>
      </c>
      <c r="E24" s="242" t="n">
        <v>1000</v>
      </c>
      <c r="F24" s="11" t="n">
        <v>30.8</v>
      </c>
      <c r="G24" s="11">
        <f>E24*F24</f>
        <v/>
      </c>
      <c r="H24" s="11" t="n">
        <v>43</v>
      </c>
      <c r="I24" s="308" t="n">
        <v>45520</v>
      </c>
      <c r="J24" s="16" t="n">
        <v>25.85</v>
      </c>
      <c r="K24" s="11" t="n">
        <v>27826</v>
      </c>
      <c r="L24" s="17" t="n">
        <v>38</v>
      </c>
      <c r="M24" s="11" t="n">
        <v>83</v>
      </c>
      <c r="N24" s="11" t="n">
        <v>0</v>
      </c>
      <c r="O24" s="434">
        <f>IF(I24="",E24*Y24,0)</f>
        <v/>
      </c>
      <c r="P24" s="435">
        <f>IF(I24="",R24-H24,(K24-H24-SUM(L24:N24)+R24-S24-T24)-G24)+(ROUND(R24*V24,0)-ROUND(R24*(1+V24),0)*W24)</f>
        <v/>
      </c>
      <c r="Q24" s="435">
        <f>IF(I24="",(O24-G24-(O24*0.1425%*0.65)-(O24*0.3%)-S24-T24),0)</f>
        <v/>
      </c>
      <c r="R24" s="435">
        <f>515+702+947</f>
        <v/>
      </c>
      <c r="S24" s="435" t="n">
        <v>20</v>
      </c>
      <c r="T24" s="435">
        <f>IF(ROUND(R24*(1+V24),0)&gt;20000,ROUND(ROUND(R24*(1+V24),0)*2%,0),0)</f>
        <v/>
      </c>
      <c r="U24" s="69">
        <f>(V24*50%)/(1+50%*V24)</f>
        <v/>
      </c>
      <c r="V24" s="69" t="n"/>
      <c r="W24" s="70" t="n">
        <v>0.11</v>
      </c>
      <c r="X24" s="436">
        <f>(P24+Q24)/G24</f>
        <v/>
      </c>
      <c r="Y24" s="16">
        <f>VLOOKUP(C24,台股行情!A:D,4,FALSE)</f>
        <v/>
      </c>
      <c r="Z24" s="437">
        <f>VLOOKUP(C24,台股行情!A:E,5,FALSE)</f>
        <v/>
      </c>
      <c r="AA24" s="438">
        <f>IF(I24="",((TODAY()-A24)*G24)/365.24,((I24-A24)*G24)/365.24)</f>
        <v/>
      </c>
      <c r="AB24" s="184" t="inlineStr">
        <is>
          <t>除權息</t>
        </is>
      </c>
      <c r="AC24" s="135" t="inlineStr">
        <is>
          <t>除息多次，又遇紅燈，認賠出場</t>
        </is>
      </c>
    </row>
    <row r="25" outlineLevel="1">
      <c r="A25" s="99" t="n">
        <v>44658</v>
      </c>
      <c r="B25" s="11" t="inlineStr">
        <is>
          <t>普通買進</t>
        </is>
      </c>
      <c r="C25" s="11" t="n">
        <v>6020</v>
      </c>
      <c r="D25" s="11" t="inlineStr">
        <is>
          <t>大展證</t>
        </is>
      </c>
      <c r="E25" s="11" t="n">
        <v>1000</v>
      </c>
      <c r="F25" s="11" t="n">
        <v>21.15</v>
      </c>
      <c r="G25" s="11">
        <f>E25*F25</f>
        <v/>
      </c>
      <c r="H25" s="11" t="n">
        <v>43</v>
      </c>
      <c r="I25" s="308" t="n">
        <v>45541</v>
      </c>
      <c r="J25" s="16" t="n">
        <v>19.05</v>
      </c>
      <c r="K25" s="11">
        <f>E25*J25</f>
        <v/>
      </c>
      <c r="L25" s="17" t="n">
        <v>27</v>
      </c>
      <c r="M25" s="11" t="n">
        <v>27</v>
      </c>
      <c r="N25" s="11" t="n">
        <v>0</v>
      </c>
      <c r="O25" s="434">
        <f>IF(I25="",E25*Y25,0)</f>
        <v/>
      </c>
      <c r="P25" s="435">
        <f>IF(I25="",R25-H25,(K25-H25-SUM(L25:N25)+R25-S25-T25)-G25)+(ROUND(R25*V25,0)-ROUND(R25*(1+V25),0)*W25)</f>
        <v/>
      </c>
      <c r="Q25" s="435">
        <f>IF(I25="",(O25-G25-(O25*0.1425%*0.65)-(O25*0.3%)-S25-T25),0)</f>
        <v/>
      </c>
      <c r="R25" s="435" t="n">
        <v>899</v>
      </c>
      <c r="S25" s="435" t="n">
        <v>10</v>
      </c>
      <c r="T25" s="435">
        <f>IF(ROUND(R25*(1+V25),0)&gt;20000,ROUND(ROUND(R25*(1+V25),0)*2%,0),0)</f>
        <v/>
      </c>
      <c r="U25" s="69">
        <f>(V25*50%)/(1+50%*V25)</f>
        <v/>
      </c>
      <c r="V25" s="69" t="n"/>
      <c r="W25" s="70" t="n">
        <v>0.11</v>
      </c>
      <c r="X25" s="436">
        <f>(P25+Q25)/G25</f>
        <v/>
      </c>
      <c r="Y25" s="16">
        <f>VLOOKUP(C25,台股行情!A:D,4,FALSE)</f>
        <v/>
      </c>
      <c r="Z25" s="437">
        <f>VLOOKUP(C25,台股行情!A:E,5,FALSE)</f>
        <v/>
      </c>
      <c r="AA25" s="438">
        <f>IF(I25="",((TODAY()-A25)*G25)/365.24,((I25-A25)*G25)/365.24)</f>
        <v/>
      </c>
      <c r="AB25" s="184" t="inlineStr">
        <is>
          <t>除權息</t>
        </is>
      </c>
      <c r="AC25" s="103" t="n"/>
    </row>
    <row r="26" outlineLevel="1">
      <c r="A26" s="99" t="n">
        <v>44622</v>
      </c>
      <c r="B26" s="11" t="inlineStr">
        <is>
          <t>普通買進</t>
        </is>
      </c>
      <c r="C26" s="11" t="n">
        <v>2015</v>
      </c>
      <c r="D26" s="11">
        <f>VLOOKUP(C26,台股行情!A:B,2,FALSE)</f>
        <v/>
      </c>
      <c r="E26" s="11" t="n">
        <v>1000</v>
      </c>
      <c r="F26" s="11" t="n">
        <v>88.40000000000001</v>
      </c>
      <c r="G26" s="11">
        <f>E26*F26</f>
        <v/>
      </c>
      <c r="H26" s="11" t="n">
        <v>125</v>
      </c>
      <c r="I26" s="308" t="n">
        <v>46136</v>
      </c>
      <c r="J26" s="16" t="n">
        <v>60.9</v>
      </c>
      <c r="K26" s="11">
        <f>E26*J26</f>
        <v/>
      </c>
      <c r="L26" s="11" t="n">
        <v>86</v>
      </c>
      <c r="M26" s="11" t="n">
        <v>182</v>
      </c>
      <c r="N26" s="11" t="n">
        <v>0</v>
      </c>
      <c r="O26" s="434">
        <f>IF(I26="",E26*Y26,0)</f>
        <v/>
      </c>
      <c r="P26" s="435">
        <f>IF(I26="",R26-H26,(K26-H26-SUM(L26:N26)+R26-S26-T26)-G26)+(ROUND(R26*V26,0)-ROUND(R26*(1+V26),0)*W26)</f>
        <v/>
      </c>
      <c r="Q26" s="435">
        <f>IF(I26="",(O26-G26-(O26*0.1425%*0.65)-(O26*0.3%)-S26-T26),0)</f>
        <v/>
      </c>
      <c r="R26" s="435">
        <f>5000+4000+3500+3500+3300</f>
        <v/>
      </c>
      <c r="S26" s="435" t="n">
        <v>50</v>
      </c>
      <c r="T26" s="435">
        <f>IF(ROUND(R26*(1+V26),0)&gt;20000,ROUND(ROUND(R26*(1+V26),0)*2%,0),0)</f>
        <v/>
      </c>
      <c r="U26" s="69">
        <f>(V26*50%)/(1+50%*V26)</f>
        <v/>
      </c>
      <c r="V26" s="69" t="n"/>
      <c r="W26" s="70" t="n">
        <v>0.11</v>
      </c>
      <c r="X26" s="436">
        <f>(P26+Q26)/G26</f>
        <v/>
      </c>
      <c r="Y26" s="16">
        <f>VLOOKUP(C26,台股行情!A:D,4,FALSE)</f>
        <v/>
      </c>
      <c r="Z26" s="437">
        <f>VLOOKUP(C26,台股行情!A:E,5,FALSE)</f>
        <v/>
      </c>
      <c r="AA26" s="438">
        <f>IF(I26="",((TODAY()-A26)*G26)/365.24,((I26-A26)*G26)/365.24)</f>
        <v/>
      </c>
      <c r="AB26" s="184" t="inlineStr">
        <is>
          <t>除權息</t>
        </is>
      </c>
      <c r="AC26" s="103" t="n"/>
    </row>
    <row r="27">
      <c r="A27" s="491" t="n"/>
      <c r="B27" s="11" t="n"/>
      <c r="C27" s="11" t="n"/>
      <c r="D27" s="11" t="n"/>
      <c r="E27" s="11" t="n"/>
      <c r="F27" s="11" t="n"/>
      <c r="G27" s="64" t="n"/>
      <c r="H27" s="64" t="n"/>
      <c r="I27" s="12" t="n"/>
      <c r="J27" s="11" t="n"/>
      <c r="K27" s="64" t="n"/>
      <c r="L27" s="64" t="n"/>
      <c r="M27" s="64" t="n"/>
      <c r="N27" s="64" t="n"/>
      <c r="O27" s="64" t="n"/>
      <c r="P27" s="64" t="n"/>
      <c r="Q27" s="435" t="n"/>
      <c r="R27" s="64" t="n"/>
      <c r="S27" s="11" t="n"/>
      <c r="T27" s="435" t="n"/>
      <c r="U27" s="69" t="n"/>
      <c r="V27" s="57" t="n"/>
      <c r="W27" s="75" t="n"/>
      <c r="X27" s="57" t="n"/>
      <c r="Y27" s="11" t="n"/>
      <c r="Z27" s="437" t="n"/>
      <c r="AA27" s="438" t="n"/>
    </row>
    <row r="28">
      <c r="A28" s="39" t="n"/>
      <c r="B28" s="40" t="n"/>
      <c r="C28" s="40" t="n"/>
      <c r="D28" s="40" t="n"/>
      <c r="E28" s="40" t="n"/>
      <c r="F28" s="40" t="n"/>
      <c r="G28" s="40" t="n"/>
      <c r="H28" s="40" t="n"/>
      <c r="I28" s="41" t="n"/>
      <c r="J28" s="42" t="n"/>
      <c r="K28" s="40" t="n"/>
      <c r="L28" s="439" t="n"/>
      <c r="M28" s="40" t="n"/>
      <c r="N28" s="40" t="n"/>
      <c r="O28" s="440" t="n"/>
      <c r="P28" s="441" t="n"/>
      <c r="Q28" s="441" t="n"/>
      <c r="R28" s="441" t="n"/>
      <c r="S28" s="441" t="n"/>
      <c r="T28" s="441" t="n"/>
      <c r="U28" s="73" t="n"/>
      <c r="V28" s="73" t="n"/>
      <c r="W28" s="76" t="n"/>
      <c r="X28" s="442" t="n"/>
      <c r="Y28" s="42" t="n"/>
      <c r="Z28" s="47" t="n"/>
      <c r="AA28" s="438" t="n"/>
    </row>
    <row r="29">
      <c r="A29" s="10" t="n"/>
      <c r="B29" s="11" t="n"/>
      <c r="C29" s="11" t="n"/>
      <c r="D29" s="11" t="n"/>
      <c r="E29" s="11" t="n"/>
      <c r="F29" s="11" t="n"/>
      <c r="G29" s="11" t="n"/>
      <c r="H29" s="11" t="n"/>
      <c r="I29" s="12" t="n"/>
      <c r="J29" s="11" t="n"/>
      <c r="K29" s="11" t="n"/>
      <c r="L29" s="11" t="n"/>
      <c r="M29" s="11" t="n"/>
      <c r="N29" s="11" t="n"/>
      <c r="O29" s="434" t="n"/>
      <c r="P29" s="435" t="n"/>
      <c r="Q29" s="435" t="n"/>
      <c r="R29" s="435" t="n"/>
      <c r="S29" s="435" t="n"/>
      <c r="T29" s="435" t="n"/>
      <c r="U29" s="435" t="n"/>
      <c r="V29" s="69" t="n"/>
      <c r="W29" s="70" t="n"/>
      <c r="X29" s="436" t="n"/>
      <c r="Y29" s="16" t="n"/>
      <c r="Z29" s="437" t="n"/>
      <c r="AA29" s="438" t="n"/>
    </row>
    <row r="30">
      <c r="A30" s="18">
        <f>MIN(A31:A31)</f>
        <v/>
      </c>
      <c r="B30" s="19" t="n"/>
      <c r="C30" s="20" t="n"/>
      <c r="D30" s="19" t="n"/>
      <c r="E30" s="19" t="n"/>
      <c r="F30" s="19" t="n"/>
      <c r="G30" s="19" t="n"/>
      <c r="H30" s="19" t="n"/>
      <c r="I30" s="21" t="n"/>
      <c r="J30" s="22" t="n"/>
      <c r="K30" s="19" t="n"/>
      <c r="L30" s="443" t="n"/>
      <c r="M30" s="19" t="n"/>
      <c r="N30" s="19" t="n"/>
      <c r="O30" s="444" t="n"/>
      <c r="P30" s="445" t="n"/>
      <c r="Q30" s="445" t="n"/>
      <c r="R30" s="445" t="n"/>
      <c r="S30" s="445" t="n"/>
      <c r="T30" s="445" t="n"/>
      <c r="U30" s="445" t="n"/>
      <c r="V30" s="74" t="n"/>
      <c r="W30" s="77" t="n"/>
      <c r="X30" s="446" t="n"/>
      <c r="Y30" s="22" t="n"/>
      <c r="Z30" s="27" t="n"/>
      <c r="AA30" s="438" t="n"/>
    </row>
    <row r="31" ht="17.25" customHeight="1" thickBot="1">
      <c r="A31" s="48" t="n"/>
      <c r="B31" s="49" t="n"/>
      <c r="C31" s="49" t="n"/>
      <c r="D31" s="49" t="n"/>
      <c r="E31" s="49" t="n"/>
      <c r="F31" s="49" t="n"/>
      <c r="G31" s="49" t="n"/>
      <c r="H31" s="49" t="n"/>
      <c r="I31" s="50" t="n"/>
      <c r="J31" s="51" t="n"/>
      <c r="K31" s="49" t="n"/>
      <c r="L31" s="447" t="n"/>
      <c r="M31" s="49" t="n"/>
      <c r="N31" s="49" t="n"/>
      <c r="O31" s="448" t="n"/>
      <c r="P31" s="449" t="n"/>
      <c r="Q31" s="449" t="n"/>
      <c r="R31" s="449" t="n"/>
      <c r="S31" s="449" t="n"/>
      <c r="T31" s="450" t="n"/>
      <c r="U31" s="449" t="n"/>
      <c r="V31" s="449" t="n"/>
      <c r="W31" s="78" t="n"/>
      <c r="X31" s="451" t="n"/>
      <c r="Y31" s="51" t="n"/>
      <c r="Z31" s="56" t="n"/>
      <c r="AA31" s="438" t="n"/>
    </row>
    <row r="32" ht="17.25" customHeight="1" thickBot="1">
      <c r="A32" s="29" t="n"/>
      <c r="D32" s="9" t="n"/>
      <c r="I32" s="29" t="n"/>
      <c r="J32" s="31" t="n"/>
      <c r="L32" s="452" t="n"/>
      <c r="O32" s="453" t="n"/>
      <c r="P32" s="454" t="n"/>
      <c r="Q32" s="454" t="n"/>
      <c r="R32" s="454" t="n"/>
      <c r="S32" s="454" t="n"/>
      <c r="T32" s="454" t="n"/>
      <c r="U32" s="454" t="n"/>
      <c r="V32" s="454" t="n"/>
      <c r="W32" s="245" t="n"/>
      <c r="X32" s="455" t="n"/>
      <c r="Y32" s="31" t="n"/>
      <c r="Z32" s="31" t="n"/>
      <c r="AA32" s="438" t="n"/>
    </row>
    <row r="33" ht="17.25" customHeight="1" thickBot="1">
      <c r="A33" s="179" t="inlineStr">
        <is>
          <t>總表</t>
        </is>
      </c>
      <c r="B33" s="456" t="n"/>
      <c r="C33" s="456" t="n"/>
      <c r="D33" s="244" t="inlineStr">
        <is>
          <t>持股小計</t>
        </is>
      </c>
      <c r="E33" s="490" t="n"/>
      <c r="F33" s="460" t="n"/>
      <c r="G33" s="62">
        <f>SUM(G30:G31)</f>
        <v/>
      </c>
      <c r="H33" s="62">
        <f>SUM(H30:H31)</f>
        <v/>
      </c>
      <c r="I33" s="414" t="n"/>
      <c r="J33" s="414" t="n"/>
      <c r="K33" s="62" t="n"/>
      <c r="L33" s="459" t="n"/>
      <c r="M33" s="459" t="n"/>
      <c r="N33" s="460" t="n"/>
      <c r="O33" s="62">
        <f>SUM(O30:O31)</f>
        <v/>
      </c>
      <c r="P33" s="461">
        <f>SUM(P30:P31)</f>
        <v/>
      </c>
      <c r="Q33" s="461">
        <f>SUM(Q30:Q31)</f>
        <v/>
      </c>
      <c r="R33" s="62">
        <f>SUM(R30:R31)</f>
        <v/>
      </c>
      <c r="S33" s="407" t="n"/>
      <c r="T33" s="407" t="n"/>
      <c r="U33" s="407" t="n"/>
      <c r="V33" s="407" t="n"/>
      <c r="W33" s="407" t="n"/>
      <c r="X33" s="462">
        <f>(P33+Q33)/G33</f>
        <v/>
      </c>
      <c r="Y33" s="390" t="inlineStr">
        <is>
          <t>年化報酬率</t>
        </is>
      </c>
      <c r="Z33" s="463">
        <f>IF(AA33=0,0,(P33+Q33)/(AA33))</f>
        <v/>
      </c>
      <c r="AA33" s="438">
        <f>SUM(AA30:AA31)</f>
        <v/>
      </c>
    </row>
    <row r="34" ht="17.25" customFormat="1" customHeight="1" s="36" thickBot="1">
      <c r="A34" s="464" t="n"/>
      <c r="D34" s="244" t="inlineStr">
        <is>
          <t>2022總計</t>
        </is>
      </c>
      <c r="E34" s="490" t="n"/>
      <c r="F34" s="460" t="n"/>
      <c r="G34" s="63">
        <f>SUM(G2:G31)</f>
        <v/>
      </c>
      <c r="H34" s="63">
        <f>SUM(H2:H31)</f>
        <v/>
      </c>
      <c r="I34" s="414" t="n"/>
      <c r="J34" s="414" t="n"/>
      <c r="K34" s="63">
        <f>SUM(K2:K31)</f>
        <v/>
      </c>
      <c r="L34" s="63">
        <f>SUM(L2:L31)</f>
        <v/>
      </c>
      <c r="M34" s="63">
        <f>SUM(M2:M31)</f>
        <v/>
      </c>
      <c r="N34" s="63">
        <f>SUM(N2:N31)</f>
        <v/>
      </c>
      <c r="O34" s="63">
        <f>SUM(O2:O31)</f>
        <v/>
      </c>
      <c r="P34" s="472">
        <f>SUM(P2:P31)</f>
        <v/>
      </c>
      <c r="Q34" s="461">
        <f>SUM(Q2:Q31)</f>
        <v/>
      </c>
      <c r="R34" s="63">
        <f>SUM(R2:R31)</f>
        <v/>
      </c>
      <c r="S34" s="72" t="n"/>
      <c r="T34" s="72" t="n"/>
      <c r="U34" s="72" t="n"/>
      <c r="V34" s="72" t="n"/>
      <c r="W34" s="72" t="n"/>
      <c r="X34" s="462">
        <f>(P34+Q34)/G34</f>
        <v/>
      </c>
      <c r="Y34" s="467" t="n"/>
      <c r="Z34" s="463">
        <f>IF(AA34=0,0,(P34+Q34)/(AA34))</f>
        <v/>
      </c>
      <c r="AA34" s="438">
        <f>SUM(AA2:AA31)</f>
        <v/>
      </c>
      <c r="AB34" s="87" t="n"/>
      <c r="AC34" s="88" t="n"/>
    </row>
    <row r="35" ht="17.25" customFormat="1" customHeight="1" s="36" thickBot="1">
      <c r="A35" s="468" t="n"/>
      <c r="B35" s="469" t="n"/>
      <c r="C35" s="469" t="n"/>
      <c r="D35" s="244" t="inlineStr">
        <is>
          <t>總計</t>
        </is>
      </c>
      <c r="E35" s="490" t="n"/>
      <c r="F35" s="460" t="n"/>
      <c r="G35" s="63">
        <f>SUM(G2:G31)</f>
        <v/>
      </c>
      <c r="H35" s="63">
        <f>SUM(H2:H31)</f>
        <v/>
      </c>
      <c r="I35" s="414" t="n"/>
      <c r="J35" s="414" t="n"/>
      <c r="K35" s="63">
        <f>SUM(K2:K31)</f>
        <v/>
      </c>
      <c r="L35" s="63">
        <f>SUM(L2:L31)</f>
        <v/>
      </c>
      <c r="M35" s="63">
        <f>SUM(M2:M31)</f>
        <v/>
      </c>
      <c r="N35" s="63">
        <f>SUM(N2:N31)</f>
        <v/>
      </c>
      <c r="O35" s="63">
        <f>SUM(O2:O31)</f>
        <v/>
      </c>
      <c r="P35" s="472">
        <f>SUM(P2:P31)</f>
        <v/>
      </c>
      <c r="Q35" s="461">
        <f>SUM(Q2:Q31)</f>
        <v/>
      </c>
      <c r="R35" s="63">
        <f>SUM(R2:R31)</f>
        <v/>
      </c>
      <c r="S35" s="72" t="n"/>
      <c r="T35" s="72" t="n"/>
      <c r="U35" s="72" t="n"/>
      <c r="V35" s="72" t="n"/>
      <c r="W35" s="72" t="n"/>
      <c r="X35" s="462">
        <f>(P35+Q35)/G35</f>
        <v/>
      </c>
      <c r="Y35" s="473" t="n"/>
      <c r="Z35" s="463">
        <f>IF(AA35=0,0,(P35+Q35)/(AA35))</f>
        <v/>
      </c>
      <c r="AA35" s="438">
        <f>AA34</f>
        <v/>
      </c>
      <c r="AB35" s="87" t="n"/>
      <c r="AC35" s="87" t="n"/>
    </row>
    <row r="36" ht="17.25" customHeight="1" thickBot="1">
      <c r="B36" s="37" t="n"/>
      <c r="C36" s="37" t="n"/>
      <c r="D36" s="9" t="n"/>
    </row>
    <row r="37" ht="17.25" customFormat="1" customHeight="1" s="8" thickBot="1">
      <c r="A37" s="383" t="inlineStr">
        <is>
          <t>分析</t>
        </is>
      </c>
      <c r="B37" s="456" t="n"/>
      <c r="C37" s="474" t="n"/>
      <c r="D37" s="251" t="inlineStr">
        <is>
          <t>技法</t>
        </is>
      </c>
      <c r="E37" s="383" t="n"/>
      <c r="F37" s="474" t="n"/>
      <c r="G37" s="251" t="inlineStr">
        <is>
          <t>成交金額</t>
        </is>
      </c>
      <c r="H37" s="251" t="inlineStr">
        <is>
          <t>手續費</t>
        </is>
      </c>
      <c r="I37" s="383" t="n"/>
      <c r="J37" s="383" t="n"/>
      <c r="K37" s="383" t="n"/>
      <c r="L37" s="383" t="n"/>
      <c r="M37" s="383" t="n"/>
      <c r="N37" s="383" t="n"/>
      <c r="O37" s="251" t="inlineStr">
        <is>
          <t>參考現值</t>
        </is>
      </c>
      <c r="P37" s="251" t="inlineStr">
        <is>
          <t>已實現損益</t>
        </is>
      </c>
      <c r="Q37" s="251" t="inlineStr">
        <is>
          <t>未實現損益</t>
        </is>
      </c>
      <c r="R37" s="251" t="inlineStr">
        <is>
          <t>除息</t>
        </is>
      </c>
      <c r="S37" s="383" t="inlineStr">
        <is>
          <t>手續費</t>
        </is>
      </c>
      <c r="T37" s="383" t="inlineStr">
        <is>
          <t>健保補充保費</t>
        </is>
      </c>
      <c r="U37" s="383" t="n"/>
      <c r="V37" s="383" t="inlineStr">
        <is>
          <t>扣抵稅率</t>
        </is>
      </c>
      <c r="W37" s="383" t="inlineStr">
        <is>
          <t>所得稅率</t>
        </is>
      </c>
      <c r="X37" s="251" t="inlineStr">
        <is>
          <t>投資報酬率</t>
        </is>
      </c>
      <c r="Y37" s="251" t="inlineStr">
        <is>
          <t>年化報酬率</t>
        </is>
      </c>
      <c r="Z37" s="251" t="inlineStr">
        <is>
          <t>勝率</t>
        </is>
      </c>
      <c r="AA37" s="89" t="n"/>
      <c r="AB37" s="86" t="n"/>
      <c r="AC37" s="182" t="n"/>
    </row>
    <row r="38">
      <c r="A38" s="464" t="n"/>
      <c r="C38" s="475" t="n"/>
      <c r="D38" s="385" t="inlineStr">
        <is>
          <t>阿水一式</t>
        </is>
      </c>
      <c r="E38" s="464" t="n"/>
      <c r="F38" s="475" t="n"/>
      <c r="G38" s="265">
        <f>SUMIF(AB$2:AB$32,D38,G$2:G$32)</f>
        <v/>
      </c>
      <c r="H38" s="265">
        <f>SUMIF(AB$2:AB$32,D38,H$2:H$32)</f>
        <v/>
      </c>
      <c r="I38" s="467" t="n"/>
      <c r="J38" s="249" t="n"/>
      <c r="K38" s="257" t="n"/>
      <c r="L38" s="257" t="n"/>
      <c r="M38" s="257" t="n"/>
      <c r="N38" s="257" t="n"/>
      <c r="O38" s="265">
        <f>SUMIF(AB$2:AB$32,D38,O$2:O$32)</f>
        <v/>
      </c>
      <c r="P38" s="476">
        <f>SUMIF(AB$2:AB$32,D38,P$2:P$32)</f>
        <v/>
      </c>
      <c r="Q38" s="476">
        <f>SUMIF(AB$2:AB$32,"*"&amp;D38&amp;"*",Q$2:Q$32)</f>
        <v/>
      </c>
      <c r="R38" s="265">
        <f>SUMIF(AB$2:AB$32,D38,R$2:R$32)</f>
        <v/>
      </c>
      <c r="S38" s="257" t="n"/>
      <c r="T38" s="257" t="n"/>
      <c r="U38" s="467" t="n"/>
      <c r="V38" s="257" t="n"/>
      <c r="W38" s="257" t="n"/>
      <c r="X38" s="477">
        <f>(SUMIF(AB$2:AB$32,D38,P$2:P$32)+SUMIF(AB$2:AB$32,"*"&amp;D38&amp;"*",Q$2:Q$32))/SUMIF(AB$2:AB$32,D38,G$2:G$32)</f>
        <v/>
      </c>
      <c r="Y38" s="477">
        <f>(P38+Q38)/(AA38)</f>
        <v/>
      </c>
      <c r="Z38" s="268">
        <f>COUNTIFS(X$2:X$32,"&gt;0",AB$2:AB$32,D38)/COUNTIF(AB$2:AB$32,D38)</f>
        <v/>
      </c>
      <c r="AA38" s="9">
        <f>SUMIF(AB$2:AB$32,D38,AA$2:AA$32)</f>
        <v/>
      </c>
    </row>
    <row r="39">
      <c r="A39" s="464" t="n"/>
      <c r="C39" s="475" t="n"/>
      <c r="D39" s="247" t="inlineStr">
        <is>
          <t>除權息</t>
        </is>
      </c>
      <c r="E39" s="464" t="n"/>
      <c r="F39" s="475" t="n"/>
      <c r="G39" s="265">
        <f>SUMIF(AB$2:AB$32,D39,G$2:G$32)</f>
        <v/>
      </c>
      <c r="H39" s="265">
        <f>SUMIF(AB$2:AB$32,D39,H$2:H$32)</f>
        <v/>
      </c>
      <c r="I39" s="467" t="n"/>
      <c r="J39" s="249" t="n"/>
      <c r="K39" s="257" t="n"/>
      <c r="L39" s="257" t="n"/>
      <c r="M39" s="257" t="n"/>
      <c r="N39" s="257" t="n"/>
      <c r="O39" s="265">
        <f>SUMIF(AB$2:AB$32,D39,O$2:O$32)</f>
        <v/>
      </c>
      <c r="P39" s="476">
        <f>SUMIF(AB$2:AB$32,D39,P$2:P$32)</f>
        <v/>
      </c>
      <c r="Q39" s="476">
        <f>SUMIF(AB$2:AB$32,"*"&amp;D39&amp;"*",Q$2:Q$32)</f>
        <v/>
      </c>
      <c r="R39" s="265">
        <f>SUMIF(AB$2:AB$32,D39,R$2:R$32)</f>
        <v/>
      </c>
      <c r="S39" s="257" t="n"/>
      <c r="T39" s="257" t="n"/>
      <c r="U39" s="467" t="n"/>
      <c r="V39" s="257" t="n"/>
      <c r="W39" s="257" t="n"/>
      <c r="X39" s="477">
        <f>(SUMIF(AB$2:AB$32,D39,P$2:P$32)+SUMIF(AB$2:AB$32,"*"&amp;D39&amp;"*",Q$2:Q$32))/SUMIF(AB$2:AB$32,D39,G$2:G$32)</f>
        <v/>
      </c>
      <c r="Y39" s="477">
        <f>(P39+Q39)/(AA39)</f>
        <v/>
      </c>
      <c r="Z39" s="268">
        <f>COUNTIFS(X$2:X$32,"&gt;0",AB$2:AB$32,D39)/COUNTIF(AB$2:AB$32,D39)</f>
        <v/>
      </c>
      <c r="AA39" s="9">
        <f>SUMIF(AB$2:AB$32,D39,AA$2:AA$32)</f>
        <v/>
      </c>
    </row>
    <row r="40" ht="17.25" customHeight="1" thickBot="1">
      <c r="A40" s="464" t="n"/>
      <c r="C40" s="475" t="n"/>
      <c r="D40" s="269" t="inlineStr">
        <is>
          <t>水某精選</t>
        </is>
      </c>
      <c r="E40" s="464" t="n"/>
      <c r="F40" s="475" t="n"/>
      <c r="G40" s="265">
        <f>SUMIF(AB$2:AB$32,D40,G$2:G$32)</f>
        <v/>
      </c>
      <c r="H40" s="265">
        <f>SUMIF(AB$2:AB$32,D40,H$2:H$32)</f>
        <v/>
      </c>
      <c r="I40" s="467" t="n"/>
      <c r="J40" s="250" t="n"/>
      <c r="K40" s="261" t="n"/>
      <c r="L40" s="261" t="n"/>
      <c r="M40" s="261" t="n"/>
      <c r="N40" s="261" t="n"/>
      <c r="O40" s="265">
        <f>SUMIF(AB$2:AB$32,D40,O$2:O$32)</f>
        <v/>
      </c>
      <c r="P40" s="476">
        <f>SUMIF(AB$2:AB$32,D40,P$2:P$32)</f>
        <v/>
      </c>
      <c r="Q40" s="476">
        <f>SUMIF(AB$2:AB$32,"*"&amp;D40&amp;"*",Q$2:Q$32)</f>
        <v/>
      </c>
      <c r="R40" s="265">
        <f>SUMIF(AB$2:AB$32,D40,R$2:R$32)</f>
        <v/>
      </c>
      <c r="S40" s="261" t="n"/>
      <c r="T40" s="261" t="n"/>
      <c r="U40" s="467" t="n"/>
      <c r="V40" s="261" t="n"/>
      <c r="W40" s="261" t="n"/>
      <c r="X40" s="477">
        <f>(SUMIF(AB$2:AB$32,D40,P$2:P$32)+SUMIF(AB$2:AB$32,"*"&amp;D40&amp;"*",Q$2:Q$32))/SUMIF(AB$2:AB$32,D40,G$2:G$32)</f>
        <v/>
      </c>
      <c r="Y40" s="477">
        <f>(P40+Q40)/(AA40)</f>
        <v/>
      </c>
      <c r="Z40" s="268">
        <f>COUNTIFS(X$2:X$32,"&gt;0",AB$2:AB$32,D40)/COUNTIF(AB$2:AB$32,D40)</f>
        <v/>
      </c>
      <c r="AA40" s="9">
        <f>SUMIF(AB$2:AB$32,D40,AA$2:AA$32)</f>
        <v/>
      </c>
    </row>
    <row r="41" ht="17.25" customHeight="1" thickBot="1">
      <c r="A41" s="478" t="n"/>
      <c r="B41" s="479" t="n"/>
      <c r="C41" s="480" t="n"/>
      <c r="D41" s="248" t="inlineStr">
        <is>
          <t>當沖</t>
        </is>
      </c>
      <c r="E41" s="478" t="n"/>
      <c r="F41" s="480" t="n"/>
      <c r="G41" s="252">
        <f>SUMIF(AB$2:AB$32,D41,G$2:G$32)</f>
        <v/>
      </c>
      <c r="H41" s="252">
        <f>SUMIF(AB$2:AB$32,D41,H$2:H$32)</f>
        <v/>
      </c>
      <c r="I41" s="481" t="n"/>
      <c r="J41" s="250" t="n"/>
      <c r="K41" s="261" t="n"/>
      <c r="L41" s="261" t="n"/>
      <c r="M41" s="261" t="n"/>
      <c r="N41" s="261" t="n"/>
      <c r="O41" s="252">
        <f>SUMIF(AB$2:AB$32,D41,O$2:O$32)</f>
        <v/>
      </c>
      <c r="P41" s="482">
        <f>SUMIF(AB$2:AB$32,D41,P$2:P$32)</f>
        <v/>
      </c>
      <c r="Q41" s="482">
        <f>SUMIF(AB$2:AB$32,"*"&amp;D41&amp;"*",Q$2:Q$32)</f>
        <v/>
      </c>
      <c r="R41" s="252">
        <f>SUMIF(AB$2:AB$32,D41,R$2:R$32)</f>
        <v/>
      </c>
      <c r="S41" s="261" t="n"/>
      <c r="T41" s="261" t="n"/>
      <c r="U41" s="481" t="n"/>
      <c r="V41" s="261" t="n"/>
      <c r="W41" s="261" t="n"/>
      <c r="X41" s="483">
        <f>(SUMIF(AB$2:AB$32,D41,P$2:P$32)+SUMIF(AB$2:AB$32,"*"&amp;D41&amp;"*",Q$2:Q$32))/SUMIF(AB$2:AB$32,D41,G$2:G$32)</f>
        <v/>
      </c>
      <c r="Y41" s="483" t="n"/>
      <c r="Z41" s="255">
        <f>COUNTIFS(X$2:X$32,"&gt;0",AB$2:AB$32,D41)/COUNTIF(AB$2:AB$32,D41)</f>
        <v/>
      </c>
    </row>
    <row r="42">
      <c r="A42" s="66" t="n"/>
      <c r="C42" s="65" t="n"/>
      <c r="D42" s="9" t="n"/>
      <c r="P42" s="492" t="n"/>
    </row>
    <row r="43">
      <c r="B43" s="37" t="n"/>
      <c r="C43" s="37" t="n"/>
      <c r="D43" s="9" t="n"/>
    </row>
    <row r="44">
      <c r="B44" s="37" t="n"/>
      <c r="C44" s="37" t="n"/>
      <c r="D44" s="9" t="n"/>
    </row>
    <row r="45">
      <c r="B45" s="37" t="n"/>
      <c r="C45" s="37" t="n"/>
      <c r="D45" s="9" t="n"/>
    </row>
    <row r="46">
      <c r="B46" s="37" t="n"/>
      <c r="C46" s="37" t="n"/>
      <c r="D46" s="9" t="n"/>
    </row>
    <row r="47">
      <c r="B47" s="37" t="n"/>
      <c r="C47" s="37" t="n"/>
      <c r="D47" s="9" t="n"/>
    </row>
    <row r="48">
      <c r="B48" s="37" t="n"/>
      <c r="C48" s="37" t="n"/>
      <c r="D48" s="9" t="n"/>
    </row>
    <row r="49">
      <c r="A49" s="37" t="n"/>
      <c r="B49" s="37" t="n"/>
      <c r="C49" s="37" t="n"/>
      <c r="D49" s="9" t="n"/>
    </row>
    <row r="50">
      <c r="A50" s="37" t="n"/>
      <c r="B50" s="37" t="n"/>
      <c r="C50" s="37" t="n"/>
      <c r="D50" s="9" t="n"/>
    </row>
    <row r="51">
      <c r="A51" s="37" t="n"/>
      <c r="B51" s="37" t="n"/>
      <c r="C51" s="37" t="n"/>
      <c r="D51" s="9" t="n"/>
    </row>
    <row r="52">
      <c r="A52" s="37" t="n"/>
      <c r="B52" s="37" t="n"/>
      <c r="C52" s="37" t="n"/>
      <c r="D52" s="9" t="n"/>
    </row>
    <row r="53">
      <c r="A53" s="37" t="n"/>
      <c r="B53" s="37" t="n"/>
      <c r="C53" s="37" t="n"/>
      <c r="D53" s="9" t="n"/>
    </row>
    <row r="54">
      <c r="A54" s="37" t="n"/>
      <c r="B54" s="37" t="n"/>
      <c r="C54" s="37" t="n"/>
      <c r="D54" s="9" t="n"/>
    </row>
    <row r="55">
      <c r="A55" s="37" t="n"/>
      <c r="B55" s="37" t="n"/>
      <c r="C55" s="37" t="n"/>
      <c r="D55" s="9" t="n"/>
    </row>
    <row r="56">
      <c r="A56" s="37" t="n"/>
      <c r="B56" s="37" t="n"/>
      <c r="C56" s="37" t="n"/>
      <c r="D56" s="9" t="n"/>
    </row>
  </sheetData>
  <autoFilter ref="A1:AA58"/>
  <mergeCells count="10">
    <mergeCell ref="E34:F34"/>
    <mergeCell ref="E35:F35"/>
    <mergeCell ref="Y33:Y35"/>
    <mergeCell ref="A37:C41"/>
    <mergeCell ref="E33:F33"/>
    <mergeCell ref="E37:F41"/>
    <mergeCell ref="U37:U41"/>
    <mergeCell ref="A33:C35"/>
    <mergeCell ref="I37:I41"/>
    <mergeCell ref="K33:N33"/>
  </mergeCells>
  <conditionalFormatting sqref="Z1:AA1 Z27:AA36 Z42:AA1048576 AA37">
    <cfRule type="containsText" priority="477" operator="containsText" dxfId="12" text="△">
      <formula>NOT(ISERROR(SEARCH("△",Z1)))</formula>
    </cfRule>
    <cfRule type="containsText" priority="478" operator="containsText" dxfId="11" text="▽">
      <formula>NOT(ISERROR(SEARCH("▽",Z1)))</formula>
    </cfRule>
  </conditionalFormatting>
  <conditionalFormatting sqref="I27:I32">
    <cfRule type="expression" priority="475" dxfId="204">
      <formula>$I27&gt;(TODAY()-7)</formula>
    </cfRule>
    <cfRule type="expression" priority="476" dxfId="203">
      <formula>$I27&gt;(TODAY()-30)</formula>
    </cfRule>
  </conditionalFormatting>
  <conditionalFormatting sqref="AA38:AA41">
    <cfRule type="containsText" priority="471" operator="containsText" dxfId="12" text="△">
      <formula>NOT(ISERROR(SEARCH("△",AA38)))</formula>
    </cfRule>
    <cfRule type="containsText" priority="472" operator="containsText" dxfId="11" text="▽">
      <formula>NOT(ISERROR(SEARCH("▽",AA38)))</formula>
    </cfRule>
  </conditionalFormatting>
  <conditionalFormatting sqref="Z13:AA14 Z16:AA25 AA26">
    <cfRule type="containsText" priority="291" operator="containsText" dxfId="12" text="▲">
      <formula>NOT(ISERROR(SEARCH("▲",Z13)))</formula>
    </cfRule>
    <cfRule type="containsText" priority="292" operator="containsText" dxfId="11" text="▼">
      <formula>NOT(ISERROR(SEARCH("▼",Z13)))</formula>
    </cfRule>
  </conditionalFormatting>
  <conditionalFormatting sqref="Z13:Z14 Z16:Z25 Z27:Z32">
    <cfRule type="cellIs" priority="177" operator="lessThan" dxfId="8">
      <formula>0</formula>
    </cfRule>
    <cfRule type="cellIs" priority="178" operator="greaterThan" dxfId="7">
      <formula>0</formula>
    </cfRule>
  </conditionalFormatting>
  <conditionalFormatting sqref="Z10:AA14 Z16:AA25 AA26">
    <cfRule type="containsText" priority="167" operator="containsText" dxfId="12" text="▲">
      <formula>NOT(ISERROR(SEARCH("▲",Z10)))</formula>
    </cfRule>
    <cfRule type="containsText" priority="168" operator="containsText" dxfId="11" text="▼">
      <formula>NOT(ISERROR(SEARCH("▼",Z10)))</formula>
    </cfRule>
  </conditionalFormatting>
  <conditionalFormatting sqref="Z10:Z14 Z16:Z25">
    <cfRule type="cellIs" priority="165" operator="lessThan" dxfId="8">
      <formula>0</formula>
    </cfRule>
    <cfRule type="cellIs" priority="166" operator="greaterThan" dxfId="7">
      <formula>0</formula>
    </cfRule>
  </conditionalFormatting>
  <conditionalFormatting sqref="Z19:AA25 AA26">
    <cfRule type="containsText" priority="163" operator="containsText" dxfId="12" text="▲">
      <formula>NOT(ISERROR(SEARCH("▲",Z19)))</formula>
    </cfRule>
    <cfRule type="containsText" priority="164" operator="containsText" dxfId="11" text="▼">
      <formula>NOT(ISERROR(SEARCH("▼",Z19)))</formula>
    </cfRule>
  </conditionalFormatting>
  <conditionalFormatting sqref="Z19:Z25">
    <cfRule type="cellIs" priority="161" operator="lessThan" dxfId="8">
      <formula>0</formula>
    </cfRule>
    <cfRule type="cellIs" priority="162" operator="greaterThan" dxfId="7">
      <formula>0</formula>
    </cfRule>
  </conditionalFormatting>
  <conditionalFormatting sqref="Z2:AA2">
    <cfRule type="containsText" priority="159" operator="containsText" dxfId="12" text="△">
      <formula>NOT(ISERROR(SEARCH("△",Z2)))</formula>
    </cfRule>
    <cfRule type="containsText" priority="160" operator="containsText" dxfId="11" text="▽">
      <formula>NOT(ISERROR(SEARCH("▽",Z2)))</formula>
    </cfRule>
    <cfRule type="containsText" priority="157" operator="containsText" dxfId="12" text="▲">
      <formula>NOT(ISERROR(SEARCH("▲",Z2)))</formula>
    </cfRule>
    <cfRule type="containsText" priority="158" operator="containsText" dxfId="11" text="▼">
      <formula>NOT(ISERROR(SEARCH("▼",Z2)))</formula>
    </cfRule>
  </conditionalFormatting>
  <conditionalFormatting sqref="Z2">
    <cfRule type="cellIs" priority="155" operator="lessThan" dxfId="8">
      <formula>0</formula>
    </cfRule>
    <cfRule type="cellIs" priority="156" operator="greaterThan" dxfId="7">
      <formula>0</formula>
    </cfRule>
  </conditionalFormatting>
  <conditionalFormatting sqref="Z6:AA6">
    <cfRule type="containsText" priority="153" operator="containsText" dxfId="12" text="△">
      <formula>NOT(ISERROR(SEARCH("△",Z6)))</formula>
    </cfRule>
    <cfRule type="containsText" priority="154" operator="containsText" dxfId="11" text="▽">
      <formula>NOT(ISERROR(SEARCH("▽",Z6)))</formula>
    </cfRule>
    <cfRule type="containsText" priority="151" operator="containsText" dxfId="12" text="▲">
      <formula>NOT(ISERROR(SEARCH("▲",Z6)))</formula>
    </cfRule>
    <cfRule type="containsText" priority="152" operator="containsText" dxfId="11" text="▼">
      <formula>NOT(ISERROR(SEARCH("▼",Z6)))</formula>
    </cfRule>
  </conditionalFormatting>
  <conditionalFormatting sqref="Z6">
    <cfRule type="cellIs" priority="149" operator="lessThan" dxfId="8">
      <formula>0</formula>
    </cfRule>
    <cfRule type="cellIs" priority="150" operator="greaterThan" dxfId="7">
      <formula>0</formula>
    </cfRule>
  </conditionalFormatting>
  <conditionalFormatting sqref="Z8:AA14 Z16:AA25 AA26">
    <cfRule type="containsText" priority="147" operator="containsText" dxfId="12" text="▲">
      <formula>NOT(ISERROR(SEARCH("▲",Z8)))</formula>
    </cfRule>
    <cfRule type="containsText" priority="148" operator="containsText" dxfId="11" text="▼">
      <formula>NOT(ISERROR(SEARCH("▼",Z8)))</formula>
    </cfRule>
  </conditionalFormatting>
  <conditionalFormatting sqref="Z8:Z14 Z16:Z25">
    <cfRule type="cellIs" priority="145" operator="lessThan" dxfId="8">
      <formula>0</formula>
    </cfRule>
    <cfRule type="cellIs" priority="146" operator="greaterThan" dxfId="7">
      <formula>0</formula>
    </cfRule>
  </conditionalFormatting>
  <conditionalFormatting sqref="Z7:AA14 Z16:AA25 AA26">
    <cfRule type="containsText" priority="139" operator="containsText" dxfId="12" text="▲">
      <formula>NOT(ISERROR(SEARCH("▲",Z7)))</formula>
    </cfRule>
    <cfRule type="containsText" priority="140" operator="containsText" dxfId="11" text="▼">
      <formula>NOT(ISERROR(SEARCH("▼",Z7)))</formula>
    </cfRule>
  </conditionalFormatting>
  <conditionalFormatting sqref="Z7:Z14 Z16:Z25">
    <cfRule type="cellIs" priority="137" operator="lessThan" dxfId="8">
      <formula>0</formula>
    </cfRule>
    <cfRule type="cellIs" priority="138" operator="greaterThan" dxfId="7">
      <formula>0</formula>
    </cfRule>
  </conditionalFormatting>
  <conditionalFormatting sqref="Z20:AA25 AA26">
    <cfRule type="containsText" priority="135" operator="containsText" dxfId="12" text="▲">
      <formula>NOT(ISERROR(SEARCH("▲",Z20)))</formula>
    </cfRule>
    <cfRule type="containsText" priority="136" operator="containsText" dxfId="11" text="▼">
      <formula>NOT(ISERROR(SEARCH("▼",Z20)))</formula>
    </cfRule>
  </conditionalFormatting>
  <conditionalFormatting sqref="Z20:Z25">
    <cfRule type="cellIs" priority="133" operator="lessThan" dxfId="8">
      <formula>0</formula>
    </cfRule>
    <cfRule type="cellIs" priority="134" operator="greaterThan" dxfId="7">
      <formula>0</formula>
    </cfRule>
  </conditionalFormatting>
  <conditionalFormatting sqref="Z11:AA14 Z16:AA25 AA26">
    <cfRule type="containsText" priority="131" operator="containsText" dxfId="12" text="▲">
      <formula>NOT(ISERROR(SEARCH("▲",Z11)))</formula>
    </cfRule>
    <cfRule type="containsText" priority="132" operator="containsText" dxfId="11" text="▼">
      <formula>NOT(ISERROR(SEARCH("▼",Z11)))</formula>
    </cfRule>
  </conditionalFormatting>
  <conditionalFormatting sqref="Z11:Z14 Z16:Z25">
    <cfRule type="cellIs" priority="129" operator="lessThan" dxfId="8">
      <formula>0</formula>
    </cfRule>
    <cfRule type="cellIs" priority="130" operator="greaterThan" dxfId="7">
      <formula>0</formula>
    </cfRule>
  </conditionalFormatting>
  <conditionalFormatting sqref="Z9:AA14 Z16:AA25 AA26">
    <cfRule type="containsText" priority="127" operator="containsText" dxfId="12" text="▲">
      <formula>NOT(ISERROR(SEARCH("▲",Z9)))</formula>
    </cfRule>
    <cfRule type="containsText" priority="128" operator="containsText" dxfId="11" text="▼">
      <formula>NOT(ISERROR(SEARCH("▼",Z9)))</formula>
    </cfRule>
  </conditionalFormatting>
  <conditionalFormatting sqref="Z9:Z14 Z16:Z25">
    <cfRule type="cellIs" priority="125" operator="lessThan" dxfId="8">
      <formula>0</formula>
    </cfRule>
    <cfRule type="cellIs" priority="126" operator="greaterThan" dxfId="7">
      <formula>0</formula>
    </cfRule>
  </conditionalFormatting>
  <conditionalFormatting sqref="Z17:AA25 AA26">
    <cfRule type="containsText" priority="123" operator="containsText" dxfId="12" text="▲">
      <formula>NOT(ISERROR(SEARCH("▲",Z17)))</formula>
    </cfRule>
    <cfRule type="containsText" priority="124" operator="containsText" dxfId="11" text="▼">
      <formula>NOT(ISERROR(SEARCH("▼",Z17)))</formula>
    </cfRule>
  </conditionalFormatting>
  <conditionalFormatting sqref="Z3:AA3">
    <cfRule type="containsText" priority="121" operator="containsText" dxfId="12" text="△">
      <formula>NOT(ISERROR(SEARCH("△",Z3)))</formula>
    </cfRule>
    <cfRule type="containsText" priority="122" operator="containsText" dxfId="11" text="▽">
      <formula>NOT(ISERROR(SEARCH("▽",Z3)))</formula>
    </cfRule>
    <cfRule type="containsText" priority="119" operator="containsText" dxfId="12" text="▲">
      <formula>NOT(ISERROR(SEARCH("▲",Z3)))</formula>
    </cfRule>
    <cfRule type="containsText" priority="120" operator="containsText" dxfId="11" text="▼">
      <formula>NOT(ISERROR(SEARCH("▼",Z3)))</formula>
    </cfRule>
  </conditionalFormatting>
  <conditionalFormatting sqref="Z3">
    <cfRule type="cellIs" priority="117" operator="lessThan" dxfId="8">
      <formula>0</formula>
    </cfRule>
    <cfRule type="cellIs" priority="118" operator="greaterThan" dxfId="7">
      <formula>0</formula>
    </cfRule>
  </conditionalFormatting>
  <conditionalFormatting sqref="Z5:AA5">
    <cfRule type="containsText" priority="115" operator="containsText" dxfId="12" text="▲">
      <formula>NOT(ISERROR(SEARCH("▲",Z5)))</formula>
    </cfRule>
    <cfRule type="containsText" priority="116" operator="containsText" dxfId="11" text="▼">
      <formula>NOT(ISERROR(SEARCH("▼",Z5)))</formula>
    </cfRule>
  </conditionalFormatting>
  <conditionalFormatting sqref="Z5">
    <cfRule type="cellIs" priority="113" operator="lessThan" dxfId="8">
      <formula>0</formula>
    </cfRule>
    <cfRule type="cellIs" priority="114" operator="greaterThan" dxfId="7">
      <formula>0</formula>
    </cfRule>
  </conditionalFormatting>
  <conditionalFormatting sqref="Z4:AA5">
    <cfRule type="containsText" priority="111" operator="containsText" dxfId="12" text="▲">
      <formula>NOT(ISERROR(SEARCH("▲",Z4)))</formula>
    </cfRule>
    <cfRule type="containsText" priority="112" operator="containsText" dxfId="11" text="▼">
      <formula>NOT(ISERROR(SEARCH("▼",Z4)))</formula>
    </cfRule>
  </conditionalFormatting>
  <conditionalFormatting sqref="Z4:Z5">
    <cfRule type="cellIs" priority="109" operator="lessThan" dxfId="8">
      <formula>0</formula>
    </cfRule>
    <cfRule type="cellIs" priority="110" operator="greaterThan" dxfId="7">
      <formula>0</formula>
    </cfRule>
  </conditionalFormatting>
  <conditionalFormatting sqref="Z21:AA25 AA26">
    <cfRule type="containsText" priority="107" operator="containsText" dxfId="12" text="▲">
      <formula>NOT(ISERROR(SEARCH("▲",Z21)))</formula>
    </cfRule>
    <cfRule type="containsText" priority="108" operator="containsText" dxfId="11" text="▼">
      <formula>NOT(ISERROR(SEARCH("▼",Z21)))</formula>
    </cfRule>
  </conditionalFormatting>
  <conditionalFormatting sqref="Z21:Z25">
    <cfRule type="cellIs" priority="105" operator="lessThan" dxfId="8">
      <formula>0</formula>
    </cfRule>
    <cfRule type="cellIs" priority="106" operator="greaterThan" dxfId="7">
      <formula>0</formula>
    </cfRule>
  </conditionalFormatting>
  <conditionalFormatting sqref="Z22:AA25 AA26">
    <cfRule type="containsText" priority="103" operator="containsText" dxfId="12" text="▲">
      <formula>NOT(ISERROR(SEARCH("▲",Z22)))</formula>
    </cfRule>
    <cfRule type="containsText" priority="104" operator="containsText" dxfId="11" text="▼">
      <formula>NOT(ISERROR(SEARCH("▼",Z22)))</formula>
    </cfRule>
  </conditionalFormatting>
  <conditionalFormatting sqref="Z14:AA14 Z16:AA25 AA26">
    <cfRule type="containsText" priority="101" operator="containsText" dxfId="12" text="▲">
      <formula>NOT(ISERROR(SEARCH("▲",Z14)))</formula>
    </cfRule>
    <cfRule type="containsText" priority="102" operator="containsText" dxfId="11" text="▼">
      <formula>NOT(ISERROR(SEARCH("▼",Z14)))</formula>
    </cfRule>
  </conditionalFormatting>
  <conditionalFormatting sqref="Z14 Z16:Z25">
    <cfRule type="cellIs" priority="99" operator="lessThan" dxfId="8">
      <formula>0</formula>
    </cfRule>
    <cfRule type="cellIs" priority="100" operator="greaterThan" dxfId="7">
      <formula>0</formula>
    </cfRule>
  </conditionalFormatting>
  <conditionalFormatting sqref="Z23:AA25 AA26">
    <cfRule type="containsText" priority="97" operator="containsText" dxfId="12" text="▲">
      <formula>NOT(ISERROR(SEARCH("▲",Z23)))</formula>
    </cfRule>
    <cfRule type="containsText" priority="98" operator="containsText" dxfId="11" text="▼">
      <formula>NOT(ISERROR(SEARCH("▼",Z23)))</formula>
    </cfRule>
  </conditionalFormatting>
  <conditionalFormatting sqref="Z23:Z25">
    <cfRule type="cellIs" priority="95" operator="lessThan" dxfId="8">
      <formula>0</formula>
    </cfRule>
    <cfRule type="cellIs" priority="96" operator="greaterThan" dxfId="7">
      <formula>0</formula>
    </cfRule>
  </conditionalFormatting>
  <conditionalFormatting sqref="Z16:AA25 AA26">
    <cfRule type="containsText" priority="93" operator="containsText" dxfId="12" text="▲">
      <formula>NOT(ISERROR(SEARCH("▲",Z16)))</formula>
    </cfRule>
    <cfRule type="containsText" priority="94" operator="containsText" dxfId="11" text="▼">
      <formula>NOT(ISERROR(SEARCH("▼",Z16)))</formula>
    </cfRule>
  </conditionalFormatting>
  <conditionalFormatting sqref="Z12:AA14 Z16:AA25 AA26">
    <cfRule type="containsText" priority="91" operator="containsText" dxfId="12" text="▲">
      <formula>NOT(ISERROR(SEARCH("▲",Z12)))</formula>
    </cfRule>
    <cfRule type="containsText" priority="92" operator="containsText" dxfId="11" text="▼">
      <formula>NOT(ISERROR(SEARCH("▼",Z12)))</formula>
    </cfRule>
  </conditionalFormatting>
  <conditionalFormatting sqref="Z12:Z14 Z16:Z25">
    <cfRule type="cellIs" priority="89" operator="lessThan" dxfId="8">
      <formula>0</formula>
    </cfRule>
    <cfRule type="cellIs" priority="90" operator="greaterThan" dxfId="7">
      <formula>0</formula>
    </cfRule>
  </conditionalFormatting>
  <conditionalFormatting sqref="AA26">
    <cfRule type="containsText" priority="87" operator="containsText" dxfId="12" text="▲">
      <formula>NOT(ISERROR(SEARCH("▲",AA26)))</formula>
    </cfRule>
    <cfRule type="containsText" priority="88" operator="containsText" dxfId="11" text="▼">
      <formula>NOT(ISERROR(SEARCH("▼",AA26)))</formula>
    </cfRule>
  </conditionalFormatting>
  <conditionalFormatting sqref="Z25">
    <cfRule type="cellIs" priority="85" operator="lessThan" dxfId="8">
      <formula>0</formula>
    </cfRule>
    <cfRule type="cellIs" priority="86" operator="greaterThan" dxfId="7">
      <formula>0</formula>
    </cfRule>
  </conditionalFormatting>
  <conditionalFormatting sqref="Z24:AA25 AA26">
    <cfRule type="containsText" priority="83" operator="containsText" dxfId="12" text="▲">
      <formula>NOT(ISERROR(SEARCH("▲",Z24)))</formula>
    </cfRule>
    <cfRule type="containsText" priority="84" operator="containsText" dxfId="11" text="▼">
      <formula>NOT(ISERROR(SEARCH("▼",Z24)))</formula>
    </cfRule>
  </conditionalFormatting>
  <conditionalFormatting sqref="Z24:Z25">
    <cfRule type="cellIs" priority="81" operator="lessThan" dxfId="8">
      <formula>0</formula>
    </cfRule>
    <cfRule type="cellIs" priority="82" operator="greaterThan" dxfId="7">
      <formula>0</formula>
    </cfRule>
  </conditionalFormatting>
  <conditionalFormatting sqref="Z15:AA15">
    <cfRule type="containsText" priority="79" operator="containsText" dxfId="12" text="▲">
      <formula>NOT(ISERROR(SEARCH("▲",Z15)))</formula>
    </cfRule>
    <cfRule type="containsText" priority="80" operator="containsText" dxfId="11" text="▼">
      <formula>NOT(ISERROR(SEARCH("▼",Z15)))</formula>
    </cfRule>
    <cfRule type="containsText" priority="75" operator="containsText" dxfId="12" text="▲">
      <formula>NOT(ISERROR(SEARCH("▲",Z15)))</formula>
    </cfRule>
    <cfRule type="containsText" priority="76" operator="containsText" dxfId="11" text="▼">
      <formula>NOT(ISERROR(SEARCH("▼",Z15)))</formula>
    </cfRule>
    <cfRule type="containsText" priority="71" operator="containsText" dxfId="12" text="▲">
      <formula>NOT(ISERROR(SEARCH("▲",Z15)))</formula>
    </cfRule>
    <cfRule type="containsText" priority="72" operator="containsText" dxfId="11" text="▼">
      <formula>NOT(ISERROR(SEARCH("▼",Z15)))</formula>
    </cfRule>
    <cfRule type="containsText" priority="67" operator="containsText" dxfId="12" text="▲">
      <formula>NOT(ISERROR(SEARCH("▲",Z15)))</formula>
    </cfRule>
    <cfRule type="containsText" priority="68" operator="containsText" dxfId="11" text="▼">
      <formula>NOT(ISERROR(SEARCH("▼",Z15)))</formula>
    </cfRule>
    <cfRule type="containsText" priority="63" operator="containsText" dxfId="12" text="▲">
      <formula>NOT(ISERROR(SEARCH("▲",Z15)))</formula>
    </cfRule>
    <cfRule type="containsText" priority="64" operator="containsText" dxfId="11" text="▼">
      <formula>NOT(ISERROR(SEARCH("▼",Z15)))</formula>
    </cfRule>
    <cfRule type="containsText" priority="59" operator="containsText" dxfId="12" text="▲">
      <formula>NOT(ISERROR(SEARCH("▲",Z15)))</formula>
    </cfRule>
    <cfRule type="containsText" priority="60" operator="containsText" dxfId="11" text="▼">
      <formula>NOT(ISERROR(SEARCH("▼",Z15)))</formula>
    </cfRule>
    <cfRule type="containsText" priority="55" operator="containsText" dxfId="12" text="▲">
      <formula>NOT(ISERROR(SEARCH("▲",Z15)))</formula>
    </cfRule>
    <cfRule type="containsText" priority="56" operator="containsText" dxfId="11" text="▼">
      <formula>NOT(ISERROR(SEARCH("▼",Z15)))</formula>
    </cfRule>
    <cfRule type="containsText" priority="51" operator="containsText" dxfId="12" text="▲">
      <formula>NOT(ISERROR(SEARCH("▲",Z15)))</formula>
    </cfRule>
    <cfRule type="containsText" priority="52" operator="containsText" dxfId="11" text="▼">
      <formula>NOT(ISERROR(SEARCH("▼",Z15)))</formula>
    </cfRule>
    <cfRule type="containsText" priority="49" operator="containsText" dxfId="12" text="▲">
      <formula>NOT(ISERROR(SEARCH("▲",Z15)))</formula>
    </cfRule>
    <cfRule type="containsText" priority="50" operator="containsText" dxfId="11" text="▼">
      <formula>NOT(ISERROR(SEARCH("▼",Z15)))</formula>
    </cfRule>
  </conditionalFormatting>
  <conditionalFormatting sqref="Z15">
    <cfRule type="cellIs" priority="77" operator="lessThan" dxfId="8">
      <formula>0</formula>
    </cfRule>
    <cfRule type="cellIs" priority="78" operator="greaterThan" dxfId="7">
      <formula>0</formula>
    </cfRule>
    <cfRule type="cellIs" priority="73" operator="lessThan" dxfId="8">
      <formula>0</formula>
    </cfRule>
    <cfRule type="cellIs" priority="74" operator="greaterThan" dxfId="7">
      <formula>0</formula>
    </cfRule>
    <cfRule type="cellIs" priority="69" operator="lessThan" dxfId="8">
      <formula>0</formula>
    </cfRule>
    <cfRule type="cellIs" priority="70" operator="greaterThan" dxfId="7">
      <formula>0</formula>
    </cfRule>
    <cfRule type="cellIs" priority="65" operator="lessThan" dxfId="8">
      <formula>0</formula>
    </cfRule>
    <cfRule type="cellIs" priority="66" operator="greaterThan" dxfId="7">
      <formula>0</formula>
    </cfRule>
    <cfRule type="cellIs" priority="61" operator="lessThan" dxfId="8">
      <formula>0</formula>
    </cfRule>
    <cfRule type="cellIs" priority="62" operator="greaterThan" dxfId="7">
      <formula>0</formula>
    </cfRule>
    <cfRule type="cellIs" priority="57" operator="lessThan" dxfId="8">
      <formula>0</formula>
    </cfRule>
    <cfRule type="cellIs" priority="58" operator="greaterThan" dxfId="7">
      <formula>0</formula>
    </cfRule>
    <cfRule type="cellIs" priority="53" operator="lessThan" dxfId="8">
      <formula>0</formula>
    </cfRule>
    <cfRule type="cellIs" priority="54" operator="greaterThan" dxfId="7">
      <formula>0</formula>
    </cfRule>
    <cfRule type="cellIs" priority="47" operator="lessThan" dxfId="8">
      <formula>0</formula>
    </cfRule>
    <cfRule type="cellIs" priority="48" operator="greaterThan" dxfId="7">
      <formula>0</formula>
    </cfRule>
  </conditionalFormatting>
  <conditionalFormatting sqref="Z25:AA25">
    <cfRule type="containsText" priority="7" operator="containsText" dxfId="12" text="▲">
      <formula>NOT(ISERROR(SEARCH("▲",Z25)))</formula>
    </cfRule>
    <cfRule type="containsText" priority="8" operator="containsText" dxfId="11" text="▼">
      <formula>NOT(ISERROR(SEARCH("▼",Z25)))</formula>
    </cfRule>
  </conditionalFormatting>
  <conditionalFormatting sqref="Z26">
    <cfRule type="containsText" priority="5" operator="containsText" dxfId="12" text="▲">
      <formula>NOT(ISERROR(SEARCH("▲",Z26)))</formula>
    </cfRule>
    <cfRule type="containsText" priority="6" operator="containsText" dxfId="11" text="▼">
      <formula>NOT(ISERROR(SEARCH("▼",Z26)))</formula>
    </cfRule>
    <cfRule type="containsText" priority="3" operator="containsText" dxfId="12" text="▲">
      <formula>NOT(ISERROR(SEARCH("▲",Z26)))</formula>
    </cfRule>
    <cfRule type="containsText" priority="4" operator="containsText" dxfId="11" text="▼">
      <formula>NOT(ISERROR(SEARCH("▼",Z26)))</formula>
    </cfRule>
    <cfRule type="cellIs" priority="1" operator="lessThan" dxfId="8">
      <formula>0</formula>
    </cfRule>
    <cfRule type="cellIs" priority="2" operator="greaterThan" dxfId="7">
      <formula>0</formula>
    </cfRule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codeName="Sheet15">
    <outlinePr summaryBelow="0" summaryRight="0"/>
    <pageSetUpPr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baseColWidth="8" defaultColWidth="9" defaultRowHeight="16.5" outlineLevelRow="1"/>
  <cols>
    <col width="11.125" customWidth="1" style="9" min="1" max="1"/>
    <col hidden="1" width="10" customWidth="1" style="9" min="2" max="2"/>
    <col width="11.375" customWidth="1" style="9" min="3" max="3"/>
    <col width="15.625" customWidth="1" style="37" min="4" max="4"/>
    <col width="7.125" customWidth="1" style="9" min="5" max="5"/>
    <col width="9.125" customWidth="1" style="9" min="6" max="6"/>
    <col width="12.625" bestFit="1" customWidth="1" style="9" min="7" max="7"/>
    <col width="9.125" customWidth="1" style="9" min="8" max="8"/>
    <col width="11.5" bestFit="1" customWidth="1" style="9" min="9" max="9"/>
    <col outlineLevel="1" width="9.375" customWidth="1" style="9" min="10" max="10"/>
    <col outlineLevel="1" width="13" customWidth="1" style="9" min="11" max="11"/>
    <col outlineLevel="1" width="9.625" customWidth="1" style="9" min="12" max="13"/>
    <col outlineLevel="1" width="9.125" customWidth="1" style="9" min="14" max="14"/>
    <col width="11.375" customWidth="1" style="9" min="15" max="15"/>
    <col width="13.375" customWidth="1" style="9" min="16" max="16"/>
    <col width="13.125" customWidth="1" style="9" min="17" max="17"/>
    <col collapsed="1" width="9.5" bestFit="1" customWidth="1" style="9" min="18" max="18"/>
    <col hidden="1" outlineLevel="1" width="11.625" customWidth="1" style="9" min="19" max="19"/>
    <col hidden="1" outlineLevel="1" width="18.625" customWidth="1" style="9" min="20" max="20"/>
    <col collapsed="1" width="18.625" bestFit="1" customWidth="1" style="9" min="21" max="21"/>
    <col hidden="1" outlineLevel="1" width="12.375" customWidth="1" style="9" min="22" max="23"/>
    <col width="13.875" customWidth="1" style="9" min="24" max="24"/>
    <col width="13.375" bestFit="1" customWidth="1" style="9" min="25" max="25"/>
    <col width="12.875" bestFit="1" customWidth="1" style="9" min="26" max="26"/>
    <col width="12.875" customWidth="1" style="9" min="27" max="27"/>
    <col width="34.375" bestFit="1" customWidth="1" style="28" min="28" max="28"/>
    <col width="33.125" bestFit="1" customWidth="1" style="28" min="29" max="29"/>
    <col width="9" customWidth="1" style="9" min="30" max="16384"/>
  </cols>
  <sheetData>
    <row r="1" customFormat="1" s="8">
      <c r="A1" s="1" t="inlineStr">
        <is>
          <t>買進日期</t>
        </is>
      </c>
      <c r="B1" s="2" t="inlineStr">
        <is>
          <t>種類</t>
        </is>
      </c>
      <c r="C1" s="3" t="inlineStr">
        <is>
          <t>股票代號</t>
        </is>
      </c>
      <c r="D1" s="4" t="inlineStr">
        <is>
          <t>股票名稱</t>
        </is>
      </c>
      <c r="E1" s="4" t="inlineStr">
        <is>
          <t>股數</t>
        </is>
      </c>
      <c r="F1" s="4" t="inlineStr">
        <is>
          <t>買進價</t>
        </is>
      </c>
      <c r="G1" s="4" t="inlineStr">
        <is>
          <t>成交金額</t>
        </is>
      </c>
      <c r="H1" s="432" t="inlineStr">
        <is>
          <t>手續費</t>
        </is>
      </c>
      <c r="I1" s="140" t="inlineStr">
        <is>
          <t>賣出日期</t>
        </is>
      </c>
      <c r="J1" s="4" t="inlineStr">
        <is>
          <t>賣出價</t>
        </is>
      </c>
      <c r="K1" s="4" t="inlineStr">
        <is>
          <t>成交金額</t>
        </is>
      </c>
      <c r="L1" s="432" t="inlineStr">
        <is>
          <t>手續費</t>
        </is>
      </c>
      <c r="M1" s="432" t="inlineStr">
        <is>
          <t>交易稅</t>
        </is>
      </c>
      <c r="N1" s="3" t="inlineStr">
        <is>
          <t>證所稅</t>
        </is>
      </c>
      <c r="O1" s="4" t="inlineStr">
        <is>
          <t>參考現值</t>
        </is>
      </c>
      <c r="P1" s="433" t="inlineStr">
        <is>
          <t>已實現損益</t>
        </is>
      </c>
      <c r="Q1" s="4" t="inlineStr">
        <is>
          <t>未實現損益</t>
        </is>
      </c>
      <c r="R1" s="4" t="inlineStr">
        <is>
          <t>除息</t>
        </is>
      </c>
      <c r="S1" s="68" t="inlineStr">
        <is>
          <t>手續費</t>
        </is>
      </c>
      <c r="T1" s="68" t="inlineStr">
        <is>
          <t>健保補充保費</t>
        </is>
      </c>
      <c r="U1" s="68" t="inlineStr">
        <is>
          <t>實質扣抵稅率</t>
        </is>
      </c>
      <c r="V1" s="68" t="inlineStr">
        <is>
          <t>扣抵稅率</t>
        </is>
      </c>
      <c r="W1" s="68" t="inlineStr">
        <is>
          <t>所得稅率</t>
        </is>
      </c>
      <c r="X1" s="4" t="inlineStr">
        <is>
          <t>投資報酬率</t>
        </is>
      </c>
      <c r="Y1" s="4" t="inlineStr">
        <is>
          <t>今日股價</t>
        </is>
      </c>
      <c r="Z1" s="7" t="inlineStr">
        <is>
          <t>漲跌</t>
        </is>
      </c>
      <c r="AA1" s="89" t="n"/>
      <c r="AB1" s="86" t="inlineStr">
        <is>
          <t>買進理由</t>
        </is>
      </c>
      <c r="AC1" s="86" t="inlineStr">
        <is>
          <t>賣出理由</t>
        </is>
      </c>
    </row>
    <row r="2" outlineLevel="1">
      <c r="A2" s="275" t="n">
        <v>44158</v>
      </c>
      <c r="B2" s="11" t="inlineStr">
        <is>
          <t>普通買進</t>
        </is>
      </c>
      <c r="C2" s="11" t="n">
        <v>2615</v>
      </c>
      <c r="D2" s="11" t="inlineStr">
        <is>
          <t>萬海</t>
        </is>
      </c>
      <c r="E2" s="11" t="n">
        <v>1000</v>
      </c>
      <c r="F2" s="11" t="n">
        <v>38.15</v>
      </c>
      <c r="G2" s="212">
        <f>E2*F2</f>
        <v/>
      </c>
      <c r="H2" s="11" t="n">
        <v>54</v>
      </c>
      <c r="I2" s="104" t="n">
        <v>44202</v>
      </c>
      <c r="J2" s="16" t="n">
        <v>53.3</v>
      </c>
      <c r="K2" s="11">
        <f>E2*J2</f>
        <v/>
      </c>
      <c r="L2" s="17" t="n">
        <v>75</v>
      </c>
      <c r="M2" s="11" t="n">
        <v>159</v>
      </c>
      <c r="N2" s="11" t="n">
        <v>0</v>
      </c>
      <c r="O2" s="434">
        <f>IF(I2="",E2*Y2,0)</f>
        <v/>
      </c>
      <c r="P2" s="435">
        <f>IF(I2="",R2-H2,(K2-H2-SUM(L2:N2)+R2-S2-T2)-G2)+(ROUND(R2*V2,0)-ROUND(R2*(1+V2),0)*W2)</f>
        <v/>
      </c>
      <c r="Q2" s="435">
        <f>IF(I2="",(O2-G2-(O2*0.1425%*0.65)-(O2*0.3%)-S2-T2),0)</f>
        <v/>
      </c>
      <c r="R2" s="435" t="n"/>
      <c r="S2" s="435" t="n">
        <v>10</v>
      </c>
      <c r="T2" s="435">
        <f>IF(ROUND(R2*(1+V2),0)&gt;20000,ROUND(ROUND(R2*(1+V2),0)*2%,0),0)</f>
        <v/>
      </c>
      <c r="U2" s="69">
        <f>(V2*50%)/(1+50%*V2)</f>
        <v/>
      </c>
      <c r="V2" s="69" t="n"/>
      <c r="W2" s="70" t="n">
        <v>0.06</v>
      </c>
      <c r="X2" s="436">
        <f>(P2+Q2)/G2</f>
        <v/>
      </c>
      <c r="Y2" s="16">
        <f>VLOOKUP(C2,台股行情!A:D,4,FALSE)</f>
        <v/>
      </c>
      <c r="Z2" s="437">
        <f>VLOOKUP(C2,台股行情!A:E,5,FALSE)</f>
        <v/>
      </c>
      <c r="AA2" s="438">
        <f>IF(I2="",((TODAY()-A2)*G2)/365.24,((I2-A2)*G2)/365.24)</f>
        <v/>
      </c>
      <c r="AB2" s="103" t="inlineStr">
        <is>
          <t>水某精選</t>
        </is>
      </c>
      <c r="AC2" s="103" t="inlineStr">
        <is>
          <t>停利</t>
        </is>
      </c>
    </row>
    <row r="3" outlineLevel="1">
      <c r="A3" s="275" t="n">
        <v>44158</v>
      </c>
      <c r="B3" s="11" t="inlineStr">
        <is>
          <t>普通買進</t>
        </is>
      </c>
      <c r="C3" s="11" t="n">
        <v>2634</v>
      </c>
      <c r="D3" s="11" t="inlineStr">
        <is>
          <t>漢翔</t>
        </is>
      </c>
      <c r="E3" s="11" t="n">
        <v>1000</v>
      </c>
      <c r="F3" s="11" t="n">
        <v>29.1</v>
      </c>
      <c r="G3" s="212">
        <f>E3*F3</f>
        <v/>
      </c>
      <c r="H3" s="11" t="n">
        <v>41</v>
      </c>
      <c r="I3" s="104" t="n">
        <v>44202</v>
      </c>
      <c r="J3" s="16" t="n">
        <v>29.15</v>
      </c>
      <c r="K3" s="11">
        <f>E3*J3</f>
        <v/>
      </c>
      <c r="L3" s="17" t="n">
        <v>41</v>
      </c>
      <c r="M3" s="11" t="n">
        <v>87</v>
      </c>
      <c r="N3" s="11" t="n">
        <v>0</v>
      </c>
      <c r="O3" s="434">
        <f>IF(I3="",E3*Y3,0)</f>
        <v/>
      </c>
      <c r="P3" s="435">
        <f>IF(I3="",R3-H3,(K3-H3-SUM(L3:N3)+R3-S3-T3)-G3)+(ROUND(R3*V3,0)-ROUND(R3*(1+V3),0)*W3)</f>
        <v/>
      </c>
      <c r="Q3" s="435">
        <f>IF(I3="",(O3-G3-(O3*0.1425%*0.65)-(O3*0.3%)-S3-T3),0)</f>
        <v/>
      </c>
      <c r="R3" s="435" t="n"/>
      <c r="S3" s="435" t="n">
        <v>10</v>
      </c>
      <c r="T3" s="435">
        <f>IF(ROUND(R3*(1+V3),0)&gt;20000,ROUND(ROUND(R3*(1+V3),0)*2%,0),0)</f>
        <v/>
      </c>
      <c r="U3" s="69">
        <f>(V3*50%)/(1+50%*V3)</f>
        <v/>
      </c>
      <c r="V3" s="69" t="n"/>
      <c r="W3" s="70" t="n">
        <v>0.06</v>
      </c>
      <c r="X3" s="436">
        <f>(P3+Q3)/G3</f>
        <v/>
      </c>
      <c r="Y3" s="16">
        <f>VLOOKUP(C3,台股行情!A:D,4,FALSE)</f>
        <v/>
      </c>
      <c r="Z3" s="437">
        <f>VLOOKUP(C3,台股行情!A:E,5,FALSE)</f>
        <v/>
      </c>
      <c r="AA3" s="438">
        <f>IF(I3="",((TODAY()-A3)*G3)/365.24,((I3-A3)*G3)/365.24)</f>
        <v/>
      </c>
      <c r="AB3" s="103" t="inlineStr">
        <is>
          <t>水某精選</t>
        </is>
      </c>
      <c r="AC3" s="135" t="inlineStr">
        <is>
          <t>大盤過熱，碰10MA停損出場</t>
        </is>
      </c>
    </row>
    <row r="4" outlineLevel="1">
      <c r="A4" s="275" t="n">
        <v>44183</v>
      </c>
      <c r="B4" s="11" t="inlineStr">
        <is>
          <t>普通買進</t>
        </is>
      </c>
      <c r="C4" s="11" t="n">
        <v>3663</v>
      </c>
      <c r="D4" s="11" t="inlineStr">
        <is>
          <t>鑫科</t>
        </is>
      </c>
      <c r="E4" s="11" t="n">
        <v>2000</v>
      </c>
      <c r="F4" s="11" t="n">
        <v>21.85</v>
      </c>
      <c r="G4" s="212">
        <f>E4*F4</f>
        <v/>
      </c>
      <c r="H4" s="11" t="n">
        <v>62</v>
      </c>
      <c r="I4" s="104" t="n">
        <v>44202</v>
      </c>
      <c r="J4" s="16" t="n">
        <v>22.8</v>
      </c>
      <c r="K4" s="11">
        <f>E4*J4</f>
        <v/>
      </c>
      <c r="L4" s="17" t="n">
        <v>64</v>
      </c>
      <c r="M4" s="11" t="n">
        <v>136</v>
      </c>
      <c r="N4" s="11" t="n">
        <v>0</v>
      </c>
      <c r="O4" s="434">
        <f>IF(I4="",E4*Y4,0)</f>
        <v/>
      </c>
      <c r="P4" s="435">
        <f>IF(I4="",R4-H4,(K4-H4-SUM(L4:N4)+R4-S4-T4)-G4)+(ROUND(R4*V4,0)-ROUND(R4*(1+V4),0)*W4)</f>
        <v/>
      </c>
      <c r="Q4" s="435">
        <f>IF(I4="",(O4-G4-(O4*0.1425%*0.65)-(O4*0.3%)-S4-T4),0)</f>
        <v/>
      </c>
      <c r="R4" s="435" t="n"/>
      <c r="S4" s="435" t="n">
        <v>10</v>
      </c>
      <c r="T4" s="435">
        <f>IF(ROUND(R4*(1+V4),0)&gt;20000,ROUND(ROUND(R4*(1+V4),0)*2%,0),0)</f>
        <v/>
      </c>
      <c r="U4" s="69">
        <f>(V4*50%)/(1+50%*V4)</f>
        <v/>
      </c>
      <c r="V4" s="69" t="n"/>
      <c r="W4" s="70" t="n">
        <v>0.06</v>
      </c>
      <c r="X4" s="436">
        <f>(P4+Q4)/G4</f>
        <v/>
      </c>
      <c r="Y4" s="16">
        <f>VLOOKUP(C4,台股行情!A:D,4,FALSE)</f>
        <v/>
      </c>
      <c r="Z4" s="437">
        <f>VLOOKUP(C4,台股行情!A:E,5,FALSE)</f>
        <v/>
      </c>
      <c r="AA4" s="438">
        <f>IF(I4="",((TODAY()-A4)*G4)/365.24,((I4-A4)*G4)/365.24)</f>
        <v/>
      </c>
      <c r="AB4" s="103" t="inlineStr">
        <is>
          <t>阿水一式</t>
        </is>
      </c>
      <c r="AC4" s="103" t="inlineStr">
        <is>
          <t>碰10MA停利</t>
        </is>
      </c>
    </row>
    <row r="5" outlineLevel="1">
      <c r="A5" s="275" t="n">
        <v>44158</v>
      </c>
      <c r="B5" s="11" t="inlineStr">
        <is>
          <t>普通買進</t>
        </is>
      </c>
      <c r="C5" s="11" t="n">
        <v>2882</v>
      </c>
      <c r="D5" s="11" t="inlineStr">
        <is>
          <t>國泰金</t>
        </is>
      </c>
      <c r="E5" s="11" t="n">
        <v>1000</v>
      </c>
      <c r="F5" s="11" t="n">
        <v>41.65</v>
      </c>
      <c r="G5" s="212">
        <f>E5*F5</f>
        <v/>
      </c>
      <c r="H5" s="11" t="n">
        <v>59</v>
      </c>
      <c r="I5" s="104" t="n">
        <v>44207</v>
      </c>
      <c r="J5" s="16" t="n">
        <v>42.25</v>
      </c>
      <c r="K5" s="11">
        <f>E5*J5</f>
        <v/>
      </c>
      <c r="L5" s="17" t="n">
        <v>60</v>
      </c>
      <c r="M5" s="11" t="n">
        <v>126</v>
      </c>
      <c r="N5" s="11" t="n">
        <v>0</v>
      </c>
      <c r="O5" s="434">
        <f>IF(I5="",E5*Y5,0)</f>
        <v/>
      </c>
      <c r="P5" s="435">
        <f>IF(I5="",R5-H5,(K5-H5-SUM(L5:N5)+R5-S5-T5)-G5)+(ROUND(R5*V5,0)-ROUND(R5*(1+V5),0)*W5)</f>
        <v/>
      </c>
      <c r="Q5" s="435">
        <f>IF(I5="",(O5-G5-(O5*0.1425%*0.65)-(O5*0.3%)-S5-T5),0)</f>
        <v/>
      </c>
      <c r="R5" s="435" t="n"/>
      <c r="S5" s="435" t="n">
        <v>10</v>
      </c>
      <c r="T5" s="435">
        <f>IF(ROUND(R5*(1+V5),0)&gt;20000,ROUND(ROUND(R5*(1+V5),0)*2%,0),0)</f>
        <v/>
      </c>
      <c r="U5" s="69">
        <f>(V5*50%)/(1+50%*V5)</f>
        <v/>
      </c>
      <c r="V5" s="69" t="n"/>
      <c r="W5" s="70" t="n">
        <v>0.06</v>
      </c>
      <c r="X5" s="436">
        <f>(P5+Q5)/G5</f>
        <v/>
      </c>
      <c r="Y5" s="16">
        <f>VLOOKUP(C5,台股行情!A:D,4,FALSE)</f>
        <v/>
      </c>
      <c r="Z5" s="437">
        <f>VLOOKUP(C5,台股行情!A:E,5,FALSE)</f>
        <v/>
      </c>
      <c r="AA5" s="438">
        <f>IF(I5="",((TODAY()-A5)*G5)/365.24,((I5-A5)*G5)/365.24)</f>
        <v/>
      </c>
      <c r="AB5" s="103" t="inlineStr">
        <is>
          <t>水某精選</t>
        </is>
      </c>
      <c r="AC5" s="103" t="n"/>
    </row>
    <row r="6" outlineLevel="1">
      <c r="A6" s="275" t="n">
        <v>44159</v>
      </c>
      <c r="B6" s="11" t="inlineStr">
        <is>
          <t>普通買進</t>
        </is>
      </c>
      <c r="C6" s="11" t="n">
        <v>1304</v>
      </c>
      <c r="D6" s="11" t="inlineStr">
        <is>
          <t>台聚</t>
        </is>
      </c>
      <c r="E6" s="11" t="n">
        <v>2000</v>
      </c>
      <c r="F6" s="11" t="n">
        <v>20.4</v>
      </c>
      <c r="G6" s="212">
        <f>E6*F6</f>
        <v/>
      </c>
      <c r="H6" s="11" t="n">
        <v>58</v>
      </c>
      <c r="I6" s="104" t="n">
        <v>44210</v>
      </c>
      <c r="J6" s="16" t="n">
        <v>21.6</v>
      </c>
      <c r="K6" s="11">
        <f>E6*J6</f>
        <v/>
      </c>
      <c r="L6" s="17" t="n">
        <v>61</v>
      </c>
      <c r="M6" s="11" t="n">
        <v>129</v>
      </c>
      <c r="N6" s="11" t="n">
        <v>0</v>
      </c>
      <c r="O6" s="434">
        <f>IF(I6="",E6*Y6,0)</f>
        <v/>
      </c>
      <c r="P6" s="435">
        <f>IF(I6="",R6-H6,(K6-H6-SUM(L6:N6)+R6-S6-T6)-G6)+(ROUND(R6*V6,0)-ROUND(R6*(1+V6),0)*W6)</f>
        <v/>
      </c>
      <c r="Q6" s="435">
        <f>IF(I6="",(O6-G6-(O6*0.1425%*0.65)-(O6*0.3%)-S6-T6),0)</f>
        <v/>
      </c>
      <c r="R6" s="435" t="n"/>
      <c r="S6" s="435" t="n">
        <v>10</v>
      </c>
      <c r="T6" s="435">
        <f>IF(ROUND(R6*(1+V6),0)&gt;20000,ROUND(ROUND(R6*(1+V6),0)*2%,0),0)</f>
        <v/>
      </c>
      <c r="U6" s="69">
        <f>(V6*50%)/(1+50%*V6)</f>
        <v/>
      </c>
      <c r="V6" s="69" t="n"/>
      <c r="W6" s="70" t="n">
        <v>0.06</v>
      </c>
      <c r="X6" s="436">
        <f>(P6+Q6)/G6</f>
        <v/>
      </c>
      <c r="Y6" s="16">
        <f>VLOOKUP(C6,台股行情!A:D,4,FALSE)</f>
        <v/>
      </c>
      <c r="Z6" s="437">
        <f>VLOOKUP(C6,台股行情!A:E,5,FALSE)</f>
        <v/>
      </c>
      <c r="AA6" s="438">
        <f>IF(I6="",((TODAY()-A6)*G6)/365.24,((I6-A6)*G6)/365.24)</f>
        <v/>
      </c>
      <c r="AB6" s="103" t="inlineStr">
        <is>
          <t>阿水一式</t>
        </is>
      </c>
      <c r="AC6" s="103" t="inlineStr">
        <is>
          <t>碰10MA停利</t>
        </is>
      </c>
    </row>
    <row r="7" outlineLevel="1">
      <c r="A7" s="275" t="n">
        <v>44173</v>
      </c>
      <c r="B7" s="11" t="inlineStr">
        <is>
          <t>普通買進</t>
        </is>
      </c>
      <c r="C7" s="11" t="n">
        <v>2603</v>
      </c>
      <c r="D7" s="11" t="inlineStr">
        <is>
          <t>長榮</t>
        </is>
      </c>
      <c r="E7" s="11" t="n">
        <v>1000</v>
      </c>
      <c r="F7" s="11" t="n">
        <v>29.15</v>
      </c>
      <c r="G7" s="212">
        <f>E7*F7</f>
        <v/>
      </c>
      <c r="H7" s="11" t="n">
        <v>41</v>
      </c>
      <c r="I7" s="104" t="n">
        <v>44210</v>
      </c>
      <c r="J7" s="16" t="n">
        <v>37.95</v>
      </c>
      <c r="K7" s="11">
        <f>E7*J7</f>
        <v/>
      </c>
      <c r="L7" s="17" t="n">
        <v>54</v>
      </c>
      <c r="M7" s="11" t="n">
        <v>113</v>
      </c>
      <c r="N7" s="11" t="n">
        <v>0</v>
      </c>
      <c r="O7" s="434">
        <f>IF(I7="",E7*Y7,0)</f>
        <v/>
      </c>
      <c r="P7" s="435">
        <f>IF(I7="",R7-H7,(K7-H7-SUM(L7:N7)+R7-S7-T7)-G7)+(ROUND(R7*V7,0)-ROUND(R7*(1+V7),0)*W7)</f>
        <v/>
      </c>
      <c r="Q7" s="435">
        <f>IF(I7="",(O7-G7-(O7*0.1425%*0.65)-(O7*0.3%)-S7-T7),0)</f>
        <v/>
      </c>
      <c r="R7" s="435" t="n"/>
      <c r="S7" s="435" t="n">
        <v>10</v>
      </c>
      <c r="T7" s="435">
        <f>IF(ROUND(R7*(1+V7),0)&gt;20000,ROUND(ROUND(R7*(1+V7),0)*2%,0),0)</f>
        <v/>
      </c>
      <c r="U7" s="69">
        <f>(V7*50%)/(1+50%*V7)</f>
        <v/>
      </c>
      <c r="V7" s="69" t="n"/>
      <c r="W7" s="70" t="n">
        <v>0.06</v>
      </c>
      <c r="X7" s="436">
        <f>(P7+Q7)/G7</f>
        <v/>
      </c>
      <c r="Y7" s="16">
        <f>VLOOKUP(C7,台股行情!A:D,4,FALSE)</f>
        <v/>
      </c>
      <c r="Z7" s="437">
        <f>VLOOKUP(C7,台股行情!A:E,5,FALSE)</f>
        <v/>
      </c>
      <c r="AA7" s="438">
        <f>IF(I7="",((TODAY()-A7)*G7)/365.24,((I7-A7)*G7)/365.24)</f>
        <v/>
      </c>
      <c r="AB7" s="103" t="inlineStr">
        <is>
          <t>阿水一式</t>
        </is>
      </c>
      <c r="AC7" s="103" t="inlineStr">
        <is>
          <t>碰10MA停利</t>
        </is>
      </c>
    </row>
    <row r="8" outlineLevel="1">
      <c r="A8" s="275" t="n">
        <v>44180</v>
      </c>
      <c r="B8" s="11" t="inlineStr">
        <is>
          <t>普通買進</t>
        </is>
      </c>
      <c r="C8" s="11" t="n">
        <v>6204</v>
      </c>
      <c r="D8" s="11" t="inlineStr">
        <is>
          <t>艾華</t>
        </is>
      </c>
      <c r="E8" s="11" t="n">
        <v>1000</v>
      </c>
      <c r="F8" s="11" t="n">
        <v>134.5</v>
      </c>
      <c r="G8" s="212">
        <f>E8*F8</f>
        <v/>
      </c>
      <c r="H8" s="11" t="n">
        <v>191</v>
      </c>
      <c r="I8" s="104" t="n">
        <v>44210</v>
      </c>
      <c r="J8" s="16" t="n">
        <v>119</v>
      </c>
      <c r="K8" s="11">
        <f>E8*J8</f>
        <v/>
      </c>
      <c r="L8" s="17" t="n">
        <v>169</v>
      </c>
      <c r="M8" s="11" t="n">
        <v>357</v>
      </c>
      <c r="N8" s="11" t="n">
        <v>0</v>
      </c>
      <c r="O8" s="434">
        <f>IF(I8="",E8*Y8,0)</f>
        <v/>
      </c>
      <c r="P8" s="435">
        <f>IF(I8="",R8-H8,(K8-H8-SUM(L8:N8)+R8-S8-T8)-G8)+(ROUND(R8*V8,0)-ROUND(R8*(1+V8),0)*W8)</f>
        <v/>
      </c>
      <c r="Q8" s="435">
        <f>IF(I8="",(O8-G8-(O8*0.1425%*0.65)-(O8*0.3%)-S8-T8),0)</f>
        <v/>
      </c>
      <c r="R8" s="435" t="n"/>
      <c r="S8" s="435" t="n">
        <v>10</v>
      </c>
      <c r="T8" s="435">
        <f>IF(ROUND(R8*(1+V8),0)&gt;20000,ROUND(ROUND(R8*(1+V8),0)*2%,0),0)</f>
        <v/>
      </c>
      <c r="U8" s="69">
        <f>(V8*50%)/(1+50%*V8)</f>
        <v/>
      </c>
      <c r="V8" s="69" t="n"/>
      <c r="W8" s="70" t="n">
        <v>0.06</v>
      </c>
      <c r="X8" s="436">
        <f>(P8+Q8)/G8</f>
        <v/>
      </c>
      <c r="Y8" s="16">
        <f>VLOOKUP(C8,台股行情!A:D,4,FALSE)</f>
        <v/>
      </c>
      <c r="Z8" s="437">
        <f>VLOOKUP(C8,台股行情!A:E,5,FALSE)</f>
        <v/>
      </c>
      <c r="AA8" s="438">
        <f>IF(I8="",((TODAY()-A8)*G8)/365.24,((I8-A8)*G8)/365.24)</f>
        <v/>
      </c>
      <c r="AB8" s="103" t="inlineStr">
        <is>
          <t>阿水一式</t>
        </is>
      </c>
      <c r="AC8" s="135" t="inlineStr">
        <is>
          <t>碰20MA出場</t>
        </is>
      </c>
    </row>
    <row r="9" outlineLevel="1">
      <c r="A9" s="275" t="n">
        <v>44180</v>
      </c>
      <c r="B9" s="11" t="inlineStr">
        <is>
          <t>普通買進</t>
        </is>
      </c>
      <c r="C9" s="11" t="n">
        <v>2002</v>
      </c>
      <c r="D9" s="11" t="inlineStr">
        <is>
          <t>中鋼</t>
        </is>
      </c>
      <c r="E9" s="11" t="n">
        <v>1000</v>
      </c>
      <c r="F9" s="11" t="n">
        <v>24.9</v>
      </c>
      <c r="G9" s="212">
        <f>E9*F9</f>
        <v/>
      </c>
      <c r="H9" s="11" t="n">
        <v>35</v>
      </c>
      <c r="I9" s="104" t="n">
        <v>44210</v>
      </c>
      <c r="J9" s="16" t="n">
        <v>25.4</v>
      </c>
      <c r="K9" s="11">
        <f>E9*J9</f>
        <v/>
      </c>
      <c r="L9" s="17" t="n">
        <v>36</v>
      </c>
      <c r="M9" s="11" t="n">
        <v>76</v>
      </c>
      <c r="N9" s="11" t="n">
        <v>0</v>
      </c>
      <c r="O9" s="434">
        <f>IF(I9="",E9*Y9,0)</f>
        <v/>
      </c>
      <c r="P9" s="435">
        <f>IF(I9="",R9-H9,(K9-H9-SUM(L9:N9)+R9-S9-T9)-G9)+(ROUND(R9*V9,0)-ROUND(R9*(1+V9),0)*W9)</f>
        <v/>
      </c>
      <c r="Q9" s="435">
        <f>IF(I9="",(O9-G9-(O9*0.1425%*0.65)-(O9*0.3%)-S9-T9),0)</f>
        <v/>
      </c>
      <c r="R9" s="435" t="n"/>
      <c r="S9" s="435" t="n">
        <v>10</v>
      </c>
      <c r="T9" s="435">
        <f>IF(ROUND(R9*(1+V9),0)&gt;20000,ROUND(ROUND(R9*(1+V9),0)*2%,0),0)</f>
        <v/>
      </c>
      <c r="U9" s="69">
        <f>(V9*50%)/(1+50%*V9)</f>
        <v/>
      </c>
      <c r="V9" s="69" t="n"/>
      <c r="W9" s="70" t="n">
        <v>0.06</v>
      </c>
      <c r="X9" s="436">
        <f>(P9+Q9)/G9</f>
        <v/>
      </c>
      <c r="Y9" s="16">
        <f>VLOOKUP(C9,台股行情!A:D,4,FALSE)</f>
        <v/>
      </c>
      <c r="Z9" s="437">
        <f>VLOOKUP(C9,台股行情!A:E,5,FALSE)</f>
        <v/>
      </c>
      <c r="AA9" s="438">
        <f>IF(I9="",((TODAY()-A9)*G9)/365.24,((I9-A9)*G9)/365.24)</f>
        <v/>
      </c>
      <c r="AB9" s="103" t="inlineStr">
        <is>
          <t>阿水一式</t>
        </is>
      </c>
      <c r="AC9" s="103" t="inlineStr">
        <is>
          <t>碰10MA停利</t>
        </is>
      </c>
    </row>
    <row r="10" outlineLevel="1">
      <c r="A10" s="275" t="n">
        <v>44165</v>
      </c>
      <c r="B10" s="11" t="inlineStr">
        <is>
          <t>普通買進</t>
        </is>
      </c>
      <c r="C10" s="11" t="n">
        <v>2006</v>
      </c>
      <c r="D10" s="11" t="inlineStr">
        <is>
          <t>東和鋼鐵</t>
        </is>
      </c>
      <c r="E10" s="11" t="n">
        <v>1000</v>
      </c>
      <c r="F10" s="11" t="n">
        <v>35</v>
      </c>
      <c r="G10" s="212">
        <f>E10*F10</f>
        <v/>
      </c>
      <c r="H10" s="11" t="n">
        <v>49</v>
      </c>
      <c r="I10" s="104" t="n">
        <v>44228</v>
      </c>
      <c r="J10" s="16" t="n">
        <v>31.35</v>
      </c>
      <c r="K10" s="11">
        <f>E10*J10</f>
        <v/>
      </c>
      <c r="L10" s="17" t="n">
        <v>44</v>
      </c>
      <c r="M10" s="11" t="n">
        <v>94</v>
      </c>
      <c r="N10" s="11" t="n">
        <v>0</v>
      </c>
      <c r="O10" s="434">
        <f>IF(I10="",E10*Y10,0)</f>
        <v/>
      </c>
      <c r="P10" s="435">
        <f>IF(I10="",R10-H10,(K10-H10-SUM(L10:N10)+R10-S10-T10)-G10)+(ROUND(R10*V10,0)-ROUND(R10*(1+V10),0)*W10)</f>
        <v/>
      </c>
      <c r="Q10" s="435">
        <f>IF(I10="",(O10-G10-(O10*0.1425%*0.65)-(O10*0.3%)-S10-T10),0)</f>
        <v/>
      </c>
      <c r="R10" s="435" t="n"/>
      <c r="S10" s="435" t="n">
        <v>10</v>
      </c>
      <c r="T10" s="435">
        <f>IF(ROUND(R10*(1+V10),0)&gt;20000,ROUND(ROUND(R10*(1+V10),0)*2%,0),0)</f>
        <v/>
      </c>
      <c r="U10" s="69">
        <f>(V10*50%)/(1+50%*V10)</f>
        <v/>
      </c>
      <c r="V10" s="69" t="n"/>
      <c r="W10" s="70" t="n">
        <v>0.06</v>
      </c>
      <c r="X10" s="436">
        <f>(P10+Q10)/G10</f>
        <v/>
      </c>
      <c r="Y10" s="16">
        <f>VLOOKUP(C10,台股行情!A:D,4,FALSE)</f>
        <v/>
      </c>
      <c r="Z10" s="437">
        <f>VLOOKUP(C10,台股行情!A:E,5,FALSE)</f>
        <v/>
      </c>
      <c r="AA10" s="438">
        <f>IF(I10="",((TODAY()-A10)*G10)/365.24,((I10-A10)*G10)/365.24)</f>
        <v/>
      </c>
      <c r="AB10" s="103" t="inlineStr">
        <is>
          <t>水某精選</t>
        </is>
      </c>
      <c r="AC10" s="103" t="n"/>
    </row>
    <row r="11" outlineLevel="1">
      <c r="A11" s="275" t="n">
        <v>44168</v>
      </c>
      <c r="B11" s="11" t="inlineStr">
        <is>
          <t>普通買進</t>
        </is>
      </c>
      <c r="C11" s="11" t="n">
        <v>3026</v>
      </c>
      <c r="D11" s="11" t="inlineStr">
        <is>
          <t>禾伸堂</t>
        </is>
      </c>
      <c r="E11" s="11" t="n">
        <v>1000</v>
      </c>
      <c r="F11" s="11" t="n">
        <v>117</v>
      </c>
      <c r="G11" s="212">
        <f>E11*F11</f>
        <v/>
      </c>
      <c r="H11" s="11" t="n">
        <v>166</v>
      </c>
      <c r="I11" s="104" t="n">
        <v>44228</v>
      </c>
      <c r="J11" s="16" t="n">
        <v>106</v>
      </c>
      <c r="K11" s="11">
        <f>E11*J11</f>
        <v/>
      </c>
      <c r="L11" s="17" t="n">
        <v>151</v>
      </c>
      <c r="M11" s="11" t="n">
        <v>318</v>
      </c>
      <c r="N11" s="11" t="n">
        <v>0</v>
      </c>
      <c r="O11" s="434">
        <f>IF(I11="",E11*Y11,0)</f>
        <v/>
      </c>
      <c r="P11" s="435">
        <f>IF(I11="",R11-H11,(K11-H11-SUM(L11:N11)+R11-S11-T11)-G11)+(ROUND(R11*V11,0)-ROUND(R11*(1+V11),0)*W11)</f>
        <v/>
      </c>
      <c r="Q11" s="435">
        <f>IF(I11="",(O11-G11-(O11*0.1425%*0.65)-(O11*0.3%)-S11-T11),0)</f>
        <v/>
      </c>
      <c r="R11" s="435" t="n"/>
      <c r="S11" s="435" t="n">
        <v>10</v>
      </c>
      <c r="T11" s="435">
        <f>IF(ROUND(R11*(1+V11),0)&gt;20000,ROUND(ROUND(R11*(1+V11),0)*2%,0),0)</f>
        <v/>
      </c>
      <c r="U11" s="69">
        <f>(V11*50%)/(1+50%*V11)</f>
        <v/>
      </c>
      <c r="V11" s="69" t="n"/>
      <c r="W11" s="70" t="n">
        <v>0.06</v>
      </c>
      <c r="X11" s="436">
        <f>(P11+Q11)/G11</f>
        <v/>
      </c>
      <c r="Y11" s="16">
        <f>VLOOKUP(C11,台股行情!A:D,4,FALSE)</f>
        <v/>
      </c>
      <c r="Z11" s="437">
        <f>VLOOKUP(C11,台股行情!A:E,5,FALSE)</f>
        <v/>
      </c>
      <c r="AA11" s="438">
        <f>IF(I11="",((TODAY()-A11)*G11)/365.24,((I11-A11)*G11)/365.24)</f>
        <v/>
      </c>
      <c r="AB11" s="103" t="inlineStr">
        <is>
          <t>水某精選</t>
        </is>
      </c>
      <c r="AC11" s="103" t="n"/>
    </row>
    <row r="12" outlineLevel="1">
      <c r="A12" s="275" t="n">
        <v>44158</v>
      </c>
      <c r="B12" s="11" t="inlineStr">
        <is>
          <t>普通買進</t>
        </is>
      </c>
      <c r="C12" s="11" t="n">
        <v>2454</v>
      </c>
      <c r="D12" s="11" t="inlineStr">
        <is>
          <t>聯發科</t>
        </is>
      </c>
      <c r="E12" s="11" t="n">
        <v>100</v>
      </c>
      <c r="F12" s="11" t="n">
        <v>752</v>
      </c>
      <c r="G12" s="212">
        <f>E12*F12</f>
        <v/>
      </c>
      <c r="H12" s="11" t="n">
        <v>107</v>
      </c>
      <c r="I12" s="104" t="n">
        <v>44230</v>
      </c>
      <c r="J12" s="16" t="n">
        <v>946</v>
      </c>
      <c r="K12" s="11">
        <f>E12*J12</f>
        <v/>
      </c>
      <c r="L12" s="17" t="n">
        <v>134</v>
      </c>
      <c r="M12" s="11" t="n">
        <v>283</v>
      </c>
      <c r="N12" s="11" t="n">
        <v>0</v>
      </c>
      <c r="O12" s="434">
        <f>IF(I12="",E12*Y12,0)</f>
        <v/>
      </c>
      <c r="P12" s="435">
        <f>IF(I12="",R12-H12,(K12-H12-SUM(L12:N12)+R12-S12-T12)-G12)+(ROUND(R12*V12,0)-ROUND(R12*(1+V12),0)*W12)</f>
        <v/>
      </c>
      <c r="Q12" s="435">
        <f>IF(I12="",(O12-G12-(O12*0.1425%*0.65)-(O12*0.3%)-S12-T12),0)</f>
        <v/>
      </c>
      <c r="R12" s="435" t="n"/>
      <c r="S12" s="435" t="n">
        <v>10</v>
      </c>
      <c r="T12" s="435">
        <f>IF(ROUND(R12*(1+V12),0)&gt;20000,ROUND(ROUND(R12*(1+V12),0)*2%,0),0)</f>
        <v/>
      </c>
      <c r="U12" s="69">
        <f>(V12*50%)/(1+50%*V12)</f>
        <v/>
      </c>
      <c r="V12" s="69" t="n"/>
      <c r="W12" s="70" t="n">
        <v>0.06</v>
      </c>
      <c r="X12" s="436">
        <f>(P12+Q12)/G12</f>
        <v/>
      </c>
      <c r="Y12" s="16">
        <f>VLOOKUP(C12,台股行情!A:D,4,FALSE)</f>
        <v/>
      </c>
      <c r="Z12" s="437">
        <f>VLOOKUP(C12,台股行情!A:E,5,FALSE)</f>
        <v/>
      </c>
      <c r="AA12" s="438">
        <f>IF(I12="",((TODAY()-A12)*G12)/365.24,((I12-A12)*G12)/365.24)</f>
        <v/>
      </c>
      <c r="AB12" s="103" t="inlineStr">
        <is>
          <t>水某精選</t>
        </is>
      </c>
      <c r="AC12" s="103" t="inlineStr">
        <is>
          <t>封關前，獲利了結</t>
        </is>
      </c>
    </row>
    <row r="13" outlineLevel="1">
      <c r="A13" s="275" t="n">
        <v>44162</v>
      </c>
      <c r="B13" s="11" t="inlineStr">
        <is>
          <t>普通買進</t>
        </is>
      </c>
      <c r="C13" s="11" t="n">
        <v>2454</v>
      </c>
      <c r="D13" s="11" t="inlineStr">
        <is>
          <t>聯發科</t>
        </is>
      </c>
      <c r="E13" s="11" t="n">
        <v>100</v>
      </c>
      <c r="F13" s="11" t="n">
        <v>726</v>
      </c>
      <c r="G13" s="212">
        <f>E13*F13</f>
        <v/>
      </c>
      <c r="H13" s="11" t="n">
        <v>103</v>
      </c>
      <c r="I13" s="104" t="n">
        <v>44230</v>
      </c>
      <c r="J13" s="16" t="n">
        <v>946</v>
      </c>
      <c r="K13" s="11">
        <f>E13*J13</f>
        <v/>
      </c>
      <c r="L13" s="17" t="n">
        <v>134</v>
      </c>
      <c r="M13" s="11" t="n">
        <v>283</v>
      </c>
      <c r="N13" s="11" t="n">
        <v>0</v>
      </c>
      <c r="O13" s="434">
        <f>IF(I13="",E13*Y13,0)</f>
        <v/>
      </c>
      <c r="P13" s="435">
        <f>IF(I13="",R13-H13,(K13-H13-SUM(L13:N13)+R13-S13-T13)-G13)+(ROUND(R13*V13,0)-ROUND(R13*(1+V13),0)*W13)</f>
        <v/>
      </c>
      <c r="Q13" s="435">
        <f>IF(I13="",(O13-G13-(O13*0.1425%*0.65)-(O13*0.3%)-S13-T13),0)</f>
        <v/>
      </c>
      <c r="R13" s="435" t="n"/>
      <c r="S13" s="435" t="n">
        <v>10</v>
      </c>
      <c r="T13" s="435">
        <f>IF(ROUND(R13*(1+V13),0)&gt;20000,ROUND(ROUND(R13*(1+V13),0)*2%,0),0)</f>
        <v/>
      </c>
      <c r="U13" s="69">
        <f>(V13*50%)/(1+50%*V13)</f>
        <v/>
      </c>
      <c r="V13" s="69" t="n"/>
      <c r="W13" s="70" t="n">
        <v>0.06</v>
      </c>
      <c r="X13" s="436">
        <f>(P13+Q13)/G13</f>
        <v/>
      </c>
      <c r="Y13" s="16">
        <f>VLOOKUP(C13,台股行情!A:D,4,FALSE)</f>
        <v/>
      </c>
      <c r="Z13" s="437">
        <f>VLOOKUP(C13,台股行情!A:E,5,FALSE)</f>
        <v/>
      </c>
      <c r="AA13" s="438">
        <f>IF(I13="",((TODAY()-A13)*G13)/365.24,((I13-A13)*G13)/365.24)</f>
        <v/>
      </c>
      <c r="AB13" s="103" t="inlineStr">
        <is>
          <t>水某精選</t>
        </is>
      </c>
      <c r="AC13" s="103" t="inlineStr">
        <is>
          <t>封關前，獲利了結</t>
        </is>
      </c>
    </row>
    <row r="14" outlineLevel="1">
      <c r="A14" s="275" t="n">
        <v>44173</v>
      </c>
      <c r="B14" s="11" t="inlineStr">
        <is>
          <t>普通買進</t>
        </is>
      </c>
      <c r="C14" s="11" t="n">
        <v>2317</v>
      </c>
      <c r="D14" s="11" t="inlineStr">
        <is>
          <t>鴻海</t>
        </is>
      </c>
      <c r="E14" s="11" t="n">
        <v>1000</v>
      </c>
      <c r="F14" s="11" t="n">
        <v>89</v>
      </c>
      <c r="G14" s="212">
        <f>E14*F14</f>
        <v/>
      </c>
      <c r="H14" s="11" t="n">
        <v>126</v>
      </c>
      <c r="I14" s="104" t="n">
        <v>44230</v>
      </c>
      <c r="J14" s="16" t="n">
        <v>115.5</v>
      </c>
      <c r="K14" s="11">
        <f>E14*J14</f>
        <v/>
      </c>
      <c r="L14" s="17" t="n">
        <v>164</v>
      </c>
      <c r="M14" s="11" t="n">
        <v>346</v>
      </c>
      <c r="N14" s="11" t="n">
        <v>0</v>
      </c>
      <c r="O14" s="434">
        <f>IF(I14="",E14*Y14,0)</f>
        <v/>
      </c>
      <c r="P14" s="435">
        <f>IF(I14="",R14-H14,(K14-H14-SUM(L14:N14)+R14-S14-T14)-G14)+(ROUND(R14*V14,0)-ROUND(R14*(1+V14),0)*W14)</f>
        <v/>
      </c>
      <c r="Q14" s="435">
        <f>IF(I14="",(O14-G14-(O14*0.1425%*0.65)-(O14*0.3%)-S14-T14),0)</f>
        <v/>
      </c>
      <c r="R14" s="435" t="n"/>
      <c r="S14" s="435" t="n">
        <v>10</v>
      </c>
      <c r="T14" s="435">
        <f>IF(ROUND(R14*(1+V14),0)&gt;20000,ROUND(ROUND(R14*(1+V14),0)*2%,0),0)</f>
        <v/>
      </c>
      <c r="U14" s="69">
        <f>(V14*50%)/(1+50%*V14)</f>
        <v/>
      </c>
      <c r="V14" s="69" t="n"/>
      <c r="W14" s="70" t="n">
        <v>0.06</v>
      </c>
      <c r="X14" s="436">
        <f>(P14+Q14)/G14</f>
        <v/>
      </c>
      <c r="Y14" s="16">
        <f>VLOOKUP(C14,台股行情!A:D,4,FALSE)</f>
        <v/>
      </c>
      <c r="Z14" s="437">
        <f>VLOOKUP(C14,台股行情!A:E,5,FALSE)</f>
        <v/>
      </c>
      <c r="AA14" s="438">
        <f>IF(I14="",((TODAY()-A14)*G14)/365.24,((I14-A14)*G14)/365.24)</f>
        <v/>
      </c>
      <c r="AB14" s="103" t="inlineStr">
        <is>
          <t>阿水一式</t>
        </is>
      </c>
      <c r="AC14" s="103" t="inlineStr">
        <is>
          <t>封關前，獲利了結</t>
        </is>
      </c>
    </row>
    <row r="15" outlineLevel="1">
      <c r="A15" s="275" t="n">
        <v>44174</v>
      </c>
      <c r="B15" s="11" t="inlineStr">
        <is>
          <t>普通買進</t>
        </is>
      </c>
      <c r="C15" s="11" t="n">
        <v>2454</v>
      </c>
      <c r="D15" s="11" t="inlineStr">
        <is>
          <t>聯發科</t>
        </is>
      </c>
      <c r="E15" s="11" t="n">
        <v>100</v>
      </c>
      <c r="F15" s="11" t="n">
        <v>737</v>
      </c>
      <c r="G15" s="212">
        <f>E15*F15</f>
        <v/>
      </c>
      <c r="H15" s="11" t="n">
        <v>105</v>
      </c>
      <c r="I15" s="104" t="n">
        <v>44230</v>
      </c>
      <c r="J15" s="16" t="n">
        <v>944</v>
      </c>
      <c r="K15" s="11">
        <f>E15*J15</f>
        <v/>
      </c>
      <c r="L15" s="17" t="n">
        <v>134</v>
      </c>
      <c r="M15" s="11" t="n">
        <v>283</v>
      </c>
      <c r="N15" s="11" t="n">
        <v>0</v>
      </c>
      <c r="O15" s="434">
        <f>IF(I15="",E15*Y15,0)</f>
        <v/>
      </c>
      <c r="P15" s="435">
        <f>IF(I15="",R15-H15,(K15-H15-SUM(L15:N15)+R15-S15-T15)-G15)+(ROUND(R15*V15,0)-ROUND(R15*(1+V15),0)*W15)</f>
        <v/>
      </c>
      <c r="Q15" s="435">
        <f>IF(I15="",(O15-G15-(O15*0.1425%*0.65)-(O15*0.3%)-S15-T15),0)</f>
        <v/>
      </c>
      <c r="R15" s="435" t="n"/>
      <c r="S15" s="435" t="n">
        <v>10</v>
      </c>
      <c r="T15" s="435">
        <f>IF(ROUND(R15*(1+V15),0)&gt;20000,ROUND(ROUND(R15*(1+V15),0)*2%,0),0)</f>
        <v/>
      </c>
      <c r="U15" s="69">
        <f>(V15*50%)/(1+50%*V15)</f>
        <v/>
      </c>
      <c r="V15" s="69" t="n"/>
      <c r="W15" s="70" t="n">
        <v>0.06</v>
      </c>
      <c r="X15" s="436">
        <f>(P15+Q15)/G15</f>
        <v/>
      </c>
      <c r="Y15" s="16">
        <f>VLOOKUP(C15,台股行情!A:D,4,FALSE)</f>
        <v/>
      </c>
      <c r="Z15" s="437">
        <f>VLOOKUP(C15,台股行情!A:E,5,FALSE)</f>
        <v/>
      </c>
      <c r="AA15" s="438">
        <f>IF(I15="",((TODAY()-A15)*G15)/365.24,((I15-A15)*G15)/365.24)</f>
        <v/>
      </c>
      <c r="AB15" s="103" t="inlineStr">
        <is>
          <t>水某精選</t>
        </is>
      </c>
      <c r="AC15" s="103" t="inlineStr">
        <is>
          <t>封關前，獲利了結</t>
        </is>
      </c>
    </row>
    <row r="16" outlineLevel="1">
      <c r="A16" s="275" t="n">
        <v>44176</v>
      </c>
      <c r="B16" s="11" t="inlineStr">
        <is>
          <t>普通買進</t>
        </is>
      </c>
      <c r="C16" s="11" t="n">
        <v>3481</v>
      </c>
      <c r="D16" s="11" t="inlineStr">
        <is>
          <t>群創</t>
        </is>
      </c>
      <c r="E16" s="11" t="n">
        <v>1000</v>
      </c>
      <c r="F16" s="11" t="n">
        <v>13.85</v>
      </c>
      <c r="G16" s="212">
        <f>E16*F16</f>
        <v/>
      </c>
      <c r="H16" s="11" t="n">
        <v>19</v>
      </c>
      <c r="I16" s="104" t="n">
        <v>44230</v>
      </c>
      <c r="J16" s="16" t="n">
        <v>14</v>
      </c>
      <c r="K16" s="11">
        <f>E16*J16</f>
        <v/>
      </c>
      <c r="L16" s="17" t="n">
        <v>20</v>
      </c>
      <c r="M16" s="11" t="n">
        <v>42</v>
      </c>
      <c r="N16" s="11" t="n">
        <v>0</v>
      </c>
      <c r="O16" s="434">
        <f>IF(I16="",E16*Y16,0)</f>
        <v/>
      </c>
      <c r="P16" s="435">
        <f>IF(I16="",R16-H16,(K16-H16-SUM(L16:N16)+R16-S16-T16)-G16)+(ROUND(R16*V16,0)-ROUND(R16*(1+V16),0)*W16)</f>
        <v/>
      </c>
      <c r="Q16" s="435">
        <f>IF(I16="",(O16-G16-(O16*0.1425%*0.65)-(O16*0.3%)-S16-T16),0)</f>
        <v/>
      </c>
      <c r="R16" s="435" t="n"/>
      <c r="S16" s="435" t="n">
        <v>10</v>
      </c>
      <c r="T16" s="435">
        <f>IF(ROUND(R16*(1+V16),0)&gt;20000,ROUND(ROUND(R16*(1+V16),0)*2%,0),0)</f>
        <v/>
      </c>
      <c r="U16" s="69">
        <f>(V16*50%)/(1+50%*V16)</f>
        <v/>
      </c>
      <c r="V16" s="69" t="n"/>
      <c r="W16" s="70" t="n">
        <v>0.06</v>
      </c>
      <c r="X16" s="436">
        <f>(P16+Q16)/G16</f>
        <v/>
      </c>
      <c r="Y16" s="16">
        <f>VLOOKUP(C16,台股行情!A:D,4,FALSE)</f>
        <v/>
      </c>
      <c r="Z16" s="437">
        <f>VLOOKUP(C16,台股行情!A:E,5,FALSE)</f>
        <v/>
      </c>
      <c r="AA16" s="438">
        <f>IF(I16="",((TODAY()-A16)*G16)/365.24,((I16-A16)*G16)/365.24)</f>
        <v/>
      </c>
      <c r="AB16" s="103" t="inlineStr">
        <is>
          <t>水某精選</t>
        </is>
      </c>
      <c r="AC16" s="103" t="inlineStr">
        <is>
          <t>封關前，獲利了結</t>
        </is>
      </c>
    </row>
    <row r="17" outlineLevel="1">
      <c r="A17" s="275" t="n">
        <v>44176</v>
      </c>
      <c r="B17" s="11" t="inlineStr">
        <is>
          <t>普通買進</t>
        </is>
      </c>
      <c r="C17" s="11" t="n">
        <v>3481</v>
      </c>
      <c r="D17" s="11" t="inlineStr">
        <is>
          <t>群創</t>
        </is>
      </c>
      <c r="E17" s="11" t="n">
        <v>9000</v>
      </c>
      <c r="F17" s="11" t="n">
        <v>13.85</v>
      </c>
      <c r="G17" s="212">
        <f>E17*F17</f>
        <v/>
      </c>
      <c r="H17" s="11" t="n">
        <v>178</v>
      </c>
      <c r="I17" s="104" t="n">
        <v>44230</v>
      </c>
      <c r="J17" s="16" t="n">
        <v>14.05</v>
      </c>
      <c r="K17" s="11">
        <f>E17*J17</f>
        <v/>
      </c>
      <c r="L17" s="17" t="n">
        <v>180</v>
      </c>
      <c r="M17" s="11" t="n">
        <v>379</v>
      </c>
      <c r="N17" s="11" t="n">
        <v>0</v>
      </c>
      <c r="O17" s="434">
        <f>IF(I17="",E17*Y17,0)</f>
        <v/>
      </c>
      <c r="P17" s="435">
        <f>IF(I17="",R17-H17,(K17-H17-SUM(L17:N17)+R17-S17-T17)-G17)+(ROUND(R17*V17,0)-ROUND(R17*(1+V17),0)*W17)</f>
        <v/>
      </c>
      <c r="Q17" s="435">
        <f>IF(I17="",(O17-G17-(O17*0.1425%*0.65)-(O17*0.3%)-S17-T17),0)</f>
        <v/>
      </c>
      <c r="R17" s="435" t="n"/>
      <c r="S17" s="435" t="n">
        <v>10</v>
      </c>
      <c r="T17" s="435">
        <f>IF(ROUND(R17*(1+V17),0)&gt;20000,ROUND(ROUND(R17*(1+V17),0)*2%,0),0)</f>
        <v/>
      </c>
      <c r="U17" s="69">
        <f>(V17*50%)/(1+50%*V17)</f>
        <v/>
      </c>
      <c r="V17" s="69" t="n"/>
      <c r="W17" s="70" t="n">
        <v>0.06</v>
      </c>
      <c r="X17" s="436">
        <f>(P17+Q17)/G17</f>
        <v/>
      </c>
      <c r="Y17" s="16">
        <f>VLOOKUP(C17,台股行情!A:D,4,FALSE)</f>
        <v/>
      </c>
      <c r="Z17" s="437">
        <f>VLOOKUP(C17,台股行情!A:E,5,FALSE)</f>
        <v/>
      </c>
      <c r="AA17" s="438">
        <f>IF(I17="",((TODAY()-A17)*G17)/365.24,((I17-A17)*G17)/365.24)</f>
        <v/>
      </c>
      <c r="AB17" s="103" t="inlineStr">
        <is>
          <t>水某精選</t>
        </is>
      </c>
      <c r="AC17" s="103" t="inlineStr">
        <is>
          <t>封關前，獲利了結</t>
        </is>
      </c>
    </row>
    <row r="18" outlineLevel="1">
      <c r="A18" s="275" t="n">
        <v>44181</v>
      </c>
      <c r="B18" s="11" t="inlineStr">
        <is>
          <t>普通買進</t>
        </is>
      </c>
      <c r="C18" s="11" t="n">
        <v>3037</v>
      </c>
      <c r="D18" s="11" t="inlineStr">
        <is>
          <t>欣興</t>
        </is>
      </c>
      <c r="E18" s="11" t="n">
        <v>1000</v>
      </c>
      <c r="F18" s="11" t="n">
        <v>86.7</v>
      </c>
      <c r="G18" s="212">
        <f>E18*F18</f>
        <v/>
      </c>
      <c r="H18" s="11" t="n">
        <v>123</v>
      </c>
      <c r="I18" s="104" t="n">
        <v>44230</v>
      </c>
      <c r="J18" s="16" t="n">
        <v>88.7</v>
      </c>
      <c r="K18" s="11">
        <f>E18*J18</f>
        <v/>
      </c>
      <c r="L18" s="17" t="n">
        <v>126</v>
      </c>
      <c r="M18" s="11" t="n">
        <v>266</v>
      </c>
      <c r="N18" s="11" t="n">
        <v>0</v>
      </c>
      <c r="O18" s="434">
        <f>IF(I18="",E18*Y18,0)</f>
        <v/>
      </c>
      <c r="P18" s="435">
        <f>IF(I18="",R18-H18,(K18-H18-SUM(L18:N18)+R18-S18-T18)-G18)+(ROUND(R18*V18,0)-ROUND(R18*(1+V18),0)*W18)</f>
        <v/>
      </c>
      <c r="Q18" s="435">
        <f>IF(I18="",(O18-G18-(O18*0.1425%*0.65)-(O18*0.3%)-S18-T18),0)</f>
        <v/>
      </c>
      <c r="R18" s="435" t="n"/>
      <c r="S18" s="435" t="n">
        <v>10</v>
      </c>
      <c r="T18" s="435">
        <f>IF(ROUND(R18*(1+V18),0)&gt;20000,ROUND(ROUND(R18*(1+V18),0)*2%,0),0)</f>
        <v/>
      </c>
      <c r="U18" s="69">
        <f>(V18*50%)/(1+50%*V18)</f>
        <v/>
      </c>
      <c r="V18" s="69" t="n"/>
      <c r="W18" s="70" t="n">
        <v>0.06</v>
      </c>
      <c r="X18" s="436">
        <f>(P18+Q18)/G18</f>
        <v/>
      </c>
      <c r="Y18" s="16">
        <f>VLOOKUP(C18,台股行情!A:D,4,FALSE)</f>
        <v/>
      </c>
      <c r="Z18" s="437">
        <f>VLOOKUP(C18,台股行情!A:E,5,FALSE)</f>
        <v/>
      </c>
      <c r="AA18" s="438">
        <f>IF(I18="",((TODAY()-A18)*G18)/365.24,((I18-A18)*G18)/365.24)</f>
        <v/>
      </c>
      <c r="AB18" s="103" t="inlineStr">
        <is>
          <t>水某精選</t>
        </is>
      </c>
      <c r="AC18" s="103" t="inlineStr">
        <is>
          <t>封關前，獲利了結</t>
        </is>
      </c>
    </row>
    <row r="19" outlineLevel="1">
      <c r="A19" s="275" t="n">
        <v>44155</v>
      </c>
      <c r="B19" s="11" t="inlineStr">
        <is>
          <t>普通買進</t>
        </is>
      </c>
      <c r="C19" s="11" t="n">
        <v>3008</v>
      </c>
      <c r="D19" s="11" t="inlineStr">
        <is>
          <t>大立光</t>
        </is>
      </c>
      <c r="E19" s="11" t="n">
        <v>10</v>
      </c>
      <c r="F19" s="11" t="n">
        <v>3470</v>
      </c>
      <c r="G19" s="212">
        <f>E19*F19</f>
        <v/>
      </c>
      <c r="H19" s="11" t="n">
        <v>49</v>
      </c>
      <c r="I19" s="104" t="n">
        <v>44260</v>
      </c>
      <c r="J19" s="16" t="n">
        <v>3350</v>
      </c>
      <c r="K19" s="11">
        <f>E19*J19</f>
        <v/>
      </c>
      <c r="L19" s="17" t="n">
        <v>47</v>
      </c>
      <c r="M19" s="11" t="n">
        <v>100</v>
      </c>
      <c r="N19" s="11" t="n">
        <v>0</v>
      </c>
      <c r="O19" s="434">
        <f>IF(I19="",E19*Y19,0)</f>
        <v/>
      </c>
      <c r="P19" s="435">
        <f>IF(I19="",R19-H19,(K19-H19-SUM(L19:N19)+R19-S19-T19)-G19)+(ROUND(R19*V19,0)-ROUND(R19*(1+V19),0)*W19)</f>
        <v/>
      </c>
      <c r="Q19" s="435">
        <f>IF(I19="",(O19-G19-(O19*0.1425%*0.65)-(O19*0.3%)-S19-T19),0)</f>
        <v/>
      </c>
      <c r="R19" s="435" t="n"/>
      <c r="S19" s="435" t="n">
        <v>10</v>
      </c>
      <c r="T19" s="435">
        <f>IF(ROUND(R19*(1+V19),0)&gt;20000,ROUND(ROUND(R19*(1+V19),0)*2%,0),0)</f>
        <v/>
      </c>
      <c r="U19" s="69">
        <f>(V19*50%)/(1+50%*V19)</f>
        <v/>
      </c>
      <c r="V19" s="69" t="n"/>
      <c r="W19" s="70" t="n">
        <v>0.06</v>
      </c>
      <c r="X19" s="436">
        <f>(P19+Q19)/G19</f>
        <v/>
      </c>
      <c r="Y19" s="16">
        <f>VLOOKUP(C19,台股行情!A:D,4,FALSE)</f>
        <v/>
      </c>
      <c r="Z19" s="437">
        <f>VLOOKUP(C19,台股行情!A:E,5,FALSE)</f>
        <v/>
      </c>
      <c r="AA19" s="438">
        <f>IF(I19="",((TODAY()-A19)*G19)/365.24,((I19-A19)*G19)/365.24)</f>
        <v/>
      </c>
      <c r="AB19" s="103" t="inlineStr">
        <is>
          <t>水某精選</t>
        </is>
      </c>
      <c r="AC19" s="103" t="n"/>
    </row>
    <row r="20" outlineLevel="1">
      <c r="A20" s="275" t="n">
        <v>44166</v>
      </c>
      <c r="B20" s="11" t="inlineStr">
        <is>
          <t>普通買進</t>
        </is>
      </c>
      <c r="C20" s="11" t="n">
        <v>3711</v>
      </c>
      <c r="D20" s="11" t="inlineStr">
        <is>
          <t>日月光投控</t>
        </is>
      </c>
      <c r="E20" s="11" t="n">
        <v>1000</v>
      </c>
      <c r="F20" s="11" t="n">
        <v>76.7</v>
      </c>
      <c r="G20" s="212">
        <f>E20*F20</f>
        <v/>
      </c>
      <c r="H20" s="11" t="n">
        <v>109</v>
      </c>
      <c r="I20" s="104" t="n">
        <v>44260</v>
      </c>
      <c r="J20" s="16" t="n">
        <v>102.5</v>
      </c>
      <c r="K20" s="11">
        <f>E20*J20</f>
        <v/>
      </c>
      <c r="L20" s="17" t="n">
        <v>146</v>
      </c>
      <c r="M20" s="11" t="n">
        <v>307</v>
      </c>
      <c r="N20" s="11" t="n">
        <v>0</v>
      </c>
      <c r="O20" s="434">
        <f>IF(I20="",E20*Y20,0)</f>
        <v/>
      </c>
      <c r="P20" s="435">
        <f>IF(I20="",R20-H20,(K20-H20-SUM(L20:N20)+R20-S20-T20)-G20)+(ROUND(R20*V20,0)-ROUND(R20*(1+V20),0)*W20)</f>
        <v/>
      </c>
      <c r="Q20" s="435">
        <f>IF(I20="",(O20-G20-(O20*0.1425%*0.65)-(O20*0.3%)-S20-T20),0)</f>
        <v/>
      </c>
      <c r="R20" s="435" t="n"/>
      <c r="S20" s="435" t="n">
        <v>10</v>
      </c>
      <c r="T20" s="435">
        <f>IF(ROUND(R20*(1+V20),0)&gt;20000,ROUND(ROUND(R20*(1+V20),0)*2%,0),0)</f>
        <v/>
      </c>
      <c r="U20" s="69">
        <f>(V20*50%)/(1+50%*V20)</f>
        <v/>
      </c>
      <c r="V20" s="69" t="n"/>
      <c r="W20" s="70" t="n">
        <v>0.06</v>
      </c>
      <c r="X20" s="436">
        <f>(P20+Q20)/G20</f>
        <v/>
      </c>
      <c r="Y20" s="16">
        <f>VLOOKUP(C20,台股行情!A:D,4,FALSE)</f>
        <v/>
      </c>
      <c r="Z20" s="437">
        <f>VLOOKUP(C20,台股行情!A:E,5,FALSE)</f>
        <v/>
      </c>
      <c r="AA20" s="438">
        <f>IF(I20="",((TODAY()-A20)*G20)/365.24,((I20-A20)*G20)/365.24)</f>
        <v/>
      </c>
      <c r="AB20" s="103" t="inlineStr">
        <is>
          <t>水某精選</t>
        </is>
      </c>
      <c r="AC20" s="103" t="n"/>
    </row>
    <row r="21" outlineLevel="1">
      <c r="A21" s="275" t="n">
        <v>44158</v>
      </c>
      <c r="B21" s="11" t="inlineStr">
        <is>
          <t>普通買進</t>
        </is>
      </c>
      <c r="C21" s="11" t="n">
        <v>2884</v>
      </c>
      <c r="D21" s="11" t="inlineStr">
        <is>
          <t>玉山金</t>
        </is>
      </c>
      <c r="E21" s="11" t="n">
        <v>1000</v>
      </c>
      <c r="F21" s="11" t="n">
        <v>25.6</v>
      </c>
      <c r="G21" s="212">
        <f>E21*F21</f>
        <v/>
      </c>
      <c r="H21" s="11" t="n">
        <v>36</v>
      </c>
      <c r="I21" s="104" t="n">
        <v>44264</v>
      </c>
      <c r="J21" s="16" t="n">
        <v>25.4</v>
      </c>
      <c r="K21" s="11">
        <f>E21*J21</f>
        <v/>
      </c>
      <c r="L21" s="17" t="n">
        <v>36</v>
      </c>
      <c r="M21" s="11" t="n">
        <v>76</v>
      </c>
      <c r="N21" s="11" t="n">
        <v>0</v>
      </c>
      <c r="O21" s="434">
        <f>IF(I21="",E21*Y21,0)</f>
        <v/>
      </c>
      <c r="P21" s="435">
        <f>IF(I21="",R21-H21,(K21-H21-SUM(L21:N21)+R21-S21-T21)-G21)+(ROUND(R21*V21,0)-ROUND(R21*(1+V21),0)*W21)</f>
        <v/>
      </c>
      <c r="Q21" s="435">
        <f>IF(I21="",(O21-G21-(O21*0.1425%*0.65)-(O21*0.3%)-S21-T21),0)</f>
        <v/>
      </c>
      <c r="R21" s="435" t="n"/>
      <c r="S21" s="435" t="n">
        <v>10</v>
      </c>
      <c r="T21" s="435">
        <f>IF(ROUND(R21*(1+V21),0)&gt;20000,ROUND(ROUND(R21*(1+V21),0)*2%,0),0)</f>
        <v/>
      </c>
      <c r="U21" s="69">
        <f>(V21*50%)/(1+50%*V21)</f>
        <v/>
      </c>
      <c r="V21" s="69" t="n"/>
      <c r="W21" s="70" t="n">
        <v>0.06</v>
      </c>
      <c r="X21" s="436">
        <f>(P21+Q21)/G21</f>
        <v/>
      </c>
      <c r="Y21" s="16">
        <f>VLOOKUP(C21,台股行情!A:D,4,FALSE)</f>
        <v/>
      </c>
      <c r="Z21" s="437">
        <f>VLOOKUP(C21,台股行情!A:E,5,FALSE)</f>
        <v/>
      </c>
      <c r="AA21" s="438">
        <f>IF(I21="",((TODAY()-A21)*G21)/365.24,((I21-A21)*G21)/365.24)</f>
        <v/>
      </c>
      <c r="AB21" s="103" t="inlineStr">
        <is>
          <t>法人蜘蛛網</t>
        </is>
      </c>
      <c r="AC21" s="143" t="inlineStr">
        <is>
          <t>大盤跌破均線，停損</t>
        </is>
      </c>
    </row>
    <row r="22">
      <c r="A22" s="99" t="n">
        <v>44210</v>
      </c>
      <c r="B22" s="11" t="inlineStr">
        <is>
          <t>普通買進</t>
        </is>
      </c>
      <c r="C22" s="11" t="n">
        <v>5347</v>
      </c>
      <c r="D22" s="11" t="inlineStr">
        <is>
          <t>世界</t>
        </is>
      </c>
      <c r="E22" s="11" t="n">
        <v>1000</v>
      </c>
      <c r="F22" s="11" t="n">
        <v>121.5</v>
      </c>
      <c r="G22" s="11">
        <f>E22*F22</f>
        <v/>
      </c>
      <c r="H22" s="11" t="n">
        <v>173</v>
      </c>
      <c r="I22" s="104" t="n">
        <v>44214</v>
      </c>
      <c r="J22" s="16" t="n">
        <v>114.5</v>
      </c>
      <c r="K22" s="11">
        <f>E22*J22</f>
        <v/>
      </c>
      <c r="L22" s="17" t="n">
        <v>163</v>
      </c>
      <c r="M22" s="11" t="n">
        <v>343</v>
      </c>
      <c r="N22" s="11" t="n">
        <v>0</v>
      </c>
      <c r="O22" s="434">
        <f>IF(I22="",E22*Y22,0)</f>
        <v/>
      </c>
      <c r="P22" s="435">
        <f>IF(I22="",R22-H22,(K22-H22-SUM(L22:N22)+R22-S22-T22)-G22)+(ROUND(R22*V22,0)-ROUND(R22*(1+V22),0)*W22)</f>
        <v/>
      </c>
      <c r="Q22" s="435">
        <f>IF(I22="",(O22-G22-(O22*0.1425%*0.65)-(O22*0.3%)-S22-T22),0)</f>
        <v/>
      </c>
      <c r="R22" s="435" t="n"/>
      <c r="S22" s="435" t="n">
        <v>10</v>
      </c>
      <c r="T22" s="435">
        <f>IF(ROUND(R22*(1+V22),0)&gt;20000,ROUND(ROUND(R22*(1+V22),0)*2%,0),0)</f>
        <v/>
      </c>
      <c r="U22" s="69">
        <f>(V22*50%)/(1+50%*V22)</f>
        <v/>
      </c>
      <c r="V22" s="69" t="n"/>
      <c r="W22" s="70" t="n">
        <v>0.11</v>
      </c>
      <c r="X22" s="436">
        <f>(P22+Q22)/G22</f>
        <v/>
      </c>
      <c r="Y22" s="16">
        <f>VLOOKUP(C22,台股行情!A:D,4,FALSE)</f>
        <v/>
      </c>
      <c r="Z22" s="437">
        <f>VLOOKUP(C22,台股行情!A:E,5,FALSE)</f>
        <v/>
      </c>
      <c r="AA22" s="438">
        <f>IF(I22="",((TODAY()-A22)*G22)/365.24,((I22-A22)*G22)/365.24)</f>
        <v/>
      </c>
      <c r="AB22" s="103" t="inlineStr">
        <is>
          <t>阿水一式</t>
        </is>
      </c>
      <c r="AC22" s="207" t="inlineStr">
        <is>
          <t>-5% 停損</t>
        </is>
      </c>
    </row>
    <row r="23" outlineLevel="1">
      <c r="A23" s="99" t="n">
        <v>44207</v>
      </c>
      <c r="B23" s="11" t="inlineStr">
        <is>
          <t>普通買進</t>
        </is>
      </c>
      <c r="C23" s="11" t="n">
        <v>3543</v>
      </c>
      <c r="D23" s="11" t="inlineStr">
        <is>
          <t>州巧</t>
        </is>
      </c>
      <c r="E23" s="11" t="n">
        <v>1000</v>
      </c>
      <c r="F23" s="11" t="n">
        <v>34.4</v>
      </c>
      <c r="G23" s="11">
        <f>E23*F23</f>
        <v/>
      </c>
      <c r="H23" s="11" t="n">
        <v>43</v>
      </c>
      <c r="I23" s="104" t="n">
        <v>44216</v>
      </c>
      <c r="J23" s="16" t="n">
        <v>31.2</v>
      </c>
      <c r="K23" s="11">
        <f>E23*J23</f>
        <v/>
      </c>
      <c r="L23" s="17" t="n">
        <v>44</v>
      </c>
      <c r="M23" s="11" t="n">
        <v>93</v>
      </c>
      <c r="N23" s="11" t="n">
        <v>0</v>
      </c>
      <c r="O23" s="434">
        <f>IF(I23="",E23*Y23,0)</f>
        <v/>
      </c>
      <c r="P23" s="435">
        <f>IF(I23="",R23-H23,(K23-H23-SUM(L23:N23)+R23-S23-T23)-G23)+(ROUND(R23*V23,0)-ROUND(R23*(1+V23),0)*W23)</f>
        <v/>
      </c>
      <c r="Q23" s="435">
        <f>IF(I23="",(O23-G23-(O23*0.1425%*0.65)-(O23*0.3%)-S23-T23),0)</f>
        <v/>
      </c>
      <c r="R23" s="435" t="n"/>
      <c r="S23" s="435" t="n">
        <v>10</v>
      </c>
      <c r="T23" s="435">
        <f>IF(ROUND(R23*(1+V23),0)&gt;20000,ROUND(ROUND(R23*(1+V23),0)*2%,0),0)</f>
        <v/>
      </c>
      <c r="U23" s="69">
        <f>(V23*50%)/(1+50%*V23)</f>
        <v/>
      </c>
      <c r="V23" s="69" t="n"/>
      <c r="W23" s="70" t="n">
        <v>0.11</v>
      </c>
      <c r="X23" s="436">
        <f>(P23+Q23)/G23</f>
        <v/>
      </c>
      <c r="Y23" s="16">
        <f>VLOOKUP(C23,台股行情!A:D,4,FALSE)</f>
        <v/>
      </c>
      <c r="Z23" s="437">
        <f>VLOOKUP(C23,台股行情!A:E,5,FALSE)</f>
        <v/>
      </c>
      <c r="AA23" s="438">
        <f>IF(I23="",((TODAY()-A23)*G23)/365.24,((I23-A23)*G23)/365.24)</f>
        <v/>
      </c>
      <c r="AB23" s="103" t="inlineStr">
        <is>
          <t>阿水一式</t>
        </is>
      </c>
      <c r="AC23" s="207" t="inlineStr">
        <is>
          <t>-5% 停損</t>
        </is>
      </c>
    </row>
    <row r="24" outlineLevel="1">
      <c r="A24" s="99" t="n">
        <v>44210</v>
      </c>
      <c r="B24" s="11" t="inlineStr">
        <is>
          <t>普通買進</t>
        </is>
      </c>
      <c r="C24" s="11" t="n">
        <v>6233</v>
      </c>
      <c r="D24" s="11" t="inlineStr">
        <is>
          <t>旺玖</t>
        </is>
      </c>
      <c r="E24" s="11" t="n">
        <v>1000</v>
      </c>
      <c r="F24" s="11" t="n">
        <v>37</v>
      </c>
      <c r="G24" s="11">
        <f>E24*F24</f>
        <v/>
      </c>
      <c r="H24" s="11" t="n">
        <v>52</v>
      </c>
      <c r="I24" s="104" t="n">
        <v>44228</v>
      </c>
      <c r="J24" s="16" t="n">
        <v>35.75</v>
      </c>
      <c r="K24" s="11">
        <f>E24*J24</f>
        <v/>
      </c>
      <c r="L24" s="17" t="n">
        <v>50</v>
      </c>
      <c r="M24" s="11" t="n">
        <v>107</v>
      </c>
      <c r="N24" s="11" t="n">
        <v>0</v>
      </c>
      <c r="O24" s="434">
        <f>IF(I24="",E24*Y24,0)</f>
        <v/>
      </c>
      <c r="P24" s="435">
        <f>IF(I24="",R24-H24,(K24-H24-SUM(L24:N24)+R24-S24-T24)-G24)+(ROUND(R24*V24,0)-ROUND(R24*(1+V24),0)*W24)</f>
        <v/>
      </c>
      <c r="Q24" s="435">
        <f>IF(I24="",(O24-G24-(O24*0.1425%*0.65)-(O24*0.3%)-S24-T24),0)</f>
        <v/>
      </c>
      <c r="R24" s="435" t="n"/>
      <c r="S24" s="435" t="n">
        <v>10</v>
      </c>
      <c r="T24" s="435">
        <f>IF(ROUND(R24*(1+V24),0)&gt;20000,ROUND(ROUND(R24*(1+V24),0)*2%,0),0)</f>
        <v/>
      </c>
      <c r="U24" s="69">
        <f>(V24*50%)/(1+50%*V24)</f>
        <v/>
      </c>
      <c r="V24" s="69" t="n"/>
      <c r="W24" s="70" t="n">
        <v>0.11</v>
      </c>
      <c r="X24" s="436">
        <f>(P24+Q24)/G24</f>
        <v/>
      </c>
      <c r="Y24" s="16">
        <f>VLOOKUP(C24,台股行情!A:D,4,FALSE)</f>
        <v/>
      </c>
      <c r="Z24" s="437">
        <f>VLOOKUP(C24,台股行情!A:E,5,FALSE)</f>
        <v/>
      </c>
      <c r="AA24" s="438">
        <f>IF(I24="",((TODAY()-A24)*G24)/365.24,((I24-A24)*G24)/365.24)</f>
        <v/>
      </c>
      <c r="AB24" s="103" t="inlineStr">
        <is>
          <t>阿水一式</t>
        </is>
      </c>
      <c r="AC24" s="135" t="inlineStr">
        <is>
          <t>碰20MA出場</t>
        </is>
      </c>
    </row>
    <row r="25" outlineLevel="1">
      <c r="A25" s="99" t="n">
        <v>44207</v>
      </c>
      <c r="B25" s="11" t="inlineStr">
        <is>
          <t>普通買進</t>
        </is>
      </c>
      <c r="C25" s="11" t="n">
        <v>2303</v>
      </c>
      <c r="D25" s="11" t="inlineStr">
        <is>
          <t>聯電</t>
        </is>
      </c>
      <c r="E25" s="11" t="n">
        <v>1000</v>
      </c>
      <c r="F25" s="11" t="n">
        <v>49.25</v>
      </c>
      <c r="G25" s="11">
        <f>E25*F25</f>
        <v/>
      </c>
      <c r="H25" s="11" t="n">
        <v>70</v>
      </c>
      <c r="I25" s="104" t="n">
        <v>44230</v>
      </c>
      <c r="J25" s="16" t="n">
        <v>52.2</v>
      </c>
      <c r="K25" s="11">
        <f>E25*J25</f>
        <v/>
      </c>
      <c r="L25" s="17" t="n">
        <v>74</v>
      </c>
      <c r="M25" s="11" t="n">
        <v>156</v>
      </c>
      <c r="N25" s="11" t="n">
        <v>0</v>
      </c>
      <c r="O25" s="434">
        <f>IF(I25="",E25*Y25,0)</f>
        <v/>
      </c>
      <c r="P25" s="435">
        <f>IF(I25="",R25-H25,(K25-H25-SUM(L25:N25)+R25-S25-T25)-G25)+(ROUND(R25*V25,0)-ROUND(R25*(1+V25),0)*W25)</f>
        <v/>
      </c>
      <c r="Q25" s="435">
        <f>IF(I25="",(O25-G25-(O25*0.1425%*0.65)-(O25*0.3%)-S25-T25),0)</f>
        <v/>
      </c>
      <c r="R25" s="435" t="n"/>
      <c r="S25" s="435" t="n">
        <v>10</v>
      </c>
      <c r="T25" s="435">
        <f>IF(ROUND(R25*(1+V25),0)&gt;20000,ROUND(ROUND(R25*(1+V25),0)*2%,0),0)</f>
        <v/>
      </c>
      <c r="U25" s="69">
        <f>(V25*50%)/(1+50%*V25)</f>
        <v/>
      </c>
      <c r="V25" s="69" t="n"/>
      <c r="W25" s="70" t="n">
        <v>0.11</v>
      </c>
      <c r="X25" s="436">
        <f>(P25+Q25)/G25</f>
        <v/>
      </c>
      <c r="Y25" s="16">
        <f>VLOOKUP(C25,台股行情!A:D,4,FALSE)</f>
        <v/>
      </c>
      <c r="Z25" s="437">
        <f>VLOOKUP(C25,台股行情!A:E,5,FALSE)</f>
        <v/>
      </c>
      <c r="AA25" s="438">
        <f>IF(I25="",((TODAY()-A25)*G25)/365.24,((I25-A25)*G25)/365.24)</f>
        <v/>
      </c>
      <c r="AB25" s="103" t="inlineStr">
        <is>
          <t>法人蜘蛛網</t>
        </is>
      </c>
      <c r="AC25" s="103" t="inlineStr">
        <is>
          <t>遇到壞新聞不跌</t>
        </is>
      </c>
    </row>
    <row r="26" outlineLevel="1">
      <c r="A26" s="99" t="n">
        <v>44221</v>
      </c>
      <c r="B26" s="11" t="inlineStr">
        <is>
          <t>普通買進</t>
        </is>
      </c>
      <c r="C26" s="11" t="n">
        <v>2603</v>
      </c>
      <c r="D26" s="11" t="inlineStr">
        <is>
          <t>長榮</t>
        </is>
      </c>
      <c r="E26" s="11" t="n">
        <v>1000</v>
      </c>
      <c r="F26" s="11" t="n">
        <v>35.6</v>
      </c>
      <c r="G26" s="11">
        <f>E26*F26</f>
        <v/>
      </c>
      <c r="H26" s="11" t="n">
        <v>50</v>
      </c>
      <c r="I26" s="104" t="n">
        <v>44251</v>
      </c>
      <c r="J26" s="16" t="n">
        <v>37.8</v>
      </c>
      <c r="K26" s="11">
        <f>E26*J26</f>
        <v/>
      </c>
      <c r="L26" s="17" t="n">
        <v>53</v>
      </c>
      <c r="M26" s="11" t="n">
        <v>113</v>
      </c>
      <c r="N26" s="11" t="n">
        <v>0</v>
      </c>
      <c r="O26" s="434">
        <f>IF(I26="",E26*Y26,0)</f>
        <v/>
      </c>
      <c r="P26" s="435">
        <f>IF(I26="",R26-H26,(K26-H26-SUM(L26:N26)+R26-S26-T26)-G26)+(ROUND(R26*V26,0)-ROUND(R26*(1+V26),0)*W26)</f>
        <v/>
      </c>
      <c r="Q26" s="435">
        <f>IF(I26="",(O26-G26-(O26*0.1425%*0.65)-(O26*0.3%)-S26-T26),0)</f>
        <v/>
      </c>
      <c r="R26" s="435" t="n"/>
      <c r="S26" s="435" t="n">
        <v>10</v>
      </c>
      <c r="T26" s="435">
        <f>IF(ROUND(R26*(1+V26),0)&gt;20000,ROUND(ROUND(R26*(1+V26),0)*2%,0),0)</f>
        <v/>
      </c>
      <c r="U26" s="69">
        <f>(V26*50%)/(1+50%*V26)</f>
        <v/>
      </c>
      <c r="V26" s="69" t="n"/>
      <c r="W26" s="70" t="n">
        <v>0.11</v>
      </c>
      <c r="X26" s="436">
        <f>(P26+Q26)/G26</f>
        <v/>
      </c>
      <c r="Y26" s="16">
        <f>VLOOKUP(C26,台股行情!A:D,4,FALSE)</f>
        <v/>
      </c>
      <c r="Z26" s="437">
        <f>VLOOKUP(C26,台股行情!A:E,5,FALSE)</f>
        <v/>
      </c>
      <c r="AA26" s="438">
        <f>IF(I26="",((TODAY()-A26)*G26)/365.24,((I26-A26)*G26)/365.24)</f>
        <v/>
      </c>
      <c r="AB26" s="103" t="inlineStr">
        <is>
          <t>新聞: 全球缺貨櫃，貨櫃價格大漲</t>
        </is>
      </c>
      <c r="AC26" s="103" t="inlineStr">
        <is>
          <t>大盤不安全，停利</t>
        </is>
      </c>
    </row>
    <row r="27" outlineLevel="1">
      <c r="A27" s="99" t="n">
        <v>44246</v>
      </c>
      <c r="B27" s="11" t="inlineStr">
        <is>
          <t>普通買進</t>
        </is>
      </c>
      <c r="C27" s="11" t="n">
        <v>1515</v>
      </c>
      <c r="D27" s="11" t="inlineStr">
        <is>
          <t>力山</t>
        </is>
      </c>
      <c r="E27" s="11" t="n">
        <v>1000</v>
      </c>
      <c r="F27" s="11" t="n">
        <v>87.90000000000001</v>
      </c>
      <c r="G27" s="11">
        <f>E27*F27</f>
        <v/>
      </c>
      <c r="H27" s="11" t="n">
        <v>125</v>
      </c>
      <c r="I27" s="104" t="n">
        <v>44258</v>
      </c>
      <c r="J27" s="16" t="n">
        <v>82.3</v>
      </c>
      <c r="K27" s="11">
        <f>E27*J27</f>
        <v/>
      </c>
      <c r="L27" s="17" t="n">
        <v>117</v>
      </c>
      <c r="M27" s="11" t="n">
        <v>246</v>
      </c>
      <c r="N27" s="11" t="n">
        <v>0</v>
      </c>
      <c r="O27" s="434">
        <f>IF(I27="",E27*Y27,0)</f>
        <v/>
      </c>
      <c r="P27" s="435">
        <f>IF(I27="",R27-H27,(K27-H27-SUM(L27:N27)+R27-S27-T27)-G27)+(ROUND(R27*V27,0)-ROUND(R27*(1+V27),0)*W27)</f>
        <v/>
      </c>
      <c r="Q27" s="435">
        <f>IF(I27="",(O27-G27-(O27*0.1425%*0.65)-(O27*0.3%)-S27-T27),0)</f>
        <v/>
      </c>
      <c r="R27" s="435" t="n"/>
      <c r="S27" s="435" t="n">
        <v>10</v>
      </c>
      <c r="T27" s="435">
        <f>IF(ROUND(R27*(1+V27),0)&gt;20000,ROUND(ROUND(R27*(1+V27),0)*2%,0),0)</f>
        <v/>
      </c>
      <c r="U27" s="69">
        <f>(V27*50%)/(1+50%*V27)</f>
        <v/>
      </c>
      <c r="V27" s="69" t="n"/>
      <c r="W27" s="70" t="n">
        <v>0.11</v>
      </c>
      <c r="X27" s="436">
        <f>(P27+Q27)/G27</f>
        <v/>
      </c>
      <c r="Y27" s="16">
        <f>VLOOKUP(C27,台股行情!A:D,4,FALSE)</f>
        <v/>
      </c>
      <c r="Z27" s="437">
        <f>VLOOKUP(C27,台股行情!A:E,5,FALSE)</f>
        <v/>
      </c>
      <c r="AA27" s="438">
        <f>IF(I27="",((TODAY()-A27)*G27)/365.24,((I27-A27)*G27)/365.24)</f>
        <v/>
      </c>
      <c r="AB27" s="103" t="inlineStr">
        <is>
          <t>法人蜘蛛網</t>
        </is>
      </c>
      <c r="AC27" s="207" t="inlineStr">
        <is>
          <t>-5% 停損</t>
        </is>
      </c>
    </row>
    <row r="28" outlineLevel="1">
      <c r="A28" s="99" t="n">
        <v>44251</v>
      </c>
      <c r="B28" s="11" t="inlineStr">
        <is>
          <t>普通買進</t>
        </is>
      </c>
      <c r="C28" s="11" t="n">
        <v>2009</v>
      </c>
      <c r="D28" s="11" t="inlineStr">
        <is>
          <t>第一銅</t>
        </is>
      </c>
      <c r="E28" s="11" t="n">
        <v>1000</v>
      </c>
      <c r="F28" s="11" t="n">
        <v>34.7</v>
      </c>
      <c r="G28" s="11">
        <f>E28*F28</f>
        <v/>
      </c>
      <c r="H28" s="11" t="n">
        <v>49</v>
      </c>
      <c r="I28" s="104" t="n">
        <v>44258</v>
      </c>
      <c r="J28" s="16" t="n">
        <v>29.8</v>
      </c>
      <c r="K28" s="11">
        <f>E28*J28</f>
        <v/>
      </c>
      <c r="L28" s="17" t="n">
        <v>42</v>
      </c>
      <c r="M28" s="11" t="n">
        <v>89</v>
      </c>
      <c r="N28" s="11" t="n">
        <v>0</v>
      </c>
      <c r="O28" s="434">
        <f>IF(I28="",E28*Y28,0)</f>
        <v/>
      </c>
      <c r="P28" s="435">
        <f>IF(I28="",R28-H28,(K28-H28-SUM(L28:N28)+R28-S28-T28)-G28)+(ROUND(R28*V28,0)-ROUND(R28*(1+V28),0)*W28)</f>
        <v/>
      </c>
      <c r="Q28" s="435">
        <f>IF(I28="",(O28-G28-(O28*0.1425%*0.65)-(O28*0.3%)-S28-T28),0)</f>
        <v/>
      </c>
      <c r="R28" s="435" t="n"/>
      <c r="S28" s="435" t="n">
        <v>10</v>
      </c>
      <c r="T28" s="435">
        <f>IF(ROUND(R28*(1+V28),0)&gt;20000,ROUND(ROUND(R28*(1+V28),0)*2%,0),0)</f>
        <v/>
      </c>
      <c r="U28" s="69">
        <f>(V28*50%)/(1+50%*V28)</f>
        <v/>
      </c>
      <c r="V28" s="69" t="n"/>
      <c r="W28" s="70" t="n">
        <v>0.11</v>
      </c>
      <c r="X28" s="436">
        <f>(P28+Q28)/G28</f>
        <v/>
      </c>
      <c r="Y28" s="16">
        <f>VLOOKUP(C28,台股行情!A:D,4,FALSE)</f>
        <v/>
      </c>
      <c r="Z28" s="437">
        <f>VLOOKUP(C28,台股行情!A:E,5,FALSE)</f>
        <v/>
      </c>
      <c r="AA28" s="438">
        <f>IF(I28="",((TODAY()-A28)*G28)/365.24,((I28-A28)*G28)/365.24)</f>
        <v/>
      </c>
      <c r="AB28" s="103" t="inlineStr">
        <is>
          <t>法人蜘蛛網</t>
        </is>
      </c>
      <c r="AC28" s="135" t="inlineStr">
        <is>
          <t>停損</t>
        </is>
      </c>
    </row>
    <row r="29" outlineLevel="1">
      <c r="A29" s="99" t="n">
        <v>44246</v>
      </c>
      <c r="B29" s="11" t="inlineStr">
        <is>
          <t>普通買進</t>
        </is>
      </c>
      <c r="C29" s="11" t="n">
        <v>3041</v>
      </c>
      <c r="D29" s="11" t="inlineStr">
        <is>
          <t>揚智</t>
        </is>
      </c>
      <c r="E29" s="11" t="n">
        <v>1000</v>
      </c>
      <c r="F29" s="11" t="n">
        <v>29.15</v>
      </c>
      <c r="G29" s="11">
        <f>E29*F29</f>
        <v/>
      </c>
      <c r="H29" s="11" t="n">
        <v>41</v>
      </c>
      <c r="I29" s="104" t="n">
        <v>44258</v>
      </c>
      <c r="J29" s="16" t="n">
        <v>27.8</v>
      </c>
      <c r="K29" s="11">
        <f>E29*J29</f>
        <v/>
      </c>
      <c r="L29" s="17" t="n">
        <v>39</v>
      </c>
      <c r="M29" s="11" t="n">
        <v>83</v>
      </c>
      <c r="N29" s="11" t="n">
        <v>0</v>
      </c>
      <c r="O29" s="434">
        <f>IF(I29="",E29*Y29,0)</f>
        <v/>
      </c>
      <c r="P29" s="435">
        <f>IF(I29="",R29-H29,(K29-H29-SUM(L29:N29)+R29-S29-T29)-G29)+(ROUND(R29*V29,0)-ROUND(R29*(1+V29),0)*W29)</f>
        <v/>
      </c>
      <c r="Q29" s="435">
        <f>IF(I29="",(O29-G29-(O29*0.1425%*0.65)-(O29*0.3%)-S29-T29),0)</f>
        <v/>
      </c>
      <c r="R29" s="435" t="n"/>
      <c r="S29" s="435" t="n">
        <v>10</v>
      </c>
      <c r="T29" s="435">
        <f>IF(ROUND(R29*(1+V29),0)&gt;20000,ROUND(ROUND(R29*(1+V29),0)*2%,0),0)</f>
        <v/>
      </c>
      <c r="U29" s="69">
        <f>(V29*50%)/(1+50%*V29)</f>
        <v/>
      </c>
      <c r="V29" s="69" t="n"/>
      <c r="W29" s="70" t="n">
        <v>0.11</v>
      </c>
      <c r="X29" s="436">
        <f>(P29+Q29)/G29</f>
        <v/>
      </c>
      <c r="Y29" s="16">
        <f>VLOOKUP(C29,台股行情!A:D,4,FALSE)</f>
        <v/>
      </c>
      <c r="Z29" s="437">
        <f>VLOOKUP(C29,台股行情!A:E,5,FALSE)</f>
        <v/>
      </c>
      <c r="AA29" s="438">
        <f>IF(I29="",((TODAY()-A29)*G29)/365.24,((I29-A29)*G29)/365.24)</f>
        <v/>
      </c>
      <c r="AB29" s="103" t="inlineStr">
        <is>
          <t>阿水一式變化型?</t>
        </is>
      </c>
      <c r="AC29" s="207" t="inlineStr">
        <is>
          <t>-5% 停損</t>
        </is>
      </c>
    </row>
    <row r="30" outlineLevel="1">
      <c r="A30" s="99" t="n">
        <v>44258</v>
      </c>
      <c r="B30" s="11" t="inlineStr">
        <is>
          <t>普通買進</t>
        </is>
      </c>
      <c r="C30" s="11" t="n">
        <v>6640</v>
      </c>
      <c r="D30" s="11" t="inlineStr">
        <is>
          <t>均華</t>
        </is>
      </c>
      <c r="E30" s="11" t="n">
        <v>1000</v>
      </c>
      <c r="F30" s="11" t="n">
        <v>79</v>
      </c>
      <c r="G30" s="11">
        <f>E30*F30</f>
        <v/>
      </c>
      <c r="H30" s="11" t="n">
        <v>112</v>
      </c>
      <c r="I30" s="104" t="n">
        <v>44259</v>
      </c>
      <c r="J30" s="16" t="n">
        <v>71.90000000000001</v>
      </c>
      <c r="K30" s="11">
        <f>E30*J30</f>
        <v/>
      </c>
      <c r="L30" s="17" t="n">
        <v>102</v>
      </c>
      <c r="M30" s="11" t="n">
        <v>215</v>
      </c>
      <c r="N30" s="11" t="n">
        <v>0</v>
      </c>
      <c r="O30" s="434">
        <f>IF(I30="",E30*Y30,0)</f>
        <v/>
      </c>
      <c r="P30" s="435">
        <f>IF(I30="",R30-H30,(K30-H30-SUM(L30:N30)+R30-S30-T30)-G30)+(ROUND(R30*V30,0)-ROUND(R30*(1+V30),0)*W30)</f>
        <v/>
      </c>
      <c r="Q30" s="435">
        <f>IF(I30="",(O30-G30-(O30*0.1425%*0.65)-(O30*0.3%)-S30-T30),0)</f>
        <v/>
      </c>
      <c r="R30" s="435" t="n"/>
      <c r="S30" s="435" t="n">
        <v>10</v>
      </c>
      <c r="T30" s="435">
        <f>IF(ROUND(R30*(1+V30),0)&gt;20000,ROUND(ROUND(R30*(1+V30),0)*2%,0),0)</f>
        <v/>
      </c>
      <c r="U30" s="69">
        <f>(V30*50%)/(1+50%*V30)</f>
        <v/>
      </c>
      <c r="V30" s="69" t="n"/>
      <c r="W30" s="70" t="n">
        <v>0.11</v>
      </c>
      <c r="X30" s="436">
        <f>(P30+Q30)/G30</f>
        <v/>
      </c>
      <c r="Y30" s="16">
        <f>VLOOKUP(C30,台股行情!A:D,4,FALSE)</f>
        <v/>
      </c>
      <c r="Z30" s="437">
        <f>VLOOKUP(C30,台股行情!A:E,5,FALSE)</f>
        <v/>
      </c>
      <c r="AA30" s="438">
        <f>IF(I30="",((TODAY()-A30)*G30)/365.24,((I30-A30)*G30)/365.24)</f>
        <v/>
      </c>
      <c r="AB30" s="103" t="inlineStr">
        <is>
          <t>阿水一式</t>
        </is>
      </c>
      <c r="AC30" s="207" t="inlineStr">
        <is>
          <t>-5% 停損</t>
        </is>
      </c>
    </row>
    <row r="31" outlineLevel="1">
      <c r="A31" s="99" t="n">
        <v>44203</v>
      </c>
      <c r="B31" s="11" t="inlineStr">
        <is>
          <t>普通買進</t>
        </is>
      </c>
      <c r="C31" s="11" t="n">
        <v>2455</v>
      </c>
      <c r="D31" s="11" t="inlineStr">
        <is>
          <t>全新</t>
        </is>
      </c>
      <c r="E31" s="11" t="n">
        <v>1000</v>
      </c>
      <c r="F31" s="11" t="n">
        <v>115</v>
      </c>
      <c r="G31" s="11">
        <f>E31*F31</f>
        <v/>
      </c>
      <c r="H31" s="11" t="n">
        <v>163</v>
      </c>
      <c r="I31" s="104" t="n">
        <v>44260</v>
      </c>
      <c r="J31" s="16" t="n">
        <v>105.5</v>
      </c>
      <c r="K31" s="11">
        <f>E31*J31</f>
        <v/>
      </c>
      <c r="L31" s="17" t="n">
        <v>150</v>
      </c>
      <c r="M31" s="11" t="n">
        <v>316</v>
      </c>
      <c r="N31" s="11" t="n">
        <v>0</v>
      </c>
      <c r="O31" s="434">
        <f>IF(I31="",E31*Y31,0)</f>
        <v/>
      </c>
      <c r="P31" s="435">
        <f>IF(I31="",R31-H31,(K31-H31-SUM(L31:N31)+R31-S31-T31)-G31)+(ROUND(R31*V31,0)-ROUND(R31*(1+V31),0)*W31)</f>
        <v/>
      </c>
      <c r="Q31" s="435">
        <f>IF(I31="",(O31-G31-(O31*0.1425%*0.65)-(O31*0.3%)-S31-T31),0)</f>
        <v/>
      </c>
      <c r="R31" s="435" t="n"/>
      <c r="S31" s="435" t="n">
        <v>10</v>
      </c>
      <c r="T31" s="435">
        <f>IF(ROUND(R31*(1+V31),0)&gt;20000,ROUND(ROUND(R31*(1+V31),0)*2%,0),0)</f>
        <v/>
      </c>
      <c r="U31" s="69">
        <f>(V31*50%)/(1+50%*V31)</f>
        <v/>
      </c>
      <c r="V31" s="69" t="n"/>
      <c r="W31" s="70" t="n">
        <v>0.11</v>
      </c>
      <c r="X31" s="436">
        <f>(P31+Q31)/G31</f>
        <v/>
      </c>
      <c r="Y31" s="16">
        <f>VLOOKUP(C31,台股行情!A:D,4,FALSE)</f>
        <v/>
      </c>
      <c r="Z31" s="437">
        <f>VLOOKUP(C31,台股行情!A:E,5,FALSE)</f>
        <v/>
      </c>
      <c r="AA31" s="438">
        <f>IF(I31="",((TODAY()-A31)*G31)/365.24,((I31-A31)*G31)/365.24)</f>
        <v/>
      </c>
      <c r="AB31" s="103" t="inlineStr">
        <is>
          <t>水某精選</t>
        </is>
      </c>
      <c r="AC31" s="103" t="n"/>
    </row>
    <row r="32" outlineLevel="1">
      <c r="A32" s="99" t="n">
        <v>44210</v>
      </c>
      <c r="B32" s="11" t="inlineStr">
        <is>
          <t>普通買進</t>
        </is>
      </c>
      <c r="C32" s="11" t="n">
        <v>2409</v>
      </c>
      <c r="D32" s="11" t="inlineStr">
        <is>
          <t>友達</t>
        </is>
      </c>
      <c r="E32" s="11" t="n">
        <v>2000</v>
      </c>
      <c r="F32" s="11" t="n">
        <v>15.25</v>
      </c>
      <c r="G32" s="11">
        <f>E32*F32</f>
        <v/>
      </c>
      <c r="H32" s="11" t="n">
        <v>163</v>
      </c>
      <c r="I32" s="104" t="n">
        <v>44260</v>
      </c>
      <c r="J32" s="16" t="n">
        <v>18.4</v>
      </c>
      <c r="K32" s="11">
        <f>E32*J32</f>
        <v/>
      </c>
      <c r="L32" s="17" t="n">
        <v>52</v>
      </c>
      <c r="M32" s="11" t="n">
        <v>110</v>
      </c>
      <c r="N32" s="11" t="n">
        <v>0</v>
      </c>
      <c r="O32" s="434">
        <f>IF(I32="",E32*Y32,0)</f>
        <v/>
      </c>
      <c r="P32" s="435">
        <f>IF(I32="",R32-H32,(K32-H32-SUM(L32:N32)+R32-S32-T32)-G32)+(ROUND(R32*V32,0)-ROUND(R32*(1+V32),0)*W32)</f>
        <v/>
      </c>
      <c r="Q32" s="435">
        <f>IF(I32="",(O32-G32-(O32*0.1425%*0.65)-(O32*0.3%)-S32-T32),0)</f>
        <v/>
      </c>
      <c r="R32" s="435" t="n"/>
      <c r="S32" s="435" t="n">
        <v>10</v>
      </c>
      <c r="T32" s="435">
        <f>IF(ROUND(R32*(1+V32),0)&gt;20000,ROUND(ROUND(R32*(1+V32),0)*2%,0),0)</f>
        <v/>
      </c>
      <c r="U32" s="69">
        <f>(V32*50%)/(1+50%*V32)</f>
        <v/>
      </c>
      <c r="V32" s="69" t="n"/>
      <c r="W32" s="70" t="n">
        <v>0.11</v>
      </c>
      <c r="X32" s="436">
        <f>(P32+Q32)/G32</f>
        <v/>
      </c>
      <c r="Y32" s="16">
        <f>VLOOKUP(C32,台股行情!A:D,4,FALSE)</f>
        <v/>
      </c>
      <c r="Z32" s="437">
        <f>VLOOKUP(C32,台股行情!A:E,5,FALSE)</f>
        <v/>
      </c>
      <c r="AA32" s="438">
        <f>IF(I32="",((TODAY()-A32)*G32)/365.24,((I32-A32)*G32)/365.24)</f>
        <v/>
      </c>
      <c r="AB32" s="103" t="inlineStr">
        <is>
          <t>法人蜘蛛網</t>
        </is>
      </c>
      <c r="AC32" s="103" t="inlineStr">
        <is>
          <t>大盤跌破均線，停利</t>
        </is>
      </c>
    </row>
    <row r="33" outlineLevel="1">
      <c r="A33" s="99" t="n">
        <v>44221</v>
      </c>
      <c r="B33" s="11" t="inlineStr">
        <is>
          <t>普通買進</t>
        </is>
      </c>
      <c r="C33" s="11" t="n">
        <v>2603</v>
      </c>
      <c r="D33" s="11" t="inlineStr">
        <is>
          <t>長榮</t>
        </is>
      </c>
      <c r="E33" s="11" t="n">
        <v>1000</v>
      </c>
      <c r="F33" s="11" t="n">
        <v>35.9</v>
      </c>
      <c r="G33" s="11">
        <f>E33*F33</f>
        <v/>
      </c>
      <c r="H33" s="11" t="n">
        <v>51</v>
      </c>
      <c r="I33" s="104" t="n">
        <v>44260</v>
      </c>
      <c r="J33" s="16" t="n">
        <v>37.3</v>
      </c>
      <c r="K33" s="11">
        <f>E33*J33</f>
        <v/>
      </c>
      <c r="L33" s="17" t="n">
        <v>53</v>
      </c>
      <c r="M33" s="11" t="n">
        <v>111</v>
      </c>
      <c r="N33" s="11" t="n">
        <v>0</v>
      </c>
      <c r="O33" s="434">
        <f>IF(I33="",E33*Y33,0)</f>
        <v/>
      </c>
      <c r="P33" s="435">
        <f>IF(I33="",R33-H33,(K33-H33-SUM(L33:N33)+R33-S33-T33)-G33)+(ROUND(R33*V33,0)-ROUND(R33*(1+V33),0)*W33)</f>
        <v/>
      </c>
      <c r="Q33" s="435">
        <f>IF(I33="",(O33-G33-(O33*0.1425%*0.65)-(O33*0.3%)-S33-T33),0)</f>
        <v/>
      </c>
      <c r="R33" s="435" t="n"/>
      <c r="S33" s="435" t="n">
        <v>10</v>
      </c>
      <c r="T33" s="435">
        <f>IF(ROUND(R33*(1+V33),0)&gt;20000,ROUND(ROUND(R33*(1+V33),0)*2%,0),0)</f>
        <v/>
      </c>
      <c r="U33" s="69">
        <f>(V33*50%)/(1+50%*V33)</f>
        <v/>
      </c>
      <c r="V33" s="69" t="n"/>
      <c r="W33" s="70" t="n">
        <v>0.11</v>
      </c>
      <c r="X33" s="436">
        <f>(P33+Q33)/G33</f>
        <v/>
      </c>
      <c r="Y33" s="16">
        <f>VLOOKUP(C33,台股行情!A:D,4,FALSE)</f>
        <v/>
      </c>
      <c r="Z33" s="437">
        <f>VLOOKUP(C33,台股行情!A:E,5,FALSE)</f>
        <v/>
      </c>
      <c r="AA33" s="438">
        <f>IF(I33="",((TODAY()-A33)*G33)/365.24,((I33-A33)*G33)/365.24)</f>
        <v/>
      </c>
      <c r="AB33" s="103" t="inlineStr">
        <is>
          <t>新聞: 全球缺貨櫃，貨櫃價格大漲</t>
        </is>
      </c>
      <c r="AC33" s="103" t="n"/>
    </row>
    <row r="34" outlineLevel="1">
      <c r="A34" s="99" t="n">
        <v>44232</v>
      </c>
      <c r="B34" s="11" t="inlineStr">
        <is>
          <t>普通買進</t>
        </is>
      </c>
      <c r="C34" s="11" t="n">
        <v>2357</v>
      </c>
      <c r="D34" s="11" t="inlineStr">
        <is>
          <t>華碩</t>
        </is>
      </c>
      <c r="E34" s="11" t="n">
        <v>1000</v>
      </c>
      <c r="F34" s="11" t="n">
        <v>287</v>
      </c>
      <c r="G34" s="11">
        <f>E34*F34</f>
        <v/>
      </c>
      <c r="H34" s="11" t="n">
        <v>408</v>
      </c>
      <c r="I34" s="104" t="n">
        <v>44260</v>
      </c>
      <c r="J34" s="16" t="n">
        <v>311</v>
      </c>
      <c r="K34" s="11">
        <f>E34*J34</f>
        <v/>
      </c>
      <c r="L34" s="17" t="n">
        <v>443</v>
      </c>
      <c r="M34" s="11" t="n">
        <v>933</v>
      </c>
      <c r="N34" s="11" t="n">
        <v>0</v>
      </c>
      <c r="O34" s="434">
        <f>IF(I34="",E34*Y34,0)</f>
        <v/>
      </c>
      <c r="P34" s="435">
        <f>IF(I34="",R34-H34,(K34-H34-SUM(L34:N34)+R34-S34-T34)-G34)+(ROUND(R34*V34,0)-ROUND(R34*(1+V34),0)*W34)</f>
        <v/>
      </c>
      <c r="Q34" s="435">
        <f>IF(I34="",(O34-G34-(O34*0.1425%*0.65)-(O34*0.3%)-S34-T34),0)</f>
        <v/>
      </c>
      <c r="R34" s="435" t="n"/>
      <c r="S34" s="435" t="n">
        <v>10</v>
      </c>
      <c r="T34" s="435">
        <f>IF(ROUND(R34*(1+V34),0)&gt;20000,ROUND(ROUND(R34*(1+V34),0)*2%,0),0)</f>
        <v/>
      </c>
      <c r="U34" s="69">
        <f>(V34*50%)/(1+50%*V34)</f>
        <v/>
      </c>
      <c r="V34" s="69" t="n"/>
      <c r="W34" s="70" t="n">
        <v>0.11</v>
      </c>
      <c r="X34" s="436">
        <f>(P34+Q34)/G34</f>
        <v/>
      </c>
      <c r="Y34" s="16">
        <f>VLOOKUP(C34,台股行情!A:D,4,FALSE)</f>
        <v/>
      </c>
      <c r="Z34" s="437">
        <f>VLOOKUP(C34,台股行情!A:E,5,FALSE)</f>
        <v/>
      </c>
      <c r="AA34" s="438">
        <f>IF(I34="",((TODAY()-A34)*G34)/365.24,((I34-A34)*G34)/365.24)</f>
        <v/>
      </c>
      <c r="AB34" s="103" t="inlineStr">
        <is>
          <t>水某精選</t>
        </is>
      </c>
      <c r="AC34" s="103" t="n"/>
    </row>
    <row r="35" outlineLevel="1">
      <c r="A35" s="99" t="n">
        <v>44249</v>
      </c>
      <c r="B35" s="11" t="inlineStr">
        <is>
          <t>普通買進</t>
        </is>
      </c>
      <c r="C35" s="11" t="n">
        <v>1513</v>
      </c>
      <c r="D35" s="11" t="inlineStr">
        <is>
          <t>中興電</t>
        </is>
      </c>
      <c r="E35" s="11" t="n">
        <v>1000</v>
      </c>
      <c r="F35" s="11" t="n">
        <v>51.5</v>
      </c>
      <c r="G35" s="11">
        <f>E35*F35</f>
        <v/>
      </c>
      <c r="H35" s="11" t="n">
        <v>73</v>
      </c>
      <c r="I35" s="104" t="n">
        <v>44260</v>
      </c>
      <c r="J35" s="16" t="n">
        <v>51.1</v>
      </c>
      <c r="K35" s="11">
        <f>E35*J35</f>
        <v/>
      </c>
      <c r="L35" s="17" t="n">
        <v>72</v>
      </c>
      <c r="M35" s="11" t="n">
        <v>153</v>
      </c>
      <c r="N35" s="11" t="n">
        <v>0</v>
      </c>
      <c r="O35" s="434">
        <f>IF(I35="",E35*Y35,0)</f>
        <v/>
      </c>
      <c r="P35" s="435">
        <f>IF(I35="",R35-H35,(K35-H35-SUM(L35:N35)+R35-S35-T35)-G35)+(ROUND(R35*V35,0)-ROUND(R35*(1+V35),0)*W35)</f>
        <v/>
      </c>
      <c r="Q35" s="435">
        <f>IF(I35="",(O35-G35-(O35*0.1425%*0.65)-(O35*0.3%)-S35-T35),0)</f>
        <v/>
      </c>
      <c r="R35" s="435" t="n"/>
      <c r="S35" s="435" t="n">
        <v>10</v>
      </c>
      <c r="T35" s="435">
        <f>IF(ROUND(R35*(1+V35),0)&gt;20000,ROUND(ROUND(R35*(1+V35),0)*2%,0),0)</f>
        <v/>
      </c>
      <c r="U35" s="69">
        <f>(V35*50%)/(1+50%*V35)</f>
        <v/>
      </c>
      <c r="V35" s="69" t="n"/>
      <c r="W35" s="70" t="n">
        <v>0.11</v>
      </c>
      <c r="X35" s="436">
        <f>(P35+Q35)/G35</f>
        <v/>
      </c>
      <c r="Y35" s="16">
        <f>VLOOKUP(C35,台股行情!A:D,4,FALSE)</f>
        <v/>
      </c>
      <c r="Z35" s="437">
        <f>VLOOKUP(C35,台股行情!A:E,5,FALSE)</f>
        <v/>
      </c>
      <c r="AA35" s="438">
        <f>IF(I35="",((TODAY()-A35)*G35)/365.24,((I35-A35)*G35)/365.24)</f>
        <v/>
      </c>
      <c r="AB35" s="103" t="inlineStr">
        <is>
          <t>水某精選</t>
        </is>
      </c>
      <c r="AC35" s="103" t="n"/>
    </row>
    <row r="36" outlineLevel="1">
      <c r="A36" s="99" t="n">
        <v>44249</v>
      </c>
      <c r="B36" s="11" t="inlineStr">
        <is>
          <t>普通買進</t>
        </is>
      </c>
      <c r="C36" s="11" t="n">
        <v>2393</v>
      </c>
      <c r="D36" s="11" t="inlineStr">
        <is>
          <t>億光</t>
        </is>
      </c>
      <c r="E36" s="11" t="n">
        <v>1000</v>
      </c>
      <c r="F36" s="11" t="n">
        <v>47.75</v>
      </c>
      <c r="G36" s="11">
        <f>E36*F36</f>
        <v/>
      </c>
      <c r="H36" s="11" t="n">
        <v>65</v>
      </c>
      <c r="I36" s="104" t="n">
        <v>44260</v>
      </c>
      <c r="J36" s="16" t="n">
        <v>44.1</v>
      </c>
      <c r="K36" s="11">
        <f>E36*J36</f>
        <v/>
      </c>
      <c r="L36" s="17" t="n">
        <v>62</v>
      </c>
      <c r="M36" s="11" t="n">
        <v>132</v>
      </c>
      <c r="N36" s="11" t="n">
        <v>0</v>
      </c>
      <c r="O36" s="434">
        <f>IF(I36="",E36*Y36,0)</f>
        <v/>
      </c>
      <c r="P36" s="435">
        <f>IF(I36="",R36-H36,(K36-H36-SUM(L36:N36)+R36-S36-T36)-G36)+(ROUND(R36*V36,0)-ROUND(R36*(1+V36),0)*W36)</f>
        <v/>
      </c>
      <c r="Q36" s="435">
        <f>IF(I36="",(O36-G36-(O36*0.1425%*0.65)-(O36*0.3%)-S36-T36),0)</f>
        <v/>
      </c>
      <c r="R36" s="435" t="n"/>
      <c r="S36" s="435" t="n">
        <v>10</v>
      </c>
      <c r="T36" s="435">
        <f>IF(ROUND(R36*(1+V36),0)&gt;20000,ROUND(ROUND(R36*(1+V36),0)*2%,0),0)</f>
        <v/>
      </c>
      <c r="U36" s="69">
        <f>(V36*50%)/(1+50%*V36)</f>
        <v/>
      </c>
      <c r="V36" s="69" t="n"/>
      <c r="W36" s="70" t="n">
        <v>0.11</v>
      </c>
      <c r="X36" s="436">
        <f>(P36+Q36)/G36</f>
        <v/>
      </c>
      <c r="Y36" s="16">
        <f>VLOOKUP(C36,台股行情!A:D,4,FALSE)</f>
        <v/>
      </c>
      <c r="Z36" s="437">
        <f>VLOOKUP(C36,台股行情!A:E,5,FALSE)</f>
        <v/>
      </c>
      <c r="AA36" s="438">
        <f>IF(I36="",((TODAY()-A36)*G36)/365.24,((I36-A36)*G36)/365.24)</f>
        <v/>
      </c>
      <c r="AB36" s="103" t="inlineStr">
        <is>
          <t>水某精選</t>
        </is>
      </c>
      <c r="AC36" s="103" t="n"/>
    </row>
    <row r="37" outlineLevel="1">
      <c r="A37" s="99" t="n">
        <v>44249</v>
      </c>
      <c r="B37" s="11" t="inlineStr">
        <is>
          <t>普通買進</t>
        </is>
      </c>
      <c r="C37" s="11" t="n">
        <v>2456</v>
      </c>
      <c r="D37" s="208" t="inlineStr">
        <is>
          <t>奇力新</t>
        </is>
      </c>
      <c r="E37" s="11" t="n">
        <v>1000</v>
      </c>
      <c r="F37" s="11" t="n">
        <v>107</v>
      </c>
      <c r="G37" s="11">
        <f>E37*F37</f>
        <v/>
      </c>
      <c r="H37" s="11" t="n">
        <v>152</v>
      </c>
      <c r="I37" s="104" t="n">
        <v>44260</v>
      </c>
      <c r="J37" s="16" t="n">
        <v>109</v>
      </c>
      <c r="K37" s="11">
        <f>E37*J37</f>
        <v/>
      </c>
      <c r="L37" s="17" t="n">
        <v>155</v>
      </c>
      <c r="M37" s="11" t="n">
        <v>327</v>
      </c>
      <c r="N37" s="11" t="n">
        <v>0</v>
      </c>
      <c r="O37" s="434">
        <f>IF(I37="",E37*Y37,0)</f>
        <v/>
      </c>
      <c r="P37" s="435">
        <f>IF(I37="",R37-H37,(K37-H37-SUM(L37:N37)+R37-S37-T37)-G37)+(ROUND(R37*V37,0)-ROUND(R37*(1+V37),0)*W37)</f>
        <v/>
      </c>
      <c r="Q37" s="435">
        <f>IF(I37="",(O37-G37-(O37*0.1425%*0.65)-(O37*0.3%)-S37-T37),0)</f>
        <v/>
      </c>
      <c r="R37" s="435" t="n"/>
      <c r="S37" s="435" t="n">
        <v>10</v>
      </c>
      <c r="T37" s="435">
        <f>IF(ROUND(R37*(1+V37),0)&gt;20000,ROUND(ROUND(R37*(1+V37),0)*2%,0),0)</f>
        <v/>
      </c>
      <c r="U37" s="69">
        <f>(V37*50%)/(1+50%*V37)</f>
        <v/>
      </c>
      <c r="V37" s="69" t="n"/>
      <c r="W37" s="70" t="n">
        <v>0.11</v>
      </c>
      <c r="X37" s="436">
        <f>(P37+Q37)/G37</f>
        <v/>
      </c>
      <c r="Y37" s="16">
        <f>VLOOKUP(C37,台股行情!A:D,4,FALSE)</f>
        <v/>
      </c>
      <c r="Z37" s="437">
        <f>VLOOKUP(C37,台股行情!A:E,5,FALSE)</f>
        <v/>
      </c>
      <c r="AA37" s="438">
        <f>IF(I37="",((TODAY()-A37)*G37)/365.24,((I37-A37)*G37)/365.24)</f>
        <v/>
      </c>
      <c r="AB37" s="103" t="inlineStr">
        <is>
          <t>水某精選</t>
        </is>
      </c>
      <c r="AC37" s="103" t="n"/>
    </row>
    <row r="38" outlineLevel="1">
      <c r="A38" s="99" t="n">
        <v>44250</v>
      </c>
      <c r="B38" s="11" t="inlineStr">
        <is>
          <t>普通買進</t>
        </is>
      </c>
      <c r="C38" s="11" t="n">
        <v>2344</v>
      </c>
      <c r="D38" s="11" t="inlineStr">
        <is>
          <t>華邦電</t>
        </is>
      </c>
      <c r="E38" s="11" t="n">
        <v>1000</v>
      </c>
      <c r="F38" s="11" t="n">
        <v>30.55</v>
      </c>
      <c r="G38" s="11">
        <f>E38*F38</f>
        <v/>
      </c>
      <c r="H38" s="11" t="n">
        <v>43</v>
      </c>
      <c r="I38" s="104" t="n">
        <v>44260</v>
      </c>
      <c r="J38" s="16" t="n">
        <v>27.75</v>
      </c>
      <c r="K38" s="11">
        <f>E38*J38</f>
        <v/>
      </c>
      <c r="L38" s="17" t="n">
        <v>39</v>
      </c>
      <c r="M38" s="11" t="n">
        <v>83</v>
      </c>
      <c r="N38" s="11" t="n">
        <v>0</v>
      </c>
      <c r="O38" s="434">
        <f>IF(I38="",E38*Y38,0)</f>
        <v/>
      </c>
      <c r="P38" s="435">
        <f>IF(I38="",R38-H38,(K38-H38-SUM(L38:N38)+R38-S38-T38)-G38)+(ROUND(R38*V38,0)-ROUND(R38*(1+V38),0)*W38)</f>
        <v/>
      </c>
      <c r="Q38" s="435">
        <f>IF(I38="",(O38-G38-(O38*0.1425%*0.65)-(O38*0.3%)-S38-T38),0)</f>
        <v/>
      </c>
      <c r="R38" s="435" t="n"/>
      <c r="S38" s="435" t="n">
        <v>10</v>
      </c>
      <c r="T38" s="435">
        <f>IF(ROUND(R38*(1+V38),0)&gt;20000,ROUND(ROUND(R38*(1+V38),0)*2%,0),0)</f>
        <v/>
      </c>
      <c r="U38" s="69">
        <f>(V38*50%)/(1+50%*V38)</f>
        <v/>
      </c>
      <c r="V38" s="69" t="n"/>
      <c r="W38" s="70" t="n">
        <v>0.11</v>
      </c>
      <c r="X38" s="436">
        <f>(P38+Q38)/G38</f>
        <v/>
      </c>
      <c r="Y38" s="16">
        <f>VLOOKUP(C38,台股行情!A:D,4,FALSE)</f>
        <v/>
      </c>
      <c r="Z38" s="437">
        <f>VLOOKUP(C38,台股行情!A:E,5,FALSE)</f>
        <v/>
      </c>
      <c r="AA38" s="438">
        <f>IF(I38="",((TODAY()-A38)*G38)/365.24,((I38-A38)*G38)/365.24)</f>
        <v/>
      </c>
      <c r="AB38" s="103" t="inlineStr">
        <is>
          <t>水某精選</t>
        </is>
      </c>
      <c r="AC38" s="103" t="n"/>
    </row>
    <row r="39" outlineLevel="1">
      <c r="A39" s="99" t="n">
        <v>44251</v>
      </c>
      <c r="B39" s="11" t="inlineStr">
        <is>
          <t>普通買進</t>
        </is>
      </c>
      <c r="C39" s="11" t="n">
        <v>2890</v>
      </c>
      <c r="D39" s="11" t="inlineStr">
        <is>
          <t>永豐金</t>
        </is>
      </c>
      <c r="E39" s="11" t="n">
        <v>1000</v>
      </c>
      <c r="F39" s="11" t="n">
        <v>11.8</v>
      </c>
      <c r="G39" s="11">
        <f>E39*F39</f>
        <v/>
      </c>
      <c r="H39" s="11" t="n">
        <v>20</v>
      </c>
      <c r="I39" s="104" t="n">
        <v>44260</v>
      </c>
      <c r="J39" s="16" t="n">
        <v>11.65</v>
      </c>
      <c r="K39" s="11">
        <f>E39*J39</f>
        <v/>
      </c>
      <c r="L39" s="17" t="n">
        <v>20</v>
      </c>
      <c r="M39" s="11" t="n">
        <v>34</v>
      </c>
      <c r="N39" s="11" t="n">
        <v>0</v>
      </c>
      <c r="O39" s="434">
        <f>IF(I39="",E39*Y39,0)</f>
        <v/>
      </c>
      <c r="P39" s="435">
        <f>IF(I39="",R39-H39,(K39-H39-SUM(L39:N39)+R39-S39-T39)-G39)+(ROUND(R39*V39,0)-ROUND(R39*(1+V39),0)*W39)</f>
        <v/>
      </c>
      <c r="Q39" s="435">
        <f>IF(I39="",(O39-G39-(O39*0.1425%*0.65)-(O39*0.3%)-S39-T39),0)</f>
        <v/>
      </c>
      <c r="R39" s="435" t="n"/>
      <c r="S39" s="435" t="n">
        <v>10</v>
      </c>
      <c r="T39" s="435">
        <f>IF(ROUND(R39*(1+V39),0)&gt;20000,ROUND(ROUND(R39*(1+V39),0)*2%,0),0)</f>
        <v/>
      </c>
      <c r="U39" s="69">
        <f>(V39*50%)/(1+50%*V39)</f>
        <v/>
      </c>
      <c r="V39" s="69" t="n"/>
      <c r="W39" s="70" t="n">
        <v>0.11</v>
      </c>
      <c r="X39" s="436">
        <f>(P39+Q39)/G39</f>
        <v/>
      </c>
      <c r="Y39" s="16">
        <f>VLOOKUP(C39,台股行情!A:D,4,FALSE)</f>
        <v/>
      </c>
      <c r="Z39" s="437">
        <f>VLOOKUP(C39,台股行情!A:E,5,FALSE)</f>
        <v/>
      </c>
      <c r="AA39" s="438">
        <f>IF(I39="",((TODAY()-A39)*G39)/365.24,((I39-A39)*G39)/365.24)</f>
        <v/>
      </c>
      <c r="AB39" s="103" t="inlineStr">
        <is>
          <t>法人蜘蛛網</t>
        </is>
      </c>
      <c r="AC39" s="135" t="inlineStr">
        <is>
          <t>大盤跌破均線，停損</t>
        </is>
      </c>
    </row>
    <row r="40" outlineLevel="1">
      <c r="A40" s="99" t="n">
        <v>44251</v>
      </c>
      <c r="B40" s="11" t="inlineStr">
        <is>
          <t>普通買進</t>
        </is>
      </c>
      <c r="C40" s="11" t="n">
        <v>2891</v>
      </c>
      <c r="D40" s="11" t="inlineStr">
        <is>
          <t>中信金</t>
        </is>
      </c>
      <c r="E40" s="11" t="n">
        <v>1000</v>
      </c>
      <c r="F40" s="11" t="n">
        <v>20.8</v>
      </c>
      <c r="G40" s="11">
        <f>E40*F40</f>
        <v/>
      </c>
      <c r="H40" s="11" t="n">
        <v>29</v>
      </c>
      <c r="I40" s="104" t="n">
        <v>44260</v>
      </c>
      <c r="J40" s="16" t="n">
        <v>20.15</v>
      </c>
      <c r="K40" s="11">
        <f>E40*J40</f>
        <v/>
      </c>
      <c r="L40" s="17" t="n">
        <v>28</v>
      </c>
      <c r="M40" s="11" t="n">
        <v>60</v>
      </c>
      <c r="N40" s="11" t="n">
        <v>0</v>
      </c>
      <c r="O40" s="434">
        <f>IF(I40="",E40*Y40,0)</f>
        <v/>
      </c>
      <c r="P40" s="435">
        <f>IF(I40="",R40-H40,(K40-H40-SUM(L40:N40)+R40-S40-T40)-G40)+(ROUND(R40*V40,0)-ROUND(R40*(1+V40),0)*W40)</f>
        <v/>
      </c>
      <c r="Q40" s="435">
        <f>IF(I40="",(O40-G40-(O40*0.1425%*0.65)-(O40*0.3%)-S40-T40),0)</f>
        <v/>
      </c>
      <c r="R40" s="435" t="n"/>
      <c r="S40" s="435" t="n">
        <v>10</v>
      </c>
      <c r="T40" s="435">
        <f>IF(ROUND(R40*(1+V40),0)&gt;20000,ROUND(ROUND(R40*(1+V40),0)*2%,0),0)</f>
        <v/>
      </c>
      <c r="U40" s="69">
        <f>(V40*50%)/(1+50%*V40)</f>
        <v/>
      </c>
      <c r="V40" s="69" t="n"/>
      <c r="W40" s="70" t="n">
        <v>0.11</v>
      </c>
      <c r="X40" s="436">
        <f>(P40+Q40)/G40</f>
        <v/>
      </c>
      <c r="Y40" s="16">
        <f>VLOOKUP(C40,台股行情!A:D,4,FALSE)</f>
        <v/>
      </c>
      <c r="Z40" s="437">
        <f>VLOOKUP(C40,台股行情!A:E,5,FALSE)</f>
        <v/>
      </c>
      <c r="AA40" s="438">
        <f>IF(I40="",((TODAY()-A40)*G40)/365.24,((I40-A40)*G40)/365.24)</f>
        <v/>
      </c>
      <c r="AB40" s="103" t="inlineStr">
        <is>
          <t>法人蜘蛛網</t>
        </is>
      </c>
      <c r="AC40" s="143" t="inlineStr">
        <is>
          <t>大盤跌破均線，停損</t>
        </is>
      </c>
    </row>
    <row r="41" outlineLevel="1">
      <c r="A41" s="99" t="n">
        <v>44251</v>
      </c>
      <c r="B41" s="11" t="inlineStr">
        <is>
          <t>普通買進</t>
        </is>
      </c>
      <c r="C41" s="11" t="n">
        <v>1301</v>
      </c>
      <c r="D41" s="11" t="inlineStr">
        <is>
          <t>台塑</t>
        </is>
      </c>
      <c r="E41" s="11" t="n">
        <v>1000</v>
      </c>
      <c r="F41" s="11" t="n">
        <v>100</v>
      </c>
      <c r="G41" s="11">
        <f>E41*F41</f>
        <v/>
      </c>
      <c r="H41" s="11" t="n">
        <v>142</v>
      </c>
      <c r="I41" s="104" t="n">
        <v>44267</v>
      </c>
      <c r="J41" s="16" t="n">
        <v>104.5</v>
      </c>
      <c r="K41" s="11">
        <f>E41*J41</f>
        <v/>
      </c>
      <c r="L41" s="17" t="n">
        <v>148</v>
      </c>
      <c r="M41" s="11" t="n">
        <v>313</v>
      </c>
      <c r="N41" s="11" t="n">
        <v>0</v>
      </c>
      <c r="O41" s="434">
        <f>IF(I41="",E41*Y41,0)</f>
        <v/>
      </c>
      <c r="P41" s="435">
        <f>IF(I41="",R41-H41,(K41-H41-SUM(L41:N41)+R41-S41-T41)-G41)+(ROUND(R41*V41,0)-ROUND(R41*(1+V41),0)*W41)</f>
        <v/>
      </c>
      <c r="Q41" s="435">
        <f>IF(I41="",(O41-G41-(O41*0.1425%*0.65)-(O41*0.3%)-S41-T41),0)</f>
        <v/>
      </c>
      <c r="R41" s="435" t="n"/>
      <c r="S41" s="435" t="n">
        <v>10</v>
      </c>
      <c r="T41" s="435">
        <f>IF(ROUND(R41*(1+V41),0)&gt;20000,ROUND(ROUND(R41*(1+V41),0)*2%,0),0)</f>
        <v/>
      </c>
      <c r="U41" s="69">
        <f>(V41*50%)/(1+50%*V41)</f>
        <v/>
      </c>
      <c r="V41" s="69" t="n"/>
      <c r="W41" s="70" t="n">
        <v>0.11</v>
      </c>
      <c r="X41" s="436">
        <f>(P41+Q41)/G41</f>
        <v/>
      </c>
      <c r="Y41" s="16">
        <f>VLOOKUP(C41,台股行情!A:D,4,FALSE)</f>
        <v/>
      </c>
      <c r="Z41" s="437">
        <f>VLOOKUP(C41,台股行情!A:E,5,FALSE)</f>
        <v/>
      </c>
      <c r="AA41" s="438">
        <f>IF(I41="",((TODAY()-A41)*G41)/365.24,((I41-A41)*G41)/365.24)</f>
        <v/>
      </c>
      <c r="AB41" s="103" t="inlineStr">
        <is>
          <t>法人蜘蛛網</t>
        </is>
      </c>
      <c r="AC41" s="103" t="inlineStr">
        <is>
          <t>量能不足，停利</t>
        </is>
      </c>
    </row>
    <row r="42" outlineLevel="1">
      <c r="A42" s="99" t="n">
        <v>44251</v>
      </c>
      <c r="B42" s="11" t="inlineStr">
        <is>
          <t>普通買進</t>
        </is>
      </c>
      <c r="C42" s="11" t="n">
        <v>1305</v>
      </c>
      <c r="D42" s="11" t="inlineStr">
        <is>
          <t>華夏</t>
        </is>
      </c>
      <c r="E42" s="11" t="n">
        <v>1000</v>
      </c>
      <c r="F42" s="11" t="n">
        <v>29.85</v>
      </c>
      <c r="G42" s="11">
        <f>E42*F42</f>
        <v/>
      </c>
      <c r="H42" s="11" t="n">
        <v>42</v>
      </c>
      <c r="I42" s="104" t="n">
        <v>44267</v>
      </c>
      <c r="J42" s="16" t="n">
        <v>33.05</v>
      </c>
      <c r="K42" s="11">
        <f>E42*J42</f>
        <v/>
      </c>
      <c r="L42" s="17" t="n">
        <v>47</v>
      </c>
      <c r="M42" s="11" t="n">
        <v>99</v>
      </c>
      <c r="N42" s="11" t="n">
        <v>0</v>
      </c>
      <c r="O42" s="434">
        <f>IF(I42="",E42*Y42,0)</f>
        <v/>
      </c>
      <c r="P42" s="435">
        <f>IF(I42="",R42-H42,(K42-H42-SUM(L42:N42)+R42-S42-T42)-G42)+(ROUND(R42*V42,0)-ROUND(R42*(1+V42),0)*W42)</f>
        <v/>
      </c>
      <c r="Q42" s="435">
        <f>IF(I42="",(O42-G42-(O42*0.1425%*0.65)-(O42*0.3%)-S42-T42),0)</f>
        <v/>
      </c>
      <c r="R42" s="435" t="n"/>
      <c r="S42" s="435" t="n">
        <v>10</v>
      </c>
      <c r="T42" s="435">
        <f>IF(ROUND(R42*(1+V42),0)&gt;20000,ROUND(ROUND(R42*(1+V42),0)*2%,0),0)</f>
        <v/>
      </c>
      <c r="U42" s="69">
        <f>(V42*50%)/(1+50%*V42)</f>
        <v/>
      </c>
      <c r="V42" s="69" t="n"/>
      <c r="W42" s="70" t="n">
        <v>0.11</v>
      </c>
      <c r="X42" s="436">
        <f>(P42+Q42)/G42</f>
        <v/>
      </c>
      <c r="Y42" s="16">
        <f>VLOOKUP(C42,台股行情!A:D,4,FALSE)</f>
        <v/>
      </c>
      <c r="Z42" s="437">
        <f>VLOOKUP(C42,台股行情!A:E,5,FALSE)</f>
        <v/>
      </c>
      <c r="AA42" s="438">
        <f>IF(I42="",((TODAY()-A42)*G42)/365.24,((I42-A42)*G42)/365.24)</f>
        <v/>
      </c>
      <c r="AB42" s="103" t="inlineStr">
        <is>
          <t>法人蜘蛛網</t>
        </is>
      </c>
      <c r="AC42" s="103" t="inlineStr">
        <is>
          <t>量能不足，停利</t>
        </is>
      </c>
    </row>
    <row r="43" outlineLevel="1">
      <c r="A43" s="99" t="n">
        <v>44251</v>
      </c>
      <c r="B43" s="11" t="inlineStr">
        <is>
          <t>普通買進</t>
        </is>
      </c>
      <c r="C43" s="11" t="n">
        <v>1802</v>
      </c>
      <c r="D43" s="11" t="inlineStr">
        <is>
          <t>台玻</t>
        </is>
      </c>
      <c r="E43" s="11" t="n">
        <v>2000</v>
      </c>
      <c r="F43" s="11" t="n">
        <v>19.65</v>
      </c>
      <c r="G43" s="11">
        <f>E43*F43</f>
        <v/>
      </c>
      <c r="H43" s="11" t="n">
        <v>56</v>
      </c>
      <c r="I43" s="104" t="n">
        <v>44267</v>
      </c>
      <c r="J43" s="16" t="n">
        <v>20.05</v>
      </c>
      <c r="K43" s="11">
        <f>E43*J43</f>
        <v/>
      </c>
      <c r="L43" s="17" t="n">
        <v>57</v>
      </c>
      <c r="M43" s="11" t="n">
        <v>120</v>
      </c>
      <c r="N43" s="11" t="n">
        <v>0</v>
      </c>
      <c r="O43" s="434">
        <f>IF(I43="",E43*Y43,0)</f>
        <v/>
      </c>
      <c r="P43" s="435">
        <f>IF(I43="",R43-H43,(K43-H43-SUM(L43:N43)+R43-S43-T43)-G43)+(ROUND(R43*V43,0)-ROUND(R43*(1+V43),0)*W43)</f>
        <v/>
      </c>
      <c r="Q43" s="435">
        <f>IF(I43="",(O43-G43-(O43*0.1425%*0.65)-(O43*0.3%)-S43-T43),0)</f>
        <v/>
      </c>
      <c r="R43" s="435" t="n"/>
      <c r="S43" s="435" t="n">
        <v>10</v>
      </c>
      <c r="T43" s="435">
        <f>IF(ROUND(R43*(1+V43),0)&gt;20000,ROUND(ROUND(R43*(1+V43),0)*2%,0),0)</f>
        <v/>
      </c>
      <c r="U43" s="69">
        <f>(V43*50%)/(1+50%*V43)</f>
        <v/>
      </c>
      <c r="V43" s="69" t="n"/>
      <c r="W43" s="70" t="n">
        <v>0.11</v>
      </c>
      <c r="X43" s="436">
        <f>(P43+Q43)/G43</f>
        <v/>
      </c>
      <c r="Y43" s="16">
        <f>VLOOKUP(C43,台股行情!A:D,4,FALSE)</f>
        <v/>
      </c>
      <c r="Z43" s="437">
        <f>VLOOKUP(C43,台股行情!A:E,5,FALSE)</f>
        <v/>
      </c>
      <c r="AA43" s="438">
        <f>IF(I43="",((TODAY()-A43)*G43)/365.24,((I43-A43)*G43)/365.24)</f>
        <v/>
      </c>
      <c r="AB43" s="103" t="inlineStr">
        <is>
          <t>法人蜘蛛網</t>
        </is>
      </c>
      <c r="AC43" s="103" t="inlineStr">
        <is>
          <t>量能不足，停利</t>
        </is>
      </c>
    </row>
    <row r="44" outlineLevel="1">
      <c r="A44" s="99" t="n">
        <v>44251</v>
      </c>
      <c r="B44" s="11" t="inlineStr">
        <is>
          <t>普通買進</t>
        </is>
      </c>
      <c r="C44" s="11" t="n">
        <v>2002</v>
      </c>
      <c r="D44" s="11" t="inlineStr">
        <is>
          <t>中鋼</t>
        </is>
      </c>
      <c r="E44" s="11" t="n">
        <v>1000</v>
      </c>
      <c r="F44" s="11" t="n">
        <v>25.45</v>
      </c>
      <c r="G44" s="11">
        <f>E44*F44</f>
        <v/>
      </c>
      <c r="H44" s="11" t="n">
        <v>36</v>
      </c>
      <c r="I44" s="104" t="n">
        <v>44267</v>
      </c>
      <c r="J44" s="16" t="n">
        <v>25.8</v>
      </c>
      <c r="K44" s="11">
        <f>E44*J44</f>
        <v/>
      </c>
      <c r="L44" s="17" t="n">
        <v>36</v>
      </c>
      <c r="M44" s="11" t="n">
        <v>77</v>
      </c>
      <c r="N44" s="11" t="n">
        <v>0</v>
      </c>
      <c r="O44" s="434">
        <f>IF(I44="",E44*Y44,0)</f>
        <v/>
      </c>
      <c r="P44" s="435">
        <f>IF(I44="",R44-H44,(K44-H44-SUM(L44:N44)+R44-S44-T44)-G44)+(ROUND(R44*V44,0)-ROUND(R44*(1+V44),0)*W44)</f>
        <v/>
      </c>
      <c r="Q44" s="435">
        <f>IF(I44="",(O44-G44-(O44*0.1425%*0.65)-(O44*0.3%)-S44-T44),0)</f>
        <v/>
      </c>
      <c r="R44" s="435" t="n"/>
      <c r="S44" s="435" t="n">
        <v>10</v>
      </c>
      <c r="T44" s="435">
        <f>IF(ROUND(R44*(1+V44),0)&gt;20000,ROUND(ROUND(R44*(1+V44),0)*2%,0),0)</f>
        <v/>
      </c>
      <c r="U44" s="69">
        <f>(V44*50%)/(1+50%*V44)</f>
        <v/>
      </c>
      <c r="V44" s="69" t="n"/>
      <c r="W44" s="70" t="n">
        <v>0.11</v>
      </c>
      <c r="X44" s="436">
        <f>(P44+Q44)/G44</f>
        <v/>
      </c>
      <c r="Y44" s="16">
        <f>VLOOKUP(C44,台股行情!A:D,4,FALSE)</f>
        <v/>
      </c>
      <c r="Z44" s="437">
        <f>VLOOKUP(C44,台股行情!A:E,5,FALSE)</f>
        <v/>
      </c>
      <c r="AA44" s="438">
        <f>IF(I44="",((TODAY()-A44)*G44)/365.24,((I44-A44)*G44)/365.24)</f>
        <v/>
      </c>
      <c r="AB44" s="103" t="inlineStr">
        <is>
          <t>法人蜘蛛網</t>
        </is>
      </c>
      <c r="AC44" s="103" t="inlineStr">
        <is>
          <t>量能不足，停利</t>
        </is>
      </c>
    </row>
    <row r="45" outlineLevel="1">
      <c r="A45" s="99" t="n">
        <v>44267</v>
      </c>
      <c r="B45" s="11" t="inlineStr">
        <is>
          <t>普通買進</t>
        </is>
      </c>
      <c r="C45" s="11" t="n">
        <v>2338</v>
      </c>
      <c r="D45" s="11" t="inlineStr">
        <is>
          <t>光罩</t>
        </is>
      </c>
      <c r="E45" s="11" t="n">
        <v>2000</v>
      </c>
      <c r="F45" s="11" t="n">
        <v>51.4</v>
      </c>
      <c r="G45" s="11">
        <f>E45*F45</f>
        <v/>
      </c>
      <c r="H45" s="11" t="n">
        <v>73</v>
      </c>
      <c r="I45" s="104" t="n">
        <v>44267</v>
      </c>
      <c r="J45" s="16" t="n">
        <v>53.7</v>
      </c>
      <c r="K45" s="11">
        <f>E45*J45</f>
        <v/>
      </c>
      <c r="L45" s="17" t="n">
        <v>76</v>
      </c>
      <c r="M45" s="11" t="n">
        <v>80</v>
      </c>
      <c r="N45" s="11" t="n">
        <v>0</v>
      </c>
      <c r="O45" s="434">
        <f>IF(I45="",E45*Y45,0)</f>
        <v/>
      </c>
      <c r="P45" s="435">
        <f>IF(I45="",R45-H45,(K45-H45-SUM(L45:N45)+R45-S45-T45)-G45)+(ROUND(R45*V45,0)-ROUND(R45*(1+V45),0)*W45)</f>
        <v/>
      </c>
      <c r="Q45" s="435">
        <f>IF(I45="",(O45-G45-(O45*0.1425%*0.65)-(O45*0.3%)-S45-T45),0)</f>
        <v/>
      </c>
      <c r="R45" s="435" t="n"/>
      <c r="S45" s="435" t="n">
        <v>10</v>
      </c>
      <c r="T45" s="435">
        <f>IF(ROUND(R45*(1+V45),0)&gt;20000,ROUND(ROUND(R45*(1+V45),0)*2%,0),0)</f>
        <v/>
      </c>
      <c r="U45" s="69">
        <f>(V45*50%)/(1+50%*V45)</f>
        <v/>
      </c>
      <c r="V45" s="69" t="n"/>
      <c r="W45" s="70" t="n">
        <v>0.11</v>
      </c>
      <c r="X45" s="436">
        <f>(P45+Q45)/G45</f>
        <v/>
      </c>
      <c r="Y45" s="16">
        <f>VLOOKUP(C45,台股行情!A:D,4,FALSE)</f>
        <v/>
      </c>
      <c r="Z45" s="437">
        <f>VLOOKUP(C45,台股行情!A:E,5,FALSE)</f>
        <v/>
      </c>
      <c r="AA45" s="438">
        <f>IF(I45="",((TODAY()-A45)*G45)/365.24,((I45-A45)*G45)/365.24)</f>
        <v/>
      </c>
      <c r="AB45" s="103" t="inlineStr">
        <is>
          <t>小朋友學投資</t>
        </is>
      </c>
      <c r="AC45" s="103" t="inlineStr">
        <is>
          <t>當沖</t>
        </is>
      </c>
    </row>
    <row r="46" outlineLevel="1">
      <c r="A46" s="99" t="n">
        <v>44267</v>
      </c>
      <c r="B46" s="11" t="inlineStr">
        <is>
          <t>普通買進</t>
        </is>
      </c>
      <c r="C46" s="11" t="n">
        <v>6138</v>
      </c>
      <c r="D46" s="11" t="inlineStr">
        <is>
          <t>茂達</t>
        </is>
      </c>
      <c r="E46" s="11" t="n">
        <v>1000</v>
      </c>
      <c r="F46" s="11" t="n">
        <v>114.5</v>
      </c>
      <c r="G46" s="11">
        <f>E46*F46</f>
        <v/>
      </c>
      <c r="H46" s="11" t="n">
        <v>163</v>
      </c>
      <c r="I46" s="104" t="n">
        <v>44267</v>
      </c>
      <c r="J46" s="16" t="n">
        <v>115.5</v>
      </c>
      <c r="K46" s="11">
        <f>E46*J46</f>
        <v/>
      </c>
      <c r="L46" s="17" t="n">
        <v>164</v>
      </c>
      <c r="M46" s="11" t="n">
        <v>173</v>
      </c>
      <c r="N46" s="11" t="n">
        <v>0</v>
      </c>
      <c r="O46" s="434">
        <f>IF(I46="",E46*Y46,0)</f>
        <v/>
      </c>
      <c r="P46" s="435">
        <f>IF(I46="",R46-H46,(K46-H46-SUM(L46:N46)+R46-S46-T46)-G46)+(ROUND(R46*V46,0)-ROUND(R46*(1+V46),0)*W46)</f>
        <v/>
      </c>
      <c r="Q46" s="435">
        <f>IF(I46="",(O46-G46-(O46*0.1425%*0.65)-(O46*0.3%)-S46-T46),0)</f>
        <v/>
      </c>
      <c r="R46" s="435" t="n"/>
      <c r="S46" s="435" t="n">
        <v>10</v>
      </c>
      <c r="T46" s="435">
        <f>IF(ROUND(R46*(1+V46),0)&gt;20000,ROUND(ROUND(R46*(1+V46),0)*2%,0),0)</f>
        <v/>
      </c>
      <c r="U46" s="69">
        <f>(V46*50%)/(1+50%*V46)</f>
        <v/>
      </c>
      <c r="V46" s="69" t="n"/>
      <c r="W46" s="70" t="n">
        <v>0.11</v>
      </c>
      <c r="X46" s="436">
        <f>(P46+Q46)/G46</f>
        <v/>
      </c>
      <c r="Y46" s="16">
        <f>VLOOKUP(C46,台股行情!A:D,4,FALSE)</f>
        <v/>
      </c>
      <c r="Z46" s="437">
        <f>VLOOKUP(C46,台股行情!A:E,5,FALSE)</f>
        <v/>
      </c>
      <c r="AA46" s="438">
        <f>IF(I46="",((TODAY()-A46)*G46)/365.24,((I46-A46)*G46)/365.24)</f>
        <v/>
      </c>
      <c r="AB46" s="103" t="inlineStr">
        <is>
          <t>小朋友學投資</t>
        </is>
      </c>
      <c r="AC46" s="103" t="inlineStr">
        <is>
          <t>當沖</t>
        </is>
      </c>
    </row>
    <row r="47" outlineLevel="1">
      <c r="A47" s="99" t="n">
        <v>44270</v>
      </c>
      <c r="B47" s="11" t="inlineStr">
        <is>
          <t>普通買進</t>
        </is>
      </c>
      <c r="C47" s="11" t="n">
        <v>4953</v>
      </c>
      <c r="D47" s="11" t="inlineStr">
        <is>
          <t>緯軟</t>
        </is>
      </c>
      <c r="E47" s="11" t="n">
        <v>1000</v>
      </c>
      <c r="F47" s="11" t="n">
        <v>107</v>
      </c>
      <c r="G47" s="11">
        <f>E47*F47</f>
        <v/>
      </c>
      <c r="H47" s="11" t="n">
        <v>152</v>
      </c>
      <c r="I47" s="104" t="n">
        <v>44270</v>
      </c>
      <c r="J47" s="16" t="n">
        <v>108</v>
      </c>
      <c r="K47" s="11">
        <f>E47*J47</f>
        <v/>
      </c>
      <c r="L47" s="17" t="n">
        <v>153</v>
      </c>
      <c r="M47" s="11" t="n">
        <v>162</v>
      </c>
      <c r="N47" s="11" t="n">
        <v>0</v>
      </c>
      <c r="O47" s="434">
        <f>IF(I47="",E47*Y47,0)</f>
        <v/>
      </c>
      <c r="P47" s="435">
        <f>IF(I47="",R47-H47,(K47-H47-SUM(L47:N47)+R47-S47-T47)-G47)+(ROUND(R47*V47,0)-ROUND(R47*(1+V47),0)*W47)</f>
        <v/>
      </c>
      <c r="Q47" s="435">
        <f>IF(I47="",(O47-G47-(O47*0.1425%*0.65)-(O47*0.3%)-S47-T47),0)</f>
        <v/>
      </c>
      <c r="R47" s="435" t="n"/>
      <c r="S47" s="435" t="n">
        <v>10</v>
      </c>
      <c r="T47" s="435">
        <f>IF(ROUND(R47*(1+V47),0)&gt;20000,ROUND(ROUND(R47*(1+V47),0)*2%,0),0)</f>
        <v/>
      </c>
      <c r="U47" s="69">
        <f>(V47*50%)/(1+50%*V47)</f>
        <v/>
      </c>
      <c r="V47" s="69" t="n"/>
      <c r="W47" s="70" t="n">
        <v>0.11</v>
      </c>
      <c r="X47" s="436">
        <f>(P47+Q47)/G47</f>
        <v/>
      </c>
      <c r="Y47" s="16">
        <f>VLOOKUP(C47,台股行情!A:D,4,FALSE)</f>
        <v/>
      </c>
      <c r="Z47" s="437">
        <f>VLOOKUP(C47,台股行情!A:E,5,FALSE)</f>
        <v/>
      </c>
      <c r="AA47" s="438">
        <f>IF(I47="",((TODAY()-A47)*G47)/365.24,((I47-A47)*G47)/365.24)</f>
        <v/>
      </c>
      <c r="AB47" s="103" t="inlineStr">
        <is>
          <t>阿水一式</t>
        </is>
      </c>
      <c r="AC47" s="103" t="inlineStr">
        <is>
          <t>多下單，改當沖</t>
        </is>
      </c>
    </row>
    <row r="48" outlineLevel="1">
      <c r="A48" s="99" t="n">
        <v>44270</v>
      </c>
      <c r="B48" s="11" t="inlineStr">
        <is>
          <t>普通買進</t>
        </is>
      </c>
      <c r="C48" s="11" t="n">
        <v>2338</v>
      </c>
      <c r="D48" s="11" t="inlineStr">
        <is>
          <t>光罩</t>
        </is>
      </c>
      <c r="E48" s="11" t="n">
        <v>1000</v>
      </c>
      <c r="F48" s="11" t="n">
        <v>53.9</v>
      </c>
      <c r="G48" s="11">
        <f>E48*F48</f>
        <v/>
      </c>
      <c r="H48" s="11" t="n">
        <v>76</v>
      </c>
      <c r="I48" s="104" t="n">
        <v>44271</v>
      </c>
      <c r="J48" s="16" t="n">
        <v>54.9</v>
      </c>
      <c r="K48" s="11">
        <f>E48*J48</f>
        <v/>
      </c>
      <c r="L48" s="17" t="n">
        <v>78</v>
      </c>
      <c r="M48" s="11" t="n">
        <v>164</v>
      </c>
      <c r="N48" s="11" t="n">
        <v>0</v>
      </c>
      <c r="O48" s="434">
        <f>IF(I48="",E48*Y48,0)</f>
        <v/>
      </c>
      <c r="P48" s="435">
        <f>IF(I48="",R48-H48,(K48-H48-SUM(L48:N48)+R48-S48-T48)-G48)+(ROUND(R48*V48,0)-ROUND(R48*(1+V48),0)*W48)</f>
        <v/>
      </c>
      <c r="Q48" s="435">
        <f>IF(I48="",(O48-G48-(O48*0.1425%*0.65)-(O48*0.3%)-S48-T48),0)</f>
        <v/>
      </c>
      <c r="R48" s="435" t="n"/>
      <c r="S48" s="435" t="n">
        <v>10</v>
      </c>
      <c r="T48" s="435">
        <f>IF(ROUND(R48*(1+V48),0)&gt;20000,ROUND(ROUND(R48*(1+V48),0)*2%,0),0)</f>
        <v/>
      </c>
      <c r="U48" s="69">
        <f>(V48*50%)/(1+50%*V48)</f>
        <v/>
      </c>
      <c r="V48" s="69" t="n"/>
      <c r="W48" s="70" t="n">
        <v>0.11</v>
      </c>
      <c r="X48" s="436">
        <f>(P48+Q48)/G48</f>
        <v/>
      </c>
      <c r="Y48" s="16">
        <f>VLOOKUP(C48,台股行情!A:D,4,FALSE)</f>
        <v/>
      </c>
      <c r="Z48" s="437">
        <f>VLOOKUP(C48,台股行情!A:E,5,FALSE)</f>
        <v/>
      </c>
      <c r="AA48" s="438">
        <f>IF(I48="",((TODAY()-A48)*G48)/365.24,((I48-A48)*G48)/365.24)</f>
        <v/>
      </c>
      <c r="AB48" s="103" t="inlineStr">
        <is>
          <t>小朋友學投資</t>
        </is>
      </c>
      <c r="AC48" s="103" t="inlineStr">
        <is>
          <t>量能不足，停利</t>
        </is>
      </c>
    </row>
    <row r="49" outlineLevel="1">
      <c r="A49" s="99" t="n">
        <v>44272</v>
      </c>
      <c r="B49" s="11" t="inlineStr">
        <is>
          <t>普通買進</t>
        </is>
      </c>
      <c r="C49" s="11" t="n">
        <v>3092</v>
      </c>
      <c r="D49" s="11" t="inlineStr">
        <is>
          <t>鴻碩</t>
        </is>
      </c>
      <c r="E49" s="11" t="n">
        <v>1000</v>
      </c>
      <c r="F49" s="11" t="n">
        <v>78.8</v>
      </c>
      <c r="G49" s="11">
        <f>E49*F49</f>
        <v/>
      </c>
      <c r="H49" s="11" t="n">
        <v>112</v>
      </c>
      <c r="I49" s="104" t="n">
        <v>44277</v>
      </c>
      <c r="J49" s="16" t="n">
        <v>73.90000000000001</v>
      </c>
      <c r="K49" s="11">
        <f>E49*J49</f>
        <v/>
      </c>
      <c r="L49" s="17" t="n">
        <v>105</v>
      </c>
      <c r="M49" s="11" t="n">
        <v>221</v>
      </c>
      <c r="N49" s="11" t="n">
        <v>0</v>
      </c>
      <c r="O49" s="434">
        <f>IF(I49="",E49*Y49,0)</f>
        <v/>
      </c>
      <c r="P49" s="435">
        <f>IF(I49="",R49-H49,(K49-H49-SUM(L49:N49)+R49-S49-T49)-G49)+(ROUND(R49*V49,0)-ROUND(R49*(1+V49),0)*W49)</f>
        <v/>
      </c>
      <c r="Q49" s="435">
        <f>IF(I49="",(O49-G49-(O49*0.1425%*0.65)-(O49*0.3%)-S49-T49),0)</f>
        <v/>
      </c>
      <c r="R49" s="435" t="n"/>
      <c r="S49" s="435" t="n">
        <v>10</v>
      </c>
      <c r="T49" s="435">
        <f>IF(ROUND(R49*(1+V49),0)&gt;20000,ROUND(ROUND(R49*(1+V49),0)*2%,0),0)</f>
        <v/>
      </c>
      <c r="U49" s="69">
        <f>(V49*50%)/(1+50%*V49)</f>
        <v/>
      </c>
      <c r="V49" s="69" t="n"/>
      <c r="W49" s="70" t="n">
        <v>0.11</v>
      </c>
      <c r="X49" s="436">
        <f>(P49+Q49)/G49</f>
        <v/>
      </c>
      <c r="Y49" s="16">
        <f>VLOOKUP(C49,台股行情!A:D,4,FALSE)</f>
        <v/>
      </c>
      <c r="Z49" s="437">
        <f>VLOOKUP(C49,台股行情!A:E,5,FALSE)</f>
        <v/>
      </c>
      <c r="AA49" s="438">
        <f>IF(I49="",((TODAY()-A49)*G49)/365.24,((I49-A49)*G49)/365.24)</f>
        <v/>
      </c>
      <c r="AB49" s="103" t="inlineStr">
        <is>
          <t>小朋友學投資</t>
        </is>
      </c>
      <c r="AC49" s="207" t="inlineStr">
        <is>
          <t>-5% 停損</t>
        </is>
      </c>
    </row>
    <row r="50" outlineLevel="1">
      <c r="A50" s="99" t="n">
        <v>44272</v>
      </c>
      <c r="B50" s="11" t="inlineStr">
        <is>
          <t>普通買進</t>
        </is>
      </c>
      <c r="C50" s="11" t="n">
        <v>5243</v>
      </c>
      <c r="D50" s="11" t="inlineStr">
        <is>
          <t>乙盛-KY</t>
        </is>
      </c>
      <c r="E50" s="11" t="n">
        <v>1000</v>
      </c>
      <c r="F50" s="11" t="n">
        <v>71.2</v>
      </c>
      <c r="G50" s="11">
        <f>E50*F50</f>
        <v/>
      </c>
      <c r="H50" s="11" t="n">
        <v>101</v>
      </c>
      <c r="I50" s="104" t="n">
        <v>44277</v>
      </c>
      <c r="J50" s="16" t="n">
        <v>71.8</v>
      </c>
      <c r="K50" s="11">
        <f>E50*J50</f>
        <v/>
      </c>
      <c r="L50" s="17" t="n">
        <v>102</v>
      </c>
      <c r="M50" s="11" t="n">
        <v>215</v>
      </c>
      <c r="N50" s="11" t="n">
        <v>0</v>
      </c>
      <c r="O50" s="434">
        <f>IF(I50="",E50*Y50,0)</f>
        <v/>
      </c>
      <c r="P50" s="435">
        <f>IF(I50="",R50-H50,(K50-H50-SUM(L50:N50)+R50-S50-T50)-G50)+(ROUND(R50*V50,0)-ROUND(R50*(1+V50),0)*W50)</f>
        <v/>
      </c>
      <c r="Q50" s="435">
        <f>IF(I50="",(O50-G50-(O50*0.1425%*0.65)-(O50*0.3%)-S50-T50),0)</f>
        <v/>
      </c>
      <c r="R50" s="435" t="n"/>
      <c r="S50" s="435" t="n">
        <v>10</v>
      </c>
      <c r="T50" s="435">
        <f>IF(ROUND(R50*(1+V50),0)&gt;20000,ROUND(ROUND(R50*(1+V50),0)*2%,0),0)</f>
        <v/>
      </c>
      <c r="U50" s="69">
        <f>(V50*50%)/(1+50%*V50)</f>
        <v/>
      </c>
      <c r="V50" s="69" t="n"/>
      <c r="W50" s="70" t="n">
        <v>0.11</v>
      </c>
      <c r="X50" s="436">
        <f>(P50+Q50)/G50</f>
        <v/>
      </c>
      <c r="Y50" s="16">
        <f>VLOOKUP(C50,台股行情!A:D,4,FALSE)</f>
        <v/>
      </c>
      <c r="Z50" s="437">
        <f>VLOOKUP(C50,台股行情!A:E,5,FALSE)</f>
        <v/>
      </c>
      <c r="AA50" s="438">
        <f>IF(I50="",((TODAY()-A50)*G50)/365.24,((I50-A50)*G50)/365.24)</f>
        <v/>
      </c>
      <c r="AB50" s="103" t="inlineStr">
        <is>
          <t>小朋友學投資</t>
        </is>
      </c>
      <c r="AC50" s="103" t="inlineStr">
        <is>
          <t>量能不足，停利</t>
        </is>
      </c>
    </row>
    <row r="51" outlineLevel="1">
      <c r="A51" s="99" t="n">
        <v>44272</v>
      </c>
      <c r="B51" s="11" t="inlineStr">
        <is>
          <t>普通買進</t>
        </is>
      </c>
      <c r="C51" s="11" t="n">
        <v>5243</v>
      </c>
      <c r="D51" s="11" t="inlineStr">
        <is>
          <t>乙盛-KY</t>
        </is>
      </c>
      <c r="E51" s="11" t="n">
        <v>1000</v>
      </c>
      <c r="F51" s="11" t="n">
        <v>70.5</v>
      </c>
      <c r="G51" s="11">
        <f>E51*F51</f>
        <v/>
      </c>
      <c r="H51" s="11" t="n">
        <v>100</v>
      </c>
      <c r="I51" s="104" t="n">
        <v>44278</v>
      </c>
      <c r="J51" s="16" t="n">
        <v>79</v>
      </c>
      <c r="K51" s="11">
        <f>E51*J51</f>
        <v/>
      </c>
      <c r="L51" s="17" t="n">
        <v>112</v>
      </c>
      <c r="M51" s="11" t="n">
        <v>237</v>
      </c>
      <c r="N51" s="11" t="n">
        <v>0</v>
      </c>
      <c r="O51" s="434">
        <f>IF(I51="",E51*Y51,0)</f>
        <v/>
      </c>
      <c r="P51" s="435">
        <f>IF(I51="",R51-H51,(K51-H51-SUM(L51:N51)+R51-S51-T51)-G51)+(ROUND(R51*V51,0)-ROUND(R51*(1+V51),0)*W51)</f>
        <v/>
      </c>
      <c r="Q51" s="435">
        <f>IF(I51="",(O51-G51-(O51*0.1425%*0.65)-(O51*0.3%)-S51-T51),0)</f>
        <v/>
      </c>
      <c r="R51" s="435" t="n"/>
      <c r="S51" s="435" t="n">
        <v>10</v>
      </c>
      <c r="T51" s="435">
        <f>IF(ROUND(R51*(1+V51),0)&gt;20000,ROUND(ROUND(R51*(1+V51),0)*2%,0),0)</f>
        <v/>
      </c>
      <c r="U51" s="69">
        <f>(V51*50%)/(1+50%*V51)</f>
        <v/>
      </c>
      <c r="V51" s="69" t="n"/>
      <c r="W51" s="70" t="n">
        <v>0.11</v>
      </c>
      <c r="X51" s="436">
        <f>(P51+Q51)/G51</f>
        <v/>
      </c>
      <c r="Y51" s="16">
        <f>VLOOKUP(C51,台股行情!A:D,4,FALSE)</f>
        <v/>
      </c>
      <c r="Z51" s="437">
        <f>VLOOKUP(C51,台股行情!A:E,5,FALSE)</f>
        <v/>
      </c>
      <c r="AA51" s="438">
        <f>IF(I51="",((TODAY()-A51)*G51)/365.24,((I51-A51)*G51)/365.24)</f>
        <v/>
      </c>
      <c r="AB51" s="103" t="inlineStr">
        <is>
          <t>小朋友學投資</t>
        </is>
      </c>
      <c r="AC51" s="103" t="inlineStr">
        <is>
          <t>列警示股，賣出</t>
        </is>
      </c>
    </row>
    <row r="52" outlineLevel="1">
      <c r="A52" s="99" t="n">
        <v>44270</v>
      </c>
      <c r="B52" s="11" t="inlineStr">
        <is>
          <t>普通買進</t>
        </is>
      </c>
      <c r="C52" s="11" t="n">
        <v>4953</v>
      </c>
      <c r="D52" s="11" t="inlineStr">
        <is>
          <t>緯軟</t>
        </is>
      </c>
      <c r="E52" s="11" t="n">
        <v>1000</v>
      </c>
      <c r="F52" s="11" t="n">
        <v>107.5</v>
      </c>
      <c r="G52" s="11">
        <f>E52*F52</f>
        <v/>
      </c>
      <c r="H52" s="11" t="n">
        <v>153</v>
      </c>
      <c r="I52" s="104" t="n">
        <v>44280</v>
      </c>
      <c r="J52" s="16" t="n">
        <v>104.5</v>
      </c>
      <c r="K52" s="11">
        <f>E52*J52</f>
        <v/>
      </c>
      <c r="L52" s="17" t="n">
        <v>148</v>
      </c>
      <c r="M52" s="11" t="n">
        <v>313</v>
      </c>
      <c r="N52" s="11" t="n">
        <v>0</v>
      </c>
      <c r="O52" s="434">
        <f>IF(I52="",E52*Y52,0)</f>
        <v/>
      </c>
      <c r="P52" s="435">
        <f>IF(I52="",R52-H52,(K52-H52-SUM(L52:N52)+R52-S52-T52)-G52)+(ROUND(R52*V52,0)-ROUND(R52*(1+V52),0)*W52)</f>
        <v/>
      </c>
      <c r="Q52" s="435">
        <f>IF(I52="",(O52-G52-(O52*0.1425%*0.65)-(O52*0.3%)-S52-T52),0)</f>
        <v/>
      </c>
      <c r="R52" s="435" t="n"/>
      <c r="S52" s="435" t="n">
        <v>10</v>
      </c>
      <c r="T52" s="435">
        <f>IF(ROUND(R52*(1+V52),0)&gt;20000,ROUND(ROUND(R52*(1+V52),0)*2%,0),0)</f>
        <v/>
      </c>
      <c r="U52" s="69">
        <f>(V52*50%)/(1+50%*V52)</f>
        <v/>
      </c>
      <c r="V52" s="69" t="n"/>
      <c r="W52" s="70" t="n">
        <v>0.11</v>
      </c>
      <c r="X52" s="436">
        <f>(P52+Q52)/G52</f>
        <v/>
      </c>
      <c r="Y52" s="16">
        <f>VLOOKUP(C52,台股行情!A:D,4,FALSE)</f>
        <v/>
      </c>
      <c r="Z52" s="437">
        <f>VLOOKUP(C52,台股行情!A:E,5,FALSE)</f>
        <v/>
      </c>
      <c r="AA52" s="438">
        <f>IF(I52="",((TODAY()-A52)*G52)/365.24,((I52-A52)*G52)/365.24)</f>
        <v/>
      </c>
      <c r="AB52" s="103" t="inlineStr">
        <is>
          <t>阿水一式</t>
        </is>
      </c>
      <c r="AC52" s="135" t="inlineStr">
        <is>
          <t>碰10MA出場</t>
        </is>
      </c>
    </row>
    <row r="53">
      <c r="A53" s="99" t="n">
        <v>44270</v>
      </c>
      <c r="B53" s="11" t="inlineStr">
        <is>
          <t>普通買進</t>
        </is>
      </c>
      <c r="C53" s="11" t="n">
        <v>6443</v>
      </c>
      <c r="D53" s="11" t="inlineStr">
        <is>
          <t>元晶</t>
        </is>
      </c>
      <c r="E53" s="11" t="n">
        <v>1000</v>
      </c>
      <c r="F53" s="11" t="n">
        <v>42.55</v>
      </c>
      <c r="G53" s="11">
        <f>E53*F53</f>
        <v/>
      </c>
      <c r="H53" s="11" t="n">
        <v>60</v>
      </c>
      <c r="I53" s="104" t="n">
        <v>44287</v>
      </c>
      <c r="J53" s="16" t="n">
        <v>45</v>
      </c>
      <c r="K53" s="11">
        <f>E53*J53</f>
        <v/>
      </c>
      <c r="L53" s="17" t="n">
        <v>64</v>
      </c>
      <c r="M53" s="11" t="n">
        <v>135</v>
      </c>
      <c r="N53" s="11" t="n">
        <v>0</v>
      </c>
      <c r="O53" s="434">
        <f>IF(I53="",E53*Y53,0)</f>
        <v/>
      </c>
      <c r="P53" s="435">
        <f>IF(I53="",R53-H53,(K53-H53-SUM(L53:N53)+R53-S53-T53)-G53)+(ROUND(R53*V53,0)-ROUND(R53*(1+V53),0)*W53)</f>
        <v/>
      </c>
      <c r="Q53" s="435">
        <f>IF(I53="",(O53-G53-(O53*0.1425%*0.65)-(O53*0.3%)-S53-T53),0)</f>
        <v/>
      </c>
      <c r="R53" s="435" t="n"/>
      <c r="S53" s="435" t="n">
        <v>10</v>
      </c>
      <c r="T53" s="435">
        <f>IF(ROUND(R53*(1+V53),0)&gt;20000,ROUND(ROUND(R53*(1+V53),0)*2%,0),0)</f>
        <v/>
      </c>
      <c r="U53" s="69">
        <f>(V53*50%)/(1+50%*V53)</f>
        <v/>
      </c>
      <c r="V53" s="69" t="n"/>
      <c r="W53" s="70" t="n">
        <v>0.11</v>
      </c>
      <c r="X53" s="436">
        <f>(P53+Q53)/G53</f>
        <v/>
      </c>
      <c r="Y53" s="16">
        <f>VLOOKUP(C53,台股行情!A:D,4,FALSE)</f>
        <v/>
      </c>
      <c r="Z53" s="437">
        <f>VLOOKUP(C53,台股行情!A:E,5,FALSE)</f>
        <v/>
      </c>
      <c r="AA53" s="438">
        <f>IF(I53="",((TODAY()-A53)*G53)/365.24,((I53-A53)*G53)/365.24)</f>
        <v/>
      </c>
      <c r="AB53" s="103" t="inlineStr">
        <is>
          <t>小朋友學投資</t>
        </is>
      </c>
      <c r="AC53" s="103" t="inlineStr">
        <is>
          <t>量能不足，停利</t>
        </is>
      </c>
    </row>
    <row r="54" outlineLevel="1">
      <c r="A54" s="99" t="n">
        <v>44272</v>
      </c>
      <c r="B54" s="11" t="inlineStr">
        <is>
          <t>普通買進</t>
        </is>
      </c>
      <c r="C54" s="11" t="n">
        <v>2328</v>
      </c>
      <c r="D54" s="11" t="inlineStr">
        <is>
          <t>廣宇</t>
        </is>
      </c>
      <c r="E54" s="11" t="n">
        <v>1000</v>
      </c>
      <c r="F54" s="11" t="n">
        <v>43.6</v>
      </c>
      <c r="G54" s="11">
        <f>E54*F54</f>
        <v/>
      </c>
      <c r="H54" s="11" t="n">
        <v>62</v>
      </c>
      <c r="I54" s="104" t="n">
        <v>44287</v>
      </c>
      <c r="J54" s="16" t="n">
        <v>44.45</v>
      </c>
      <c r="K54" s="11">
        <f>E54*J54</f>
        <v/>
      </c>
      <c r="L54" s="17" t="n">
        <v>63</v>
      </c>
      <c r="M54" s="11" t="n">
        <v>135</v>
      </c>
      <c r="N54" s="11" t="n">
        <v>0</v>
      </c>
      <c r="O54" s="434">
        <f>IF(I54="",E54*Y54,0)</f>
        <v/>
      </c>
      <c r="P54" s="435">
        <f>IF(I54="",R54-H54,(K54-H54-SUM(L54:N54)+R54-S54-T54)-G54)+(ROUND(R54*V54,0)-ROUND(R54*(1+V54),0)*W54)</f>
        <v/>
      </c>
      <c r="Q54" s="435">
        <f>IF(I54="",(O54-G54-(O54*0.1425%*0.65)-(O54*0.3%)-S54-T54),0)</f>
        <v/>
      </c>
      <c r="R54" s="435" t="n"/>
      <c r="S54" s="435" t="n">
        <v>10</v>
      </c>
      <c r="T54" s="435">
        <f>IF(ROUND(R54*(1+V54),0)&gt;20000,ROUND(ROUND(R54*(1+V54),0)*2%,0),0)</f>
        <v/>
      </c>
      <c r="U54" s="69">
        <f>(V54*50%)/(1+50%*V54)</f>
        <v/>
      </c>
      <c r="V54" s="69" t="n"/>
      <c r="W54" s="70" t="n">
        <v>0.11</v>
      </c>
      <c r="X54" s="436">
        <f>(P54+Q54)/G54</f>
        <v/>
      </c>
      <c r="Y54" s="16">
        <f>VLOOKUP(C54,台股行情!A:D,4,FALSE)</f>
        <v/>
      </c>
      <c r="Z54" s="437">
        <f>VLOOKUP(C54,台股行情!A:E,5,FALSE)</f>
        <v/>
      </c>
      <c r="AA54" s="438">
        <f>IF(I54="",((TODAY()-A54)*G54)/365.24,((I54-A54)*G54)/365.24)</f>
        <v/>
      </c>
      <c r="AB54" s="103" t="inlineStr">
        <is>
          <t>小朋友學投資</t>
        </is>
      </c>
      <c r="AC54" s="103" t="inlineStr">
        <is>
          <t>量能不足，停利</t>
        </is>
      </c>
    </row>
    <row r="55" outlineLevel="1">
      <c r="A55" s="99" t="n">
        <v>44285</v>
      </c>
      <c r="B55" s="11" t="inlineStr">
        <is>
          <t>普通買進</t>
        </is>
      </c>
      <c r="C55" s="11" t="n">
        <v>3005</v>
      </c>
      <c r="D55" s="11" t="inlineStr">
        <is>
          <t>神基</t>
        </is>
      </c>
      <c r="E55" s="11" t="n">
        <v>1000</v>
      </c>
      <c r="F55" s="11" t="n">
        <v>64.40000000000001</v>
      </c>
      <c r="G55" s="11">
        <f>E55*F55</f>
        <v/>
      </c>
      <c r="H55" s="11" t="n">
        <v>91</v>
      </c>
      <c r="I55" s="104" t="n">
        <v>44292</v>
      </c>
      <c r="J55" s="16" t="n">
        <v>58.4</v>
      </c>
      <c r="K55" s="11">
        <f>E55*J55</f>
        <v/>
      </c>
      <c r="L55" s="17" t="n">
        <v>83</v>
      </c>
      <c r="M55" s="11" t="n">
        <v>175</v>
      </c>
      <c r="N55" s="11" t="n">
        <v>0</v>
      </c>
      <c r="O55" s="434">
        <f>IF(I55="",E55*Y55,0)</f>
        <v/>
      </c>
      <c r="P55" s="435">
        <f>IF(I55="",R55-H55,(K55-H55-SUM(L55:N55)+R55-S55-T55)-G55)+(ROUND(R55*V55,0)-ROUND(R55*(1+V55),0)*W55)</f>
        <v/>
      </c>
      <c r="Q55" s="435">
        <f>IF(I55="",(O55-G55-(O55*0.1425%*0.65)-(O55*0.3%)-S55-T55),0)</f>
        <v/>
      </c>
      <c r="R55" s="435" t="n">
        <v>3587</v>
      </c>
      <c r="S55" s="435" t="n">
        <v>10</v>
      </c>
      <c r="T55" s="435">
        <f>IF(ROUND(R55*(1+V55),0)&gt;20000,ROUND(ROUND(R55*(1+V55),0)*2%,0),0)</f>
        <v/>
      </c>
      <c r="U55" s="69">
        <f>(V55*50%)/(1+50%*V55)</f>
        <v/>
      </c>
      <c r="V55" s="69" t="n"/>
      <c r="W55" s="70" t="n">
        <v>0.11</v>
      </c>
      <c r="X55" s="436">
        <f>(P55+Q55)/G55</f>
        <v/>
      </c>
      <c r="Y55" s="16">
        <f>VLOOKUP(C55,台股行情!A:D,4,FALSE)</f>
        <v/>
      </c>
      <c r="Z55" s="437">
        <f>VLOOKUP(C55,台股行情!A:E,5,FALSE)</f>
        <v/>
      </c>
      <c r="AA55" s="438">
        <f>IF(I55="",((TODAY()-A55)*G55)/365.24,((I55-A55)*G55)/365.24)</f>
        <v/>
      </c>
      <c r="AB55" s="103" t="inlineStr">
        <is>
          <t>除權息</t>
        </is>
      </c>
      <c r="AC55" s="103" t="n"/>
    </row>
    <row r="56" outlineLevel="1">
      <c r="A56" s="99" t="n">
        <v>44280</v>
      </c>
      <c r="B56" s="11" t="inlineStr">
        <is>
          <t>普通買進</t>
        </is>
      </c>
      <c r="C56" s="11" t="n">
        <v>5523</v>
      </c>
      <c r="D56" s="11" t="inlineStr">
        <is>
          <t>豐謙</t>
        </is>
      </c>
      <c r="E56" s="11" t="n">
        <v>2000</v>
      </c>
      <c r="F56" s="11" t="n">
        <v>20.65</v>
      </c>
      <c r="G56" s="11">
        <f>E56*F56</f>
        <v/>
      </c>
      <c r="H56" s="11" t="n">
        <v>58</v>
      </c>
      <c r="I56" s="104" t="n">
        <v>44292</v>
      </c>
      <c r="J56" s="16" t="n">
        <v>22.8</v>
      </c>
      <c r="K56" s="11">
        <f>E56*J56</f>
        <v/>
      </c>
      <c r="L56" s="17" t="n">
        <v>64</v>
      </c>
      <c r="M56" s="11" t="n">
        <v>136</v>
      </c>
      <c r="N56" s="11" t="n">
        <v>0</v>
      </c>
      <c r="O56" s="434">
        <f>IF(I56="",E56*Y56,0)</f>
        <v/>
      </c>
      <c r="P56" s="435">
        <f>IF(I56="",R56-H56,(K56-H56-SUM(L56:N56)+R56-S56-T56)-G56)+(ROUND(R56*V56,0)-ROUND(R56*(1+V56),0)*W56)</f>
        <v/>
      </c>
      <c r="Q56" s="435">
        <f>IF(I56="",(O56-G56-(O56*0.1425%*0.65)-(O56*0.3%)-S56-T56),0)</f>
        <v/>
      </c>
      <c r="R56" s="435" t="n"/>
      <c r="S56" s="435" t="n">
        <v>10</v>
      </c>
      <c r="T56" s="435">
        <f>IF(ROUND(R56*(1+V56),0)&gt;20000,ROUND(ROUND(R56*(1+V56),0)*2%,0),0)</f>
        <v/>
      </c>
      <c r="U56" s="69">
        <f>(V56*50%)/(1+50%*V56)</f>
        <v/>
      </c>
      <c r="V56" s="69" t="n"/>
      <c r="W56" s="70" t="n">
        <v>0.11</v>
      </c>
      <c r="X56" s="436">
        <f>(P56+Q56)/G56</f>
        <v/>
      </c>
      <c r="Y56" s="16">
        <f>VLOOKUP(C56,台股行情!A:D,4,FALSE)</f>
        <v/>
      </c>
      <c r="Z56" s="437">
        <f>VLOOKUP(C56,台股行情!A:E,5,FALSE)</f>
        <v/>
      </c>
      <c r="AA56" s="438">
        <f>IF(I56="",((TODAY()-A56)*G56)/365.24,((I56-A56)*G56)/365.24)</f>
        <v/>
      </c>
      <c r="AB56" s="103" t="inlineStr">
        <is>
          <t>阿水一式</t>
        </is>
      </c>
      <c r="AC56" s="103" t="inlineStr">
        <is>
          <t>營建股，見好就收</t>
        </is>
      </c>
    </row>
    <row r="57" outlineLevel="1">
      <c r="A57" s="99" t="n">
        <v>44272</v>
      </c>
      <c r="B57" s="11" t="inlineStr">
        <is>
          <t>普通買進</t>
        </is>
      </c>
      <c r="C57" s="11" t="n">
        <v>3707</v>
      </c>
      <c r="D57" s="11" t="inlineStr">
        <is>
          <t>漢磊</t>
        </is>
      </c>
      <c r="E57" s="11" t="n">
        <v>1000</v>
      </c>
      <c r="F57" s="11" t="n">
        <v>51.3</v>
      </c>
      <c r="G57" s="11">
        <f>E57*F57</f>
        <v/>
      </c>
      <c r="H57" s="11" t="n">
        <v>73</v>
      </c>
      <c r="I57" s="104" t="n">
        <v>44292</v>
      </c>
      <c r="J57" s="16" t="n">
        <v>64.40000000000001</v>
      </c>
      <c r="K57" s="11">
        <f>E57*J57</f>
        <v/>
      </c>
      <c r="L57" s="17" t="n">
        <v>91</v>
      </c>
      <c r="M57" s="11" t="n">
        <v>193</v>
      </c>
      <c r="N57" s="11" t="n">
        <v>0</v>
      </c>
      <c r="O57" s="434">
        <f>IF(I57="",E57*Y57,0)</f>
        <v/>
      </c>
      <c r="P57" s="435">
        <f>IF(I57="",R57-H57,(K57-H57-SUM(L57:N57)+R57-S57-T57)-G57)+(ROUND(R57*V57,0)-ROUND(R57*(1+V57),0)*W57)</f>
        <v/>
      </c>
      <c r="Q57" s="435">
        <f>IF(I57="",(O57-G57-(O57*0.1425%*0.65)-(O57*0.3%)-S57-T57),0)</f>
        <v/>
      </c>
      <c r="R57" s="435" t="n"/>
      <c r="S57" s="435" t="n">
        <v>10</v>
      </c>
      <c r="T57" s="435">
        <f>IF(ROUND(R57*(1+V57),0)&gt;20000,ROUND(ROUND(R57*(1+V57),0)*2%,0),0)</f>
        <v/>
      </c>
      <c r="U57" s="69">
        <f>(V57*50%)/(1+50%*V57)</f>
        <v/>
      </c>
      <c r="V57" s="69" t="n"/>
      <c r="W57" s="70" t="n">
        <v>0.11</v>
      </c>
      <c r="X57" s="436">
        <f>(P57+Q57)/G57</f>
        <v/>
      </c>
      <c r="Y57" s="16">
        <f>VLOOKUP(C57,台股行情!A:D,4,FALSE)</f>
        <v/>
      </c>
      <c r="Z57" s="437">
        <f>VLOOKUP(C57,台股行情!A:E,5,FALSE)</f>
        <v/>
      </c>
      <c r="AA57" s="438">
        <f>IF(I57="",((TODAY()-A57)*G57)/365.24,((I57-A57)*G57)/365.24)</f>
        <v/>
      </c>
      <c r="AB57" s="103" t="inlineStr">
        <is>
          <t>小朋友學投資</t>
        </is>
      </c>
      <c r="AC57" s="103" t="inlineStr">
        <is>
          <t>碰5日線，停利</t>
        </is>
      </c>
    </row>
    <row r="58" outlineLevel="1">
      <c r="A58" s="99" t="n">
        <v>44287</v>
      </c>
      <c r="B58" s="11" t="inlineStr">
        <is>
          <t>普通買進</t>
        </is>
      </c>
      <c r="C58" s="11" t="n">
        <v>1313</v>
      </c>
      <c r="D58" s="11" t="inlineStr">
        <is>
          <t>聯成</t>
        </is>
      </c>
      <c r="E58" s="11" t="n">
        <v>2000</v>
      </c>
      <c r="F58" s="11" t="n">
        <v>20.65</v>
      </c>
      <c r="G58" s="11">
        <f>E58*F58</f>
        <v/>
      </c>
      <c r="H58" s="11" t="n">
        <v>58</v>
      </c>
      <c r="I58" s="104" t="n">
        <v>44292</v>
      </c>
      <c r="J58" s="16" t="n">
        <v>21</v>
      </c>
      <c r="K58" s="11">
        <f>E58*J58</f>
        <v/>
      </c>
      <c r="L58" s="17" t="n">
        <v>59</v>
      </c>
      <c r="M58" s="11" t="n">
        <v>126</v>
      </c>
      <c r="N58" s="11" t="n">
        <v>0</v>
      </c>
      <c r="O58" s="434">
        <f>IF(I58="",E58*Y58,0)</f>
        <v/>
      </c>
      <c r="P58" s="435">
        <f>IF(I58="",R58-H58,(K58-H58-SUM(L58:N58)+R58-S58-T58)-G58)+(ROUND(R58*V58,0)-ROUND(R58*(1+V58),0)*W58)</f>
        <v/>
      </c>
      <c r="Q58" s="435">
        <f>IF(I58="",(O58-G58-(O58*0.1425%*0.65)-(O58*0.3%)-S58-T58),0)</f>
        <v/>
      </c>
      <c r="R58" s="435" t="n"/>
      <c r="S58" s="435" t="n">
        <v>10</v>
      </c>
      <c r="T58" s="435">
        <f>IF(ROUND(R58*(1+V58),0)&gt;20000,ROUND(ROUND(R58*(1+V58),0)*2%,0),0)</f>
        <v/>
      </c>
      <c r="U58" s="69">
        <f>(V58*50%)/(1+50%*V58)</f>
        <v/>
      </c>
      <c r="V58" s="69" t="n"/>
      <c r="W58" s="70" t="n">
        <v>0.11</v>
      </c>
      <c r="X58" s="436">
        <f>(P58+Q58)/G58</f>
        <v/>
      </c>
      <c r="Y58" s="16">
        <f>VLOOKUP(C58,台股行情!A:D,4,FALSE)</f>
        <v/>
      </c>
      <c r="Z58" s="437">
        <f>VLOOKUP(C58,台股行情!A:E,5,FALSE)</f>
        <v/>
      </c>
      <c r="AA58" s="438">
        <f>IF(I58="",((TODAY()-A58)*G58)/365.24,((I58-A58)*G58)/365.24)</f>
        <v/>
      </c>
      <c r="AB58" s="103" t="inlineStr">
        <is>
          <t>除權息</t>
        </is>
      </c>
      <c r="AC58" s="103" t="inlineStr">
        <is>
          <t>棄息</t>
        </is>
      </c>
    </row>
    <row r="59" outlineLevel="1">
      <c r="A59" s="99" t="n">
        <v>44284</v>
      </c>
      <c r="B59" s="11" t="inlineStr">
        <is>
          <t>普通買進</t>
        </is>
      </c>
      <c r="C59" s="11" t="n">
        <v>2330</v>
      </c>
      <c r="D59" s="11" t="inlineStr">
        <is>
          <t>台積電</t>
        </is>
      </c>
      <c r="E59" s="11" t="n">
        <v>1000</v>
      </c>
      <c r="F59" s="11" t="n">
        <v>598</v>
      </c>
      <c r="G59" s="11">
        <f>E59*F59</f>
        <v/>
      </c>
      <c r="H59" s="11" t="n">
        <v>852</v>
      </c>
      <c r="I59" s="104" t="n">
        <v>44292</v>
      </c>
      <c r="J59" s="16" t="n">
        <v>610</v>
      </c>
      <c r="K59" s="11">
        <f>E59*J59</f>
        <v/>
      </c>
      <c r="L59" s="17" t="n">
        <v>869</v>
      </c>
      <c r="M59" s="11" t="n">
        <v>1830</v>
      </c>
      <c r="N59" s="11" t="n">
        <v>0</v>
      </c>
      <c r="O59" s="434">
        <f>IF(I59="",E59*Y59,0)</f>
        <v/>
      </c>
      <c r="P59" s="435">
        <f>IF(I59="",R59-H59,(K59-H59-SUM(L59:N59)+R59-S59-T59)-G59)+(ROUND(R59*V59,0)-ROUND(R59*(1+V59),0)*W59)</f>
        <v/>
      </c>
      <c r="Q59" s="435">
        <f>IF(I59="",(O59-G59-(O59*0.1425%*0.65)-(O59*0.3%)-S59-T59),0)</f>
        <v/>
      </c>
      <c r="R59" s="435" t="n"/>
      <c r="S59" s="435" t="n">
        <v>10</v>
      </c>
      <c r="T59" s="435">
        <f>IF(ROUND(R59*(1+V59),0)&gt;20000,ROUND(ROUND(R59*(1+V59),0)*2%,0),0)</f>
        <v/>
      </c>
      <c r="U59" s="69">
        <f>(V59*50%)/(1+50%*V59)</f>
        <v/>
      </c>
      <c r="V59" s="69" t="n"/>
      <c r="W59" s="70" t="n">
        <v>0.11</v>
      </c>
      <c r="X59" s="436">
        <f>(P59+Q59)/G59</f>
        <v/>
      </c>
      <c r="Y59" s="16">
        <f>VLOOKUP(C59,台股行情!A:D,4,FALSE)</f>
        <v/>
      </c>
      <c r="Z59" s="437">
        <f>VLOOKUP(C59,台股行情!A:E,5,FALSE)</f>
        <v/>
      </c>
      <c r="AA59" s="438">
        <f>IF(I59="",((TODAY()-A59)*G59)/365.24,((I59-A59)*G59)/365.24)</f>
        <v/>
      </c>
      <c r="AB59" s="103" t="inlineStr">
        <is>
          <t>水某精選</t>
        </is>
      </c>
      <c r="AC59" s="103" t="n"/>
    </row>
    <row r="60" outlineLevel="1">
      <c r="A60" s="99" t="n">
        <v>44285</v>
      </c>
      <c r="B60" s="11" t="inlineStr">
        <is>
          <t>普通買進</t>
        </is>
      </c>
      <c r="C60" s="11" t="n">
        <v>2063</v>
      </c>
      <c r="D60" s="11" t="inlineStr">
        <is>
          <t>世鎧</t>
        </is>
      </c>
      <c r="E60" s="11" t="n">
        <v>1000</v>
      </c>
      <c r="F60" s="11" t="n">
        <v>35.7</v>
      </c>
      <c r="G60" s="11">
        <f>E60*F60</f>
        <v/>
      </c>
      <c r="H60" s="11" t="n">
        <v>50</v>
      </c>
      <c r="I60" s="104" t="n">
        <v>44292</v>
      </c>
      <c r="J60" s="16" t="n">
        <v>34.25</v>
      </c>
      <c r="K60" s="11">
        <f>E60*J60</f>
        <v/>
      </c>
      <c r="L60" s="17" t="n">
        <v>48</v>
      </c>
      <c r="M60" s="11" t="n">
        <v>102</v>
      </c>
      <c r="N60" s="11" t="n">
        <v>0</v>
      </c>
      <c r="O60" s="434">
        <f>IF(I60="",E60*Y60,0)</f>
        <v/>
      </c>
      <c r="P60" s="435">
        <f>IF(I60="",R60-H60,(K60-H60-SUM(L60:N60)+R60-S60-T60)-G60)+(ROUND(R60*V60,0)-ROUND(R60*(1+V60),0)*W60)</f>
        <v/>
      </c>
      <c r="Q60" s="435">
        <f>IF(I60="",(O60-G60-(O60*0.1425%*0.65)-(O60*0.3%)-S60-T60),0)</f>
        <v/>
      </c>
      <c r="R60" s="435" t="n">
        <v>2000</v>
      </c>
      <c r="S60" s="435" t="n">
        <v>10</v>
      </c>
      <c r="T60" s="435">
        <f>IF(ROUND(R60*(1+V60),0)&gt;20000,ROUND(ROUND(R60*(1+V60),0)*2%,0),0)</f>
        <v/>
      </c>
      <c r="U60" s="69">
        <f>(V60*50%)/(1+50%*V60)</f>
        <v/>
      </c>
      <c r="V60" s="69" t="n"/>
      <c r="W60" s="70" t="n">
        <v>0.11</v>
      </c>
      <c r="X60" s="436">
        <f>(P60+Q60)/G60</f>
        <v/>
      </c>
      <c r="Y60" s="16">
        <f>VLOOKUP(C60,台股行情!A:D,4,FALSE)</f>
        <v/>
      </c>
      <c r="Z60" s="437">
        <f>VLOOKUP(C60,台股行情!A:E,5,FALSE)</f>
        <v/>
      </c>
      <c r="AA60" s="438">
        <f>IF(I60="",((TODAY()-A60)*G60)/365.24,((I60-A60)*G60)/365.24)</f>
        <v/>
      </c>
      <c r="AB60" s="103" t="inlineStr">
        <is>
          <t>除權息</t>
        </is>
      </c>
      <c r="AC60" s="103" t="inlineStr">
        <is>
          <t>除息後漲不動，獲利了結</t>
        </is>
      </c>
    </row>
    <row r="61" outlineLevel="1">
      <c r="A61" s="99" t="n">
        <v>44294</v>
      </c>
      <c r="B61" s="11" t="inlineStr">
        <is>
          <t>普通買進</t>
        </is>
      </c>
      <c r="C61" s="11" t="n">
        <v>2020</v>
      </c>
      <c r="D61" s="11" t="inlineStr">
        <is>
          <t>美亞</t>
        </is>
      </c>
      <c r="E61" s="11" t="n">
        <v>2000</v>
      </c>
      <c r="F61" s="11" t="n">
        <v>22.8</v>
      </c>
      <c r="G61" s="11">
        <f>E61*F61</f>
        <v/>
      </c>
      <c r="H61" s="11" t="n">
        <v>64</v>
      </c>
      <c r="I61" s="104" t="n">
        <v>44294</v>
      </c>
      <c r="J61" s="16" t="n">
        <v>23.2</v>
      </c>
      <c r="K61" s="11">
        <f>E61*J61</f>
        <v/>
      </c>
      <c r="L61" s="17" t="n">
        <v>66</v>
      </c>
      <c r="M61" s="11" t="n">
        <v>138</v>
      </c>
      <c r="N61" s="11" t="n">
        <v>0</v>
      </c>
      <c r="O61" s="434">
        <f>IF(I61="",E61*Y61,0)</f>
        <v/>
      </c>
      <c r="P61" s="435">
        <f>IF(I61="",R61-H61,(K61-H61-SUM(L61:N61)+R61-S61-T61)-G61)+(ROUND(R61*V61,0)-ROUND(R61*(1+V61),0)*W61)</f>
        <v/>
      </c>
      <c r="Q61" s="435">
        <f>IF(I61="",(O61-G61-(O61*0.1425%*0.65)-(O61*0.3%)-S61-T61),0)</f>
        <v/>
      </c>
      <c r="R61" s="435" t="n"/>
      <c r="S61" s="435" t="n">
        <v>10</v>
      </c>
      <c r="T61" s="435">
        <f>IF(ROUND(R61*(1+V61),0)&gt;20000,ROUND(ROUND(R61*(1+V61),0)*2%,0),0)</f>
        <v/>
      </c>
      <c r="U61" s="69">
        <f>(V61*50%)/(1+50%*V61)</f>
        <v/>
      </c>
      <c r="V61" s="69" t="n"/>
      <c r="W61" s="70" t="n">
        <v>0.11</v>
      </c>
      <c r="X61" s="436">
        <f>(P61+Q61)/G61</f>
        <v/>
      </c>
      <c r="Y61" s="16">
        <f>VLOOKUP(C61,台股行情!A:D,4,FALSE)</f>
        <v/>
      </c>
      <c r="Z61" s="437">
        <f>VLOOKUP(C61,台股行情!A:E,5,FALSE)</f>
        <v/>
      </c>
      <c r="AA61" s="438">
        <f>IF(I61="",((TODAY()-A61)*G61)/365.24,((I61-A61)*G61)/365.24)</f>
        <v/>
      </c>
      <c r="AB61" s="103" t="inlineStr">
        <is>
          <t>XQ策略雷達</t>
        </is>
      </c>
      <c r="AC61" s="103" t="inlineStr">
        <is>
          <t>當沖</t>
        </is>
      </c>
    </row>
    <row r="62" outlineLevel="1">
      <c r="A62" s="99" t="n">
        <v>44293</v>
      </c>
      <c r="B62" s="11" t="inlineStr">
        <is>
          <t>普通買進</t>
        </is>
      </c>
      <c r="C62" s="11" t="n">
        <v>2376</v>
      </c>
      <c r="D62" s="11" t="inlineStr">
        <is>
          <t>技嘉</t>
        </is>
      </c>
      <c r="E62" s="11" t="n">
        <v>1000</v>
      </c>
      <c r="F62" s="11" t="n">
        <v>100.5</v>
      </c>
      <c r="G62" s="11">
        <f>E62*F62</f>
        <v/>
      </c>
      <c r="H62" s="11" t="n">
        <v>143</v>
      </c>
      <c r="I62" s="104" t="n">
        <v>44299</v>
      </c>
      <c r="J62" s="16" t="n">
        <v>104.5</v>
      </c>
      <c r="K62" s="11">
        <f>E62*J62</f>
        <v/>
      </c>
      <c r="L62" s="17" t="n">
        <v>148</v>
      </c>
      <c r="M62" s="11" t="n">
        <v>313</v>
      </c>
      <c r="N62" s="11" t="n">
        <v>0</v>
      </c>
      <c r="O62" s="434">
        <f>IF(I62="",E62*Y62,0)</f>
        <v/>
      </c>
      <c r="P62" s="435">
        <f>IF(I62="",R62-H62,(K62-H62-SUM(L62:N62)+R62-S62-T62)-G62)+(ROUND(R62*V62,0)-ROUND(R62*(1+V62),0)*W62)</f>
        <v/>
      </c>
      <c r="Q62" s="435">
        <f>IF(I62="",(O62-G62-(O62*0.1425%*0.65)-(O62*0.3%)-S62-T62),0)</f>
        <v/>
      </c>
      <c r="R62" s="435" t="n"/>
      <c r="S62" s="435" t="n">
        <v>10</v>
      </c>
      <c r="T62" s="435">
        <f>IF(ROUND(R62*(1+V62),0)&gt;20000,ROUND(ROUND(R62*(1+V62),0)*2%,0),0)</f>
        <v/>
      </c>
      <c r="U62" s="69">
        <f>(V62*50%)/(1+50%*V62)</f>
        <v/>
      </c>
      <c r="V62" s="69" t="n"/>
      <c r="W62" s="70" t="n">
        <v>0.11</v>
      </c>
      <c r="X62" s="436">
        <f>(P62+Q62)/G62</f>
        <v/>
      </c>
      <c r="Y62" s="16">
        <f>VLOOKUP(C62,台股行情!A:D,4,FALSE)</f>
        <v/>
      </c>
      <c r="Z62" s="437">
        <f>VLOOKUP(C62,台股行情!A:E,5,FALSE)</f>
        <v/>
      </c>
      <c r="AA62" s="438">
        <f>IF(I62="",((TODAY()-A62)*G62)/365.24,((I62-A62)*G62)/365.24)</f>
        <v/>
      </c>
      <c r="AB62" s="103" t="inlineStr">
        <is>
          <t>比特幣概念股</t>
        </is>
      </c>
      <c r="AC62" s="103" t="inlineStr">
        <is>
          <t>量能不足，停利</t>
        </is>
      </c>
    </row>
    <row r="63" outlineLevel="1">
      <c r="A63" s="99" t="n">
        <v>44293</v>
      </c>
      <c r="B63" s="11" t="inlineStr">
        <is>
          <t>普通買進</t>
        </is>
      </c>
      <c r="C63" s="11" t="n">
        <v>3596</v>
      </c>
      <c r="D63" s="11" t="inlineStr">
        <is>
          <t>智易</t>
        </is>
      </c>
      <c r="E63" s="11" t="n">
        <v>1000</v>
      </c>
      <c r="F63" s="11" t="n">
        <v>118.5</v>
      </c>
      <c r="G63" s="11">
        <f>E63*F63</f>
        <v/>
      </c>
      <c r="H63" s="11" t="n">
        <v>168</v>
      </c>
      <c r="I63" s="104" t="n">
        <v>44299</v>
      </c>
      <c r="J63" s="16" t="n">
        <v>126</v>
      </c>
      <c r="K63" s="11">
        <f>E63*J63</f>
        <v/>
      </c>
      <c r="L63" s="17" t="n">
        <v>179</v>
      </c>
      <c r="M63" s="11" t="n">
        <v>378</v>
      </c>
      <c r="N63" s="11" t="n">
        <v>0</v>
      </c>
      <c r="O63" s="434">
        <f>IF(I63="",E63*Y63,0)</f>
        <v/>
      </c>
      <c r="P63" s="435">
        <f>IF(I63="",R63-H63,(K63-H63-SUM(L63:N63)+R63-S63-T63)-G63)+(ROUND(R63*V63,0)-ROUND(R63*(1+V63),0)*W63)</f>
        <v/>
      </c>
      <c r="Q63" s="435">
        <f>IF(I63="",(O63-G63-(O63*0.1425%*0.65)-(O63*0.3%)-S63-T63),0)</f>
        <v/>
      </c>
      <c r="R63" s="435" t="n"/>
      <c r="S63" s="435" t="n">
        <v>10</v>
      </c>
      <c r="T63" s="435">
        <f>IF(ROUND(R63*(1+V63),0)&gt;20000,ROUND(ROUND(R63*(1+V63),0)*2%,0),0)</f>
        <v/>
      </c>
      <c r="U63" s="69">
        <f>(V63*50%)/(1+50%*V63)</f>
        <v/>
      </c>
      <c r="V63" s="69" t="n"/>
      <c r="W63" s="70" t="n">
        <v>0.11</v>
      </c>
      <c r="X63" s="436">
        <f>(P63+Q63)/G63</f>
        <v/>
      </c>
      <c r="Y63" s="16">
        <f>VLOOKUP(C63,台股行情!A:D,4,FALSE)</f>
        <v/>
      </c>
      <c r="Z63" s="437">
        <f>VLOOKUP(C63,台股行情!A:E,5,FALSE)</f>
        <v/>
      </c>
      <c r="AA63" s="438">
        <f>IF(I63="",((TODAY()-A63)*G63)/365.24,((I63-A63)*G63)/365.24)</f>
        <v/>
      </c>
      <c r="AB63" s="103" t="inlineStr">
        <is>
          <t>除權息</t>
        </is>
      </c>
      <c r="AC63" s="103" t="inlineStr">
        <is>
          <t>棄息，獲利了結</t>
        </is>
      </c>
    </row>
    <row r="64" outlineLevel="1">
      <c r="A64" s="99" t="n">
        <v>44292</v>
      </c>
      <c r="B64" s="11" t="inlineStr">
        <is>
          <t>普通買進</t>
        </is>
      </c>
      <c r="C64" s="11" t="n">
        <v>2881</v>
      </c>
      <c r="D64" s="11" t="inlineStr">
        <is>
          <t>富邦金</t>
        </is>
      </c>
      <c r="E64" s="11" t="n">
        <v>1000</v>
      </c>
      <c r="F64" s="11" t="n">
        <v>57.6</v>
      </c>
      <c r="G64" s="11">
        <f>E64*F64</f>
        <v/>
      </c>
      <c r="H64" s="11" t="n">
        <v>82</v>
      </c>
      <c r="I64" s="104" t="n">
        <v>44308</v>
      </c>
      <c r="J64" s="16" t="n">
        <v>61.5</v>
      </c>
      <c r="K64" s="11">
        <f>E64*J64</f>
        <v/>
      </c>
      <c r="L64" s="17" t="n">
        <v>87</v>
      </c>
      <c r="M64" s="11" t="n">
        <v>184</v>
      </c>
      <c r="N64" s="11" t="n">
        <v>0</v>
      </c>
      <c r="O64" s="434">
        <f>IF(I64="",E64*Y64,0)</f>
        <v/>
      </c>
      <c r="P64" s="435">
        <f>IF(I64="",R64-H64,(K64-H64-SUM(L64:N64)+R64-S64-T64)-G64)+(ROUND(R64*V64,0)-ROUND(R64*(1+V64),0)*W64)</f>
        <v/>
      </c>
      <c r="Q64" s="435">
        <f>IF(I64="",(O64-G64-(O64*0.1425%*0.65)-(O64*0.3%)-S64-T64),0)</f>
        <v/>
      </c>
      <c r="R64" s="435" t="n"/>
      <c r="S64" s="435" t="n">
        <v>10</v>
      </c>
      <c r="T64" s="435">
        <f>IF(ROUND(R64*(1+V64),0)&gt;20000,ROUND(ROUND(R64*(1+V64),0)*2%,0),0)</f>
        <v/>
      </c>
      <c r="U64" s="69">
        <f>(V64*50%)/(1+50%*V64)</f>
        <v/>
      </c>
      <c r="V64" s="69" t="n"/>
      <c r="W64" s="70" t="n">
        <v>0.11</v>
      </c>
      <c r="X64" s="436">
        <f>(P64+Q64)/G64</f>
        <v/>
      </c>
      <c r="Y64" s="16">
        <f>VLOOKUP(C64,台股行情!A:D,4,FALSE)</f>
        <v/>
      </c>
      <c r="Z64" s="437">
        <f>VLOOKUP(C64,台股行情!A:E,5,FALSE)</f>
        <v/>
      </c>
      <c r="AA64" s="438">
        <f>IF(I64="",((TODAY()-A64)*G64)/365.24,((I64-A64)*G64)/365.24)</f>
        <v/>
      </c>
      <c r="AB64" s="103" t="inlineStr">
        <is>
          <t>水某精選</t>
        </is>
      </c>
      <c r="AC64" s="103" t="n"/>
    </row>
    <row r="65" outlineLevel="1">
      <c r="A65" s="99" t="n">
        <v>44299</v>
      </c>
      <c r="B65" s="11" t="inlineStr">
        <is>
          <t>普通買進</t>
        </is>
      </c>
      <c r="C65" s="11" t="n">
        <v>1440</v>
      </c>
      <c r="D65" s="11" t="inlineStr">
        <is>
          <t>南紡</t>
        </is>
      </c>
      <c r="E65" s="11" t="n">
        <v>1000</v>
      </c>
      <c r="F65" s="11" t="n">
        <v>24.65</v>
      </c>
      <c r="G65" s="11">
        <f>E65*F65</f>
        <v/>
      </c>
      <c r="H65" s="11" t="n">
        <v>35</v>
      </c>
      <c r="I65" s="104" t="n">
        <v>44308</v>
      </c>
      <c r="J65" s="16" t="n">
        <v>27.7</v>
      </c>
      <c r="K65" s="11">
        <f>E65*J65</f>
        <v/>
      </c>
      <c r="L65" s="17" t="n">
        <v>39</v>
      </c>
      <c r="M65" s="11" t="n">
        <v>83</v>
      </c>
      <c r="N65" s="11" t="n">
        <v>0</v>
      </c>
      <c r="O65" s="434">
        <f>IF(I65="",E65*Y65,0)</f>
        <v/>
      </c>
      <c r="P65" s="435">
        <f>IF(I65="",R65-H65,(K65-H65-SUM(L65:N65)+R65-S65-T65)-G65)+(ROUND(R65*V65,0)-ROUND(R65*(1+V65),0)*W65)</f>
        <v/>
      </c>
      <c r="Q65" s="435">
        <f>IF(I65="",(O65-G65-(O65*0.1425%*0.65)-(O65*0.3%)-S65-T65),0)</f>
        <v/>
      </c>
      <c r="R65" s="435" t="n"/>
      <c r="S65" s="435" t="n">
        <v>10</v>
      </c>
      <c r="T65" s="435">
        <f>IF(ROUND(R65*(1+V65),0)&gt;20000,ROUND(ROUND(R65*(1+V65),0)*2%,0),0)</f>
        <v/>
      </c>
      <c r="U65" s="69">
        <f>(V65*50%)/(1+50%*V65)</f>
        <v/>
      </c>
      <c r="V65" s="69" t="n"/>
      <c r="W65" s="70" t="n">
        <v>0.11</v>
      </c>
      <c r="X65" s="436">
        <f>(P65+Q65)/G65</f>
        <v/>
      </c>
      <c r="Y65" s="16">
        <f>VLOOKUP(C65,台股行情!A:D,4,FALSE)</f>
        <v/>
      </c>
      <c r="Z65" s="437">
        <f>VLOOKUP(C65,台股行情!A:E,5,FALSE)</f>
        <v/>
      </c>
      <c r="AA65" s="438">
        <f>IF(I65="",((TODAY()-A65)*G65)/365.24,((I65-A65)*G65)/365.24)</f>
        <v/>
      </c>
      <c r="AB65" s="103" t="inlineStr">
        <is>
          <t>阿水一式</t>
        </is>
      </c>
      <c r="AC65" s="103" t="n"/>
    </row>
    <row r="66" outlineLevel="1">
      <c r="A66" s="99" t="n">
        <v>44300</v>
      </c>
      <c r="B66" s="11" t="inlineStr">
        <is>
          <t>普通買進</t>
        </is>
      </c>
      <c r="C66" s="11" t="n">
        <v>3042</v>
      </c>
      <c r="D66" s="11" t="inlineStr">
        <is>
          <t>晶技</t>
        </is>
      </c>
      <c r="E66" s="11" t="n">
        <v>1000</v>
      </c>
      <c r="F66" s="11" t="n">
        <v>109</v>
      </c>
      <c r="G66" s="11">
        <f>E66*F66</f>
        <v/>
      </c>
      <c r="H66" s="11" t="n">
        <v>155</v>
      </c>
      <c r="I66" s="104" t="n">
        <v>44308</v>
      </c>
      <c r="J66" s="16" t="n">
        <v>115.6</v>
      </c>
      <c r="K66" s="11">
        <f>E66*J66</f>
        <v/>
      </c>
      <c r="L66" s="17" t="n">
        <v>163</v>
      </c>
      <c r="M66" s="11" t="n">
        <v>345</v>
      </c>
      <c r="N66" s="11" t="n">
        <v>0</v>
      </c>
      <c r="O66" s="434">
        <f>IF(I66="",E66*Y66,0)</f>
        <v/>
      </c>
      <c r="P66" s="435">
        <f>IF(I66="",R66-H66,(K66-H66-SUM(L66:N66)+R66-S66-T66)-G66)+(ROUND(R66*V66,0)-ROUND(R66*(1+V66),0)*W66)</f>
        <v/>
      </c>
      <c r="Q66" s="435">
        <f>IF(I66="",(O66-G66-(O66*0.1425%*0.65)-(O66*0.3%)-S66-T66),0)</f>
        <v/>
      </c>
      <c r="R66" s="435" t="n"/>
      <c r="S66" s="435" t="n">
        <v>10</v>
      </c>
      <c r="T66" s="435">
        <f>IF(ROUND(R66*(1+V66),0)&gt;20000,ROUND(ROUND(R66*(1+V66),0)*2%,0),0)</f>
        <v/>
      </c>
      <c r="U66" s="69">
        <f>(V66*50%)/(1+50%*V66)</f>
        <v/>
      </c>
      <c r="V66" s="69" t="n"/>
      <c r="W66" s="70" t="n">
        <v>0.11</v>
      </c>
      <c r="X66" s="436">
        <f>(P66+Q66)/G66</f>
        <v/>
      </c>
      <c r="Y66" s="16">
        <f>VLOOKUP(C66,台股行情!A:D,4,FALSE)</f>
        <v/>
      </c>
      <c r="Z66" s="437">
        <f>VLOOKUP(C66,台股行情!A:E,5,FALSE)</f>
        <v/>
      </c>
      <c r="AA66" s="438">
        <f>IF(I66="",((TODAY()-A66)*G66)/365.24,((I66-A66)*G66)/365.24)</f>
        <v/>
      </c>
      <c r="AB66" s="103" t="inlineStr">
        <is>
          <t>小朋友學投資、阿水一式</t>
        </is>
      </c>
      <c r="AC66" s="103" t="n"/>
    </row>
    <row r="67" outlineLevel="1">
      <c r="A67" s="99" t="n">
        <v>44300</v>
      </c>
      <c r="B67" s="11" t="inlineStr">
        <is>
          <t>普通買進</t>
        </is>
      </c>
      <c r="C67" s="11" t="n">
        <v>3596</v>
      </c>
      <c r="D67" s="11" t="inlineStr">
        <is>
          <t>智易</t>
        </is>
      </c>
      <c r="E67" s="11" t="n">
        <v>1000</v>
      </c>
      <c r="F67" s="11" t="n">
        <v>115.5</v>
      </c>
      <c r="G67" s="11">
        <f>E67*F67</f>
        <v/>
      </c>
      <c r="H67" s="11" t="n">
        <v>164</v>
      </c>
      <c r="I67" s="104" t="n">
        <v>44308</v>
      </c>
      <c r="J67" s="16" t="n">
        <v>114</v>
      </c>
      <c r="K67" s="11">
        <f>E67*J67</f>
        <v/>
      </c>
      <c r="L67" s="17" t="n">
        <v>162</v>
      </c>
      <c r="M67" s="11" t="n">
        <v>342</v>
      </c>
      <c r="N67" s="11" t="n">
        <v>0</v>
      </c>
      <c r="O67" s="434">
        <f>IF(I67="",E67*Y67,0)</f>
        <v/>
      </c>
      <c r="P67" s="435">
        <f>IF(I67="",R67-H67,(K67-H67-SUM(L67:N67)+R67-S67-T67)-G67)+(ROUND(R67*V67,0)-ROUND(R67*(1+V67),0)*W67)</f>
        <v/>
      </c>
      <c r="Q67" s="435">
        <f>IF(I67="",(O67-G67-(O67*0.1425%*0.65)-(O67*0.3%)-S67-T67),0)</f>
        <v/>
      </c>
      <c r="R67" s="435" t="n"/>
      <c r="S67" s="435" t="n">
        <v>10</v>
      </c>
      <c r="T67" s="435">
        <f>IF(ROUND(R67*(1+V67),0)&gt;20000,ROUND(ROUND(R67*(1+V67),0)*2%,0),0)</f>
        <v/>
      </c>
      <c r="U67" s="69">
        <f>(V67*50%)/(1+50%*V67)</f>
        <v/>
      </c>
      <c r="V67" s="69" t="n"/>
      <c r="W67" s="70" t="n">
        <v>0.11</v>
      </c>
      <c r="X67" s="436">
        <f>(P67+Q67)/G67</f>
        <v/>
      </c>
      <c r="Y67" s="16">
        <f>VLOOKUP(C67,台股行情!A:D,4,FALSE)</f>
        <v/>
      </c>
      <c r="Z67" s="437">
        <f>VLOOKUP(C67,台股行情!A:E,5,FALSE)</f>
        <v/>
      </c>
      <c r="AA67" s="438">
        <f>IF(I67="",((TODAY()-A67)*G67)/365.24,((I67-A67)*G67)/365.24)</f>
        <v/>
      </c>
      <c r="AB67" s="103" t="inlineStr">
        <is>
          <t>除權息</t>
        </is>
      </c>
      <c r="AC67" s="103" t="n"/>
    </row>
    <row r="68" outlineLevel="1">
      <c r="A68" s="99" t="n">
        <v>44302</v>
      </c>
      <c r="B68" s="11" t="inlineStr">
        <is>
          <t>普通買進</t>
        </is>
      </c>
      <c r="C68" s="11" t="n">
        <v>2103</v>
      </c>
      <c r="D68" s="11" t="inlineStr">
        <is>
          <t>台橡</t>
        </is>
      </c>
      <c r="E68" s="11" t="n">
        <v>1000</v>
      </c>
      <c r="F68" s="11" t="n">
        <v>30.75</v>
      </c>
      <c r="G68" s="11">
        <f>E68*F68</f>
        <v/>
      </c>
      <c r="H68" s="11" t="n">
        <v>43</v>
      </c>
      <c r="I68" s="104" t="n">
        <v>44308</v>
      </c>
      <c r="J68" s="16" t="n">
        <v>32.9</v>
      </c>
      <c r="K68" s="11">
        <f>E68*J68</f>
        <v/>
      </c>
      <c r="L68" s="17" t="n">
        <v>46</v>
      </c>
      <c r="M68" s="11" t="n">
        <v>98</v>
      </c>
      <c r="N68" s="11" t="n">
        <v>0</v>
      </c>
      <c r="O68" s="434">
        <f>IF(I68="",E68*Y68,0)</f>
        <v/>
      </c>
      <c r="P68" s="435">
        <f>IF(I68="",R68-H68,(K68-H68-SUM(L68:N68)+R68-S68-T68)-G68)+(ROUND(R68*V68,0)-ROUND(R68*(1+V68),0)*W68)</f>
        <v/>
      </c>
      <c r="Q68" s="435">
        <f>IF(I68="",(O68-G68-(O68*0.1425%*0.65)-(O68*0.3%)-S68-T68),0)</f>
        <v/>
      </c>
      <c r="R68" s="435" t="n"/>
      <c r="S68" s="435" t="n">
        <v>10</v>
      </c>
      <c r="T68" s="435">
        <f>IF(ROUND(R68*(1+V68),0)&gt;20000,ROUND(ROUND(R68*(1+V68),0)*2%,0),0)</f>
        <v/>
      </c>
      <c r="U68" s="69">
        <f>(V68*50%)/(1+50%*V68)</f>
        <v/>
      </c>
      <c r="V68" s="69" t="n"/>
      <c r="W68" s="70" t="n">
        <v>0.11</v>
      </c>
      <c r="X68" s="436">
        <f>(P68+Q68)/G68</f>
        <v/>
      </c>
      <c r="Y68" s="16">
        <f>VLOOKUP(C68,台股行情!A:D,4,FALSE)</f>
        <v/>
      </c>
      <c r="Z68" s="437">
        <f>VLOOKUP(C68,台股行情!A:E,5,FALSE)</f>
        <v/>
      </c>
      <c r="AA68" s="438">
        <f>IF(I68="",((TODAY()-A68)*G68)/365.24,((I68-A68)*G68)/365.24)</f>
        <v/>
      </c>
      <c r="AB68" s="103" t="inlineStr">
        <is>
          <t>阿水一式</t>
        </is>
      </c>
      <c r="AC68" s="103" t="n"/>
    </row>
    <row r="69" outlineLevel="1">
      <c r="A69" s="99" t="n">
        <v>44306</v>
      </c>
      <c r="B69" s="11" t="inlineStr">
        <is>
          <t>普通買進</t>
        </is>
      </c>
      <c r="C69" s="11" t="n">
        <v>2009</v>
      </c>
      <c r="D69" s="11" t="inlineStr">
        <is>
          <t>第一銅</t>
        </is>
      </c>
      <c r="E69" s="11" t="n">
        <v>1000</v>
      </c>
      <c r="F69" s="11" t="n">
        <v>46.25</v>
      </c>
      <c r="G69" s="11">
        <f>E69*F69</f>
        <v/>
      </c>
      <c r="H69" s="11" t="n">
        <v>65</v>
      </c>
      <c r="I69" s="104" t="n">
        <v>44308</v>
      </c>
      <c r="J69" s="16" t="n">
        <v>48.75</v>
      </c>
      <c r="K69" s="11">
        <f>E69*J69</f>
        <v/>
      </c>
      <c r="L69" s="17" t="n">
        <v>69</v>
      </c>
      <c r="M69" s="11" t="n">
        <v>146</v>
      </c>
      <c r="N69" s="11" t="n">
        <v>0</v>
      </c>
      <c r="O69" s="434">
        <f>IF(I69="",E69*Y69,0)</f>
        <v/>
      </c>
      <c r="P69" s="435">
        <f>IF(I69="",R69-H69,(K69-H69-SUM(L69:N69)+R69-S69-T69)-G69)+(ROUND(R69*V69,0)-ROUND(R69*(1+V69),0)*W69)</f>
        <v/>
      </c>
      <c r="Q69" s="435">
        <f>IF(I69="",(O69-G69-(O69*0.1425%*0.65)-(O69*0.3%)-S69-T69),0)</f>
        <v/>
      </c>
      <c r="R69" s="435" t="n"/>
      <c r="S69" s="435" t="n">
        <v>10</v>
      </c>
      <c r="T69" s="435">
        <f>IF(ROUND(R69*(1+V69),0)&gt;20000,ROUND(ROUND(R69*(1+V69),0)*2%,0),0)</f>
        <v/>
      </c>
      <c r="U69" s="69">
        <f>(V69*50%)/(1+50%*V69)</f>
        <v/>
      </c>
      <c r="V69" s="69" t="n"/>
      <c r="W69" s="70" t="n">
        <v>0.11</v>
      </c>
      <c r="X69" s="436">
        <f>(P69+Q69)/G69</f>
        <v/>
      </c>
      <c r="Y69" s="16">
        <f>VLOOKUP(C69,台股行情!A:D,4,FALSE)</f>
        <v/>
      </c>
      <c r="Z69" s="437">
        <f>VLOOKUP(C69,台股行情!A:E,5,FALSE)</f>
        <v/>
      </c>
      <c r="AA69" s="438">
        <f>IF(I69="",((TODAY()-A69)*G69)/365.24,((I69-A69)*G69)/365.24)</f>
        <v/>
      </c>
      <c r="AB69" s="103" t="inlineStr">
        <is>
          <t>小朋友學投資</t>
        </is>
      </c>
      <c r="AC69" s="103" t="n"/>
    </row>
    <row r="70" outlineLevel="1">
      <c r="A70" s="99" t="n">
        <v>44307</v>
      </c>
      <c r="B70" s="11" t="inlineStr">
        <is>
          <t>普通買進</t>
        </is>
      </c>
      <c r="C70" s="11" t="n">
        <v>5483</v>
      </c>
      <c r="D70" s="11" t="inlineStr">
        <is>
          <t>中美晶</t>
        </is>
      </c>
      <c r="E70" s="11" t="n">
        <v>1000</v>
      </c>
      <c r="F70" s="11" t="n">
        <v>192</v>
      </c>
      <c r="G70" s="11">
        <f>E70*F70</f>
        <v/>
      </c>
      <c r="H70" s="11" t="n">
        <v>273</v>
      </c>
      <c r="I70" s="104" t="n">
        <v>44308</v>
      </c>
      <c r="J70" s="16" t="n">
        <v>197</v>
      </c>
      <c r="K70" s="11">
        <f>E70*J70</f>
        <v/>
      </c>
      <c r="L70" s="17" t="n">
        <v>280</v>
      </c>
      <c r="M70" s="11" t="n">
        <v>591</v>
      </c>
      <c r="N70" s="11" t="n">
        <v>0</v>
      </c>
      <c r="O70" s="434">
        <f>IF(I70="",E70*Y70,0)</f>
        <v/>
      </c>
      <c r="P70" s="435">
        <f>IF(I70="",R70-H70,(K70-H70-SUM(L70:N70)+R70-S70-T70)-G70)+(ROUND(R70*V70,0)-ROUND(R70*(1+V70),0)*W70)</f>
        <v/>
      </c>
      <c r="Q70" s="435">
        <f>IF(I70="",(O70-G70-(O70*0.1425%*0.65)-(O70*0.3%)-S70-T70),0)</f>
        <v/>
      </c>
      <c r="R70" s="435" t="n"/>
      <c r="S70" s="435" t="n">
        <v>10</v>
      </c>
      <c r="T70" s="435">
        <f>IF(ROUND(R70*(1+V70),0)&gt;20000,ROUND(ROUND(R70*(1+V70),0)*2%,0),0)</f>
        <v/>
      </c>
      <c r="U70" s="69">
        <f>(V70*50%)/(1+50%*V70)</f>
        <v/>
      </c>
      <c r="V70" s="69" t="n"/>
      <c r="W70" s="70" t="n">
        <v>0.11</v>
      </c>
      <c r="X70" s="436">
        <f>(P70+Q70)/G70</f>
        <v/>
      </c>
      <c r="Y70" s="16">
        <f>VLOOKUP(C70,台股行情!A:D,4,FALSE)</f>
        <v/>
      </c>
      <c r="Z70" s="437">
        <f>VLOOKUP(C70,台股行情!A:E,5,FALSE)</f>
        <v/>
      </c>
      <c r="AA70" s="438">
        <f>IF(I70="",((TODAY()-A70)*G70)/365.24,((I70-A70)*G70)/365.24)</f>
        <v/>
      </c>
      <c r="AB70" s="103" t="inlineStr">
        <is>
          <t>小朋友學投資</t>
        </is>
      </c>
      <c r="AC70" s="103" t="n"/>
    </row>
    <row r="71" outlineLevel="1">
      <c r="A71" s="99" t="n">
        <v>44299</v>
      </c>
      <c r="B71" s="11" t="inlineStr">
        <is>
          <t>普通買進</t>
        </is>
      </c>
      <c r="C71" s="11" t="n">
        <v>1304</v>
      </c>
      <c r="D71" s="11" t="inlineStr">
        <is>
          <t>台聚</t>
        </is>
      </c>
      <c r="E71" s="11" t="n">
        <v>1000</v>
      </c>
      <c r="F71" s="11" t="n">
        <v>29.4</v>
      </c>
      <c r="G71" s="11">
        <f>E71*F71</f>
        <v/>
      </c>
      <c r="H71" s="11" t="n">
        <v>42</v>
      </c>
      <c r="I71" s="104" t="n">
        <v>44312</v>
      </c>
      <c r="J71" s="16" t="n">
        <v>37</v>
      </c>
      <c r="K71" s="11">
        <f>E71*J71</f>
        <v/>
      </c>
      <c r="L71" s="17" t="n">
        <v>52</v>
      </c>
      <c r="M71" s="11" t="n">
        <v>111</v>
      </c>
      <c r="N71" s="11" t="n">
        <v>0</v>
      </c>
      <c r="O71" s="434">
        <f>IF(I71="",E71*Y71,0)</f>
        <v/>
      </c>
      <c r="P71" s="435">
        <f>IF(I71="",R71-H71,(K71-H71-SUM(L71:N71)+R71-S71-T71)-G71)+(ROUND(R71*V71,0)-ROUND(R71*(1+V71),0)*W71)</f>
        <v/>
      </c>
      <c r="Q71" s="435">
        <f>IF(I71="",(O71-G71-(O71*0.1425%*0.65)-(O71*0.3%)-S71-T71),0)</f>
        <v/>
      </c>
      <c r="R71" s="435" t="n"/>
      <c r="S71" s="435" t="n">
        <v>10</v>
      </c>
      <c r="T71" s="435">
        <f>IF(ROUND(R71*(1+V71),0)&gt;20000,ROUND(ROUND(R71*(1+V71),0)*2%,0),0)</f>
        <v/>
      </c>
      <c r="U71" s="69">
        <f>(V71*50%)/(1+50%*V71)</f>
        <v/>
      </c>
      <c r="V71" s="69" t="n"/>
      <c r="W71" s="70" t="n">
        <v>0.11</v>
      </c>
      <c r="X71" s="436">
        <f>(P71+Q71)/G71</f>
        <v/>
      </c>
      <c r="Y71" s="16">
        <f>VLOOKUP(C71,台股行情!A:D,4,FALSE)</f>
        <v/>
      </c>
      <c r="Z71" s="437">
        <f>VLOOKUP(C71,台股行情!A:E,5,FALSE)</f>
        <v/>
      </c>
      <c r="AA71" s="438">
        <f>IF(I71="",((TODAY()-A71)*G71)/365.24,((I71-A71)*G71)/365.24)</f>
        <v/>
      </c>
      <c r="AB71" s="103" t="inlineStr">
        <is>
          <t>阿水一式</t>
        </is>
      </c>
      <c r="AC71" s="103" t="n"/>
    </row>
    <row r="72" outlineLevel="1">
      <c r="A72" s="99" t="n">
        <v>44306</v>
      </c>
      <c r="B72" s="11" t="inlineStr">
        <is>
          <t>普通買進</t>
        </is>
      </c>
      <c r="C72" s="11" t="n">
        <v>1309</v>
      </c>
      <c r="D72" s="11" t="inlineStr">
        <is>
          <t>台達化</t>
        </is>
      </c>
      <c r="E72" s="11" t="n">
        <v>1000</v>
      </c>
      <c r="F72" s="11" t="n">
        <v>50.3</v>
      </c>
      <c r="G72" s="11">
        <f>E72*F72</f>
        <v/>
      </c>
      <c r="H72" s="11" t="n">
        <v>71</v>
      </c>
      <c r="I72" s="104" t="n">
        <v>44313</v>
      </c>
      <c r="J72" s="16" t="n">
        <v>47.6</v>
      </c>
      <c r="K72" s="11">
        <f>E72*J72</f>
        <v/>
      </c>
      <c r="L72" s="17" t="n">
        <v>67</v>
      </c>
      <c r="M72" s="11" t="n">
        <v>142</v>
      </c>
      <c r="N72" s="11" t="n">
        <v>0</v>
      </c>
      <c r="O72" s="434">
        <f>IF(I72="",E72*Y72,0)</f>
        <v/>
      </c>
      <c r="P72" s="435">
        <f>IF(I72="",R72-H72,(K72-H72-SUM(L72:N72)+R72-S72-T72)-G72)+(ROUND(R72*V72,0)-ROUND(R72*(1+V72),0)*W72)</f>
        <v/>
      </c>
      <c r="Q72" s="435">
        <f>IF(I72="",(O72-G72-(O72*0.1425%*0.65)-(O72*0.3%)-S72-T72),0)</f>
        <v/>
      </c>
      <c r="R72" s="435" t="n"/>
      <c r="S72" s="435" t="n">
        <v>10</v>
      </c>
      <c r="T72" s="435">
        <f>IF(ROUND(R72*(1+V72),0)&gt;20000,ROUND(ROUND(R72*(1+V72),0)*2%,0),0)</f>
        <v/>
      </c>
      <c r="U72" s="69">
        <f>(V72*50%)/(1+50%*V72)</f>
        <v/>
      </c>
      <c r="V72" s="69" t="n"/>
      <c r="W72" s="70" t="n">
        <v>0.11</v>
      </c>
      <c r="X72" s="436">
        <f>(P72+Q72)/G72</f>
        <v/>
      </c>
      <c r="Y72" s="16">
        <f>VLOOKUP(C72,台股行情!A:D,4,FALSE)</f>
        <v/>
      </c>
      <c r="Z72" s="437">
        <f>VLOOKUP(C72,台股行情!A:E,5,FALSE)</f>
        <v/>
      </c>
      <c r="AA72" s="438">
        <f>IF(I72="",((TODAY()-A72)*G72)/365.24,((I72-A72)*G72)/365.24)</f>
        <v/>
      </c>
      <c r="AB72" s="103" t="inlineStr">
        <is>
          <t>小朋友學投資</t>
        </is>
      </c>
      <c r="AC72" s="135" t="inlineStr">
        <is>
          <t>跌破10日線，停損</t>
        </is>
      </c>
    </row>
    <row r="73" outlineLevel="1">
      <c r="A73" s="99" t="n">
        <v>44313</v>
      </c>
      <c r="B73" s="11" t="inlineStr">
        <is>
          <t>普通買進</t>
        </is>
      </c>
      <c r="C73" s="11" t="n">
        <v>3030</v>
      </c>
      <c r="D73" s="11" t="inlineStr">
        <is>
          <t>德律</t>
        </is>
      </c>
      <c r="E73" s="11" t="n">
        <v>1000</v>
      </c>
      <c r="F73" s="11" t="n">
        <v>68.59999999999999</v>
      </c>
      <c r="G73" s="11">
        <f>E73*F73</f>
        <v/>
      </c>
      <c r="H73" s="11" t="n">
        <v>97</v>
      </c>
      <c r="I73" s="104" t="n">
        <v>44321</v>
      </c>
      <c r="J73" s="16" t="n">
        <v>61.1</v>
      </c>
      <c r="K73" s="11">
        <f>E73*J73</f>
        <v/>
      </c>
      <c r="L73" s="17" t="n">
        <v>87</v>
      </c>
      <c r="M73" s="11" t="n">
        <v>183</v>
      </c>
      <c r="N73" s="11" t="n">
        <v>0</v>
      </c>
      <c r="O73" s="434">
        <f>IF(I73="",E73*Y73,0)</f>
        <v/>
      </c>
      <c r="P73" s="435">
        <f>IF(I73="",R73-H73,(K73-H73-SUM(L73:N73)+R73-S73-T73)-G73)+(ROUND(R73*V73,0)-ROUND(R73*(1+V73),0)*W73)</f>
        <v/>
      </c>
      <c r="Q73" s="435">
        <f>IF(I73="",(O73-G73-(O73*0.1425%*0.65)-(O73*0.3%)-S73-T73),0)</f>
        <v/>
      </c>
      <c r="R73" s="435" t="n"/>
      <c r="S73" s="435" t="n">
        <v>10</v>
      </c>
      <c r="T73" s="435">
        <f>IF(ROUND(R73*(1+V73),0)&gt;20000,ROUND(ROUND(R73*(1+V73),0)*2%,0),0)</f>
        <v/>
      </c>
      <c r="U73" s="69">
        <f>(V73*50%)/(1+50%*V73)</f>
        <v/>
      </c>
      <c r="V73" s="69" t="n"/>
      <c r="W73" s="70" t="n">
        <v>0.11</v>
      </c>
      <c r="X73" s="436">
        <f>(P73+Q73)/G73</f>
        <v/>
      </c>
      <c r="Y73" s="16">
        <f>VLOOKUP(C73,台股行情!A:D,4,FALSE)</f>
        <v/>
      </c>
      <c r="Z73" s="437">
        <f>VLOOKUP(C73,台股行情!A:E,5,FALSE)</f>
        <v/>
      </c>
      <c r="AA73" s="438">
        <f>IF(I73="",((TODAY()-A73)*G73)/365.24,((I73-A73)*G73)/365.24)</f>
        <v/>
      </c>
      <c r="AB73" s="103" t="inlineStr">
        <is>
          <t>阿水一式</t>
        </is>
      </c>
      <c r="AC73" s="135" t="inlineStr">
        <is>
          <t>跌破20MA，停損</t>
        </is>
      </c>
    </row>
    <row r="74" outlineLevel="1">
      <c r="A74" s="99" t="n">
        <v>44299</v>
      </c>
      <c r="B74" s="11" t="inlineStr">
        <is>
          <t>普通買進</t>
        </is>
      </c>
      <c r="C74" s="11" t="n">
        <v>1304</v>
      </c>
      <c r="D74" s="11" t="inlineStr">
        <is>
          <t>台聚</t>
        </is>
      </c>
      <c r="E74" s="205" t="n">
        <v>1000</v>
      </c>
      <c r="F74" s="11" t="n">
        <v>29.4</v>
      </c>
      <c r="G74" s="11">
        <f>E74*F74</f>
        <v/>
      </c>
      <c r="H74" s="11" t="n">
        <v>41</v>
      </c>
      <c r="I74" s="104" t="n">
        <v>44323</v>
      </c>
      <c r="J74" s="16" t="n">
        <v>36.2</v>
      </c>
      <c r="K74" s="11">
        <f>E74*J74</f>
        <v/>
      </c>
      <c r="L74" s="17" t="n">
        <v>51</v>
      </c>
      <c r="M74" s="11" t="n">
        <v>108</v>
      </c>
      <c r="N74" s="11" t="n">
        <v>0</v>
      </c>
      <c r="O74" s="434">
        <f>IF(I74="",E74*Y74,0)</f>
        <v/>
      </c>
      <c r="P74" s="435">
        <f>IF(I74="",R74-H74,(K74-H74-SUM(L74:N74)+R74-S74-T74)-G74)+(ROUND(R74*V74,0)-ROUND(R74*(1+V74),0)*W74)</f>
        <v/>
      </c>
      <c r="Q74" s="435">
        <f>IF(I74="",(O74-G74-(O74*0.1425%*0.65)-(O74*0.3%)-S74-T74),0)</f>
        <v/>
      </c>
      <c r="R74" s="435" t="n"/>
      <c r="S74" s="435" t="n">
        <v>10</v>
      </c>
      <c r="T74" s="435">
        <f>IF(ROUND(R74*(1+V74),0)&gt;20000,ROUND(ROUND(R74*(1+V74),0)*2%,0),0)</f>
        <v/>
      </c>
      <c r="U74" s="69">
        <f>(V74*50%)/(1+50%*V74)</f>
        <v/>
      </c>
      <c r="V74" s="69" t="n"/>
      <c r="W74" s="70" t="n">
        <v>0.11</v>
      </c>
      <c r="X74" s="436">
        <f>(P74+Q74)/G74</f>
        <v/>
      </c>
      <c r="Y74" s="16">
        <f>VLOOKUP(C74,台股行情!A:D,4,FALSE)</f>
        <v/>
      </c>
      <c r="Z74" s="437">
        <f>VLOOKUP(C74,台股行情!A:E,5,FALSE)</f>
        <v/>
      </c>
      <c r="AA74" s="438">
        <f>IF(I74="",((TODAY()-A74)*G74)/365.24,((I74-A74)*G74)/365.24)</f>
        <v/>
      </c>
      <c r="AB74" s="103" t="inlineStr">
        <is>
          <t>阿水一式</t>
        </is>
      </c>
      <c r="AC74" s="103" t="inlineStr">
        <is>
          <t>跌破10日線，停利</t>
        </is>
      </c>
    </row>
    <row r="75" outlineLevel="1">
      <c r="A75" s="99" t="n">
        <v>44308</v>
      </c>
      <c r="B75" s="11" t="inlineStr">
        <is>
          <t>普通買進</t>
        </is>
      </c>
      <c r="C75" s="11" t="n">
        <v>2637</v>
      </c>
      <c r="D75" s="11" t="inlineStr">
        <is>
          <t>慧洋-KY</t>
        </is>
      </c>
      <c r="E75" s="11" t="n">
        <v>1000</v>
      </c>
      <c r="F75" s="11" t="n">
        <v>53.9</v>
      </c>
      <c r="G75" s="11">
        <f>E75*F75</f>
        <v/>
      </c>
      <c r="H75" s="11" t="n">
        <v>76</v>
      </c>
      <c r="I75" s="104" t="n">
        <v>44323</v>
      </c>
      <c r="J75" s="16" t="n">
        <v>62.5</v>
      </c>
      <c r="K75" s="11">
        <f>E75*J75</f>
        <v/>
      </c>
      <c r="L75" s="17" t="n">
        <v>89</v>
      </c>
      <c r="M75" s="11" t="n">
        <v>187</v>
      </c>
      <c r="N75" s="11" t="n">
        <v>0</v>
      </c>
      <c r="O75" s="434">
        <f>IF(I75="",E75*Y75,0)</f>
        <v/>
      </c>
      <c r="P75" s="435">
        <f>IF(I75="",R75-H75,(K75-H75-SUM(L75:N75)+R75-S75-T75)-G75)+(ROUND(R75*V75,0)-ROUND(R75*(1+V75),0)*W75)</f>
        <v/>
      </c>
      <c r="Q75" s="435">
        <f>IF(I75="",(O75-G75-(O75*0.1425%*0.65)-(O75*0.3%)-S75-T75),0)</f>
        <v/>
      </c>
      <c r="R75" s="435" t="n"/>
      <c r="S75" s="435" t="n">
        <v>10</v>
      </c>
      <c r="T75" s="435">
        <f>IF(ROUND(R75*(1+V75),0)&gt;20000,ROUND(ROUND(R75*(1+V75),0)*2%,0),0)</f>
        <v/>
      </c>
      <c r="U75" s="69">
        <f>(V75*50%)/(1+50%*V75)</f>
        <v/>
      </c>
      <c r="V75" s="69" t="n"/>
      <c r="W75" s="70" t="n">
        <v>0.11</v>
      </c>
      <c r="X75" s="436">
        <f>(P75+Q75)/G75</f>
        <v/>
      </c>
      <c r="Y75" s="16">
        <f>VLOOKUP(C75,台股行情!A:D,4,FALSE)</f>
        <v/>
      </c>
      <c r="Z75" s="437">
        <f>VLOOKUP(C75,台股行情!A:E,5,FALSE)</f>
        <v/>
      </c>
      <c r="AA75" s="438">
        <f>IF(I75="",((TODAY()-A75)*G75)/365.24,((I75-A75)*G75)/365.24)</f>
        <v/>
      </c>
      <c r="AB75" s="103" t="inlineStr">
        <is>
          <t>小朋友學投資</t>
        </is>
      </c>
      <c r="AC75" s="103" t="inlineStr">
        <is>
          <t>跌破10日線，停利</t>
        </is>
      </c>
    </row>
    <row r="76" outlineLevel="1">
      <c r="A76" s="99" t="n">
        <v>44299</v>
      </c>
      <c r="B76" s="11" t="inlineStr">
        <is>
          <t>普通買進</t>
        </is>
      </c>
      <c r="C76" s="11" t="n">
        <v>1440</v>
      </c>
      <c r="D76" s="11" t="inlineStr">
        <is>
          <t>南紡</t>
        </is>
      </c>
      <c r="E76" s="205" t="n">
        <v>1000</v>
      </c>
      <c r="F76" s="11" t="n">
        <v>24.65</v>
      </c>
      <c r="G76" s="11">
        <f>E76*F76</f>
        <v/>
      </c>
      <c r="H76" s="11" t="n">
        <v>35</v>
      </c>
      <c r="I76" s="104" t="n">
        <v>44330</v>
      </c>
      <c r="J76" s="16" t="n">
        <v>26.65</v>
      </c>
      <c r="K76" s="11">
        <f>E76*J76</f>
        <v/>
      </c>
      <c r="L76" s="17" t="n">
        <v>37</v>
      </c>
      <c r="M76" s="11" t="n">
        <v>79</v>
      </c>
      <c r="N76" s="11" t="n">
        <v>0</v>
      </c>
      <c r="O76" s="434">
        <f>IF(I76="",E76*Y76,0)</f>
        <v/>
      </c>
      <c r="P76" s="435">
        <f>IF(I76="",R76-H76,(K76-H76-SUM(L76:N76)+R76-S76-T76)-G76)+(ROUND(R76*V76,0)-ROUND(R76*(1+V76),0)*W76)</f>
        <v/>
      </c>
      <c r="Q76" s="435">
        <f>IF(I76="",(O76-G76-(O76*0.1425%*0.65)-(O76*0.3%)-S76-T76),0)</f>
        <v/>
      </c>
      <c r="R76" s="435" t="n"/>
      <c r="S76" s="435" t="n">
        <v>10</v>
      </c>
      <c r="T76" s="435">
        <f>IF(ROUND(R76*(1+V76),0)&gt;20000,ROUND(ROUND(R76*(1+V76),0)*2%,0),0)</f>
        <v/>
      </c>
      <c r="U76" s="69">
        <f>(V76*50%)/(1+50%*V76)</f>
        <v/>
      </c>
      <c r="V76" s="69" t="n"/>
      <c r="W76" s="70" t="n">
        <v>0.11</v>
      </c>
      <c r="X76" s="436">
        <f>(P76+Q76)/G76</f>
        <v/>
      </c>
      <c r="Y76" s="16">
        <f>VLOOKUP(C76,台股行情!A:D,4,FALSE)</f>
        <v/>
      </c>
      <c r="Z76" s="437">
        <f>VLOOKUP(C76,台股行情!A:E,5,FALSE)</f>
        <v/>
      </c>
      <c r="AA76" s="438">
        <f>IF(I76="",((TODAY()-A76)*G76)/365.24,((I76-A76)*G76)/365.24)</f>
        <v/>
      </c>
      <c r="AB76" s="103" t="inlineStr">
        <is>
          <t>阿水一式</t>
        </is>
      </c>
      <c r="AC76" s="103" t="inlineStr">
        <is>
          <t>跌破20MA，停利</t>
        </is>
      </c>
    </row>
    <row r="77">
      <c r="A77" s="99" t="n">
        <v>44277</v>
      </c>
      <c r="B77" s="11" t="inlineStr">
        <is>
          <t>普通買進</t>
        </is>
      </c>
      <c r="C77" s="11" t="n">
        <v>4938</v>
      </c>
      <c r="D77" s="11" t="inlineStr">
        <is>
          <t>和碩</t>
        </is>
      </c>
      <c r="E77" s="11" t="n">
        <v>1000</v>
      </c>
      <c r="F77" s="11" t="n">
        <v>73.90000000000001</v>
      </c>
      <c r="G77" s="11">
        <f>E77*F77</f>
        <v/>
      </c>
      <c r="H77" s="11" t="n">
        <v>105</v>
      </c>
      <c r="I77" s="104" t="n">
        <v>44390</v>
      </c>
      <c r="J77" s="16" t="n">
        <v>68</v>
      </c>
      <c r="K77" s="11">
        <f>E77*J77</f>
        <v/>
      </c>
      <c r="L77" s="17" t="n">
        <v>96</v>
      </c>
      <c r="M77" s="11" t="n">
        <v>204</v>
      </c>
      <c r="N77" s="11" t="n">
        <v>0</v>
      </c>
      <c r="O77" s="434">
        <f>IF(I77="",E77*Y77,0)</f>
        <v/>
      </c>
      <c r="P77" s="435">
        <f>IF(I77="",R77-H77,(K77-H77-SUM(L77:N77)+R77-S77-T77)-G77)+(ROUND(R77*V77,0)-ROUND(R77*(1+V77),0)*W77)</f>
        <v/>
      </c>
      <c r="Q77" s="435">
        <f>IF(I77="",(O77-G77-(O77*0.1425%*0.65)-(O77*0.3%)-S77-T77),0)</f>
        <v/>
      </c>
      <c r="R77" s="435" t="n">
        <v>4488</v>
      </c>
      <c r="S77" s="435" t="n">
        <v>10</v>
      </c>
      <c r="T77" s="435">
        <f>IF(ROUND(R77*(1+V77),0)&gt;20000,ROUND(ROUND(R77*(1+V77),0)*2%,0),0)</f>
        <v/>
      </c>
      <c r="U77" s="69">
        <f>(V77*50%)/(1+50%*V77)</f>
        <v/>
      </c>
      <c r="V77" s="69" t="n"/>
      <c r="W77" s="70" t="n">
        <v>0.11</v>
      </c>
      <c r="X77" s="436">
        <f>(P77+Q77)/G77</f>
        <v/>
      </c>
      <c r="Y77" s="16">
        <f>VLOOKUP(C77,台股行情!A:D,4,FALSE)</f>
        <v/>
      </c>
      <c r="Z77" s="437">
        <f>VLOOKUP(C77,台股行情!A:E,5,FALSE)</f>
        <v/>
      </c>
      <c r="AA77" s="438">
        <f>IF(I77="",((TODAY()-A77)*G77)/365.24,((I77-A77)*G77)/365.24)</f>
        <v/>
      </c>
      <c r="AB77" s="103" t="inlineStr">
        <is>
          <t>水某精選</t>
        </is>
      </c>
      <c r="AC77" s="103" t="n"/>
    </row>
    <row r="78" outlineLevel="1">
      <c r="A78" s="99" t="n">
        <v>44278</v>
      </c>
      <c r="B78" s="11" t="inlineStr">
        <is>
          <t>普通買進</t>
        </is>
      </c>
      <c r="C78" s="11" t="n">
        <v>3711</v>
      </c>
      <c r="D78" s="11" t="inlineStr">
        <is>
          <t>日月光投控</t>
        </is>
      </c>
      <c r="E78" s="11" t="n">
        <v>1000</v>
      </c>
      <c r="F78" s="11" t="n">
        <v>109.5</v>
      </c>
      <c r="G78" s="11">
        <f>E78*F78</f>
        <v/>
      </c>
      <c r="H78" s="11" t="n">
        <v>156</v>
      </c>
      <c r="I78" s="104" t="n">
        <v>44413</v>
      </c>
      <c r="J78" s="16" t="n">
        <v>133</v>
      </c>
      <c r="K78" s="11">
        <f>E78*J78</f>
        <v/>
      </c>
      <c r="L78" s="17" t="n">
        <v>189</v>
      </c>
      <c r="M78" s="11" t="n">
        <v>399</v>
      </c>
      <c r="N78" s="11" t="n">
        <v>0</v>
      </c>
      <c r="O78" s="434">
        <f>IF(I78="",E78*Y78,0)</f>
        <v/>
      </c>
      <c r="P78" s="435">
        <f>IF(I78="",R78-H78,(K78-H78-SUM(L78:N78)+R78-S78-T78)-G78)+(ROUND(R78*V78,0)-ROUND(R78*(1+V78),0)*W78)</f>
        <v/>
      </c>
      <c r="Q78" s="435">
        <f>IF(I78="",(O78-G78-(O78*0.1425%*0.65)-(O78*0.3%)-S78-T78),0)</f>
        <v/>
      </c>
      <c r="R78" s="435" t="n"/>
      <c r="S78" s="435" t="n">
        <v>10</v>
      </c>
      <c r="T78" s="435">
        <f>IF(ROUND(R78*(1+V78),0)&gt;20000,ROUND(ROUND(R78*(1+V78),0)*2%,0),0)</f>
        <v/>
      </c>
      <c r="U78" s="69">
        <f>(V78*50%)/(1+50%*V78)</f>
        <v/>
      </c>
      <c r="V78" s="69" t="n"/>
      <c r="W78" s="70" t="n">
        <v>0.11</v>
      </c>
      <c r="X78" s="436">
        <f>(P78+Q78)/G78</f>
        <v/>
      </c>
      <c r="Y78" s="16">
        <f>VLOOKUP(C78,台股行情!A:D,4,FALSE)</f>
        <v/>
      </c>
      <c r="Z78" s="437">
        <f>VLOOKUP(C78,台股行情!A:E,5,FALSE)</f>
        <v/>
      </c>
      <c r="AA78" s="438">
        <f>IF(I78="",((TODAY()-A78)*G78)/365.24,((I78-A78)*G78)/365.24)</f>
        <v/>
      </c>
      <c r="AB78" s="103" t="inlineStr">
        <is>
          <t>水某精選</t>
        </is>
      </c>
      <c r="AC78" s="103" t="n"/>
    </row>
    <row r="79" outlineLevel="1">
      <c r="A79" s="99" t="n">
        <v>44399</v>
      </c>
      <c r="B79" s="11" t="inlineStr">
        <is>
          <t>普通買進</t>
        </is>
      </c>
      <c r="C79" s="11" t="n">
        <v>2317</v>
      </c>
      <c r="D79" s="11" t="inlineStr">
        <is>
          <t>鴻海</t>
        </is>
      </c>
      <c r="E79" s="11" t="n">
        <v>1000</v>
      </c>
      <c r="F79" s="11" t="n">
        <v>111.5</v>
      </c>
      <c r="G79" s="11">
        <f>E79*F79</f>
        <v/>
      </c>
      <c r="H79" s="11" t="n">
        <v>158</v>
      </c>
      <c r="I79" s="104" t="n">
        <v>44412</v>
      </c>
      <c r="J79" s="16" t="n">
        <v>112.5</v>
      </c>
      <c r="K79" s="11">
        <f>E79*J79</f>
        <v/>
      </c>
      <c r="L79" s="17" t="n">
        <v>160</v>
      </c>
      <c r="M79" s="11" t="n">
        <v>337</v>
      </c>
      <c r="N79" s="11" t="n">
        <v>0</v>
      </c>
      <c r="O79" s="434">
        <f>IF(I79="",E79*Y79,0)</f>
        <v/>
      </c>
      <c r="P79" s="435">
        <f>IF(I79="",R79-H79,(K79-H79-SUM(L79:N79)+R79-S79-T79)-G79)+(ROUND(R79*V79,0)-ROUND(R79*(1+V79),0)*W79)</f>
        <v/>
      </c>
      <c r="Q79" s="435">
        <f>IF(I79="",(O79-G79-(O79*0.1425%*0.65)-(O79*0.3%)-S79-T79),0)</f>
        <v/>
      </c>
      <c r="R79" s="435" t="n"/>
      <c r="S79" s="435" t="n">
        <v>10</v>
      </c>
      <c r="T79" s="435">
        <f>IF(ROUND(R79*(1+V79),0)&gt;20000,ROUND(ROUND(R79*(1+V79),0)*2%,0),0)</f>
        <v/>
      </c>
      <c r="U79" s="69">
        <f>(V79*50%)/(1+50%*V79)</f>
        <v/>
      </c>
      <c r="V79" s="69" t="n"/>
      <c r="W79" s="70" t="n">
        <v>0.11</v>
      </c>
      <c r="X79" s="436">
        <f>(P79+Q79)/G79</f>
        <v/>
      </c>
      <c r="Y79" s="16">
        <f>VLOOKUP(C79,台股行情!A:D,4,FALSE)</f>
        <v/>
      </c>
      <c r="Z79" s="437">
        <f>VLOOKUP(C79,台股行情!A:E,5,FALSE)</f>
        <v/>
      </c>
      <c r="AA79" s="438">
        <f>IF(I79="",((TODAY()-A79)*G79)/365.24,((I79-A79)*G79)/365.24)</f>
        <v/>
      </c>
      <c r="AB79" s="103" t="inlineStr">
        <is>
          <t>除權息</t>
        </is>
      </c>
      <c r="AC79" s="103" t="n"/>
    </row>
    <row r="80" outlineLevel="1">
      <c r="A80" s="99" t="n">
        <v>44308</v>
      </c>
      <c r="B80" s="11" t="inlineStr">
        <is>
          <t>普通買進</t>
        </is>
      </c>
      <c r="C80" s="11" t="n">
        <v>1905</v>
      </c>
      <c r="D80" s="11" t="inlineStr">
        <is>
          <t>華紙</t>
        </is>
      </c>
      <c r="E80" s="11" t="n">
        <v>1000</v>
      </c>
      <c r="F80" s="11" t="n">
        <v>26.4</v>
      </c>
      <c r="G80" s="11">
        <f>E80*F80</f>
        <v/>
      </c>
      <c r="H80" s="11" t="n">
        <v>37</v>
      </c>
      <c r="I80" s="104" t="n">
        <v>44439</v>
      </c>
      <c r="J80" s="16" t="n">
        <v>24.35</v>
      </c>
      <c r="K80" s="11">
        <f>E80*J80</f>
        <v/>
      </c>
      <c r="L80" s="17" t="n">
        <v>34</v>
      </c>
      <c r="M80" s="11" t="n">
        <v>73</v>
      </c>
      <c r="N80" s="11" t="n">
        <v>0</v>
      </c>
      <c r="O80" s="434">
        <f>IF(I80="",E80*Y80,0)</f>
        <v/>
      </c>
      <c r="P80" s="435">
        <f>IF(I80="",R80-H80,(K80-H80-SUM(L80:N80)+R80-S80-T80)-G80)+(ROUND(R80*V80,0)-ROUND(R80*(1+V80),0)*W80)</f>
        <v/>
      </c>
      <c r="Q80" s="435">
        <f>IF(I80="",(O80-G80-(O80*0.1425%*0.65)-(O80*0.3%)-S80-T80),0)</f>
        <v/>
      </c>
      <c r="R80" s="435" t="n"/>
      <c r="S80" s="435" t="n">
        <v>10</v>
      </c>
      <c r="T80" s="435">
        <f>IF(ROUND(R80*(1+V80),0)&gt;20000,ROUND(ROUND(R80*(1+V80),0)*2%,0),0)</f>
        <v/>
      </c>
      <c r="U80" s="69">
        <f>(V80*50%)/(1+50%*V80)</f>
        <v/>
      </c>
      <c r="V80" s="69" t="n"/>
      <c r="W80" s="70" t="n">
        <v>0.11</v>
      </c>
      <c r="X80" s="436">
        <f>(P80+Q80)/G80</f>
        <v/>
      </c>
      <c r="Y80" s="16">
        <f>VLOOKUP(C80,台股行情!A:D,4,FALSE)</f>
        <v/>
      </c>
      <c r="Z80" s="437">
        <f>VLOOKUP(C80,台股行情!A:E,5,FALSE)</f>
        <v/>
      </c>
      <c r="AA80" s="438">
        <f>IF(I80="",((TODAY()-A80)*G80)/365.24,((I80-A80)*G80)/365.24)</f>
        <v/>
      </c>
      <c r="AB80" s="103" t="inlineStr">
        <is>
          <t>小朋友學投資</t>
        </is>
      </c>
      <c r="AC80" s="135" t="inlineStr">
        <is>
          <t>未嚴守紀律，認賠</t>
        </is>
      </c>
    </row>
    <row r="81" outlineLevel="1">
      <c r="A81" s="99" t="n">
        <v>44313</v>
      </c>
      <c r="B81" s="11" t="inlineStr">
        <is>
          <t>普通買進</t>
        </is>
      </c>
      <c r="C81" s="11" t="n">
        <v>8440</v>
      </c>
      <c r="D81" s="11" t="inlineStr">
        <is>
          <t>綠電</t>
        </is>
      </c>
      <c r="E81" s="11" t="n">
        <v>1000</v>
      </c>
      <c r="F81" s="11" t="n">
        <v>22.7</v>
      </c>
      <c r="G81" s="11">
        <f>E81*F81</f>
        <v/>
      </c>
      <c r="H81" s="11" t="n">
        <v>32</v>
      </c>
      <c r="I81" s="104" t="n">
        <v>44439</v>
      </c>
      <c r="J81" s="16" t="n">
        <v>18.8</v>
      </c>
      <c r="K81" s="11">
        <f>E81*J81</f>
        <v/>
      </c>
      <c r="L81" s="17" t="n">
        <v>26</v>
      </c>
      <c r="M81" s="11" t="n">
        <v>56</v>
      </c>
      <c r="N81" s="11" t="n">
        <v>0</v>
      </c>
      <c r="O81" s="434">
        <f>IF(I81="",E81*Y81,0)</f>
        <v/>
      </c>
      <c r="P81" s="435">
        <f>IF(I81="",R81-H81,(K81-H81-SUM(L81:N81)+R81-S81-T81)-G81)+(ROUND(R81*V81,0)-ROUND(R81*(1+V81),0)*W81)</f>
        <v/>
      </c>
      <c r="Q81" s="435">
        <f>IF(I81="",(O81-G81-(O81*0.1425%*0.65)-(O81*0.3%)-S81-T81),0)</f>
        <v/>
      </c>
      <c r="R81" s="435" t="n">
        <v>600</v>
      </c>
      <c r="S81" s="435" t="n">
        <v>10</v>
      </c>
      <c r="T81" s="435">
        <f>IF(ROUND(R81*(1+V81),0)&gt;20000,ROUND(ROUND(R81*(1+V81),0)*2%,0),0)</f>
        <v/>
      </c>
      <c r="U81" s="69">
        <f>(V81*50%)/(1+50%*V81)</f>
        <v/>
      </c>
      <c r="V81" s="69" t="n"/>
      <c r="W81" s="70" t="n">
        <v>0.11</v>
      </c>
      <c r="X81" s="436">
        <f>(P81+Q81)/G81</f>
        <v/>
      </c>
      <c r="Y81" s="16">
        <f>VLOOKUP(C81,台股行情!A:D,4,FALSE)</f>
        <v/>
      </c>
      <c r="Z81" s="437">
        <f>VLOOKUP(C81,台股行情!A:E,5,FALSE)</f>
        <v/>
      </c>
      <c r="AA81" s="438">
        <f>IF(I81="",((TODAY()-A81)*G81)/365.24,((I81-A81)*G81)/365.24)</f>
        <v/>
      </c>
      <c r="AB81" s="103" t="inlineStr">
        <is>
          <t>阿水一式</t>
        </is>
      </c>
      <c r="AC81" s="143" t="inlineStr">
        <is>
          <t>未嚴守紀律，認賠</t>
        </is>
      </c>
    </row>
    <row r="82" outlineLevel="1">
      <c r="A82" s="99" t="n">
        <v>44308</v>
      </c>
      <c r="B82" s="11" t="inlineStr">
        <is>
          <t>普通買進</t>
        </is>
      </c>
      <c r="C82" s="11" t="n">
        <v>2409</v>
      </c>
      <c r="D82" s="11" t="inlineStr">
        <is>
          <t>友達</t>
        </is>
      </c>
      <c r="E82" s="11" t="n">
        <v>1000</v>
      </c>
      <c r="F82" s="11" t="n">
        <v>30.2</v>
      </c>
      <c r="G82" s="11">
        <f>E82*F82</f>
        <v/>
      </c>
      <c r="H82" s="11" t="n">
        <v>43</v>
      </c>
      <c r="I82" s="169" t="n">
        <v>44442</v>
      </c>
      <c r="J82" s="16" t="n">
        <v>17.35</v>
      </c>
      <c r="K82" s="11">
        <f>E82*J82</f>
        <v/>
      </c>
      <c r="L82" s="17" t="n">
        <v>24</v>
      </c>
      <c r="M82" s="11" t="n">
        <v>52</v>
      </c>
      <c r="N82" s="11" t="n">
        <v>0</v>
      </c>
      <c r="O82" s="434">
        <f>IF(I82="",E82*Y82,0)</f>
        <v/>
      </c>
      <c r="P82" s="435">
        <f>IF(I82="",R82-H82,(K82-H82-SUM(L82:N82)+R82-S82-T82)-G82)+(ROUND(R82*V82,0)-ROUND(R82*(1+V82),0)*W82)</f>
        <v/>
      </c>
      <c r="Q82" s="435">
        <f>IF(I82="",(O82-G82-(O82*0.1425%*0.65)-(O82*0.3%)-S82-T82),0)</f>
        <v/>
      </c>
      <c r="R82" s="435" t="n">
        <v>300</v>
      </c>
      <c r="S82" s="435" t="n">
        <v>10</v>
      </c>
      <c r="T82" s="435">
        <f>IF(ROUND(R82*(1+V82),0)&gt;20000,ROUND(ROUND(R82*(1+V82),0)*2%,0),0)</f>
        <v/>
      </c>
      <c r="U82" s="69">
        <f>(V82*50%)/(1+50%*V82)</f>
        <v/>
      </c>
      <c r="V82" s="69" t="n"/>
      <c r="W82" s="70" t="n">
        <v>0.11</v>
      </c>
      <c r="X82" s="436">
        <f>(P82+Q82)/G82</f>
        <v/>
      </c>
      <c r="Y82" s="16">
        <f>VLOOKUP(C82,台股行情!A:D,4,FALSE)</f>
        <v/>
      </c>
      <c r="Z82" s="437">
        <f>VLOOKUP(C82,台股行情!A:E,5,FALSE)</f>
        <v/>
      </c>
      <c r="AA82" s="438">
        <f>IF(I82="",((TODAY()-A82)*G82)/365.24,((I82-A82)*G82)/365.24)</f>
        <v/>
      </c>
      <c r="AB82" s="103" t="inlineStr">
        <is>
          <t>水某精選</t>
        </is>
      </c>
      <c r="AC82" s="143" t="inlineStr">
        <is>
          <t>未嚴守紀律，認賠</t>
        </is>
      </c>
    </row>
    <row r="83" outlineLevel="1">
      <c r="A83" s="99" t="n">
        <v>44308</v>
      </c>
      <c r="B83" s="11" t="inlineStr">
        <is>
          <t>普通買進</t>
        </is>
      </c>
      <c r="C83" s="11" t="n">
        <v>3481</v>
      </c>
      <c r="D83" s="11" t="inlineStr">
        <is>
          <t>群創</t>
        </is>
      </c>
      <c r="E83" s="11" t="n">
        <v>1000</v>
      </c>
      <c r="F83" s="11" t="n">
        <v>29.35</v>
      </c>
      <c r="G83" s="11">
        <f>E83*F83</f>
        <v/>
      </c>
      <c r="H83" s="11" t="n">
        <v>41</v>
      </c>
      <c r="I83" s="169" t="n">
        <v>44442</v>
      </c>
      <c r="J83" s="16" t="n">
        <v>16.85</v>
      </c>
      <c r="K83" s="11">
        <f>E83*J83</f>
        <v/>
      </c>
      <c r="L83" s="17" t="n">
        <v>24</v>
      </c>
      <c r="M83" s="11" t="n">
        <v>50</v>
      </c>
      <c r="N83" s="11" t="n">
        <v>0</v>
      </c>
      <c r="O83" s="434">
        <f>IF(I83="",E83*Y83,0)</f>
        <v/>
      </c>
      <c r="P83" s="435">
        <f>IF(I83="",R83-H83,(K83-H83-SUM(L83:N83)+R83-S83-T83)-G83)+(ROUND(R83*V83,0)-ROUND(R83*(1+V83),0)*W83)</f>
        <v/>
      </c>
      <c r="Q83" s="435">
        <f>IF(I83="",(O83-G83-(O83*0.1425%*0.65)-(O83*0.3%)-S83-T83),0)</f>
        <v/>
      </c>
      <c r="R83" s="435" t="n">
        <v>398</v>
      </c>
      <c r="S83" s="435" t="n">
        <v>10</v>
      </c>
      <c r="T83" s="435">
        <f>IF(ROUND(R83*(1+V83),0)&gt;20000,ROUND(ROUND(R83*(1+V83),0)*2%,0),0)</f>
        <v/>
      </c>
      <c r="U83" s="69">
        <f>(V83*50%)/(1+50%*V83)</f>
        <v/>
      </c>
      <c r="V83" s="69" t="n"/>
      <c r="W83" s="70" t="n">
        <v>0.11</v>
      </c>
      <c r="X83" s="436">
        <f>(P83+Q83)/G83</f>
        <v/>
      </c>
      <c r="Y83" s="16">
        <f>VLOOKUP(C83,台股行情!A:D,4,FALSE)</f>
        <v/>
      </c>
      <c r="Z83" s="437">
        <f>VLOOKUP(C83,台股行情!A:E,5,FALSE)</f>
        <v/>
      </c>
      <c r="AA83" s="438">
        <f>IF(I83="",((TODAY()-A83)*G83)/365.24,((I83-A83)*G83)/365.24)</f>
        <v/>
      </c>
      <c r="AB83" s="103" t="inlineStr">
        <is>
          <t>水某精選</t>
        </is>
      </c>
      <c r="AC83" s="143" t="inlineStr">
        <is>
          <t>未嚴守紀律，認賠</t>
        </is>
      </c>
    </row>
    <row r="84" outlineLevel="1">
      <c r="A84" s="99" t="n">
        <v>44300</v>
      </c>
      <c r="B84" s="11" t="inlineStr">
        <is>
          <t>普通買進</t>
        </is>
      </c>
      <c r="C84" s="11" t="n">
        <v>2618</v>
      </c>
      <c r="D84" s="11" t="inlineStr">
        <is>
          <t>長榮航</t>
        </is>
      </c>
      <c r="E84" s="11" t="n">
        <v>1000</v>
      </c>
      <c r="F84" s="11" t="n">
        <v>17.95</v>
      </c>
      <c r="G84" s="11">
        <f>E84*F84</f>
        <v/>
      </c>
      <c r="H84" s="11" t="n">
        <v>25</v>
      </c>
      <c r="I84" s="169" t="n">
        <v>44442</v>
      </c>
      <c r="J84" s="16" t="n">
        <v>18.45</v>
      </c>
      <c r="K84" s="11">
        <f>E84*J84</f>
        <v/>
      </c>
      <c r="L84" s="17" t="n">
        <v>26</v>
      </c>
      <c r="M84" s="11" t="n">
        <v>55</v>
      </c>
      <c r="N84" s="11" t="n">
        <v>0</v>
      </c>
      <c r="O84" s="434">
        <f>IF(I84="",E84*Y84,0)</f>
        <v/>
      </c>
      <c r="P84" s="435">
        <f>IF(I84="",R84-H84,(K84-H84-SUM(L84:N84)+R84-S84-T84)-G84)+(ROUND(R84*V84,0)-ROUND(R84*(1+V84),0)*W84)</f>
        <v/>
      </c>
      <c r="Q84" s="435">
        <f>IF(I84="",(O84-G84-(O84*0.1425%*0.65)-(O84*0.3%)-S84-T84),0)</f>
        <v/>
      </c>
      <c r="R84" s="435" t="n"/>
      <c r="S84" s="435" t="n">
        <v>10</v>
      </c>
      <c r="T84" s="435">
        <f>IF(ROUND(R84*(1+V84),0)&gt;20000,ROUND(ROUND(R84*(1+V84),0)*2%,0),0)</f>
        <v/>
      </c>
      <c r="U84" s="69">
        <f>(V84*50%)/(1+50%*V84)</f>
        <v/>
      </c>
      <c r="V84" s="69" t="n"/>
      <c r="W84" s="70" t="n">
        <v>0.11</v>
      </c>
      <c r="X84" s="436">
        <f>(P84+Q84)/G84</f>
        <v/>
      </c>
      <c r="Y84" s="16">
        <f>VLOOKUP(C84,台股行情!A:D,4,FALSE)</f>
        <v/>
      </c>
      <c r="Z84" s="437">
        <f>VLOOKUP(C84,台股行情!A:E,5,FALSE)</f>
        <v/>
      </c>
      <c r="AA84" s="438">
        <f>IF(I84="",((TODAY()-A84)*G84)/365.24,((I84-A84)*G84)/365.24)</f>
        <v/>
      </c>
      <c r="AB84" s="103" t="inlineStr">
        <is>
          <t>阿水一式</t>
        </is>
      </c>
      <c r="AC84" s="103" t="n"/>
    </row>
    <row r="85" outlineLevel="1">
      <c r="A85" s="99" t="n">
        <v>44308</v>
      </c>
      <c r="B85" s="11" t="inlineStr">
        <is>
          <t>普通買進</t>
        </is>
      </c>
      <c r="C85" s="11" t="n">
        <v>2031</v>
      </c>
      <c r="D85" s="11" t="inlineStr">
        <is>
          <t>新光鋼</t>
        </is>
      </c>
      <c r="E85" s="11" t="n">
        <v>1000</v>
      </c>
      <c r="F85" s="11" t="n">
        <v>61.2</v>
      </c>
      <c r="G85" s="11">
        <f>E85*F85</f>
        <v/>
      </c>
      <c r="H85" s="11" t="n">
        <v>87</v>
      </c>
      <c r="I85" s="169" t="n">
        <v>44445</v>
      </c>
      <c r="J85" s="16" t="n">
        <v>67</v>
      </c>
      <c r="K85" s="11">
        <f>E85*J85</f>
        <v/>
      </c>
      <c r="L85" s="17" t="n">
        <v>95</v>
      </c>
      <c r="M85" s="11" t="n">
        <v>201</v>
      </c>
      <c r="N85" s="11" t="n">
        <v>0</v>
      </c>
      <c r="O85" s="434">
        <f>IF(I85="",E85*Y85,0)</f>
        <v/>
      </c>
      <c r="P85" s="435">
        <f>IF(I85="",R85-H85,(K85-H85-SUM(L85:N85)+R85-S85-T85)-G85)+(ROUND(R85*V85,0)-ROUND(R85*(1+V85),0)*W85)</f>
        <v/>
      </c>
      <c r="Q85" s="435">
        <f>IF(I85="",(O85-G85-(O85*0.1425%*0.65)-(O85*0.3%)-S85-T85),0)</f>
        <v/>
      </c>
      <c r="R85" s="435" t="n">
        <v>1920</v>
      </c>
      <c r="S85" s="435" t="n">
        <v>10</v>
      </c>
      <c r="T85" s="435">
        <f>IF(ROUND(R85*(1+V85),0)&gt;20000,ROUND(ROUND(R85*(1+V85),0)*2%,0),0)</f>
        <v/>
      </c>
      <c r="U85" s="69">
        <f>(V85*50%)/(1+50%*V85)</f>
        <v/>
      </c>
      <c r="V85" s="69" t="n"/>
      <c r="W85" s="70" t="n">
        <v>0.11</v>
      </c>
      <c r="X85" s="436">
        <f>(P85+Q85)/G85</f>
        <v/>
      </c>
      <c r="Y85" s="16">
        <f>VLOOKUP(C85,台股行情!A:D,4,FALSE)</f>
        <v/>
      </c>
      <c r="Z85" s="437">
        <f>VLOOKUP(C85,台股行情!A:E,5,FALSE)</f>
        <v/>
      </c>
      <c r="AA85" s="438">
        <f>IF(I85="",((TODAY()-A85)*G85)/365.24,((I85-A85)*G85)/365.24)</f>
        <v/>
      </c>
      <c r="AB85" s="103" t="inlineStr">
        <is>
          <t>小朋友學投資</t>
        </is>
      </c>
      <c r="AC85" s="103" t="n"/>
    </row>
    <row r="86" outlineLevel="1">
      <c r="A86" s="99" t="n">
        <v>44390</v>
      </c>
      <c r="B86" s="11" t="inlineStr">
        <is>
          <t>普通買進</t>
        </is>
      </c>
      <c r="C86" s="11" t="n">
        <v>3029</v>
      </c>
      <c r="D86" s="11" t="inlineStr">
        <is>
          <t>零壹</t>
        </is>
      </c>
      <c r="E86" s="11" t="n">
        <v>1000</v>
      </c>
      <c r="F86" s="11" t="n">
        <v>49.5</v>
      </c>
      <c r="G86" s="11">
        <f>E86*F86</f>
        <v/>
      </c>
      <c r="H86" s="11" t="n">
        <v>70</v>
      </c>
      <c r="I86" s="169" t="n">
        <v>44456</v>
      </c>
      <c r="J86" s="16" t="n">
        <v>45.9</v>
      </c>
      <c r="K86" s="11">
        <f>E86*J86</f>
        <v/>
      </c>
      <c r="L86" s="17" t="n">
        <v>65</v>
      </c>
      <c r="M86" s="11" t="n">
        <v>137</v>
      </c>
      <c r="N86" s="11" t="n">
        <v>0</v>
      </c>
      <c r="O86" s="434">
        <f>IF(I86="",E86*Y86,0)</f>
        <v/>
      </c>
      <c r="P86" s="435">
        <f>IF(I86="",R86-H86,(K86-H86-SUM(L86:N86)+R86-S86-T86)-G86)+(ROUND(R86*V86,0)-ROUND(R86*(1+V86),0)*W86)</f>
        <v/>
      </c>
      <c r="Q86" s="435">
        <f>IF(I86="",(O86-G86-(O86*0.1425%*0.65)-(O86*0.3%)-S86-T86),0)</f>
        <v/>
      </c>
      <c r="R86" s="435" t="n">
        <v>3000</v>
      </c>
      <c r="S86" s="435" t="n">
        <v>10</v>
      </c>
      <c r="T86" s="435">
        <f>IF(ROUND(R86*(1+V86),0)&gt;20000,ROUND(ROUND(R86*(1+V86),0)*2%,0),0)</f>
        <v/>
      </c>
      <c r="U86" s="69">
        <f>(V86*50%)/(1+50%*V86)</f>
        <v/>
      </c>
      <c r="V86" s="69" t="n"/>
      <c r="W86" s="70" t="n">
        <v>0.11</v>
      </c>
      <c r="X86" s="436">
        <f>(P86+Q86)/G86</f>
        <v/>
      </c>
      <c r="Y86" s="16">
        <f>VLOOKUP(C86,台股行情!A:D,4,FALSE)</f>
        <v/>
      </c>
      <c r="Z86" s="437">
        <f>VLOOKUP(C86,台股行情!A:E,5,FALSE)</f>
        <v/>
      </c>
      <c r="AA86" s="438">
        <f>IF(I86="",((TODAY()-A86)*G86)/365.24,((I86-A86)*G86)/365.24)</f>
        <v/>
      </c>
      <c r="AB86" s="103" t="inlineStr">
        <is>
          <t>除權息</t>
        </is>
      </c>
      <c r="AC86" s="103" t="n"/>
    </row>
    <row r="87" outlineLevel="1">
      <c r="A87" s="99" t="n">
        <v>44300</v>
      </c>
      <c r="B87" s="11" t="inlineStr">
        <is>
          <t>普通買進</t>
        </is>
      </c>
      <c r="C87" s="11" t="n">
        <v>2618</v>
      </c>
      <c r="D87" s="11" t="inlineStr">
        <is>
          <t>長榮航</t>
        </is>
      </c>
      <c r="E87" s="11" t="n">
        <v>4000</v>
      </c>
      <c r="F87" s="11" t="n">
        <v>17.95</v>
      </c>
      <c r="G87" s="11">
        <f>E87*F87</f>
        <v/>
      </c>
      <c r="H87" s="11" t="n">
        <v>122</v>
      </c>
      <c r="I87" s="169" t="n">
        <v>44503</v>
      </c>
      <c r="J87" s="16" t="n">
        <v>20.5</v>
      </c>
      <c r="K87" s="11">
        <f>E87*J87</f>
        <v/>
      </c>
      <c r="L87" s="17" t="n">
        <v>116</v>
      </c>
      <c r="M87" s="11" t="n">
        <v>246</v>
      </c>
      <c r="N87" s="11" t="n">
        <v>0</v>
      </c>
      <c r="O87" s="434">
        <f>IF(I87="",E87*Y87,0)</f>
        <v/>
      </c>
      <c r="P87" s="435">
        <f>IF(I87="",R87-H87,(K87-H87-SUM(L87:N87)+R87-S87-T87)-G87)+(ROUND(R87*V87,0)-ROUND(R87*(1+V87),0)*W87)</f>
        <v/>
      </c>
      <c r="Q87" s="435">
        <f>IF(I87="",(O87-G87-(O87*0.1425%*0.65)-(O87*0.3%)-S87-T87),0)</f>
        <v/>
      </c>
      <c r="R87" s="435" t="n"/>
      <c r="S87" s="435" t="n">
        <v>10</v>
      </c>
      <c r="T87" s="435">
        <f>IF(ROUND(R87*(1+V87),0)&gt;20000,ROUND(ROUND(R87*(1+V87),0)*2%,0),0)</f>
        <v/>
      </c>
      <c r="U87" s="69">
        <f>(V87*50%)/(1+50%*V87)</f>
        <v/>
      </c>
      <c r="V87" s="69" t="n"/>
      <c r="W87" s="70" t="n">
        <v>0.11</v>
      </c>
      <c r="X87" s="436">
        <f>(P87+Q87)/G87</f>
        <v/>
      </c>
      <c r="Y87" s="16">
        <f>VLOOKUP(C87,台股行情!A:D,4,FALSE)</f>
        <v/>
      </c>
      <c r="Z87" s="437">
        <f>VLOOKUP(C87,台股行情!A:E,5,FALSE)</f>
        <v/>
      </c>
      <c r="AA87" s="438">
        <f>IF(I87="",((TODAY()-A87)*G87)/365.24,((I87-A87)*G87)/365.24)</f>
        <v/>
      </c>
      <c r="AB87" s="103" t="inlineStr">
        <is>
          <t>阿水一式</t>
        </is>
      </c>
      <c r="AC87" s="103" t="n"/>
    </row>
    <row r="88" outlineLevel="1">
      <c r="A88" s="99" t="n">
        <v>44313</v>
      </c>
      <c r="B88" s="11" t="inlineStr">
        <is>
          <t>普通買進</t>
        </is>
      </c>
      <c r="C88" s="11" t="n">
        <v>8440</v>
      </c>
      <c r="D88" s="11" t="inlineStr">
        <is>
          <t>綠電</t>
        </is>
      </c>
      <c r="E88" s="11" t="n">
        <v>1000</v>
      </c>
      <c r="F88" s="11" t="n">
        <v>22.7</v>
      </c>
      <c r="G88" s="11">
        <f>E88*F88</f>
        <v/>
      </c>
      <c r="H88" s="11" t="n">
        <v>32</v>
      </c>
      <c r="I88" s="169" t="n">
        <v>44531</v>
      </c>
      <c r="J88" s="16" t="n">
        <v>18.4</v>
      </c>
      <c r="K88" s="11">
        <f>E88*J88</f>
        <v/>
      </c>
      <c r="L88" s="17" t="n">
        <v>26</v>
      </c>
      <c r="M88" s="11" t="n">
        <v>55</v>
      </c>
      <c r="N88" s="11" t="n">
        <v>0</v>
      </c>
      <c r="O88" s="434">
        <f>IF(I88="",E88*Y88,0)</f>
        <v/>
      </c>
      <c r="P88" s="435">
        <f>IF(I88="",R88-H88,(K88-H88-SUM(L88:N88)+R88-S88-T88)-G88)+(ROUND(R88*V88,0)-ROUND(R88*(1+V88),0)*W88)</f>
        <v/>
      </c>
      <c r="Q88" s="435">
        <f>IF(I88="",(O88-G88-(O88*0.1425%*0.65)-(O88*0.3%)-S88-T88),0)</f>
        <v/>
      </c>
      <c r="R88" s="435" t="n">
        <v>600</v>
      </c>
      <c r="S88" s="435" t="n">
        <v>10</v>
      </c>
      <c r="T88" s="435">
        <f>IF(ROUND(R88*(1+V88),0)&gt;20000,ROUND(ROUND(R88*(1+V88),0)*2%,0),0)</f>
        <v/>
      </c>
      <c r="U88" s="69">
        <f>(V88*50%)/(1+50%*V88)</f>
        <v/>
      </c>
      <c r="V88" s="69" t="n"/>
      <c r="W88" s="70" t="n">
        <v>0.11</v>
      </c>
      <c r="X88" s="436">
        <f>(P88+Q88)/G88</f>
        <v/>
      </c>
      <c r="Y88" s="16">
        <f>VLOOKUP(C88,台股行情!A:D,4,FALSE)</f>
        <v/>
      </c>
      <c r="Z88" s="437">
        <f>VLOOKUP(C88,台股行情!A:E,5,FALSE)</f>
        <v/>
      </c>
      <c r="AA88" s="438">
        <f>IF(I88="",((TODAY()-A88)*G88)/365.24,((I88-A88)*G88)/365.24)</f>
        <v/>
      </c>
      <c r="AB88" s="103" t="inlineStr">
        <is>
          <t>阿水一式</t>
        </is>
      </c>
      <c r="AC88" s="143" t="inlineStr">
        <is>
          <t>未嚴守紀律，認賠</t>
        </is>
      </c>
    </row>
    <row r="89" outlineLevel="1">
      <c r="A89" s="99" t="n">
        <v>44445</v>
      </c>
      <c r="B89" s="11" t="inlineStr">
        <is>
          <t>普通買進</t>
        </is>
      </c>
      <c r="C89" s="11" t="n">
        <v>6196</v>
      </c>
      <c r="D89" s="11" t="inlineStr">
        <is>
          <t>帆宣</t>
        </is>
      </c>
      <c r="E89" s="11" t="n">
        <v>1000</v>
      </c>
      <c r="F89" s="11" t="n">
        <v>116</v>
      </c>
      <c r="G89" s="11">
        <f>E89*F89</f>
        <v/>
      </c>
      <c r="H89" s="11" t="n">
        <v>165</v>
      </c>
      <c r="I89" s="169" t="n">
        <v>44545</v>
      </c>
      <c r="J89" s="16" t="n">
        <v>149</v>
      </c>
      <c r="K89" s="11">
        <f>E89*J89</f>
        <v/>
      </c>
      <c r="L89" s="17" t="n">
        <v>212</v>
      </c>
      <c r="M89" s="11" t="n">
        <v>447</v>
      </c>
      <c r="N89" s="11" t="n">
        <v>0</v>
      </c>
      <c r="O89" s="434">
        <f>IF(I89="",E89*Y89,0)</f>
        <v/>
      </c>
      <c r="P89" s="435">
        <f>IF(I89="",R89-H89,(K89-H89-SUM(L89:N89)+R89-S89-T89)-G89)+(ROUND(R89*V89,0)-ROUND(R89*(1+V89),0)*W89)</f>
        <v/>
      </c>
      <c r="Q89" s="435">
        <f>IF(I89="",(O89-G89-(O89*0.1425%*0.65)-(O89*0.3%)-S89-T89),0)</f>
        <v/>
      </c>
      <c r="R89" s="435" t="n"/>
      <c r="S89" s="435" t="n">
        <v>10</v>
      </c>
      <c r="T89" s="435">
        <f>IF(ROUND(R89*(1+V89),0)&gt;20000,ROUND(ROUND(R89*(1+V89),0)*2%,0),0)</f>
        <v/>
      </c>
      <c r="U89" s="69">
        <f>(V89*50%)/(1+50%*V89)</f>
        <v/>
      </c>
      <c r="V89" s="69" t="n"/>
      <c r="W89" s="70" t="n">
        <v>0.11</v>
      </c>
      <c r="X89" s="436">
        <f>(P89+Q89)/G89</f>
        <v/>
      </c>
      <c r="Y89" s="16">
        <f>VLOOKUP(C89,台股行情!A:D,4,FALSE)</f>
        <v/>
      </c>
      <c r="Z89" s="437">
        <f>VLOOKUP(C89,台股行情!A:E,5,FALSE)</f>
        <v/>
      </c>
      <c r="AA89" s="438">
        <f>IF(I89="",((TODAY()-A89)*G89)/365.24,((I89-A89)*G89)/365.24)</f>
        <v/>
      </c>
      <c r="AB89" s="103" t="n"/>
      <c r="AC89" s="103" t="n"/>
    </row>
    <row r="90" outlineLevel="1">
      <c r="A90" s="99" t="n">
        <v>44522</v>
      </c>
      <c r="B90" s="11" t="inlineStr">
        <is>
          <t>普通買進</t>
        </is>
      </c>
      <c r="C90" s="11" t="n">
        <v>3481</v>
      </c>
      <c r="D90" s="11" t="inlineStr">
        <is>
          <t>群創</t>
        </is>
      </c>
      <c r="E90" s="11" t="n">
        <v>1000</v>
      </c>
      <c r="F90" s="11" t="n">
        <v>19.05</v>
      </c>
      <c r="G90" s="11">
        <f>E90*F90</f>
        <v/>
      </c>
      <c r="H90" s="11" t="n">
        <v>27</v>
      </c>
      <c r="I90" s="169" t="n">
        <v>44551</v>
      </c>
      <c r="J90" s="16" t="n">
        <v>19.35</v>
      </c>
      <c r="K90" s="11">
        <f>E90*J90</f>
        <v/>
      </c>
      <c r="L90" s="17" t="n">
        <v>27</v>
      </c>
      <c r="M90" s="11" t="n">
        <v>58</v>
      </c>
      <c r="N90" s="11" t="n">
        <v>0</v>
      </c>
      <c r="O90" s="434">
        <f>IF(I90="",E90*Y90,0)</f>
        <v/>
      </c>
      <c r="P90" s="435">
        <f>IF(I90="",R90-H90,(K90-H90-SUM(L90:N90)+R90-S90-T90)-G90)+(ROUND(R90*V90,0)-ROUND(R90*(1+V90),0)*W90)</f>
        <v/>
      </c>
      <c r="Q90" s="435">
        <f>IF(I90="",(O90-G90-(O90*0.1425%*0.65)-(O90*0.3%)-S90-T90),0)</f>
        <v/>
      </c>
      <c r="R90" s="435" t="n"/>
      <c r="S90" s="435" t="n">
        <v>10</v>
      </c>
      <c r="T90" s="435">
        <f>IF(ROUND(R90*(1+V90),0)&gt;20000,ROUND(ROUND(R90*(1+V90),0)*2%,0),0)</f>
        <v/>
      </c>
      <c r="U90" s="69">
        <f>(V90*50%)/(1+50%*V90)</f>
        <v/>
      </c>
      <c r="V90" s="69" t="n"/>
      <c r="W90" s="70" t="n">
        <v>0.11</v>
      </c>
      <c r="X90" s="436">
        <f>(P90+Q90)/G90</f>
        <v/>
      </c>
      <c r="Y90" s="16">
        <f>VLOOKUP(C90,台股行情!A:D,4,FALSE)</f>
        <v/>
      </c>
      <c r="Z90" s="437">
        <f>VLOOKUP(C90,台股行情!A:E,5,FALSE)</f>
        <v/>
      </c>
      <c r="AA90" s="438">
        <f>IF(I90="",((TODAY()-A90)*G90)/365.24,((I90-A90)*G90)/365.24)</f>
        <v/>
      </c>
      <c r="AB90" s="103" t="inlineStr">
        <is>
          <t>阿水一式</t>
        </is>
      </c>
      <c r="AC90" s="103" t="n"/>
    </row>
    <row r="91" outlineLevel="1">
      <c r="A91" s="99" t="n">
        <v>44293</v>
      </c>
      <c r="B91" s="11" t="inlineStr">
        <is>
          <t>普通買進</t>
        </is>
      </c>
      <c r="C91" s="11" t="n">
        <v>3023</v>
      </c>
      <c r="D91" s="11" t="inlineStr">
        <is>
          <t>信邦</t>
        </is>
      </c>
      <c r="E91" s="11" t="n">
        <v>1000</v>
      </c>
      <c r="F91" s="11" t="n">
        <v>280.5</v>
      </c>
      <c r="G91" s="11">
        <f>E91*F91</f>
        <v/>
      </c>
      <c r="H91" s="11" t="n">
        <v>399</v>
      </c>
      <c r="I91" s="169" t="n">
        <v>44554</v>
      </c>
      <c r="J91" s="16" t="n">
        <v>289.5</v>
      </c>
      <c r="K91" s="11">
        <f>E91*J91</f>
        <v/>
      </c>
      <c r="L91" s="17" t="n">
        <v>412</v>
      </c>
      <c r="M91" s="11" t="n">
        <v>868</v>
      </c>
      <c r="N91" s="11" t="n">
        <v>0</v>
      </c>
      <c r="O91" s="434">
        <f>IF(I91="",E91*Y91,0)</f>
        <v/>
      </c>
      <c r="P91" s="435">
        <f>IF(I91="",R91-H91,(K91-H91-SUM(L91:N91)+R91-S91-T91)-G91)+(ROUND(R91*V91,0)-ROUND(R91*(1+V91),0)*W91)</f>
        <v/>
      </c>
      <c r="Q91" s="435">
        <f>IF(I91="",(O91-G91-(O91*0.1425%*0.65)-(O91*0.3%)-S91-T91),0)</f>
        <v/>
      </c>
      <c r="R91" s="435" t="n">
        <v>6288</v>
      </c>
      <c r="S91" s="435" t="n">
        <v>10</v>
      </c>
      <c r="T91" s="435">
        <f>IF(ROUND(R91*(1+V91),0)&gt;20000,ROUND(ROUND(R91*(1+V91),0)*2%,0),0)</f>
        <v/>
      </c>
      <c r="U91" s="69">
        <f>(V91*50%)/(1+50%*V91)</f>
        <v/>
      </c>
      <c r="V91" s="69" t="n"/>
      <c r="W91" s="70" t="n">
        <v>0.11</v>
      </c>
      <c r="X91" s="436">
        <f>(P91+Q91)/G91</f>
        <v/>
      </c>
      <c r="Y91" s="16">
        <f>VLOOKUP(C91,台股行情!A:D,4,FALSE)</f>
        <v/>
      </c>
      <c r="Z91" s="437">
        <f>VLOOKUP(C91,台股行情!A:E,5,FALSE)</f>
        <v/>
      </c>
      <c r="AA91" s="438">
        <f>IF(I91="",((TODAY()-A91)*G91)/365.24,((I91-A91)*G91)/365.24)</f>
        <v/>
      </c>
      <c r="AB91" s="103" t="inlineStr">
        <is>
          <t>小朋友學投資</t>
        </is>
      </c>
      <c r="AC91" s="103" t="n"/>
    </row>
    <row r="92" outlineLevel="1">
      <c r="A92" s="99" t="n">
        <v>44308</v>
      </c>
      <c r="B92" s="11" t="inlineStr">
        <is>
          <t>普通買進</t>
        </is>
      </c>
      <c r="C92" s="11" t="n">
        <v>2208</v>
      </c>
      <c r="D92" s="11" t="inlineStr">
        <is>
          <t>台船</t>
        </is>
      </c>
      <c r="E92" s="11" t="n">
        <v>2000</v>
      </c>
      <c r="F92" s="11" t="n">
        <v>29.35</v>
      </c>
      <c r="G92" s="11">
        <f>E92*F92</f>
        <v/>
      </c>
      <c r="H92" s="11" t="n">
        <v>83</v>
      </c>
      <c r="I92" s="169" t="n">
        <v>44554</v>
      </c>
      <c r="J92" s="16" t="n">
        <v>21.45</v>
      </c>
      <c r="K92" s="11">
        <f>E92*J92</f>
        <v/>
      </c>
      <c r="L92" s="17" t="n">
        <v>60</v>
      </c>
      <c r="M92" s="11" t="n">
        <v>128</v>
      </c>
      <c r="N92" s="11" t="n">
        <v>0</v>
      </c>
      <c r="O92" s="434">
        <f>IF(I92="",E92*Y92,0)</f>
        <v/>
      </c>
      <c r="P92" s="435">
        <f>IF(I92="",R92-H92,(K92-H92-SUM(L92:N92)+R92-S92-T92)-G92)+(ROUND(R92*V92,0)-ROUND(R92*(1+V92),0)*W92)</f>
        <v/>
      </c>
      <c r="Q92" s="435">
        <f>IF(I92="",(O92-G92-(O92*0.1425%*0.65)-(O92*0.3%)-S92-T92),0)</f>
        <v/>
      </c>
      <c r="R92" s="435" t="n"/>
      <c r="S92" s="435" t="n">
        <v>10</v>
      </c>
      <c r="T92" s="435">
        <f>IF(ROUND(R92*(1+V92),0)&gt;20000,ROUND(ROUND(R92*(1+V92),0)*2%,0),0)</f>
        <v/>
      </c>
      <c r="U92" s="69">
        <f>(V92*50%)/(1+50%*V92)</f>
        <v/>
      </c>
      <c r="V92" s="69" t="n"/>
      <c r="W92" s="70" t="n">
        <v>0.11</v>
      </c>
      <c r="X92" s="436">
        <f>(P92+Q92)/G92</f>
        <v/>
      </c>
      <c r="Y92" s="16">
        <f>VLOOKUP(C92,台股行情!A:D,4,FALSE)</f>
        <v/>
      </c>
      <c r="Z92" s="437">
        <f>VLOOKUP(C92,台股行情!A:E,5,FALSE)</f>
        <v/>
      </c>
      <c r="AA92" s="438">
        <f>IF(I92="",((TODAY()-A92)*G92)/365.24,((I92-A92)*G92)/365.24)</f>
        <v/>
      </c>
      <c r="AB92" s="103" t="inlineStr">
        <is>
          <t>小朋友學投資</t>
        </is>
      </c>
      <c r="AC92" s="103" t="n"/>
    </row>
    <row r="93" outlineLevel="1">
      <c r="A93" s="99" t="n">
        <v>44522</v>
      </c>
      <c r="B93" s="11" t="inlineStr">
        <is>
          <t>普通買進</t>
        </is>
      </c>
      <c r="C93" s="11" t="n">
        <v>2409</v>
      </c>
      <c r="D93" s="11" t="inlineStr">
        <is>
          <t>友達</t>
        </is>
      </c>
      <c r="E93" s="11" t="n">
        <v>1000</v>
      </c>
      <c r="F93" s="11" t="n">
        <v>21.95</v>
      </c>
      <c r="G93" s="11">
        <f>E93*F93</f>
        <v/>
      </c>
      <c r="H93" s="11" t="n">
        <v>31</v>
      </c>
      <c r="I93" s="169" t="n">
        <v>44554</v>
      </c>
      <c r="J93" s="16" t="n">
        <v>22.35</v>
      </c>
      <c r="K93" s="11">
        <f>E93*J93</f>
        <v/>
      </c>
      <c r="L93" s="17" t="n">
        <v>31</v>
      </c>
      <c r="M93" s="11" t="n">
        <v>67</v>
      </c>
      <c r="N93" s="11" t="n">
        <v>0</v>
      </c>
      <c r="O93" s="434">
        <f>IF(I93="",E93*Y93,0)</f>
        <v/>
      </c>
      <c r="P93" s="435">
        <f>IF(I93="",R93-H93,(K93-H93-SUM(L93:N93)+R93-S93-T93)-G93)+(ROUND(R93*V93,0)-ROUND(R93*(1+V93),0)*W93)</f>
        <v/>
      </c>
      <c r="Q93" s="435">
        <f>IF(I93="",(O93-G93-(O93*0.1425%*0.65)-(O93*0.3%)-S93-T93),0)</f>
        <v/>
      </c>
      <c r="R93" s="435" t="n"/>
      <c r="S93" s="435" t="n">
        <v>10</v>
      </c>
      <c r="T93" s="435">
        <f>IF(ROUND(R93*(1+V93),0)&gt;20000,ROUND(ROUND(R93*(1+V93),0)*2%,0),0)</f>
        <v/>
      </c>
      <c r="U93" s="69">
        <f>(V93*50%)/(1+50%*V93)</f>
        <v/>
      </c>
      <c r="V93" s="69" t="n"/>
      <c r="W93" s="70" t="n">
        <v>0.11</v>
      </c>
      <c r="X93" s="436">
        <f>(P93+Q93)/G93</f>
        <v/>
      </c>
      <c r="Y93" s="16">
        <f>VLOOKUP(C93,台股行情!A:D,4,FALSE)</f>
        <v/>
      </c>
      <c r="Z93" s="437">
        <f>VLOOKUP(C93,台股行情!A:E,5,FALSE)</f>
        <v/>
      </c>
      <c r="AA93" s="438">
        <f>IF(I93="",((TODAY()-A93)*G93)/365.24,((I93-A93)*G93)/365.24)</f>
        <v/>
      </c>
      <c r="AB93" s="103" t="inlineStr">
        <is>
          <t>阿水一式</t>
        </is>
      </c>
      <c r="AC93" s="103" t="n"/>
    </row>
    <row r="94" outlineLevel="1">
      <c r="A94" s="99" t="n">
        <v>44523</v>
      </c>
      <c r="B94" s="11" t="inlineStr">
        <is>
          <t>普通買進</t>
        </is>
      </c>
      <c r="C94" s="11" t="n">
        <v>2481</v>
      </c>
      <c r="D94" s="219" t="inlineStr">
        <is>
          <t>強茂</t>
        </is>
      </c>
      <c r="E94" s="11" t="n">
        <v>1000</v>
      </c>
      <c r="F94" s="11" t="n">
        <v>108</v>
      </c>
      <c r="G94" s="11">
        <f>E94*F94</f>
        <v/>
      </c>
      <c r="H94" s="11" t="n">
        <v>153</v>
      </c>
      <c r="I94" s="169" t="n">
        <v>44554</v>
      </c>
      <c r="J94" s="16" t="n">
        <v>109</v>
      </c>
      <c r="K94" s="11">
        <f>E94*J94</f>
        <v/>
      </c>
      <c r="L94" s="17" t="n">
        <v>155</v>
      </c>
      <c r="M94" s="11" t="n">
        <v>327</v>
      </c>
      <c r="N94" s="11" t="n">
        <v>0</v>
      </c>
      <c r="O94" s="434">
        <f>IF(I94="",E94*Y94,0)</f>
        <v/>
      </c>
      <c r="P94" s="435">
        <f>IF(I94="",R94-H94,(K94-H94-SUM(L94:N94)+R94-S94-T94)-G94)+(ROUND(R94*V94,0)-ROUND(R94*(1+V94),0)*W94)</f>
        <v/>
      </c>
      <c r="Q94" s="435">
        <f>IF(I94="",(O94-G94-(O94*0.1425%*0.65)-(O94*0.3%)-S94-T94),0)</f>
        <v/>
      </c>
      <c r="R94" s="435" t="n"/>
      <c r="S94" s="435" t="n">
        <v>10</v>
      </c>
      <c r="T94" s="435">
        <f>IF(ROUND(R94*(1+V94),0)&gt;20000,ROUND(ROUND(R94*(1+V94),0)*2%,0),0)</f>
        <v/>
      </c>
      <c r="U94" s="69">
        <f>(V94*50%)/(1+50%*V94)</f>
        <v/>
      </c>
      <c r="V94" s="69" t="n"/>
      <c r="W94" s="70" t="n">
        <v>0.11</v>
      </c>
      <c r="X94" s="436">
        <f>(P94+Q94)/G94</f>
        <v/>
      </c>
      <c r="Y94" s="16">
        <f>VLOOKUP(C94,台股行情!A:D,4,FALSE)</f>
        <v/>
      </c>
      <c r="Z94" s="437">
        <f>VLOOKUP(C94,台股行情!A:E,5,FALSE)</f>
        <v/>
      </c>
      <c r="AA94" s="438">
        <f>IF(I94="",((TODAY()-A94)*G94)/365.24,((I94-A94)*G94)/365.24)</f>
        <v/>
      </c>
      <c r="AB94" s="103" t="inlineStr">
        <is>
          <t>阿水一式</t>
        </is>
      </c>
      <c r="AC94" s="103" t="n"/>
    </row>
    <row r="95" outlineLevel="1">
      <c r="A95" s="99" t="n">
        <v>44547</v>
      </c>
      <c r="B95" s="11" t="inlineStr">
        <is>
          <t>普通買進</t>
        </is>
      </c>
      <c r="C95" s="11" t="n">
        <v>2103</v>
      </c>
      <c r="D95" s="11" t="inlineStr">
        <is>
          <t>台橡</t>
        </is>
      </c>
      <c r="E95" s="11" t="n">
        <v>1000</v>
      </c>
      <c r="F95" s="11" t="n">
        <v>38.3</v>
      </c>
      <c r="G95" s="11">
        <f>E95*F95</f>
        <v/>
      </c>
      <c r="H95" s="11" t="n">
        <v>54</v>
      </c>
      <c r="I95" s="169" t="n">
        <v>44554</v>
      </c>
      <c r="J95" s="16" t="n">
        <v>40.95</v>
      </c>
      <c r="K95" s="11">
        <f>E95*J95</f>
        <v/>
      </c>
      <c r="L95" s="17" t="n">
        <v>58</v>
      </c>
      <c r="M95" s="11" t="n">
        <v>122</v>
      </c>
      <c r="N95" s="11" t="n">
        <v>0</v>
      </c>
      <c r="O95" s="434">
        <f>IF(I95="",E95*Y95,0)</f>
        <v/>
      </c>
      <c r="P95" s="435">
        <f>IF(I95="",R95-H95,(K95-H95-SUM(L95:N95)+R95-S95-T95)-G95)+(ROUND(R95*V95,0)-ROUND(R95*(1+V95),0)*W95)</f>
        <v/>
      </c>
      <c r="Q95" s="435">
        <f>IF(I95="",(O95-G95-(O95*0.1425%*0.65)-(O95*0.3%)-S95-T95),0)</f>
        <v/>
      </c>
      <c r="R95" s="435" t="n"/>
      <c r="S95" s="435" t="n">
        <v>10</v>
      </c>
      <c r="T95" s="435">
        <f>IF(ROUND(R95*(1+V95),0)&gt;20000,ROUND(ROUND(R95*(1+V95),0)*2%,0),0)</f>
        <v/>
      </c>
      <c r="U95" s="69">
        <f>(V95*50%)/(1+50%*V95)</f>
        <v/>
      </c>
      <c r="V95" s="69" t="n"/>
      <c r="W95" s="70" t="n">
        <v>0.11</v>
      </c>
      <c r="X95" s="436">
        <f>(P95+Q95)/G95</f>
        <v/>
      </c>
      <c r="Y95" s="16">
        <f>VLOOKUP(C95,台股行情!A:D,4,FALSE)</f>
        <v/>
      </c>
      <c r="Z95" s="437">
        <f>VLOOKUP(C95,台股行情!A:E,5,FALSE)</f>
        <v/>
      </c>
      <c r="AA95" s="438">
        <f>IF(I95="",((TODAY()-A95)*G95)/365.24,((I95-A95)*G95)/365.24)</f>
        <v/>
      </c>
      <c r="AB95" s="103" t="inlineStr">
        <is>
          <t>阿水一式</t>
        </is>
      </c>
      <c r="AC95" s="103" t="n"/>
    </row>
    <row r="96" outlineLevel="1">
      <c r="A96" s="99" t="n">
        <v>44547</v>
      </c>
      <c r="B96" s="11" t="inlineStr">
        <is>
          <t>普通買進</t>
        </is>
      </c>
      <c r="C96" s="11" t="n">
        <v>3060</v>
      </c>
      <c r="D96" s="11" t="inlineStr">
        <is>
          <t>銘異</t>
        </is>
      </c>
      <c r="E96" s="11" t="n">
        <v>1000</v>
      </c>
      <c r="F96" s="11" t="n">
        <v>27.95</v>
      </c>
      <c r="G96" s="11">
        <f>E96*F96</f>
        <v/>
      </c>
      <c r="H96" s="11" t="n">
        <v>39</v>
      </c>
      <c r="I96" s="169" t="n">
        <v>44554</v>
      </c>
      <c r="J96" s="16" t="n">
        <v>26.3</v>
      </c>
      <c r="K96" s="11">
        <f>E96*J96</f>
        <v/>
      </c>
      <c r="L96" s="17" t="n">
        <v>37</v>
      </c>
      <c r="M96" s="11" t="n">
        <v>78</v>
      </c>
      <c r="N96" s="11" t="n">
        <v>0</v>
      </c>
      <c r="O96" s="434">
        <f>IF(I96="",E96*Y96,0)</f>
        <v/>
      </c>
      <c r="P96" s="435">
        <f>IF(I96="",R96-H96,(K96-H96-SUM(L96:N96)+R96-S96-T96)-G96)+(ROUND(R96*V96,0)-ROUND(R96*(1+V96),0)*W96)</f>
        <v/>
      </c>
      <c r="Q96" s="435">
        <f>IF(I96="",(O96-G96-(O96*0.1425%*0.65)-(O96*0.3%)-S96-T96),0)</f>
        <v/>
      </c>
      <c r="R96" s="435" t="n"/>
      <c r="S96" s="435" t="n">
        <v>10</v>
      </c>
      <c r="T96" s="435">
        <f>IF(ROUND(R96*(1+V96),0)&gt;20000,ROUND(ROUND(R96*(1+V96),0)*2%,0),0)</f>
        <v/>
      </c>
      <c r="U96" s="69">
        <f>(V96*50%)/(1+50%*V96)</f>
        <v/>
      </c>
      <c r="V96" s="69" t="n"/>
      <c r="W96" s="70" t="n">
        <v>0.11</v>
      </c>
      <c r="X96" s="436">
        <f>(P96+Q96)/G96</f>
        <v/>
      </c>
      <c r="Y96" s="16">
        <f>VLOOKUP(C96,台股行情!A:D,4,FALSE)</f>
        <v/>
      </c>
      <c r="Z96" s="437">
        <f>VLOOKUP(C96,台股行情!A:E,5,FALSE)</f>
        <v/>
      </c>
      <c r="AA96" s="438">
        <f>IF(I96="",((TODAY()-A96)*G96)/365.24,((I96-A96)*G96)/365.24)</f>
        <v/>
      </c>
      <c r="AB96" s="103" t="inlineStr">
        <is>
          <t>阿水一式</t>
        </is>
      </c>
      <c r="AC96" s="207" t="inlineStr">
        <is>
          <t>-5% 停損</t>
        </is>
      </c>
    </row>
    <row r="97">
      <c r="A97" s="99" t="n">
        <v>44285</v>
      </c>
      <c r="B97" s="11" t="inlineStr">
        <is>
          <t>普通買進</t>
        </is>
      </c>
      <c r="C97" s="11" t="n">
        <v>2344</v>
      </c>
      <c r="D97" s="11" t="inlineStr">
        <is>
          <t>華邦電</t>
        </is>
      </c>
      <c r="E97" s="11" t="n">
        <v>1000</v>
      </c>
      <c r="F97" s="11" t="n">
        <v>30.1</v>
      </c>
      <c r="G97" s="11">
        <f>E97*F97</f>
        <v/>
      </c>
      <c r="H97" s="11" t="n">
        <v>42</v>
      </c>
      <c r="I97" s="308" t="n">
        <v>44567</v>
      </c>
      <c r="J97" s="16" t="n">
        <v>30.75</v>
      </c>
      <c r="K97" s="11">
        <f>E97*J97</f>
        <v/>
      </c>
      <c r="L97" s="17" t="n">
        <v>43</v>
      </c>
      <c r="M97" s="11" t="n">
        <v>92</v>
      </c>
      <c r="N97" s="11" t="n">
        <v>0</v>
      </c>
      <c r="O97" s="434">
        <f>IF(I97="",E97*Y97,0)</f>
        <v/>
      </c>
      <c r="P97" s="435">
        <f>IF(I97="",R97-H97,(K97-H97-SUM(L97:N97)+R97-S97-T97)-G97)+(ROUND(R97*V97,0)-ROUND(R97*(1+V97),0)*W97)</f>
        <v/>
      </c>
      <c r="Q97" s="435">
        <f>IF(I97="",(O97-G97-(O97*0.1425%*0.65)-(O97*0.3%)-S97-T97),0)</f>
        <v/>
      </c>
      <c r="R97" s="435" t="n">
        <v>200</v>
      </c>
      <c r="S97" s="435" t="n">
        <v>10</v>
      </c>
      <c r="T97" s="435">
        <f>IF(ROUND(R97*(1+V97),0)&gt;20000,ROUND(ROUND(R97*(1+V97),0)*2%,0),0)</f>
        <v/>
      </c>
      <c r="U97" s="69">
        <f>(V97*50%)/(1+50%*V97)</f>
        <v/>
      </c>
      <c r="V97" s="69" t="n"/>
      <c r="W97" s="70" t="n">
        <v>0.11</v>
      </c>
      <c r="X97" s="436">
        <f>(P97+Q97)/G97</f>
        <v/>
      </c>
      <c r="Y97" s="16">
        <f>VLOOKUP(C97,台股行情!A:D,4,FALSE)</f>
        <v/>
      </c>
      <c r="Z97" s="437">
        <f>VLOOKUP(C97,台股行情!A:E,5,FALSE)</f>
        <v/>
      </c>
      <c r="AA97" s="438">
        <f>IF(I97="",((TODAY()-A97)*G97)/365.24,((I97-A97)*G97)/365.24)</f>
        <v/>
      </c>
      <c r="AB97" s="103" t="inlineStr">
        <is>
          <t>水某精選</t>
        </is>
      </c>
      <c r="AC97" s="103" t="n"/>
    </row>
    <row r="98" outlineLevel="1">
      <c r="A98" s="99" t="n">
        <v>44300</v>
      </c>
      <c r="B98" s="11" t="inlineStr">
        <is>
          <t>普通買進</t>
        </is>
      </c>
      <c r="C98" s="11" t="n">
        <v>2330</v>
      </c>
      <c r="D98" s="11" t="inlineStr">
        <is>
          <t>台積電</t>
        </is>
      </c>
      <c r="E98" s="11" t="n">
        <v>1000</v>
      </c>
      <c r="F98" s="11" t="n">
        <v>607</v>
      </c>
      <c r="G98" s="11">
        <f>E98*F98</f>
        <v/>
      </c>
      <c r="H98" s="11" t="n">
        <v>864</v>
      </c>
      <c r="I98" s="308" t="n">
        <v>44567</v>
      </c>
      <c r="J98" s="16" t="n">
        <v>639</v>
      </c>
      <c r="K98" s="11">
        <f>E98*J98</f>
        <v/>
      </c>
      <c r="L98" s="17" t="n">
        <v>910</v>
      </c>
      <c r="M98" s="11" t="n">
        <v>1917</v>
      </c>
      <c r="N98" s="11" t="n">
        <v>0</v>
      </c>
      <c r="O98" s="434">
        <f>IF(I98="",E98*Y98,0)</f>
        <v/>
      </c>
      <c r="P98" s="435">
        <f>IF(I98="",R98-H98,(K98-H98-SUM(L98:N98)+R98-S98-T98)-G98)+(ROUND(R98*V98,0)-ROUND(R98*(1+V98),0)*W98)</f>
        <v/>
      </c>
      <c r="Q98" s="435">
        <f>IF(I98="",(O98-G98-(O98*0.1425%*0.65)-(O98*0.3%)-S98-T98),0)</f>
        <v/>
      </c>
      <c r="R98" s="435">
        <f>2500+2750+2750</f>
        <v/>
      </c>
      <c r="S98" s="435" t="n">
        <v>30</v>
      </c>
      <c r="T98" s="435">
        <f>IF(ROUND(R98*(1+V98),0)&gt;20000,ROUND(ROUND(R98*(1+V98),0)*2%,0),0)</f>
        <v/>
      </c>
      <c r="U98" s="69">
        <f>(V98*50%)/(1+50%*V98)</f>
        <v/>
      </c>
      <c r="V98" s="69" t="n"/>
      <c r="W98" s="70" t="n">
        <v>0.11</v>
      </c>
      <c r="X98" s="436">
        <f>(P98+Q98)/G98</f>
        <v/>
      </c>
      <c r="Y98" s="16">
        <f>VLOOKUP(C98,台股行情!A:D,4,FALSE)</f>
        <v/>
      </c>
      <c r="Z98" s="437">
        <f>VLOOKUP(C98,台股行情!A:E,5,FALSE)</f>
        <v/>
      </c>
      <c r="AA98" s="438">
        <f>IF(I98="",((TODAY()-A98)*G98)/365.24,((I98-A98)*G98)/365.24)</f>
        <v/>
      </c>
      <c r="AB98" s="103" t="inlineStr">
        <is>
          <t>水某精選</t>
        </is>
      </c>
      <c r="AC98" s="103" t="n"/>
    </row>
    <row r="99" outlineLevel="1">
      <c r="A99" s="99" t="n">
        <v>44439</v>
      </c>
      <c r="B99" s="11" t="inlineStr">
        <is>
          <t>普通買進</t>
        </is>
      </c>
      <c r="C99" s="11" t="n">
        <v>3034</v>
      </c>
      <c r="D99" s="11" t="inlineStr">
        <is>
          <t>聯詠</t>
        </is>
      </c>
      <c r="E99" s="11" t="n">
        <v>1000</v>
      </c>
      <c r="F99" s="11" t="n">
        <v>447</v>
      </c>
      <c r="G99" s="11">
        <f>E99*F99</f>
        <v/>
      </c>
      <c r="H99" s="11" t="n">
        <v>636</v>
      </c>
      <c r="I99" s="308" t="n">
        <v>44567</v>
      </c>
      <c r="J99" s="16" t="n">
        <v>516</v>
      </c>
      <c r="K99" s="11">
        <f>E99*J99</f>
        <v/>
      </c>
      <c r="L99" s="17" t="n">
        <v>735</v>
      </c>
      <c r="M99" s="11" t="n">
        <v>1548</v>
      </c>
      <c r="N99" s="11" t="n">
        <v>0</v>
      </c>
      <c r="O99" s="434">
        <f>IF(I99="",E99*Y99,0)</f>
        <v/>
      </c>
      <c r="P99" s="435">
        <f>IF(I99="",R99-H99,(K99-H99-SUM(L99:N99)+R99-S99-T99)-G99)+(ROUND(R99*V99,0)-ROUND(R99*(1+V99),0)*W99)</f>
        <v/>
      </c>
      <c r="Q99" s="435">
        <f>IF(I99="",(O99-G99-(O99*0.1425%*0.65)-(O99*0.3%)-S99-T99),0)</f>
        <v/>
      </c>
      <c r="R99" s="435" t="n"/>
      <c r="S99" s="435" t="n">
        <v>10</v>
      </c>
      <c r="T99" s="435">
        <f>IF(ROUND(R99*(1+V99),0)&gt;20000,ROUND(ROUND(R99*(1+V99),0)*2%,0),0)</f>
        <v/>
      </c>
      <c r="U99" s="69">
        <f>(V99*50%)/(1+50%*V99)</f>
        <v/>
      </c>
      <c r="V99" s="69" t="n"/>
      <c r="W99" s="70" t="n">
        <v>0.11</v>
      </c>
      <c r="X99" s="436">
        <f>(P99+Q99)/G99</f>
        <v/>
      </c>
      <c r="Y99" s="16">
        <f>VLOOKUP(C99,台股行情!A:D,4,FALSE)</f>
        <v/>
      </c>
      <c r="Z99" s="437">
        <f>VLOOKUP(C99,台股行情!A:E,5,FALSE)</f>
        <v/>
      </c>
      <c r="AA99" s="438">
        <f>IF(I99="",((TODAY()-A99)*G99)/365.24,((I99-A99)*G99)/365.24)</f>
        <v/>
      </c>
      <c r="AB99" s="103" t="inlineStr">
        <is>
          <t>水某精選</t>
        </is>
      </c>
      <c r="AC99" s="103" t="n"/>
    </row>
    <row r="100" outlineLevel="1">
      <c r="A100" s="99" t="n">
        <v>44515</v>
      </c>
      <c r="B100" s="11" t="inlineStr">
        <is>
          <t>普通買進</t>
        </is>
      </c>
      <c r="C100" s="11" t="n">
        <v>1504</v>
      </c>
      <c r="D100" s="11" t="inlineStr">
        <is>
          <t>東元</t>
        </is>
      </c>
      <c r="E100" s="11" t="n">
        <v>1000</v>
      </c>
      <c r="F100" s="11" t="n">
        <v>31.65</v>
      </c>
      <c r="G100" s="11">
        <f>E100*F100</f>
        <v/>
      </c>
      <c r="H100" s="11" t="n">
        <v>45</v>
      </c>
      <c r="I100" s="308" t="n">
        <v>45006</v>
      </c>
      <c r="J100" s="16" t="n">
        <v>36.25</v>
      </c>
      <c r="K100" s="11">
        <f>E100*J100</f>
        <v/>
      </c>
      <c r="L100" s="17" t="n">
        <v>51</v>
      </c>
      <c r="M100" s="11" t="n">
        <v>108</v>
      </c>
      <c r="N100" s="11" t="n">
        <v>0</v>
      </c>
      <c r="O100" s="434">
        <f>IF(I100="",E100*Y100,0)</f>
        <v/>
      </c>
      <c r="P100" s="435">
        <f>IF(I100="",R100-H100,(K100-H100-SUM(L100:N100)+R100-S100-T100)-G100)+(ROUND(R100*V100,0)-ROUND(R100*(1+V100),0)*W100)</f>
        <v/>
      </c>
      <c r="Q100" s="435">
        <f>IF(I100="",(O100-G100-(O100*0.1425%*0.65)-(O100*0.3%)-S100-T100),0)</f>
        <v/>
      </c>
      <c r="R100" s="435" t="n">
        <v>1350</v>
      </c>
      <c r="S100" s="435" t="n">
        <v>5</v>
      </c>
      <c r="T100" s="435">
        <f>IF(ROUND(R100*(1+V100),0)&gt;20000,ROUND(ROUND(R100*(1+V100),0)*2%,0),0)</f>
        <v/>
      </c>
      <c r="U100" s="69">
        <f>(V100*50%)/(1+50%*V100)</f>
        <v/>
      </c>
      <c r="V100" s="69" t="n"/>
      <c r="W100" s="70" t="n">
        <v>0.11</v>
      </c>
      <c r="X100" s="436">
        <f>(P100+Q100)/G100</f>
        <v/>
      </c>
      <c r="Y100" s="16">
        <f>VLOOKUP(C100,台股行情!A:D,4,FALSE)</f>
        <v/>
      </c>
      <c r="Z100" s="437">
        <f>VLOOKUP(C100,台股行情!A:E,5,FALSE)</f>
        <v/>
      </c>
      <c r="AA100" s="438">
        <f>IF(I100="",((TODAY()-A100)*G100)/365.24,((I100-A100)*G100)/365.24)</f>
        <v/>
      </c>
      <c r="AB100" s="103" t="inlineStr">
        <is>
          <t>阿水一式</t>
        </is>
      </c>
      <c r="AC100" s="188" t="inlineStr">
        <is>
          <t>獲利了結</t>
        </is>
      </c>
    </row>
    <row r="101" outlineLevel="1">
      <c r="A101" s="99" t="n">
        <v>44515</v>
      </c>
      <c r="B101" s="11" t="inlineStr">
        <is>
          <t>普通買進</t>
        </is>
      </c>
      <c r="C101" s="11" t="n">
        <v>1504</v>
      </c>
      <c r="D101" s="11" t="inlineStr">
        <is>
          <t>東元</t>
        </is>
      </c>
      <c r="E101" s="11" t="n">
        <v>1000</v>
      </c>
      <c r="F101" s="11" t="n">
        <v>31.65</v>
      </c>
      <c r="G101" s="11">
        <f>E101*F101</f>
        <v/>
      </c>
      <c r="H101" s="11" t="n">
        <v>45</v>
      </c>
      <c r="I101" s="308" t="n">
        <v>45009</v>
      </c>
      <c r="J101" s="16" t="n">
        <v>44</v>
      </c>
      <c r="K101" s="11">
        <f>E101*J101</f>
        <v/>
      </c>
      <c r="L101" s="17" t="n">
        <v>62</v>
      </c>
      <c r="M101" s="11" t="n">
        <v>132</v>
      </c>
      <c r="N101" s="11" t="n">
        <v>0</v>
      </c>
      <c r="O101" s="434">
        <f>IF(I101="",E101*Y101,0)</f>
        <v/>
      </c>
      <c r="P101" s="435">
        <f>IF(I101="",R101-H101,(K101-H101-SUM(L101:N101)+R101-S101-T101)-G101)+(ROUND(R101*V101,0)-ROUND(R101*(1+V101),0)*W101)</f>
        <v/>
      </c>
      <c r="Q101" s="435">
        <f>IF(I101="",(O101-G101-(O101*0.1425%*0.65)-(O101*0.3%)-S101-T101),0)</f>
        <v/>
      </c>
      <c r="R101" s="435" t="n">
        <v>1350</v>
      </c>
      <c r="S101" s="435" t="n">
        <v>5</v>
      </c>
      <c r="T101" s="435">
        <f>IF(ROUND(R101*(1+V101),0)&gt;20000,ROUND(ROUND(R101*(1+V101),0)*2%,0),0)</f>
        <v/>
      </c>
      <c r="U101" s="69">
        <f>(V101*50%)/(1+50%*V101)</f>
        <v/>
      </c>
      <c r="V101" s="69" t="n"/>
      <c r="W101" s="70" t="n">
        <v>0.11</v>
      </c>
      <c r="X101" s="436">
        <f>(P101+Q101)/G101</f>
        <v/>
      </c>
      <c r="Y101" s="16">
        <f>VLOOKUP(C101,台股行情!A:D,4,FALSE)</f>
        <v/>
      </c>
      <c r="Z101" s="437">
        <f>VLOOKUP(C101,台股行情!A:E,5,FALSE)</f>
        <v/>
      </c>
      <c r="AA101" s="438">
        <f>IF(I101="",((TODAY()-A101)*G101)/365.24,((I101-A101)*G101)/365.24)</f>
        <v/>
      </c>
      <c r="AB101" s="103" t="inlineStr">
        <is>
          <t>阿水一式</t>
        </is>
      </c>
      <c r="AC101" s="188" t="inlineStr">
        <is>
          <t>獲利了結</t>
        </is>
      </c>
    </row>
    <row r="102" outlineLevel="1">
      <c r="A102" s="99" t="n">
        <v>44308</v>
      </c>
      <c r="B102" s="11" t="inlineStr">
        <is>
          <t>普通買進</t>
        </is>
      </c>
      <c r="C102" s="11" t="n">
        <v>3090</v>
      </c>
      <c r="D102" s="11" t="inlineStr">
        <is>
          <t>日電貿</t>
        </is>
      </c>
      <c r="E102" s="11" t="n">
        <v>1000</v>
      </c>
      <c r="F102" s="11" t="n">
        <v>59.2</v>
      </c>
      <c r="G102" s="11">
        <f>E102*F102</f>
        <v/>
      </c>
      <c r="H102" s="11" t="n">
        <v>84</v>
      </c>
      <c r="I102" s="308" t="n">
        <v>45104</v>
      </c>
      <c r="J102" s="16" t="n">
        <v>58.2</v>
      </c>
      <c r="K102" s="11">
        <f>E102*J102</f>
        <v/>
      </c>
      <c r="L102" s="17" t="n">
        <v>82</v>
      </c>
      <c r="M102" s="11" t="n">
        <v>174</v>
      </c>
      <c r="N102" s="11" t="n">
        <v>0</v>
      </c>
      <c r="O102" s="434">
        <f>IF(I102="",E102*Y102,0)</f>
        <v/>
      </c>
      <c r="P102" s="435">
        <f>IF(I102="",R102-H102,(K102-H102-SUM(L102:N102)+R102-S102-T102)-G102)+(ROUND(R102*V102,0)-ROUND(R102*(1+V102),0)*W102)</f>
        <v/>
      </c>
      <c r="Q102" s="435">
        <f>IF(I102="",(O102-G102-(O102*0.1425%*0.65)-(O102*0.3%)-S102-T102),0)</f>
        <v/>
      </c>
      <c r="R102" s="435">
        <f>3100+4000</f>
        <v/>
      </c>
      <c r="S102" s="435" t="n">
        <v>20</v>
      </c>
      <c r="T102" s="435">
        <f>IF(ROUND(R102*(1+V102),0)&gt;20000,ROUND(ROUND(R102*(1+V102),0)*2%,0),0)</f>
        <v/>
      </c>
      <c r="U102" s="69">
        <f>(V102*50%)/(1+50%*V102)</f>
        <v/>
      </c>
      <c r="V102" s="69" t="n"/>
      <c r="W102" s="70" t="n">
        <v>0.11</v>
      </c>
      <c r="X102" s="436">
        <f>(P102+Q102)/G102</f>
        <v/>
      </c>
      <c r="Y102" s="16">
        <f>VLOOKUP(C102,台股行情!A:D,4,FALSE)</f>
        <v/>
      </c>
      <c r="Z102" s="437">
        <f>VLOOKUP(C102,台股行情!A:E,5,FALSE)</f>
        <v/>
      </c>
      <c r="AA102" s="438">
        <f>IF(I102="",((TODAY()-A102)*G102)/365.24,((I102-A102)*G102)/365.24)</f>
        <v/>
      </c>
      <c r="AB102" s="103" t="inlineStr">
        <is>
          <t>水某精選</t>
        </is>
      </c>
      <c r="AC102" s="103" t="n"/>
    </row>
    <row r="103" outlineLevel="1">
      <c r="A103" s="99" t="n">
        <v>44299</v>
      </c>
      <c r="B103" s="11" t="inlineStr">
        <is>
          <t>普通買進</t>
        </is>
      </c>
      <c r="C103" s="11" t="n">
        <v>4930</v>
      </c>
      <c r="D103" s="11" t="inlineStr">
        <is>
          <t>燦星網</t>
        </is>
      </c>
      <c r="E103" s="11" t="n">
        <v>595</v>
      </c>
      <c r="F103" s="11" t="n">
        <v>35.95</v>
      </c>
      <c r="G103" s="183" t="n">
        <v>35950</v>
      </c>
      <c r="H103" s="183" t="n">
        <v>51</v>
      </c>
      <c r="I103" s="308" t="n">
        <v>45520</v>
      </c>
      <c r="J103" s="16" t="n">
        <v>31.7</v>
      </c>
      <c r="K103" s="11" t="n">
        <v>18861</v>
      </c>
      <c r="L103" s="17" t="n">
        <v>26</v>
      </c>
      <c r="M103" s="11" t="n">
        <v>56</v>
      </c>
      <c r="N103" s="11" t="n">
        <v>0</v>
      </c>
      <c r="O103" s="434">
        <f>IF(I103="",E103*Y103,0)</f>
        <v/>
      </c>
      <c r="P103" s="435">
        <f>IF(I103="",R103-H103,(K103-H103-SUM(L103:N103)+R103-S103-T103)-G103)+(ROUND(R103*V103,0)-ROUND(R103*(1+V103),0)*W103)</f>
        <v/>
      </c>
      <c r="Q103" s="435">
        <f>IF(I103="",(O103-G103-(O103*0.1425%*0.65)-(O103*0.3%)-S103-T103),0)</f>
        <v/>
      </c>
      <c r="R103" s="435">
        <f>3500+4049+2856+1190+1368</f>
        <v/>
      </c>
      <c r="S103" s="435" t="n">
        <v>50</v>
      </c>
      <c r="T103" s="435">
        <f>IF(ROUND(R103*(1+V103),0)&gt;20000,ROUND(ROUND(R103*(1+V103),0)*2%,0),0)</f>
        <v/>
      </c>
      <c r="U103" s="69">
        <f>(V103*50%)/(1+50%*V103)</f>
        <v/>
      </c>
      <c r="V103" s="69" t="n"/>
      <c r="W103" s="70" t="n">
        <v>0.11</v>
      </c>
      <c r="X103" s="436">
        <f>(P103+Q103)/G103</f>
        <v/>
      </c>
      <c r="Y103" s="16">
        <f>VLOOKUP(C103,台股行情!A:D,4,FALSE)</f>
        <v/>
      </c>
      <c r="Z103" s="437">
        <f>VLOOKUP(C103,台股行情!A:E,5,FALSE)</f>
        <v/>
      </c>
      <c r="AA103" s="438">
        <f>IF(I103="",((TODAY()-A103)*G103)/365.24,((I103-A103)*G103)/365.24)</f>
        <v/>
      </c>
      <c r="AB103" s="103" t="inlineStr">
        <is>
          <t>除權息</t>
        </is>
      </c>
      <c r="AC103" s="135" t="inlineStr">
        <is>
          <t>除息多次，又遇紅燈，認賠出場</t>
        </is>
      </c>
    </row>
    <row r="104" outlineLevel="1">
      <c r="A104" s="99" t="n">
        <v>44517</v>
      </c>
      <c r="B104" s="11" t="inlineStr">
        <is>
          <t>普通買進</t>
        </is>
      </c>
      <c r="C104" s="11" t="n">
        <v>3545</v>
      </c>
      <c r="D104" s="11" t="inlineStr">
        <is>
          <t>敦泰</t>
        </is>
      </c>
      <c r="E104" s="11" t="n">
        <v>1000</v>
      </c>
      <c r="F104" s="11" t="n">
        <v>164</v>
      </c>
      <c r="G104" s="11" t="n">
        <v>164000</v>
      </c>
      <c r="H104" s="11" t="n">
        <v>233</v>
      </c>
      <c r="I104" s="308" t="n">
        <v>46031</v>
      </c>
      <c r="J104" s="16" t="n">
        <v>52.3</v>
      </c>
      <c r="K104" s="11" t="n">
        <v>52300</v>
      </c>
      <c r="L104" s="11" t="n">
        <v>74</v>
      </c>
      <c r="M104" s="11" t="n">
        <v>156</v>
      </c>
      <c r="N104" s="11" t="n">
        <v>0</v>
      </c>
      <c r="O104" s="434" t="n">
        <v>0</v>
      </c>
      <c r="P104" s="435" t="n">
        <v>-95230.7</v>
      </c>
      <c r="Q104" s="435" t="n">
        <v>0</v>
      </c>
      <c r="R104" s="435" t="n">
        <v>19070</v>
      </c>
      <c r="S104" s="435" t="n">
        <v>40</v>
      </c>
      <c r="T104" s="435" t="n">
        <v>0</v>
      </c>
      <c r="U104" s="69" t="n">
        <v>0</v>
      </c>
      <c r="V104" s="69" t="n"/>
      <c r="W104" s="70" t="n">
        <v>0.11</v>
      </c>
      <c r="X104" s="436" t="n">
        <v>-0.5806749999999999</v>
      </c>
      <c r="Y104" s="16" t="n">
        <v>52.8</v>
      </c>
      <c r="Z104" s="437">
        <f>VLOOKUP(C104,台股行情!A:E,5,FALSE)</f>
        <v/>
      </c>
      <c r="AA104" s="438">
        <f>IF(I104="",((TODAY()-A104)*G104)/365.24,((I104-A104)*G104)/365.24)</f>
        <v/>
      </c>
      <c r="AB104" s="103" t="inlineStr">
        <is>
          <t>小朋友學投資</t>
        </is>
      </c>
      <c r="AC104" s="135" t="inlineStr">
        <is>
          <t>套牢太久，認賠出場，換投 ETF 00918, 00919</t>
        </is>
      </c>
    </row>
    <row r="105" outlineLevel="1">
      <c r="A105" s="99" t="n">
        <v>44308</v>
      </c>
      <c r="B105" s="11" t="inlineStr">
        <is>
          <t>普通買進</t>
        </is>
      </c>
      <c r="C105" s="11" t="n">
        <v>2002</v>
      </c>
      <c r="D105" s="11">
        <f>VLOOKUP(C105,台股行情!A:B,2,FALSE)</f>
        <v/>
      </c>
      <c r="E105" s="11" t="n">
        <v>1000</v>
      </c>
      <c r="F105" s="11" t="n">
        <v>39.9</v>
      </c>
      <c r="G105" s="11">
        <f>E105*F105</f>
        <v/>
      </c>
      <c r="H105" s="11" t="n">
        <v>56</v>
      </c>
      <c r="I105" s="308" t="n">
        <v>46042</v>
      </c>
      <c r="J105" s="16" t="n">
        <v>19.25</v>
      </c>
      <c r="K105" s="11">
        <f>E105*J105</f>
        <v/>
      </c>
      <c r="L105" s="11">
        <f>ROUND(J105*E105*0.1425%,0)</f>
        <v/>
      </c>
      <c r="M105" s="11">
        <f>ROUND(J105*E105*0.3%,0)</f>
        <v/>
      </c>
      <c r="N105" s="11" t="n">
        <v>0</v>
      </c>
      <c r="O105" s="434">
        <f>IF(I105="",E105*Y105,0)</f>
        <v/>
      </c>
      <c r="P105" s="435">
        <f>IF(I105="",R105-H105,(K105-H105-SUM(L105:N105)+R105-S105-T105)-G105)+(ROUND(R105*V105,0)-ROUND(R105*(1+V105),0)*W105)</f>
        <v/>
      </c>
      <c r="Q105" s="435">
        <f>IF(I105="",(O105-G105-(O105*0.1425%*0.65)-(O105*0.3%)-S105-T105),0)</f>
        <v/>
      </c>
      <c r="R105" s="435">
        <f>300+3100+1000+350+330</f>
        <v/>
      </c>
      <c r="S105" s="435" t="n">
        <v>50</v>
      </c>
      <c r="T105" s="435">
        <f>IF(ROUND(R105*(1+V105),0)&gt;20000,ROUND(ROUND(R105*(1+V105),0)*2%,0),0)</f>
        <v/>
      </c>
      <c r="U105" s="69">
        <f>(V105*50%)/(1+50%*V105)</f>
        <v/>
      </c>
      <c r="V105" s="69" t="n"/>
      <c r="W105" s="70" t="n">
        <v>0.11</v>
      </c>
      <c r="X105" s="436">
        <f>(P105+Q105)/G105</f>
        <v/>
      </c>
      <c r="Y105" s="16">
        <f>VLOOKUP(C105,台股行情!A:D,4,FALSE)</f>
        <v/>
      </c>
      <c r="Z105" s="437">
        <f>VLOOKUP(C105,台股行情!A:E,5,FALSE)</f>
        <v/>
      </c>
      <c r="AA105" s="438">
        <f>IF(I105="",((TODAY()-A105)*G105)/365.24,((I105-A105)*G105)/365.24)</f>
        <v/>
      </c>
      <c r="AB105" s="103" t="inlineStr">
        <is>
          <t>小朋友學投資</t>
        </is>
      </c>
      <c r="AC105" s="135" t="inlineStr">
        <is>
          <t>套牢太久，認賠出場，換投 ETF 00918, 00919</t>
        </is>
      </c>
      <c r="AD105" s="320" t="inlineStr">
        <is>
          <t>A. 優先汰弱（深套 + 題材弱/循環久）</t>
        </is>
      </c>
    </row>
    <row r="106" outlineLevel="1">
      <c r="A106" s="99" t="n">
        <v>44308</v>
      </c>
      <c r="B106" s="11" t="inlineStr">
        <is>
          <t>普通買進</t>
        </is>
      </c>
      <c r="C106" s="11" t="n">
        <v>2002</v>
      </c>
      <c r="D106" s="11">
        <f>VLOOKUP(C106,台股行情!A:B,2,FALSE)</f>
        <v/>
      </c>
      <c r="E106" s="11" t="n">
        <v>2000</v>
      </c>
      <c r="F106" s="11" t="n">
        <v>39.2</v>
      </c>
      <c r="G106" s="11">
        <f>E106*F106</f>
        <v/>
      </c>
      <c r="H106" s="11" t="n">
        <v>111</v>
      </c>
      <c r="I106" s="308" t="n">
        <v>46043</v>
      </c>
      <c r="J106" s="16" t="n">
        <v>19.05</v>
      </c>
      <c r="K106" s="11">
        <f>E106*J106</f>
        <v/>
      </c>
      <c r="L106" s="11">
        <f>ROUND(J106*E106*0.1425%,0)</f>
        <v/>
      </c>
      <c r="M106" s="11">
        <f>ROUND(J106*E106*0.3%,0)</f>
        <v/>
      </c>
      <c r="N106" s="11" t="n">
        <v>0</v>
      </c>
      <c r="O106" s="434">
        <f>IF(I106="",E106*Y106,0)</f>
        <v/>
      </c>
      <c r="P106" s="435">
        <f>IF(I106="",R106-H106,(K106-H106-SUM(L106:N106)+R106-S106-T106)-G106)+(ROUND(R106*V106,0)-ROUND(R106*(1+V106),0)*W106)</f>
        <v/>
      </c>
      <c r="Q106" s="435">
        <f>IF(I106="",(O106-G106-(O106*0.1425%*0.65)-(O106*0.3%)-S106-T106),0)</f>
        <v/>
      </c>
      <c r="R106" s="435">
        <f>600+6200+2000+700+660</f>
        <v/>
      </c>
      <c r="S106" s="435" t="n">
        <v>50</v>
      </c>
      <c r="T106" s="435">
        <f>IF(ROUND(R106*(1+V106),0)&gt;20000,ROUND(ROUND(R106*(1+V106),0)*2%,0),0)</f>
        <v/>
      </c>
      <c r="U106" s="69">
        <f>(V106*50%)/(1+50%*V106)</f>
        <v/>
      </c>
      <c r="V106" s="69" t="n"/>
      <c r="W106" s="70" t="n">
        <v>0.11</v>
      </c>
      <c r="X106" s="436">
        <f>(P106+Q106)/G106</f>
        <v/>
      </c>
      <c r="Y106" s="16">
        <f>VLOOKUP(C106,台股行情!A:D,4,FALSE)</f>
        <v/>
      </c>
      <c r="Z106" s="437">
        <f>VLOOKUP(C106,台股行情!A:E,5,FALSE)</f>
        <v/>
      </c>
      <c r="AA106" s="438">
        <f>IF(I106="",((TODAY()-A106)*G106)/365.24,((I106-A106)*G106)/365.24)</f>
        <v/>
      </c>
      <c r="AB106" s="103" t="inlineStr">
        <is>
          <t>小朋友學投資</t>
        </is>
      </c>
      <c r="AC106" s="135" t="inlineStr">
        <is>
          <t>套牢太久，認賠出場，換投 ETF 00918, 00919</t>
        </is>
      </c>
      <c r="AD106" s="320" t="inlineStr">
        <is>
          <t>A. 優先汰弱（深套 + 題材弱/循環久）</t>
        </is>
      </c>
    </row>
    <row r="107" outlineLevel="1">
      <c r="A107" s="99" t="n">
        <v>44293</v>
      </c>
      <c r="B107" s="11" t="inlineStr">
        <is>
          <t>普通買進</t>
        </is>
      </c>
      <c r="C107" s="11" t="n">
        <v>8086</v>
      </c>
      <c r="D107" s="11">
        <f>VLOOKUP(C107,台股行情!A:B,2,FALSE)</f>
        <v/>
      </c>
      <c r="E107" s="11" t="n">
        <v>1000</v>
      </c>
      <c r="F107" s="11" t="n">
        <v>165.5</v>
      </c>
      <c r="G107" s="11">
        <f>E107*F107</f>
        <v/>
      </c>
      <c r="H107" s="11" t="n">
        <v>235</v>
      </c>
      <c r="I107" s="308" t="n">
        <v>46090</v>
      </c>
      <c r="J107" s="16" t="n">
        <v>118</v>
      </c>
      <c r="K107" s="11">
        <f>E107*J107</f>
        <v/>
      </c>
      <c r="L107" s="11" t="n">
        <v>168</v>
      </c>
      <c r="M107" s="11" t="n">
        <v>354</v>
      </c>
      <c r="N107" s="11" t="n">
        <v>0</v>
      </c>
      <c r="O107" s="434">
        <f>IF(I107="",E107*Y107,0)</f>
        <v/>
      </c>
      <c r="P107" s="435">
        <f>IF(I107="",R107-H107,(K107-H107-SUM(L107:N107)+R107-S107-T107)-G107)+(ROUND(R107*V107,0)-ROUND(R107*(1+V107),0)*W107)</f>
        <v/>
      </c>
      <c r="Q107" s="435">
        <f>IF(I107="",(O107-G107-(O107*0.1425%*0.65)-(O107*0.3%)-S107-T107),0)</f>
        <v/>
      </c>
      <c r="R107" s="435">
        <f>2800+2800+1000+1190</f>
        <v/>
      </c>
      <c r="S107" s="435" t="n">
        <v>40</v>
      </c>
      <c r="T107" s="435">
        <f>IF(ROUND(R107*(1+V107),0)&gt;20000,ROUND(ROUND(R107*(1+V107),0)*2%,0),0)</f>
        <v/>
      </c>
      <c r="U107" s="69">
        <f>(V107*50%)/(1+50%*V107)</f>
        <v/>
      </c>
      <c r="V107" s="69" t="n"/>
      <c r="W107" s="70" t="n">
        <v>0.11</v>
      </c>
      <c r="X107" s="436">
        <f>(P107+Q107)/G107</f>
        <v/>
      </c>
      <c r="Y107" s="16">
        <f>VLOOKUP(C107,台股行情!A:D,4,FALSE)</f>
        <v/>
      </c>
      <c r="Z107" s="437">
        <f>VLOOKUP(C107,台股行情!A:E,5,FALSE)</f>
        <v/>
      </c>
      <c r="AA107" s="438">
        <f>IF(I107="",((TODAY()-A107)*G107)/365.24,((I107-A107)*G107)/365.24)</f>
        <v/>
      </c>
      <c r="AB107" s="103" t="inlineStr">
        <is>
          <t>小朋友學投資</t>
        </is>
      </c>
      <c r="AC107" s="135" t="inlineStr">
        <is>
          <t>套牢太久，認賠出場</t>
        </is>
      </c>
      <c r="AD107" s="338" t="inlineStr">
        <is>
          <t>B. 中度套牢（-10%~ -30%）</t>
        </is>
      </c>
    </row>
    <row r="108" outlineLevel="1">
      <c r="A108" s="99" t="n">
        <v>44308</v>
      </c>
      <c r="B108" s="11" t="inlineStr">
        <is>
          <t>普通買進</t>
        </is>
      </c>
      <c r="C108" s="11" t="n">
        <v>2409</v>
      </c>
      <c r="D108" s="189">
        <f>VLOOKUP(C108,台股行情!A:B,2,FALSE)</f>
        <v/>
      </c>
      <c r="E108" s="11" t="n">
        <v>800</v>
      </c>
      <c r="F108" s="11" t="n">
        <v>30.3</v>
      </c>
      <c r="G108" s="183" t="n">
        <v>30300</v>
      </c>
      <c r="H108" s="183" t="n">
        <v>43</v>
      </c>
      <c r="I108" s="308" t="n">
        <v>46119</v>
      </c>
      <c r="J108" s="16" t="n">
        <v>16.45</v>
      </c>
      <c r="K108" s="11">
        <f>E108*J108</f>
        <v/>
      </c>
      <c r="L108" s="11" t="n">
        <v>18</v>
      </c>
      <c r="M108" s="11">
        <f>ROUND(J108*E108*0.3%,0)</f>
        <v/>
      </c>
      <c r="N108" s="11" t="n">
        <v>0</v>
      </c>
      <c r="O108" s="434">
        <f>IF(I108="",E108*Y108,0)</f>
        <v/>
      </c>
      <c r="P108" s="435">
        <f>IF(I108="",R108-H108,(K108-H108-SUM(L108:N108)+R108-S108-T108)-G108)+(ROUND(R108*V108,0)-ROUND(R108*(1+V108),0)*W108)</f>
        <v/>
      </c>
      <c r="Q108" s="435">
        <f>IF(I108="",(O108-G108-(O108*0.1425%*0.65)-(O108*0.3%)-S108-T108),0)</f>
        <v/>
      </c>
      <c r="R108" s="435">
        <f>300+1000+640+720+243</f>
        <v/>
      </c>
      <c r="S108" s="435" t="n">
        <v>50</v>
      </c>
      <c r="T108" s="435">
        <f>IF(ROUND(R108*(1+V108),0)&gt;20000,ROUND(ROUND(R108*(1+V108),0)*2%,0),0)</f>
        <v/>
      </c>
      <c r="U108" s="69">
        <f>(V108*50%)/(1+50%*V108)</f>
        <v/>
      </c>
      <c r="V108" s="69" t="n"/>
      <c r="W108" s="70" t="n">
        <v>0.11</v>
      </c>
      <c r="X108" s="436">
        <f>(P108+Q108)/G108</f>
        <v/>
      </c>
      <c r="Y108" s="16">
        <f>VLOOKUP(C108,台股行情!A:D,4,FALSE)</f>
        <v/>
      </c>
      <c r="Z108" s="437">
        <f>VLOOKUP(C108,台股行情!A:E,5,FALSE)</f>
        <v/>
      </c>
      <c r="AA108" s="438">
        <f>IF(I108="",((TODAY()-A108)*G108)/365.24,((I108-A108)*G108)/365.24)</f>
        <v/>
      </c>
      <c r="AB108" s="103" t="n"/>
      <c r="AC108" s="311" t="n"/>
      <c r="AD108" s="320" t="inlineStr">
        <is>
          <t>A. 優先汰弱（深套 + 題材弱/循環久）</t>
        </is>
      </c>
    </row>
    <row r="109">
      <c r="A109" s="99" t="n">
        <v>44278</v>
      </c>
      <c r="B109" s="11" t="inlineStr">
        <is>
          <t>普通買進</t>
        </is>
      </c>
      <c r="C109" s="11" t="n">
        <v>6153</v>
      </c>
      <c r="D109" s="11">
        <f>VLOOKUP(C109,台股行情!A:B,2,FALSE)</f>
        <v/>
      </c>
      <c r="E109" s="11" t="n">
        <v>3000</v>
      </c>
      <c r="F109" s="11" t="n">
        <v>37.8</v>
      </c>
      <c r="G109" s="11">
        <f>E109*F109</f>
        <v/>
      </c>
      <c r="H109" s="11" t="n">
        <v>161</v>
      </c>
      <c r="I109" s="308" t="n">
        <v>46149</v>
      </c>
      <c r="J109" s="16" t="n">
        <v>19.05</v>
      </c>
      <c r="K109" s="11">
        <f>E109*J109</f>
        <v/>
      </c>
      <c r="L109" s="11">
        <f>ROUND(J109*E109*0.1425%,0)</f>
        <v/>
      </c>
      <c r="M109" s="11">
        <f>ROUND(J109*E109*0.3%,0)</f>
        <v/>
      </c>
      <c r="N109" s="11" t="n">
        <v>0</v>
      </c>
      <c r="O109" s="434">
        <f>IF(I109="",E109*Y109,0)</f>
        <v/>
      </c>
      <c r="P109" s="435">
        <f>IF(I109="",R109-H109,(K109-H109-SUM(L109:N109)+R109-S109-T109)-G109)+(ROUND(R109*V109,0)-ROUND(R109*(1+V109),0)*W109)</f>
        <v/>
      </c>
      <c r="Q109" s="435">
        <f>IF(I109="",(O109-G109-(O109*0.1425%*0.65)-(O109*0.3%)-S109-T109),0)</f>
        <v/>
      </c>
      <c r="R109" s="435">
        <f>1500+722</f>
        <v/>
      </c>
      <c r="S109" s="435" t="n">
        <v>20</v>
      </c>
      <c r="T109" s="435">
        <f>IF(ROUND(R109*(1+V109),0)&gt;20000,ROUND(ROUND(R109*(1+V109),0)*2%,0),0)</f>
        <v/>
      </c>
      <c r="U109" s="69">
        <f>(V109*50%)/(1+50%*V109)</f>
        <v/>
      </c>
      <c r="V109" s="69" t="n"/>
      <c r="W109" s="70" t="n">
        <v>0.11</v>
      </c>
      <c r="X109" s="436">
        <f>(P109+Q109)/G109</f>
        <v/>
      </c>
      <c r="Y109" s="16">
        <f>VLOOKUP(C109,台股行情!A:D,4,FALSE)</f>
        <v/>
      </c>
      <c r="Z109" s="437">
        <f>VLOOKUP(C109,台股行情!A:E,5,FALSE)</f>
        <v/>
      </c>
      <c r="AA109" s="438">
        <f>IF(I109="",((TODAY()-A109)*G109)/365.24,((I109-A109)*G109)/365.24)</f>
        <v/>
      </c>
      <c r="AB109" s="103" t="inlineStr">
        <is>
          <t>水某精選</t>
        </is>
      </c>
      <c r="AC109" s="311" t="n"/>
      <c r="AD109" s="339" t="inlineStr">
        <is>
          <t>A. 優先汰弱（深套 + 題材弱/循環久）</t>
        </is>
      </c>
    </row>
    <row r="110">
      <c r="A110" s="491" t="n"/>
      <c r="B110" s="11" t="n"/>
      <c r="C110" s="11" t="n"/>
      <c r="D110" s="11" t="n"/>
      <c r="E110" s="11" t="n"/>
      <c r="F110" s="11" t="n"/>
      <c r="G110" s="64" t="n"/>
      <c r="H110" s="64" t="n"/>
      <c r="I110" s="12" t="n"/>
      <c r="J110" s="11" t="n"/>
      <c r="K110" s="64" t="n"/>
      <c r="L110" s="64" t="n"/>
      <c r="M110" s="64" t="n"/>
      <c r="N110" s="64" t="n"/>
      <c r="O110" s="64" t="n"/>
      <c r="P110" s="64" t="n"/>
      <c r="Q110" s="435" t="n"/>
      <c r="R110" s="64" t="n"/>
      <c r="S110" s="11" t="n"/>
      <c r="T110" s="435" t="n"/>
      <c r="U110" s="69" t="n"/>
      <c r="V110" s="57" t="n"/>
      <c r="W110" s="75" t="n"/>
      <c r="X110" s="57" t="n"/>
      <c r="Y110" s="11" t="n"/>
      <c r="Z110" s="437" t="n"/>
      <c r="AA110" s="438" t="n"/>
    </row>
    <row r="111">
      <c r="A111" s="39" t="n"/>
      <c r="B111" s="40" t="n"/>
      <c r="C111" s="40" t="n"/>
      <c r="D111" s="40" t="n"/>
      <c r="E111" s="40" t="n"/>
      <c r="F111" s="40" t="n"/>
      <c r="G111" s="40" t="n"/>
      <c r="H111" s="40" t="n"/>
      <c r="I111" s="41" t="n"/>
      <c r="J111" s="42" t="n"/>
      <c r="K111" s="40" t="n"/>
      <c r="L111" s="439" t="n"/>
      <c r="M111" s="40" t="n"/>
      <c r="N111" s="40" t="n"/>
      <c r="O111" s="440" t="n"/>
      <c r="P111" s="441" t="n"/>
      <c r="Q111" s="441" t="n"/>
      <c r="R111" s="441" t="n"/>
      <c r="S111" s="441" t="n"/>
      <c r="T111" s="441" t="n"/>
      <c r="U111" s="73" t="n"/>
      <c r="V111" s="73" t="n"/>
      <c r="W111" s="76" t="n"/>
      <c r="X111" s="442" t="n"/>
      <c r="Y111" s="42" t="n"/>
      <c r="Z111" s="47" t="n"/>
      <c r="AA111" s="438" t="n"/>
    </row>
    <row r="112">
      <c r="A112" s="10" t="n"/>
      <c r="B112" s="11" t="n"/>
      <c r="C112" s="11" t="n"/>
      <c r="D112" s="11" t="n"/>
      <c r="E112" s="11" t="n"/>
      <c r="F112" s="11" t="n"/>
      <c r="G112" s="11" t="n"/>
      <c r="H112" s="11" t="n"/>
      <c r="I112" s="12" t="n"/>
      <c r="J112" s="11" t="n"/>
      <c r="K112" s="11" t="n"/>
      <c r="L112" s="11" t="n"/>
      <c r="M112" s="11" t="n"/>
      <c r="N112" s="11" t="n"/>
      <c r="O112" s="434" t="n"/>
      <c r="P112" s="435" t="n"/>
      <c r="Q112" s="435" t="n"/>
      <c r="R112" s="435" t="n"/>
      <c r="S112" s="435" t="n"/>
      <c r="T112" s="435" t="n"/>
      <c r="U112" s="435" t="n"/>
      <c r="V112" s="69" t="n"/>
      <c r="W112" s="70" t="n"/>
      <c r="X112" s="436" t="n"/>
      <c r="Y112" s="16" t="n"/>
      <c r="Z112" s="437" t="n"/>
      <c r="AA112" s="438" t="n"/>
    </row>
    <row r="113">
      <c r="A113" s="18">
        <f>MIN(A114:A114)</f>
        <v/>
      </c>
      <c r="B113" s="19" t="n"/>
      <c r="C113" s="20" t="n"/>
      <c r="D113" s="19" t="n"/>
      <c r="E113" s="19" t="n"/>
      <c r="F113" s="19" t="n"/>
      <c r="G113" s="19" t="n"/>
      <c r="H113" s="19" t="n"/>
      <c r="I113" s="21" t="n"/>
      <c r="J113" s="22" t="n"/>
      <c r="K113" s="19" t="n"/>
      <c r="L113" s="443" t="n"/>
      <c r="M113" s="19" t="n"/>
      <c r="N113" s="19" t="n"/>
      <c r="O113" s="444" t="n"/>
      <c r="P113" s="445" t="n"/>
      <c r="Q113" s="445" t="n"/>
      <c r="R113" s="445" t="n"/>
      <c r="S113" s="445" t="n"/>
      <c r="T113" s="445" t="n"/>
      <c r="U113" s="445" t="n"/>
      <c r="V113" s="74" t="n"/>
      <c r="W113" s="77" t="n"/>
      <c r="X113" s="446" t="n"/>
      <c r="Y113" s="22" t="n"/>
      <c r="Z113" s="27" t="n"/>
      <c r="AA113" s="438" t="n"/>
    </row>
    <row r="114" ht="17.25" customHeight="1" thickBot="1">
      <c r="A114" s="48" t="n"/>
      <c r="B114" s="49" t="n"/>
      <c r="C114" s="49" t="n"/>
      <c r="D114" s="49" t="n"/>
      <c r="E114" s="49" t="n"/>
      <c r="F114" s="49" t="n"/>
      <c r="G114" s="49" t="n"/>
      <c r="H114" s="49" t="n"/>
      <c r="I114" s="50" t="n"/>
      <c r="J114" s="51" t="n"/>
      <c r="K114" s="49" t="n"/>
      <c r="L114" s="447" t="n"/>
      <c r="M114" s="49" t="n"/>
      <c r="N114" s="49" t="n"/>
      <c r="O114" s="448" t="n"/>
      <c r="P114" s="449" t="n"/>
      <c r="Q114" s="449" t="n"/>
      <c r="R114" s="449" t="n"/>
      <c r="S114" s="449" t="n"/>
      <c r="T114" s="450" t="n"/>
      <c r="U114" s="449" t="n"/>
      <c r="V114" s="449" t="n"/>
      <c r="W114" s="78" t="n"/>
      <c r="X114" s="451" t="n"/>
      <c r="Y114" s="51" t="n"/>
      <c r="Z114" s="56" t="n"/>
      <c r="AA114" s="438" t="n"/>
    </row>
    <row r="115" ht="17.25" customHeight="1" thickBot="1">
      <c r="A115" s="29" t="n"/>
      <c r="D115" s="9" t="n"/>
      <c r="I115" s="30" t="n"/>
      <c r="J115" s="31" t="n"/>
      <c r="L115" s="452" t="n"/>
      <c r="O115" s="453" t="n"/>
      <c r="P115" s="454" t="n"/>
      <c r="Q115" s="454" t="n"/>
      <c r="R115" s="454" t="n"/>
      <c r="S115" s="454" t="n"/>
      <c r="T115" s="454" t="n"/>
      <c r="U115" s="454" t="n"/>
      <c r="V115" s="454" t="n"/>
      <c r="W115" s="454" t="n"/>
      <c r="X115" s="455" t="n"/>
      <c r="Y115" s="31" t="n"/>
      <c r="Z115" s="31" t="n"/>
      <c r="AA115" s="438" t="n"/>
    </row>
    <row r="116" ht="17.25" customHeight="1" thickBot="1">
      <c r="A116" s="457" t="n"/>
      <c r="B116" s="456" t="n"/>
      <c r="C116" s="458" t="n"/>
      <c r="D116" s="414" t="inlineStr">
        <is>
          <t>持股小計</t>
        </is>
      </c>
      <c r="E116" s="493" t="n"/>
      <c r="F116" s="458" t="n"/>
      <c r="G116" s="62">
        <f>SUM(G113:G114)</f>
        <v/>
      </c>
      <c r="H116" s="62">
        <f>SUM(H113:H114)</f>
        <v/>
      </c>
      <c r="I116" s="493" t="n"/>
      <c r="J116" s="458" t="n"/>
      <c r="K116" s="62" t="n"/>
      <c r="L116" s="459" t="n"/>
      <c r="M116" s="459" t="n"/>
      <c r="N116" s="460" t="n"/>
      <c r="O116" s="62">
        <f>SUM(O113:O114)</f>
        <v/>
      </c>
      <c r="P116" s="461">
        <f>SUM(P113:P114)</f>
        <v/>
      </c>
      <c r="Q116" s="461">
        <f>SUM(Q113:Q114)</f>
        <v/>
      </c>
      <c r="R116" s="62">
        <f>SUM(R113:R114)</f>
        <v/>
      </c>
      <c r="S116" s="407" t="n"/>
      <c r="T116" s="407" t="n"/>
      <c r="U116" s="407" t="n"/>
      <c r="V116" s="407" t="n"/>
      <c r="W116" s="407" t="n"/>
      <c r="X116" s="462">
        <f>(P116+Q116)/G116</f>
        <v/>
      </c>
      <c r="Y116" s="390" t="inlineStr">
        <is>
          <t>年化報酬率</t>
        </is>
      </c>
      <c r="Z116" s="463">
        <f>IF(AA116=0,0,(P116+Q116)/(AA116))</f>
        <v/>
      </c>
      <c r="AA116" s="438">
        <f>SUM(AA113:AA114)</f>
        <v/>
      </c>
    </row>
    <row r="117" ht="17.25" customFormat="1" customHeight="1" s="36" thickBot="1">
      <c r="A117" s="464" t="n"/>
      <c r="C117" s="465" t="n"/>
      <c r="D117" s="414" t="inlineStr">
        <is>
          <t>2021總計</t>
        </is>
      </c>
      <c r="E117" s="466" t="n"/>
      <c r="F117" s="465" t="n"/>
      <c r="G117" s="63">
        <f>SUM(G2:G114)</f>
        <v/>
      </c>
      <c r="H117" s="63">
        <f>SUM(H2:H114)</f>
        <v/>
      </c>
      <c r="I117" s="466" t="n"/>
      <c r="J117" s="465" t="n"/>
      <c r="K117" s="63">
        <f>SUM(K22:K114)</f>
        <v/>
      </c>
      <c r="L117" s="63">
        <f>SUM(L22:L114)</f>
        <v/>
      </c>
      <c r="M117" s="63">
        <f>SUM(M22:M114)</f>
        <v/>
      </c>
      <c r="N117" s="63">
        <f>SUM(N22:N114)</f>
        <v/>
      </c>
      <c r="O117" s="63">
        <f>SUM(O22:O114)</f>
        <v/>
      </c>
      <c r="P117" s="472">
        <f>SUM(P2:P114)</f>
        <v/>
      </c>
      <c r="Q117" s="461">
        <f>SUM(Q22:Q114)</f>
        <v/>
      </c>
      <c r="R117" s="63">
        <f>SUM(R2:R114)</f>
        <v/>
      </c>
      <c r="S117" s="72" t="n"/>
      <c r="T117" s="72" t="n"/>
      <c r="U117" s="72" t="n"/>
      <c r="V117" s="72" t="n"/>
      <c r="W117" s="72" t="n"/>
      <c r="X117" s="462">
        <f>(P117+Q117)/G117</f>
        <v/>
      </c>
      <c r="Y117" s="467" t="n"/>
      <c r="Z117" s="463">
        <f>IF(AA117=0,0,(P117+Q117)/(AA117))</f>
        <v/>
      </c>
      <c r="AA117" s="438">
        <f>SUM(AA22:AA114)</f>
        <v/>
      </c>
      <c r="AB117" s="87" t="n"/>
      <c r="AC117" s="88" t="n"/>
    </row>
    <row r="118" ht="17.25" customFormat="1" customHeight="1" s="36" thickBot="1">
      <c r="A118" s="468" t="n"/>
      <c r="B118" s="469" t="n"/>
      <c r="C118" s="470" t="n"/>
      <c r="D118" s="414" t="inlineStr">
        <is>
          <t>總計</t>
        </is>
      </c>
      <c r="E118" s="471" t="n"/>
      <c r="F118" s="470" t="n"/>
      <c r="G118" s="63">
        <f>SUM(G2:G114)</f>
        <v/>
      </c>
      <c r="H118" s="63">
        <f>SUM(H2:H114)</f>
        <v/>
      </c>
      <c r="I118" s="471" t="n"/>
      <c r="J118" s="470" t="n"/>
      <c r="K118" s="63">
        <f>SUM(K22:K114)</f>
        <v/>
      </c>
      <c r="L118" s="63">
        <f>SUM(L22:L114)</f>
        <v/>
      </c>
      <c r="M118" s="63">
        <f>SUM(M22:M114)</f>
        <v/>
      </c>
      <c r="N118" s="63">
        <f>SUM(N22:N114)</f>
        <v/>
      </c>
      <c r="O118" s="63">
        <f>SUM(O22:O114)</f>
        <v/>
      </c>
      <c r="P118" s="472">
        <f>SUM(P2:P114)</f>
        <v/>
      </c>
      <c r="Q118" s="461">
        <f>SUM(Q22:Q114)</f>
        <v/>
      </c>
      <c r="R118" s="63">
        <f>SUM(R2:R114)</f>
        <v/>
      </c>
      <c r="S118" s="72" t="n"/>
      <c r="T118" s="72" t="n"/>
      <c r="U118" s="72" t="n"/>
      <c r="V118" s="72" t="n"/>
      <c r="W118" s="72" t="n"/>
      <c r="X118" s="462">
        <f>(P118+Q118)/G118</f>
        <v/>
      </c>
      <c r="Y118" s="473" t="n"/>
      <c r="Z118" s="463">
        <f>IF(AA118=0,0,(P118+Q118)/(AA118))</f>
        <v/>
      </c>
      <c r="AA118" s="438">
        <f>AA117</f>
        <v/>
      </c>
      <c r="AB118" s="87" t="n"/>
      <c r="AC118" s="87" t="n"/>
    </row>
    <row r="119" ht="17.25" customHeight="1" thickBot="1">
      <c r="A119" s="66" t="n"/>
      <c r="C119" s="65" t="n"/>
      <c r="D119" s="9" t="n"/>
      <c r="P119" s="492" t="n"/>
    </row>
    <row r="120" ht="17.25" customHeight="1" thickBot="1">
      <c r="A120" s="383" t="inlineStr">
        <is>
          <t>分析</t>
        </is>
      </c>
      <c r="B120" s="456" t="n"/>
      <c r="C120" s="474" t="n"/>
      <c r="D120" s="251" t="inlineStr">
        <is>
          <t>技法</t>
        </is>
      </c>
      <c r="E120" s="383" t="n"/>
      <c r="F120" s="474" t="n"/>
      <c r="G120" s="251" t="inlineStr">
        <is>
          <t>成交金額</t>
        </is>
      </c>
      <c r="H120" s="251" t="inlineStr">
        <is>
          <t>手續費</t>
        </is>
      </c>
      <c r="I120" s="383" t="n"/>
      <c r="J120" s="383" t="n"/>
      <c r="K120" s="383" t="n"/>
      <c r="L120" s="383" t="n"/>
      <c r="M120" s="383" t="n"/>
      <c r="N120" s="383" t="n"/>
      <c r="O120" s="251" t="inlineStr">
        <is>
          <t>參考現值</t>
        </is>
      </c>
      <c r="P120" s="251" t="inlineStr">
        <is>
          <t>已實現損益</t>
        </is>
      </c>
      <c r="Q120" s="251" t="inlineStr">
        <is>
          <t>未實現損益</t>
        </is>
      </c>
      <c r="R120" s="251" t="inlineStr">
        <is>
          <t>除息</t>
        </is>
      </c>
      <c r="S120" s="383" t="inlineStr">
        <is>
          <t>手續費</t>
        </is>
      </c>
      <c r="T120" s="383" t="inlineStr">
        <is>
          <t>健保補充保費</t>
        </is>
      </c>
      <c r="U120" s="383" t="n"/>
      <c r="V120" s="383" t="inlineStr">
        <is>
          <t>扣抵稅率</t>
        </is>
      </c>
      <c r="W120" s="383" t="inlineStr">
        <is>
          <t>所得稅率</t>
        </is>
      </c>
      <c r="X120" s="251" t="inlineStr">
        <is>
          <t>投資報酬率</t>
        </is>
      </c>
      <c r="Y120" s="251" t="inlineStr">
        <is>
          <t>年化報酬率</t>
        </is>
      </c>
      <c r="Z120" s="251" t="inlineStr">
        <is>
          <t>勝率</t>
        </is>
      </c>
      <c r="AA120" s="89" t="n"/>
    </row>
    <row r="121">
      <c r="A121" s="464" t="n"/>
      <c r="C121" s="475" t="n"/>
      <c r="D121" s="385" t="inlineStr">
        <is>
          <t>阿水一式</t>
        </is>
      </c>
      <c r="E121" s="464" t="n"/>
      <c r="F121" s="475" t="n"/>
      <c r="G121" s="265">
        <f>SUMIF(AB$2:AB$115,D121,G$2:G$115)</f>
        <v/>
      </c>
      <c r="H121" s="265">
        <f>SUMIF(AB$2:AB$115,D121,H$2:H$115)</f>
        <v/>
      </c>
      <c r="I121" s="467" t="n"/>
      <c r="J121" s="249" t="n"/>
      <c r="K121" s="257" t="n"/>
      <c r="L121" s="257" t="n"/>
      <c r="M121" s="257" t="n"/>
      <c r="N121" s="257" t="n"/>
      <c r="O121" s="265">
        <f>SUMIF(AI$2:AI$115,K121,O$2:O$115)</f>
        <v/>
      </c>
      <c r="P121" s="476">
        <f>SUMIF(AB$2:AB$115,D121,P$2:P$115)</f>
        <v/>
      </c>
      <c r="Q121" s="476">
        <f>SUMIF(AB$2:AB$115,"*"&amp;D121&amp;"*",Q$2:Q$115)</f>
        <v/>
      </c>
      <c r="R121" s="265">
        <f>SUMIF(AB$2:AB$115,D121,R$2:R$115)</f>
        <v/>
      </c>
      <c r="S121" s="257" t="n"/>
      <c r="T121" s="257" t="n"/>
      <c r="U121" s="467" t="n"/>
      <c r="V121" s="257" t="n"/>
      <c r="W121" s="257" t="n"/>
      <c r="X121" s="477">
        <f>(SUMIF(AB$2:AB$115,D121,P$2:P$115)+SUMIF(AB$2:AB$115,D121,Q$2:Q$115))/SUMIF(AB$2:AB$115,D121,G$2:G$115)</f>
        <v/>
      </c>
      <c r="Y121" s="477">
        <f>(P121+Q121)/(AA121)</f>
        <v/>
      </c>
      <c r="Z121" s="268">
        <f>COUNTIFS(X$2:X$115,"&gt;0",AB$2:AB$115,D121)/COUNTIF(AB$2:AB$115,D121)</f>
        <v/>
      </c>
      <c r="AA121" s="9">
        <f>SUMIF(AB$22:AB$115,D121,AA$22:AA$115)</f>
        <v/>
      </c>
    </row>
    <row r="122">
      <c r="A122" s="464" t="n"/>
      <c r="C122" s="475" t="n"/>
      <c r="D122" s="247" t="inlineStr">
        <is>
          <t>除權息</t>
        </is>
      </c>
      <c r="E122" s="464" t="n"/>
      <c r="F122" s="475" t="n"/>
      <c r="G122" s="265">
        <f>SUMIF(AB$2:AB$115,D122,G$2:G$115)</f>
        <v/>
      </c>
      <c r="H122" s="265">
        <f>SUMIF(AB$2:AB$115,D122,H$2:H$115)</f>
        <v/>
      </c>
      <c r="I122" s="467" t="n"/>
      <c r="J122" s="249" t="n"/>
      <c r="K122" s="257" t="n"/>
      <c r="L122" s="257" t="n"/>
      <c r="M122" s="257" t="n"/>
      <c r="N122" s="257" t="n"/>
      <c r="O122" s="265">
        <f>SUMIF(AI$2:AI$115,K122,O$2:O$115)</f>
        <v/>
      </c>
      <c r="P122" s="476">
        <f>SUMIF(AB$2:AB$115,D122,P$2:P$115)</f>
        <v/>
      </c>
      <c r="Q122" s="476">
        <f>SUMIF(AB$2:AB$115,"*"&amp;D122&amp;"*",Q$2:Q$115)</f>
        <v/>
      </c>
      <c r="R122" s="265">
        <f>SUMIF(AB$2:AB$115,D122,R$2:R$115)</f>
        <v/>
      </c>
      <c r="S122" s="257" t="n"/>
      <c r="T122" s="257" t="n"/>
      <c r="U122" s="467" t="n"/>
      <c r="V122" s="257" t="n"/>
      <c r="W122" s="257" t="n"/>
      <c r="X122" s="477">
        <f>(SUMIF(AB$2:AB$115,D122,P$2:P$115)+SUMIF(AB$2:AB$115,D122,Q$2:Q$115))/SUMIF(AB$2:AB$115,D122,G$2:G$115)</f>
        <v/>
      </c>
      <c r="Y122" s="477">
        <f>(P122+Q122)/(AA122)</f>
        <v/>
      </c>
      <c r="Z122" s="268">
        <f>COUNTIFS(X$2:X$115,"&gt;0",AB$2:AB$115,D122)/COUNTIF(AB$2:AB$115,D122)</f>
        <v/>
      </c>
      <c r="AA122" s="9">
        <f>SUMIF(AB$22:AB$115,D122,AA$22:AA$115)</f>
        <v/>
      </c>
    </row>
    <row r="123">
      <c r="A123" s="464" t="n"/>
      <c r="C123" s="475" t="n"/>
      <c r="D123" s="247" t="inlineStr">
        <is>
          <t>水某精選</t>
        </is>
      </c>
      <c r="E123" s="464" t="n"/>
      <c r="F123" s="475" t="n"/>
      <c r="G123" s="265">
        <f>SUMIF(AB$2:AB$115,D123,G$2:G$115)</f>
        <v/>
      </c>
      <c r="H123" s="265">
        <f>SUMIF(AB$2:AB$115,D123,H$2:H$115)</f>
        <v/>
      </c>
      <c r="I123" s="467" t="n"/>
      <c r="J123" s="249" t="n"/>
      <c r="K123" s="257" t="n"/>
      <c r="L123" s="257" t="n"/>
      <c r="M123" s="257" t="n"/>
      <c r="N123" s="257" t="n"/>
      <c r="O123" s="265">
        <f>SUMIF(AI$2:AI$115,K123,O$2:O$115)</f>
        <v/>
      </c>
      <c r="P123" s="476">
        <f>SUMIF(AB$2:AB$115,D123,P$2:P$115)</f>
        <v/>
      </c>
      <c r="Q123" s="476">
        <f>SUMIF(AB$2:AB$115,"*"&amp;D123&amp;"*",Q$2:Q$115)</f>
        <v/>
      </c>
      <c r="R123" s="265">
        <f>SUMIF(AB$2:AB$115,D123,R$2:R$115)</f>
        <v/>
      </c>
      <c r="S123" s="257" t="n"/>
      <c r="T123" s="257" t="n"/>
      <c r="U123" s="467" t="n"/>
      <c r="V123" s="257" t="n"/>
      <c r="W123" s="257" t="n"/>
      <c r="X123" s="477">
        <f>(SUMIF(AB$2:AB$115,D123,P$2:P$115)+SUMIF(AB$2:AB$115,D123,Q$2:Q$115))/SUMIF(AB$2:AB$115,D123,G$2:G$115)</f>
        <v/>
      </c>
      <c r="Y123" s="477">
        <f>(P123+Q123)/(AA123)</f>
        <v/>
      </c>
      <c r="Z123" s="268">
        <f>COUNTIFS(X$2:X$115,"&gt;0",AB$2:AB$115,D123)/COUNTIF(AB$2:AB$115,D123)</f>
        <v/>
      </c>
      <c r="AA123" s="9">
        <f>SUMIF(AB$22:AB$115,D123,AA$22:AA$115)</f>
        <v/>
      </c>
    </row>
    <row r="124" ht="17.25" customHeight="1" thickBot="1">
      <c r="A124" s="464" t="n"/>
      <c r="C124" s="475" t="n"/>
      <c r="D124" s="247" t="inlineStr">
        <is>
          <t>法人蜘蛛網</t>
        </is>
      </c>
      <c r="E124" s="464" t="n"/>
      <c r="F124" s="475" t="n"/>
      <c r="G124" s="265">
        <f>SUMIF(AB$2:AB$115,D124,G$2:G$115)</f>
        <v/>
      </c>
      <c r="H124" s="265">
        <f>SUMIF(AB$2:AB$115,D124,H$2:H$115)</f>
        <v/>
      </c>
      <c r="I124" s="467" t="n"/>
      <c r="J124" s="250" t="n"/>
      <c r="K124" s="261" t="n"/>
      <c r="L124" s="261" t="n"/>
      <c r="M124" s="261" t="n"/>
      <c r="N124" s="261" t="n"/>
      <c r="O124" s="265">
        <f>SUMIF(AI$2:AI$115,K124,O$2:O$115)</f>
        <v/>
      </c>
      <c r="P124" s="476">
        <f>SUMIF(AB$2:AB$115,D124,P$2:P$115)</f>
        <v/>
      </c>
      <c r="Q124" s="476">
        <f>SUMIF(AB$2:AB$115,"*"&amp;D124&amp;"*",Q$2:Q$115)</f>
        <v/>
      </c>
      <c r="R124" s="265">
        <f>SUMIF(AB$2:AB$115,D124,R$2:R$115)</f>
        <v/>
      </c>
      <c r="S124" s="261" t="n"/>
      <c r="T124" s="261" t="n"/>
      <c r="U124" s="467" t="n"/>
      <c r="V124" s="261" t="n"/>
      <c r="W124" s="261" t="n"/>
      <c r="X124" s="477">
        <f>(SUMIF(AB$2:AB$115,D124,P$2:P$115)+SUMIF(AB$2:AB$115,D124,Q$2:Q$115))/SUMIF(AB$2:AB$115,D124,G$2:G$115)</f>
        <v/>
      </c>
      <c r="Y124" s="477">
        <f>(P124+Q124)/(AA124)</f>
        <v/>
      </c>
      <c r="Z124" s="268">
        <f>COUNTIFS(X$2:X$115,"&gt;0",AB$2:AB$115,D124)/COUNTIF(AB$2:AB$115,D124)</f>
        <v/>
      </c>
      <c r="AA124" s="9">
        <f>SUMIF(AB$22:AB$115,D124,AA$22:AA$115)</f>
        <v/>
      </c>
    </row>
    <row r="125" ht="17.25" customHeight="1" thickBot="1">
      <c r="A125" s="478" t="n"/>
      <c r="B125" s="479" t="n"/>
      <c r="C125" s="480" t="n"/>
      <c r="D125" s="248" t="inlineStr">
        <is>
          <t>小朋友學投資</t>
        </is>
      </c>
      <c r="E125" s="478" t="n"/>
      <c r="F125" s="480" t="n"/>
      <c r="G125" s="252">
        <f>SUMIF(AB$2:AB$115,D125,G$2:G$115)</f>
        <v/>
      </c>
      <c r="H125" s="252">
        <f>SUMIF(AB$2:AB$115,D125,H$2:H$115)</f>
        <v/>
      </c>
      <c r="I125" s="481" t="n"/>
      <c r="J125" s="250" t="n"/>
      <c r="K125" s="261" t="n"/>
      <c r="L125" s="261" t="n"/>
      <c r="M125" s="261" t="n"/>
      <c r="N125" s="261" t="n"/>
      <c r="O125" s="252">
        <f>SUMIF(AI$2:AI$115,K125,O$2:O$115)</f>
        <v/>
      </c>
      <c r="P125" s="482">
        <f>SUMIF(AB$2:AB$115,D125,P$2:P$115)</f>
        <v/>
      </c>
      <c r="Q125" s="482">
        <f>SUMIF(AB$2:AB$115,"*"&amp;D125&amp;"*",Q$2:Q$115)</f>
        <v/>
      </c>
      <c r="R125" s="252">
        <f>SUMIF(AB$2:AB$115,D125,R$2:R$115)</f>
        <v/>
      </c>
      <c r="S125" s="261" t="n"/>
      <c r="T125" s="261" t="n"/>
      <c r="U125" s="481" t="n"/>
      <c r="V125" s="261" t="n"/>
      <c r="W125" s="261" t="n"/>
      <c r="X125" s="483">
        <f>(SUMIF(AB$2:AB$115,D125,P$2:P$115)+SUMIF(AB$2:AB$115,D125,Q$2:Q$115))/SUMIF(AB$2:AB$115,D125,G$2:G$115)</f>
        <v/>
      </c>
      <c r="Y125" s="483">
        <f>(P125+Q125)/(AA125)</f>
        <v/>
      </c>
      <c r="Z125" s="255">
        <f>COUNTIFS(X$2:X$115,"&gt;0",AB$2:AB$115,D125)/COUNTIF(AB$2:AB$115,D125)</f>
        <v/>
      </c>
      <c r="AA125" s="9">
        <f>SUMIF(AB$22:AB$115,D125,AA$22:AA$115)</f>
        <v/>
      </c>
    </row>
    <row r="126">
      <c r="B126" s="37" t="n"/>
      <c r="C126" s="37" t="n"/>
      <c r="D126" s="9" t="n"/>
    </row>
    <row r="127">
      <c r="A127" s="37" t="n"/>
      <c r="B127" s="37" t="n"/>
      <c r="C127" s="37" t="n"/>
      <c r="D127" s="9" t="n"/>
    </row>
    <row r="128">
      <c r="A128" s="37" t="n"/>
      <c r="B128" s="37" t="n"/>
      <c r="C128" s="37" t="n"/>
      <c r="D128" s="9" t="n"/>
    </row>
    <row r="129">
      <c r="A129" s="37" t="n"/>
      <c r="B129" s="37" t="n"/>
      <c r="C129" s="37" t="n"/>
      <c r="D129" s="9" t="n"/>
    </row>
    <row r="130">
      <c r="A130" s="37" t="n"/>
      <c r="B130" s="37" t="n"/>
      <c r="C130" s="37" t="n"/>
      <c r="D130" s="9" t="n"/>
    </row>
    <row r="131">
      <c r="A131" s="37" t="n"/>
      <c r="B131" s="37" t="n"/>
      <c r="C131" s="37" t="n"/>
      <c r="D131" s="9" t="n"/>
    </row>
    <row r="132">
      <c r="A132" s="37" t="n"/>
      <c r="B132" s="37" t="n"/>
      <c r="C132" s="37" t="n"/>
      <c r="D132" s="9" t="n"/>
    </row>
    <row r="133">
      <c r="A133" s="37" t="n"/>
      <c r="B133" s="37" t="n"/>
      <c r="C133" s="37" t="n"/>
      <c r="D133" s="9" t="n"/>
    </row>
    <row r="134">
      <c r="A134" s="37" t="n"/>
      <c r="B134" s="37" t="n"/>
      <c r="C134" s="37" t="n"/>
      <c r="D134" s="9" t="n"/>
    </row>
  </sheetData>
  <autoFilter ref="A1:AA136"/>
  <mergeCells count="9">
    <mergeCell ref="A120:C125"/>
    <mergeCell ref="Y116:Y118"/>
    <mergeCell ref="A116:C118"/>
    <mergeCell ref="E120:F125"/>
    <mergeCell ref="E116:F118"/>
    <mergeCell ref="U120:U125"/>
    <mergeCell ref="I116:J118"/>
    <mergeCell ref="K116:N116"/>
    <mergeCell ref="I120:I125"/>
  </mergeCells>
  <conditionalFormatting sqref="Z1:AA1 Z22:Z96 Z110:AA119 Z126:AA1048576 AA72:AA96">
    <cfRule type="containsText" priority="835" operator="containsText" dxfId="12" text="△">
      <formula>NOT(ISERROR(SEARCH("△",Z1)))</formula>
    </cfRule>
    <cfRule type="containsText" priority="836" operator="containsText" dxfId="11" text="▽">
      <formula>NOT(ISERROR(SEARCH("▽",Z1)))</formula>
    </cfRule>
  </conditionalFormatting>
  <conditionalFormatting sqref="I110:I115">
    <cfRule type="expression" priority="833" dxfId="204">
      <formula>$I110&gt;(TODAY()-7)</formula>
    </cfRule>
    <cfRule type="expression" priority="834" dxfId="203">
      <formula>$I110&gt;(TODAY()-30)</formula>
    </cfRule>
  </conditionalFormatting>
  <conditionalFormatting sqref="AA22:AA23">
    <cfRule type="containsText" priority="701" operator="containsText" dxfId="12" text="△">
      <formula>NOT(ISERROR(SEARCH("△",AA22)))</formula>
    </cfRule>
    <cfRule type="containsText" priority="702" operator="containsText" dxfId="11" text="▽">
      <formula>NOT(ISERROR(SEARCH("▽",AA22)))</formula>
    </cfRule>
    <cfRule type="containsText" priority="699" operator="containsText" dxfId="12" text="△">
      <formula>NOT(ISERROR(SEARCH("△",AA22)))</formula>
    </cfRule>
    <cfRule type="containsText" priority="700" operator="containsText" dxfId="11" text="▽">
      <formula>NOT(ISERROR(SEARCH("▽",AA22)))</formula>
    </cfRule>
    <cfRule type="containsText" priority="697" operator="containsText" dxfId="12" text="△">
      <formula>NOT(ISERROR(SEARCH("△",AA22)))</formula>
    </cfRule>
    <cfRule type="containsText" priority="698" operator="containsText" dxfId="11" text="▽">
      <formula>NOT(ISERROR(SEARCH("▽",AA22)))</formula>
    </cfRule>
  </conditionalFormatting>
  <conditionalFormatting sqref="AA23">
    <cfRule type="containsText" priority="695" operator="containsText" dxfId="12" text="△">
      <formula>NOT(ISERROR(SEARCH("△",AA23)))</formula>
    </cfRule>
    <cfRule type="containsText" priority="696" operator="containsText" dxfId="11" text="▽">
      <formula>NOT(ISERROR(SEARCH("▽",AA23)))</formula>
    </cfRule>
    <cfRule type="containsText" priority="693" operator="containsText" dxfId="12" text="△">
      <formula>NOT(ISERROR(SEARCH("△",AA23)))</formula>
    </cfRule>
    <cfRule type="containsText" priority="694" operator="containsText" dxfId="11" text="▽">
      <formula>NOT(ISERROR(SEARCH("▽",AA23)))</formula>
    </cfRule>
  </conditionalFormatting>
  <conditionalFormatting sqref="AA24">
    <cfRule type="containsText" priority="691" operator="containsText" dxfId="12" text="△">
      <formula>NOT(ISERROR(SEARCH("△",AA24)))</formula>
    </cfRule>
    <cfRule type="containsText" priority="692" operator="containsText" dxfId="11" text="▽">
      <formula>NOT(ISERROR(SEARCH("▽",AA24)))</formula>
    </cfRule>
    <cfRule type="containsText" priority="689" operator="containsText" dxfId="12" text="△">
      <formula>NOT(ISERROR(SEARCH("△",AA24)))</formula>
    </cfRule>
    <cfRule type="containsText" priority="690" operator="containsText" dxfId="11" text="▽">
      <formula>NOT(ISERROR(SEARCH("▽",AA24)))</formula>
    </cfRule>
  </conditionalFormatting>
  <conditionalFormatting sqref="AA25:AA71">
    <cfRule type="containsText" priority="687" operator="containsText" dxfId="12" text="△">
      <formula>NOT(ISERROR(SEARCH("△",AA25)))</formula>
    </cfRule>
    <cfRule type="containsText" priority="688" operator="containsText" dxfId="11" text="▽">
      <formula>NOT(ISERROR(SEARCH("▽",AA25)))</formula>
    </cfRule>
    <cfRule type="containsText" priority="685" operator="containsText" dxfId="12" text="△">
      <formula>NOT(ISERROR(SEARCH("△",AA25)))</formula>
    </cfRule>
    <cfRule type="containsText" priority="686" operator="containsText" dxfId="11" text="▽">
      <formula>NOT(ISERROR(SEARCH("▽",AA25)))</formula>
    </cfRule>
  </conditionalFormatting>
  <conditionalFormatting sqref="AA32">
    <cfRule type="containsText" priority="683" operator="containsText" dxfId="12" text="△">
      <formula>NOT(ISERROR(SEARCH("△",AA32)))</formula>
    </cfRule>
    <cfRule type="containsText" priority="684" operator="containsText" dxfId="11" text="▽">
      <formula>NOT(ISERROR(SEARCH("▽",AA32)))</formula>
    </cfRule>
    <cfRule type="containsText" priority="681" operator="containsText" dxfId="12" text="△">
      <formula>NOT(ISERROR(SEARCH("△",AA32)))</formula>
    </cfRule>
    <cfRule type="containsText" priority="682" operator="containsText" dxfId="11" text="▽">
      <formula>NOT(ISERROR(SEARCH("▽",AA32)))</formula>
    </cfRule>
  </conditionalFormatting>
  <conditionalFormatting sqref="AA30:AA71">
    <cfRule type="containsText" priority="679" operator="containsText" dxfId="12" text="△">
      <formula>NOT(ISERROR(SEARCH("△",AA30)))</formula>
    </cfRule>
    <cfRule type="containsText" priority="680" operator="containsText" dxfId="11" text="▽">
      <formula>NOT(ISERROR(SEARCH("▽",AA30)))</formula>
    </cfRule>
    <cfRule type="containsText" priority="677" operator="containsText" dxfId="12" text="△">
      <formula>NOT(ISERROR(SEARCH("△",AA30)))</formula>
    </cfRule>
    <cfRule type="containsText" priority="678" operator="containsText" dxfId="11" text="▽">
      <formula>NOT(ISERROR(SEARCH("▽",AA30)))</formula>
    </cfRule>
  </conditionalFormatting>
  <conditionalFormatting sqref="AA31">
    <cfRule type="containsText" priority="675" operator="containsText" dxfId="12" text="△">
      <formula>NOT(ISERROR(SEARCH("△",AA31)))</formula>
    </cfRule>
    <cfRule type="containsText" priority="676" operator="containsText" dxfId="11" text="▽">
      <formula>NOT(ISERROR(SEARCH("▽",AA31)))</formula>
    </cfRule>
    <cfRule type="containsText" priority="673" operator="containsText" dxfId="12" text="△">
      <formula>NOT(ISERROR(SEARCH("△",AA31)))</formula>
    </cfRule>
    <cfRule type="containsText" priority="674" operator="containsText" dxfId="11" text="▽">
      <formula>NOT(ISERROR(SEARCH("▽",AA31)))</formula>
    </cfRule>
  </conditionalFormatting>
  <conditionalFormatting sqref="AA26:AA71">
    <cfRule type="containsText" priority="671" operator="containsText" dxfId="12" text="△">
      <formula>NOT(ISERROR(SEARCH("△",AA26)))</formula>
    </cfRule>
    <cfRule type="containsText" priority="672" operator="containsText" dxfId="11" text="▽">
      <formula>NOT(ISERROR(SEARCH("▽",AA26)))</formula>
    </cfRule>
    <cfRule type="containsText" priority="669" operator="containsText" dxfId="12" text="△">
      <formula>NOT(ISERROR(SEARCH("△",AA26)))</formula>
    </cfRule>
    <cfRule type="containsText" priority="670" operator="containsText" dxfId="11" text="▽">
      <formula>NOT(ISERROR(SEARCH("▽",AA26)))</formula>
    </cfRule>
  </conditionalFormatting>
  <conditionalFormatting sqref="AA33">
    <cfRule type="containsText" priority="667" operator="containsText" dxfId="12" text="△">
      <formula>NOT(ISERROR(SEARCH("△",AA33)))</formula>
    </cfRule>
    <cfRule type="containsText" priority="668" operator="containsText" dxfId="11" text="▽">
      <formula>NOT(ISERROR(SEARCH("▽",AA33)))</formula>
    </cfRule>
    <cfRule type="containsText" priority="665" operator="containsText" dxfId="12" text="△">
      <formula>NOT(ISERROR(SEARCH("△",AA33)))</formula>
    </cfRule>
    <cfRule type="containsText" priority="666" operator="containsText" dxfId="11" text="▽">
      <formula>NOT(ISERROR(SEARCH("▽",AA33)))</formula>
    </cfRule>
  </conditionalFormatting>
  <conditionalFormatting sqref="AA28">
    <cfRule type="containsText" priority="663" operator="containsText" dxfId="12" text="△">
      <formula>NOT(ISERROR(SEARCH("△",AA28)))</formula>
    </cfRule>
    <cfRule type="containsText" priority="664" operator="containsText" dxfId="11" text="▽">
      <formula>NOT(ISERROR(SEARCH("▽",AA28)))</formula>
    </cfRule>
    <cfRule type="containsText" priority="661" operator="containsText" dxfId="12" text="△">
      <formula>NOT(ISERROR(SEARCH("△",AA28)))</formula>
    </cfRule>
    <cfRule type="containsText" priority="662" operator="containsText" dxfId="11" text="▽">
      <formula>NOT(ISERROR(SEARCH("▽",AA28)))</formula>
    </cfRule>
  </conditionalFormatting>
  <conditionalFormatting sqref="AA45:AA71">
    <cfRule type="containsText" priority="655" operator="containsText" dxfId="12" text="△">
      <formula>NOT(ISERROR(SEARCH("△",AA45)))</formula>
    </cfRule>
    <cfRule type="containsText" priority="656" operator="containsText" dxfId="11" text="▽">
      <formula>NOT(ISERROR(SEARCH("▽",AA45)))</formula>
    </cfRule>
    <cfRule type="containsText" priority="653" operator="containsText" dxfId="12" text="△">
      <formula>NOT(ISERROR(SEARCH("△",AA45)))</formula>
    </cfRule>
    <cfRule type="containsText" priority="654" operator="containsText" dxfId="11" text="▽">
      <formula>NOT(ISERROR(SEARCH("▽",AA45)))</formula>
    </cfRule>
  </conditionalFormatting>
  <conditionalFormatting sqref="AA42">
    <cfRule type="containsText" priority="651" operator="containsText" dxfId="12" text="△">
      <formula>NOT(ISERROR(SEARCH("△",AA42)))</formula>
    </cfRule>
    <cfRule type="containsText" priority="652" operator="containsText" dxfId="11" text="▽">
      <formula>NOT(ISERROR(SEARCH("▽",AA42)))</formula>
    </cfRule>
    <cfRule type="containsText" priority="649" operator="containsText" dxfId="12" text="△">
      <formula>NOT(ISERROR(SEARCH("△",AA42)))</formula>
    </cfRule>
    <cfRule type="containsText" priority="650" operator="containsText" dxfId="11" text="▽">
      <formula>NOT(ISERROR(SEARCH("▽",AA42)))</formula>
    </cfRule>
  </conditionalFormatting>
  <conditionalFormatting sqref="AA41">
    <cfRule type="containsText" priority="647" operator="containsText" dxfId="12" text="△">
      <formula>NOT(ISERROR(SEARCH("△",AA41)))</formula>
    </cfRule>
    <cfRule type="containsText" priority="648" operator="containsText" dxfId="11" text="▽">
      <formula>NOT(ISERROR(SEARCH("▽",AA41)))</formula>
    </cfRule>
    <cfRule type="containsText" priority="645" operator="containsText" dxfId="12" text="△">
      <formula>NOT(ISERROR(SEARCH("△",AA41)))</formula>
    </cfRule>
    <cfRule type="containsText" priority="646" operator="containsText" dxfId="11" text="▽">
      <formula>NOT(ISERROR(SEARCH("▽",AA41)))</formula>
    </cfRule>
  </conditionalFormatting>
  <conditionalFormatting sqref="AA39">
    <cfRule type="containsText" priority="643" operator="containsText" dxfId="12" text="△">
      <formula>NOT(ISERROR(SEARCH("△",AA39)))</formula>
    </cfRule>
    <cfRule type="containsText" priority="644" operator="containsText" dxfId="11" text="▽">
      <formula>NOT(ISERROR(SEARCH("▽",AA39)))</formula>
    </cfRule>
    <cfRule type="containsText" priority="641" operator="containsText" dxfId="12" text="△">
      <formula>NOT(ISERROR(SEARCH("△",AA39)))</formula>
    </cfRule>
    <cfRule type="containsText" priority="642" operator="containsText" dxfId="11" text="▽">
      <formula>NOT(ISERROR(SEARCH("▽",AA39)))</formula>
    </cfRule>
  </conditionalFormatting>
  <conditionalFormatting sqref="AA38:AA71">
    <cfRule type="containsText" priority="639" operator="containsText" dxfId="12" text="△">
      <formula>NOT(ISERROR(SEARCH("△",AA38)))</formula>
    </cfRule>
    <cfRule type="containsText" priority="640" operator="containsText" dxfId="11" text="▽">
      <formula>NOT(ISERROR(SEARCH("▽",AA38)))</formula>
    </cfRule>
    <cfRule type="containsText" priority="637" operator="containsText" dxfId="12" text="△">
      <formula>NOT(ISERROR(SEARCH("△",AA38)))</formula>
    </cfRule>
    <cfRule type="containsText" priority="638" operator="containsText" dxfId="11" text="▽">
      <formula>NOT(ISERROR(SEARCH("▽",AA38)))</formula>
    </cfRule>
  </conditionalFormatting>
  <conditionalFormatting sqref="AA36">
    <cfRule type="containsText" priority="635" operator="containsText" dxfId="12" text="△">
      <formula>NOT(ISERROR(SEARCH("△",AA36)))</formula>
    </cfRule>
    <cfRule type="containsText" priority="636" operator="containsText" dxfId="11" text="▽">
      <formula>NOT(ISERROR(SEARCH("▽",AA36)))</formula>
    </cfRule>
    <cfRule type="containsText" priority="633" operator="containsText" dxfId="12" text="△">
      <formula>NOT(ISERROR(SEARCH("△",AA36)))</formula>
    </cfRule>
    <cfRule type="containsText" priority="634" operator="containsText" dxfId="11" text="▽">
      <formula>NOT(ISERROR(SEARCH("▽",AA36)))</formula>
    </cfRule>
  </conditionalFormatting>
  <conditionalFormatting sqref="AA35">
    <cfRule type="containsText" priority="631" operator="containsText" dxfId="12" text="△">
      <formula>NOT(ISERROR(SEARCH("△",AA35)))</formula>
    </cfRule>
    <cfRule type="containsText" priority="632" operator="containsText" dxfId="11" text="▽">
      <formula>NOT(ISERROR(SEARCH("▽",AA35)))</formula>
    </cfRule>
    <cfRule type="containsText" priority="629" operator="containsText" dxfId="12" text="△">
      <formula>NOT(ISERROR(SEARCH("△",AA35)))</formula>
    </cfRule>
    <cfRule type="containsText" priority="630" operator="containsText" dxfId="11" text="▽">
      <formula>NOT(ISERROR(SEARCH("▽",AA35)))</formula>
    </cfRule>
  </conditionalFormatting>
  <conditionalFormatting sqref="AA29:AA71">
    <cfRule type="containsText" priority="627" operator="containsText" dxfId="12" text="△">
      <formula>NOT(ISERROR(SEARCH("△",AA29)))</formula>
    </cfRule>
    <cfRule type="containsText" priority="628" operator="containsText" dxfId="11" text="▽">
      <formula>NOT(ISERROR(SEARCH("▽",AA29)))</formula>
    </cfRule>
    <cfRule type="containsText" priority="625" operator="containsText" dxfId="12" text="△">
      <formula>NOT(ISERROR(SEARCH("△",AA29)))</formula>
    </cfRule>
    <cfRule type="containsText" priority="626" operator="containsText" dxfId="11" text="▽">
      <formula>NOT(ISERROR(SEARCH("▽",AA29)))</formula>
    </cfRule>
  </conditionalFormatting>
  <conditionalFormatting sqref="AA27:AA28">
    <cfRule type="containsText" priority="623" operator="containsText" dxfId="12" text="△">
      <formula>NOT(ISERROR(SEARCH("△",AA27)))</formula>
    </cfRule>
    <cfRule type="containsText" priority="624" operator="containsText" dxfId="11" text="▽">
      <formula>NOT(ISERROR(SEARCH("▽",AA27)))</formula>
    </cfRule>
    <cfRule type="containsText" priority="621" operator="containsText" dxfId="12" text="△">
      <formula>NOT(ISERROR(SEARCH("△",AA27)))</formula>
    </cfRule>
    <cfRule type="containsText" priority="622" operator="containsText" dxfId="11" text="▽">
      <formula>NOT(ISERROR(SEARCH("▽",AA27)))</formula>
    </cfRule>
  </conditionalFormatting>
  <conditionalFormatting sqref="AA34">
    <cfRule type="containsText" priority="619" operator="containsText" dxfId="12" text="△">
      <formula>NOT(ISERROR(SEARCH("△",AA34)))</formula>
    </cfRule>
    <cfRule type="containsText" priority="620" operator="containsText" dxfId="11" text="▽">
      <formula>NOT(ISERROR(SEARCH("▽",AA34)))</formula>
    </cfRule>
    <cfRule type="containsText" priority="617" operator="containsText" dxfId="12" text="△">
      <formula>NOT(ISERROR(SEARCH("△",AA34)))</formula>
    </cfRule>
    <cfRule type="containsText" priority="618" operator="containsText" dxfId="11" text="▽">
      <formula>NOT(ISERROR(SEARCH("▽",AA34)))</formula>
    </cfRule>
  </conditionalFormatting>
  <conditionalFormatting sqref="AA37">
    <cfRule type="containsText" priority="615" operator="containsText" dxfId="12" text="△">
      <formula>NOT(ISERROR(SEARCH("△",AA37)))</formula>
    </cfRule>
    <cfRule type="containsText" priority="616" operator="containsText" dxfId="11" text="▽">
      <formula>NOT(ISERROR(SEARCH("▽",AA37)))</formula>
    </cfRule>
    <cfRule type="containsText" priority="613" operator="containsText" dxfId="12" text="△">
      <formula>NOT(ISERROR(SEARCH("△",AA37)))</formula>
    </cfRule>
    <cfRule type="containsText" priority="614" operator="containsText" dxfId="11" text="▽">
      <formula>NOT(ISERROR(SEARCH("▽",AA37)))</formula>
    </cfRule>
  </conditionalFormatting>
  <conditionalFormatting sqref="AA40:AA71">
    <cfRule type="containsText" priority="611" operator="containsText" dxfId="12" text="△">
      <formula>NOT(ISERROR(SEARCH("△",AA40)))</formula>
    </cfRule>
    <cfRule type="containsText" priority="612" operator="containsText" dxfId="11" text="▽">
      <formula>NOT(ISERROR(SEARCH("▽",AA40)))</formula>
    </cfRule>
    <cfRule type="containsText" priority="609" operator="containsText" dxfId="12" text="△">
      <formula>NOT(ISERROR(SEARCH("△",AA40)))</formula>
    </cfRule>
    <cfRule type="containsText" priority="610" operator="containsText" dxfId="11" text="▽">
      <formula>NOT(ISERROR(SEARCH("▽",AA40)))</formula>
    </cfRule>
  </conditionalFormatting>
  <conditionalFormatting sqref="AA44">
    <cfRule type="containsText" priority="607" operator="containsText" dxfId="12" text="△">
      <formula>NOT(ISERROR(SEARCH("△",AA44)))</formula>
    </cfRule>
    <cfRule type="containsText" priority="608" operator="containsText" dxfId="11" text="▽">
      <formula>NOT(ISERROR(SEARCH("▽",AA44)))</formula>
    </cfRule>
    <cfRule type="containsText" priority="605" operator="containsText" dxfId="12" text="△">
      <formula>NOT(ISERROR(SEARCH("△",AA44)))</formula>
    </cfRule>
    <cfRule type="containsText" priority="606" operator="containsText" dxfId="11" text="▽">
      <formula>NOT(ISERROR(SEARCH("▽",AA44)))</formula>
    </cfRule>
  </conditionalFormatting>
  <conditionalFormatting sqref="AA43">
    <cfRule type="containsText" priority="603" operator="containsText" dxfId="12" text="△">
      <formula>NOT(ISERROR(SEARCH("△",AA43)))</formula>
    </cfRule>
    <cfRule type="containsText" priority="604" operator="containsText" dxfId="11" text="▽">
      <formula>NOT(ISERROR(SEARCH("▽",AA43)))</formula>
    </cfRule>
    <cfRule type="containsText" priority="601" operator="containsText" dxfId="12" text="△">
      <formula>NOT(ISERROR(SEARCH("△",AA43)))</formula>
    </cfRule>
    <cfRule type="containsText" priority="602" operator="containsText" dxfId="11" text="▽">
      <formula>NOT(ISERROR(SEARCH("▽",AA43)))</formula>
    </cfRule>
  </conditionalFormatting>
  <conditionalFormatting sqref="AA50:AA71">
    <cfRule type="containsText" priority="599" operator="containsText" dxfId="12" text="△">
      <formula>NOT(ISERROR(SEARCH("△",AA50)))</formula>
    </cfRule>
    <cfRule type="containsText" priority="600" operator="containsText" dxfId="11" text="▽">
      <formula>NOT(ISERROR(SEARCH("▽",AA50)))</formula>
    </cfRule>
    <cfRule type="containsText" priority="597" operator="containsText" dxfId="12" text="△">
      <formula>NOT(ISERROR(SEARCH("△",AA50)))</formula>
    </cfRule>
    <cfRule type="containsText" priority="598" operator="containsText" dxfId="11" text="▽">
      <formula>NOT(ISERROR(SEARCH("▽",AA50)))</formula>
    </cfRule>
  </conditionalFormatting>
  <conditionalFormatting sqref="AA47:AA71">
    <cfRule type="containsText" priority="595" operator="containsText" dxfId="12" text="△">
      <formula>NOT(ISERROR(SEARCH("△",AA47)))</formula>
    </cfRule>
    <cfRule type="containsText" priority="596" operator="containsText" dxfId="11" text="▽">
      <formula>NOT(ISERROR(SEARCH("▽",AA47)))</formula>
    </cfRule>
    <cfRule type="containsText" priority="593" operator="containsText" dxfId="12" text="△">
      <formula>NOT(ISERROR(SEARCH("△",AA47)))</formula>
    </cfRule>
    <cfRule type="containsText" priority="594" operator="containsText" dxfId="11" text="▽">
      <formula>NOT(ISERROR(SEARCH("▽",AA47)))</formula>
    </cfRule>
  </conditionalFormatting>
  <conditionalFormatting sqref="AA46:AA71">
    <cfRule type="containsText" priority="591" operator="containsText" dxfId="12" text="△">
      <formula>NOT(ISERROR(SEARCH("△",AA46)))</formula>
    </cfRule>
    <cfRule type="containsText" priority="592" operator="containsText" dxfId="11" text="▽">
      <formula>NOT(ISERROR(SEARCH("▽",AA46)))</formula>
    </cfRule>
    <cfRule type="containsText" priority="589" operator="containsText" dxfId="12" text="△">
      <formula>NOT(ISERROR(SEARCH("△",AA46)))</formula>
    </cfRule>
    <cfRule type="containsText" priority="590" operator="containsText" dxfId="11" text="▽">
      <formula>NOT(ISERROR(SEARCH("▽",AA46)))</formula>
    </cfRule>
  </conditionalFormatting>
  <conditionalFormatting sqref="AA57:AA71">
    <cfRule type="containsText" priority="587" operator="containsText" dxfId="12" text="△">
      <formula>NOT(ISERROR(SEARCH("△",AA57)))</formula>
    </cfRule>
    <cfRule type="containsText" priority="588" operator="containsText" dxfId="11" text="▽">
      <formula>NOT(ISERROR(SEARCH("▽",AA57)))</formula>
    </cfRule>
    <cfRule type="containsText" priority="585" operator="containsText" dxfId="12" text="△">
      <formula>NOT(ISERROR(SEARCH("△",AA57)))</formula>
    </cfRule>
    <cfRule type="containsText" priority="586" operator="containsText" dxfId="11" text="▽">
      <formula>NOT(ISERROR(SEARCH("▽",AA57)))</formula>
    </cfRule>
  </conditionalFormatting>
  <conditionalFormatting sqref="AA53">
    <cfRule type="containsText" priority="583" operator="containsText" dxfId="12" text="△">
      <formula>NOT(ISERROR(SEARCH("△",AA53)))</formula>
    </cfRule>
    <cfRule type="containsText" priority="584" operator="containsText" dxfId="11" text="▽">
      <formula>NOT(ISERROR(SEARCH("▽",AA53)))</formula>
    </cfRule>
    <cfRule type="containsText" priority="581" operator="containsText" dxfId="12" text="△">
      <formula>NOT(ISERROR(SEARCH("△",AA53)))</formula>
    </cfRule>
    <cfRule type="containsText" priority="582" operator="containsText" dxfId="11" text="▽">
      <formula>NOT(ISERROR(SEARCH("▽",AA53)))</formula>
    </cfRule>
  </conditionalFormatting>
  <conditionalFormatting sqref="AA52:AA71">
    <cfRule type="containsText" priority="579" operator="containsText" dxfId="12" text="△">
      <formula>NOT(ISERROR(SEARCH("△",AA52)))</formula>
    </cfRule>
    <cfRule type="containsText" priority="580" operator="containsText" dxfId="11" text="▽">
      <formula>NOT(ISERROR(SEARCH("▽",AA52)))</formula>
    </cfRule>
    <cfRule type="containsText" priority="577" operator="containsText" dxfId="12" text="△">
      <formula>NOT(ISERROR(SEARCH("△",AA52)))</formula>
    </cfRule>
    <cfRule type="containsText" priority="578" operator="containsText" dxfId="11" text="▽">
      <formula>NOT(ISERROR(SEARCH("▽",AA52)))</formula>
    </cfRule>
  </conditionalFormatting>
  <conditionalFormatting sqref="AA48:AA71">
    <cfRule type="containsText" priority="575" operator="containsText" dxfId="12" text="△">
      <formula>NOT(ISERROR(SEARCH("△",AA48)))</formula>
    </cfRule>
    <cfRule type="containsText" priority="576" operator="containsText" dxfId="11" text="▽">
      <formula>NOT(ISERROR(SEARCH("▽",AA48)))</formula>
    </cfRule>
    <cfRule type="containsText" priority="573" operator="containsText" dxfId="12" text="△">
      <formula>NOT(ISERROR(SEARCH("△",AA48)))</formula>
    </cfRule>
    <cfRule type="containsText" priority="574" operator="containsText" dxfId="11" text="▽">
      <formula>NOT(ISERROR(SEARCH("▽",AA48)))</formula>
    </cfRule>
  </conditionalFormatting>
  <conditionalFormatting sqref="AA49:AA71">
    <cfRule type="containsText" priority="571" operator="containsText" dxfId="12" text="△">
      <formula>NOT(ISERROR(SEARCH("△",AA49)))</formula>
    </cfRule>
    <cfRule type="containsText" priority="572" operator="containsText" dxfId="11" text="▽">
      <formula>NOT(ISERROR(SEARCH("▽",AA49)))</formula>
    </cfRule>
    <cfRule type="containsText" priority="569" operator="containsText" dxfId="12" text="△">
      <formula>NOT(ISERROR(SEARCH("△",AA49)))</formula>
    </cfRule>
    <cfRule type="containsText" priority="570" operator="containsText" dxfId="11" text="▽">
      <formula>NOT(ISERROR(SEARCH("▽",AA49)))</formula>
    </cfRule>
  </conditionalFormatting>
  <conditionalFormatting sqref="AA54:AA71">
    <cfRule type="containsText" priority="567" operator="containsText" dxfId="12" text="△">
      <formula>NOT(ISERROR(SEARCH("△",AA54)))</formula>
    </cfRule>
    <cfRule type="containsText" priority="568" operator="containsText" dxfId="11" text="▽">
      <formula>NOT(ISERROR(SEARCH("▽",AA54)))</formula>
    </cfRule>
    <cfRule type="containsText" priority="565" operator="containsText" dxfId="12" text="△">
      <formula>NOT(ISERROR(SEARCH("△",AA54)))</formula>
    </cfRule>
    <cfRule type="containsText" priority="566" operator="containsText" dxfId="11" text="▽">
      <formula>NOT(ISERROR(SEARCH("▽",AA54)))</formula>
    </cfRule>
  </conditionalFormatting>
  <conditionalFormatting sqref="AA60:AA71">
    <cfRule type="containsText" priority="561" operator="containsText" dxfId="12" text="△">
      <formula>NOT(ISERROR(SEARCH("△",AA60)))</formula>
    </cfRule>
    <cfRule type="containsText" priority="562" operator="containsText" dxfId="11" text="▽">
      <formula>NOT(ISERROR(SEARCH("▽",AA60)))</formula>
    </cfRule>
    <cfRule type="containsText" priority="559" operator="containsText" dxfId="12" text="△">
      <formula>NOT(ISERROR(SEARCH("△",AA60)))</formula>
    </cfRule>
    <cfRule type="containsText" priority="560" operator="containsText" dxfId="11" text="▽">
      <formula>NOT(ISERROR(SEARCH("▽",AA60)))</formula>
    </cfRule>
  </conditionalFormatting>
  <conditionalFormatting sqref="AA77">
    <cfRule type="containsText" priority="557" operator="containsText" dxfId="12" text="△">
      <formula>NOT(ISERROR(SEARCH("△",AA77)))</formula>
    </cfRule>
    <cfRule type="containsText" priority="558" operator="containsText" dxfId="11" text="▽">
      <formula>NOT(ISERROR(SEARCH("▽",AA77)))</formula>
    </cfRule>
    <cfRule type="containsText" priority="555" operator="containsText" dxfId="12" text="△">
      <formula>NOT(ISERROR(SEARCH("△",AA77)))</formula>
    </cfRule>
    <cfRule type="containsText" priority="556" operator="containsText" dxfId="11" text="▽">
      <formula>NOT(ISERROR(SEARCH("▽",AA77)))</formula>
    </cfRule>
  </conditionalFormatting>
  <conditionalFormatting sqref="AA51:AA71">
    <cfRule type="containsText" priority="553" operator="containsText" dxfId="12" text="△">
      <formula>NOT(ISERROR(SEARCH("△",AA51)))</formula>
    </cfRule>
    <cfRule type="containsText" priority="554" operator="containsText" dxfId="11" text="▽">
      <formula>NOT(ISERROR(SEARCH("▽",AA51)))</formula>
    </cfRule>
    <cfRule type="containsText" priority="551" operator="containsText" dxfId="12" text="△">
      <formula>NOT(ISERROR(SEARCH("△",AA51)))</formula>
    </cfRule>
    <cfRule type="containsText" priority="552" operator="containsText" dxfId="11" text="▽">
      <formula>NOT(ISERROR(SEARCH("▽",AA51)))</formula>
    </cfRule>
  </conditionalFormatting>
  <conditionalFormatting sqref="AA61:AA71">
    <cfRule type="containsText" priority="549" operator="containsText" dxfId="12" text="△">
      <formula>NOT(ISERROR(SEARCH("△",AA61)))</formula>
    </cfRule>
    <cfRule type="containsText" priority="550" operator="containsText" dxfId="11" text="▽">
      <formula>NOT(ISERROR(SEARCH("▽",AA61)))</formula>
    </cfRule>
    <cfRule type="containsText" priority="547" operator="containsText" dxfId="12" text="△">
      <formula>NOT(ISERROR(SEARCH("△",AA61)))</formula>
    </cfRule>
    <cfRule type="containsText" priority="548" operator="containsText" dxfId="11" text="▽">
      <formula>NOT(ISERROR(SEARCH("▽",AA61)))</formula>
    </cfRule>
  </conditionalFormatting>
  <conditionalFormatting sqref="AA59:AA71">
    <cfRule type="containsText" priority="537" operator="containsText" dxfId="12" text="△">
      <formula>NOT(ISERROR(SEARCH("△",AA59)))</formula>
    </cfRule>
    <cfRule type="containsText" priority="538" operator="containsText" dxfId="11" text="▽">
      <formula>NOT(ISERROR(SEARCH("▽",AA59)))</formula>
    </cfRule>
    <cfRule type="containsText" priority="535" operator="containsText" dxfId="12" text="△">
      <formula>NOT(ISERROR(SEARCH("△",AA59)))</formula>
    </cfRule>
    <cfRule type="containsText" priority="536" operator="containsText" dxfId="11" text="▽">
      <formula>NOT(ISERROR(SEARCH("▽",AA59)))</formula>
    </cfRule>
  </conditionalFormatting>
  <conditionalFormatting sqref="AA56:AA71">
    <cfRule type="containsText" priority="533" operator="containsText" dxfId="12" text="△">
      <formula>NOT(ISERROR(SEARCH("△",AA56)))</formula>
    </cfRule>
    <cfRule type="containsText" priority="534" operator="containsText" dxfId="11" text="▽">
      <formula>NOT(ISERROR(SEARCH("▽",AA56)))</formula>
    </cfRule>
    <cfRule type="containsText" priority="531" operator="containsText" dxfId="12" text="△">
      <formula>NOT(ISERROR(SEARCH("△",AA56)))</formula>
    </cfRule>
    <cfRule type="containsText" priority="532" operator="containsText" dxfId="11" text="▽">
      <formula>NOT(ISERROR(SEARCH("▽",AA56)))</formula>
    </cfRule>
  </conditionalFormatting>
  <conditionalFormatting sqref="AA55:AA71">
    <cfRule type="containsText" priority="525" operator="containsText" dxfId="12" text="△">
      <formula>NOT(ISERROR(SEARCH("△",AA55)))</formula>
    </cfRule>
    <cfRule type="containsText" priority="526" operator="containsText" dxfId="11" text="▽">
      <formula>NOT(ISERROR(SEARCH("▽",AA55)))</formula>
    </cfRule>
    <cfRule type="containsText" priority="523" operator="containsText" dxfId="12" text="△">
      <formula>NOT(ISERROR(SEARCH("△",AA55)))</formula>
    </cfRule>
    <cfRule type="containsText" priority="524" operator="containsText" dxfId="11" text="▽">
      <formula>NOT(ISERROR(SEARCH("▽",AA55)))</formula>
    </cfRule>
  </conditionalFormatting>
  <conditionalFormatting sqref="AA58:AA71">
    <cfRule type="containsText" priority="521" operator="containsText" dxfId="12" text="△">
      <formula>NOT(ISERROR(SEARCH("△",AA58)))</formula>
    </cfRule>
    <cfRule type="containsText" priority="522" operator="containsText" dxfId="11" text="▽">
      <formula>NOT(ISERROR(SEARCH("▽",AA58)))</formula>
    </cfRule>
    <cfRule type="containsText" priority="519" operator="containsText" dxfId="12" text="△">
      <formula>NOT(ISERROR(SEARCH("△",AA58)))</formula>
    </cfRule>
    <cfRule type="containsText" priority="520" operator="containsText" dxfId="11" text="▽">
      <formula>NOT(ISERROR(SEARCH("▽",AA58)))</formula>
    </cfRule>
  </conditionalFormatting>
  <conditionalFormatting sqref="AA64:AA71">
    <cfRule type="containsText" priority="517" operator="containsText" dxfId="12" text="△">
      <formula>NOT(ISERROR(SEARCH("△",AA64)))</formula>
    </cfRule>
    <cfRule type="containsText" priority="518" operator="containsText" dxfId="11" text="▽">
      <formula>NOT(ISERROR(SEARCH("▽",AA64)))</formula>
    </cfRule>
    <cfRule type="containsText" priority="515" operator="containsText" dxfId="12" text="△">
      <formula>NOT(ISERROR(SEARCH("△",AA64)))</formula>
    </cfRule>
    <cfRule type="containsText" priority="516" operator="containsText" dxfId="11" text="▽">
      <formula>NOT(ISERROR(SEARCH("▽",AA64)))</formula>
    </cfRule>
  </conditionalFormatting>
  <conditionalFormatting sqref="Z86 Z88:Z96">
    <cfRule type="containsText" priority="511" operator="containsText" dxfId="12" text="▲">
      <formula>NOT(ISERROR(SEARCH("▲",Z86)))</formula>
    </cfRule>
    <cfRule type="containsText" priority="512" operator="containsText" dxfId="11" text="▼">
      <formula>NOT(ISERROR(SEARCH("▼",Z86)))</formula>
    </cfRule>
  </conditionalFormatting>
  <conditionalFormatting sqref="AA62:AA71">
    <cfRule type="containsText" priority="497" operator="containsText" dxfId="12" text="△">
      <formula>NOT(ISERROR(SEARCH("△",AA62)))</formula>
    </cfRule>
    <cfRule type="containsText" priority="498" operator="containsText" dxfId="11" text="▽">
      <formula>NOT(ISERROR(SEARCH("▽",AA62)))</formula>
    </cfRule>
    <cfRule type="containsText" priority="495" operator="containsText" dxfId="12" text="△">
      <formula>NOT(ISERROR(SEARCH("△",AA62)))</formula>
    </cfRule>
    <cfRule type="containsText" priority="496" operator="containsText" dxfId="11" text="▽">
      <formula>NOT(ISERROR(SEARCH("▽",AA62)))</formula>
    </cfRule>
  </conditionalFormatting>
  <conditionalFormatting sqref="AA91:AA92">
    <cfRule type="containsText" priority="489" operator="containsText" dxfId="12" text="△">
      <formula>NOT(ISERROR(SEARCH("△",AA91)))</formula>
    </cfRule>
    <cfRule type="containsText" priority="490" operator="containsText" dxfId="11" text="▽">
      <formula>NOT(ISERROR(SEARCH("▽",AA91)))</formula>
    </cfRule>
    <cfRule type="containsText" priority="487" operator="containsText" dxfId="12" text="△">
      <formula>NOT(ISERROR(SEARCH("△",AA91)))</formula>
    </cfRule>
    <cfRule type="containsText" priority="488" operator="containsText" dxfId="11" text="▽">
      <formula>NOT(ISERROR(SEARCH("▽",AA91)))</formula>
    </cfRule>
  </conditionalFormatting>
  <conditionalFormatting sqref="AA63:AA71">
    <cfRule type="containsText" priority="477" operator="containsText" dxfId="12" text="△">
      <formula>NOT(ISERROR(SEARCH("△",AA63)))</formula>
    </cfRule>
    <cfRule type="containsText" priority="478" operator="containsText" dxfId="11" text="▽">
      <formula>NOT(ISERROR(SEARCH("▽",AA63)))</formula>
    </cfRule>
    <cfRule type="containsText" priority="475" operator="containsText" dxfId="12" text="△">
      <formula>NOT(ISERROR(SEARCH("△",AA63)))</formula>
    </cfRule>
    <cfRule type="containsText" priority="476" operator="containsText" dxfId="11" text="▽">
      <formula>NOT(ISERROR(SEARCH("▽",AA63)))</formula>
    </cfRule>
  </conditionalFormatting>
  <conditionalFormatting sqref="AA65:AA71">
    <cfRule type="containsText" priority="469" operator="containsText" dxfId="12" text="△">
      <formula>NOT(ISERROR(SEARCH("△",AA65)))</formula>
    </cfRule>
    <cfRule type="containsText" priority="470" operator="containsText" dxfId="11" text="▽">
      <formula>NOT(ISERROR(SEARCH("▽",AA65)))</formula>
    </cfRule>
    <cfRule type="containsText" priority="467" operator="containsText" dxfId="12" text="△">
      <formula>NOT(ISERROR(SEARCH("△",AA65)))</formula>
    </cfRule>
    <cfRule type="containsText" priority="468" operator="containsText" dxfId="11" text="▽">
      <formula>NOT(ISERROR(SEARCH("▽",AA65)))</formula>
    </cfRule>
  </conditionalFormatting>
  <conditionalFormatting sqref="AA71">
    <cfRule type="containsText" priority="465" operator="containsText" dxfId="12" text="△">
      <formula>NOT(ISERROR(SEARCH("△",AA71)))</formula>
    </cfRule>
    <cfRule type="containsText" priority="466" operator="containsText" dxfId="11" text="▽">
      <formula>NOT(ISERROR(SEARCH("▽",AA71)))</formula>
    </cfRule>
    <cfRule type="containsText" priority="463" operator="containsText" dxfId="12" text="△">
      <formula>NOT(ISERROR(SEARCH("△",AA71)))</formula>
    </cfRule>
    <cfRule type="containsText" priority="464" operator="containsText" dxfId="11" text="▽">
      <formula>NOT(ISERROR(SEARCH("▽",AA71)))</formula>
    </cfRule>
  </conditionalFormatting>
  <conditionalFormatting sqref="AA66">
    <cfRule type="containsText" priority="457" operator="containsText" dxfId="12" text="△">
      <formula>NOT(ISERROR(SEARCH("△",AA66)))</formula>
    </cfRule>
    <cfRule type="containsText" priority="458" operator="containsText" dxfId="11" text="▽">
      <formula>NOT(ISERROR(SEARCH("▽",AA66)))</formula>
    </cfRule>
    <cfRule type="containsText" priority="455" operator="containsText" dxfId="12" text="△">
      <formula>NOT(ISERROR(SEARCH("△",AA66)))</formula>
    </cfRule>
    <cfRule type="containsText" priority="456" operator="containsText" dxfId="11" text="▽">
      <formula>NOT(ISERROR(SEARCH("▽",AA66)))</formula>
    </cfRule>
  </conditionalFormatting>
  <conditionalFormatting sqref="AA68:AA71">
    <cfRule type="containsText" priority="449" operator="containsText" dxfId="12" text="△">
      <formula>NOT(ISERROR(SEARCH("△",AA68)))</formula>
    </cfRule>
    <cfRule type="containsText" priority="450" operator="containsText" dxfId="11" text="▽">
      <formula>NOT(ISERROR(SEARCH("▽",AA68)))</formula>
    </cfRule>
    <cfRule type="containsText" priority="447" operator="containsText" dxfId="12" text="△">
      <formula>NOT(ISERROR(SEARCH("△",AA68)))</formula>
    </cfRule>
    <cfRule type="containsText" priority="448" operator="containsText" dxfId="11" text="▽">
      <formula>NOT(ISERROR(SEARCH("▽",AA68)))</formula>
    </cfRule>
  </conditionalFormatting>
  <conditionalFormatting sqref="AA67">
    <cfRule type="containsText" priority="445" operator="containsText" dxfId="12" text="△">
      <formula>NOT(ISERROR(SEARCH("△",AA67)))</formula>
    </cfRule>
    <cfRule type="containsText" priority="446" operator="containsText" dxfId="11" text="▽">
      <formula>NOT(ISERROR(SEARCH("▽",AA67)))</formula>
    </cfRule>
    <cfRule type="containsText" priority="443" operator="containsText" dxfId="12" text="△">
      <formula>NOT(ISERROR(SEARCH("△",AA67)))</formula>
    </cfRule>
    <cfRule type="containsText" priority="444" operator="containsText" dxfId="11" text="▽">
      <formula>NOT(ISERROR(SEARCH("▽",AA67)))</formula>
    </cfRule>
  </conditionalFormatting>
  <conditionalFormatting sqref="AA69">
    <cfRule type="containsText" priority="441" operator="containsText" dxfId="12" text="△">
      <formula>NOT(ISERROR(SEARCH("△",AA69)))</formula>
    </cfRule>
    <cfRule type="containsText" priority="442" operator="containsText" dxfId="11" text="▽">
      <formula>NOT(ISERROR(SEARCH("▽",AA69)))</formula>
    </cfRule>
    <cfRule type="containsText" priority="439" operator="containsText" dxfId="12" text="△">
      <formula>NOT(ISERROR(SEARCH("△",AA69)))</formula>
    </cfRule>
    <cfRule type="containsText" priority="440" operator="containsText" dxfId="11" text="▽">
      <formula>NOT(ISERROR(SEARCH("▽",AA69)))</formula>
    </cfRule>
  </conditionalFormatting>
  <conditionalFormatting sqref="AA70:AA71">
    <cfRule type="containsText" priority="433" operator="containsText" dxfId="12" text="△">
      <formula>NOT(ISERROR(SEARCH("△",AA70)))</formula>
    </cfRule>
    <cfRule type="containsText" priority="434" operator="containsText" dxfId="11" text="▽">
      <formula>NOT(ISERROR(SEARCH("▽",AA70)))</formula>
    </cfRule>
    <cfRule type="containsText" priority="431" operator="containsText" dxfId="12" text="△">
      <formula>NOT(ISERROR(SEARCH("△",AA70)))</formula>
    </cfRule>
    <cfRule type="containsText" priority="432" operator="containsText" dxfId="11" text="▽">
      <formula>NOT(ISERROR(SEARCH("▽",AA70)))</formula>
    </cfRule>
  </conditionalFormatting>
  <conditionalFormatting sqref="AA92">
    <cfRule type="containsText" priority="417" operator="containsText" dxfId="12" text="△">
      <formula>NOT(ISERROR(SEARCH("△",AA92)))</formula>
    </cfRule>
    <cfRule type="containsText" priority="418" operator="containsText" dxfId="11" text="▽">
      <formula>NOT(ISERROR(SEARCH("▽",AA92)))</formula>
    </cfRule>
    <cfRule type="containsText" priority="415" operator="containsText" dxfId="12" text="△">
      <formula>NOT(ISERROR(SEARCH("△",AA92)))</formula>
    </cfRule>
    <cfRule type="containsText" priority="416" operator="containsText" dxfId="11" text="▽">
      <formula>NOT(ISERROR(SEARCH("▽",AA92)))</formula>
    </cfRule>
  </conditionalFormatting>
  <conditionalFormatting sqref="AA86">
    <cfRule type="containsText" priority="365" operator="containsText" dxfId="12" text="△">
      <formula>NOT(ISERROR(SEARCH("△",AA86)))</formula>
    </cfRule>
    <cfRule type="containsText" priority="366" operator="containsText" dxfId="11" text="▽">
      <formula>NOT(ISERROR(SEARCH("▽",AA86)))</formula>
    </cfRule>
    <cfRule type="containsText" priority="363" operator="containsText" dxfId="12" text="△">
      <formula>NOT(ISERROR(SEARCH("△",AA86)))</formula>
    </cfRule>
    <cfRule type="containsText" priority="364" operator="containsText" dxfId="11" text="▽">
      <formula>NOT(ISERROR(SEARCH("▽",AA86)))</formula>
    </cfRule>
  </conditionalFormatting>
  <conditionalFormatting sqref="AA93">
    <cfRule type="containsText" priority="279" operator="containsText" dxfId="12" text="△">
      <formula>NOT(ISERROR(SEARCH("△",AA93)))</formula>
    </cfRule>
    <cfRule type="containsText" priority="280" operator="containsText" dxfId="11" text="▽">
      <formula>NOT(ISERROR(SEARCH("▽",AA93)))</formula>
    </cfRule>
    <cfRule type="containsText" priority="277" operator="containsText" dxfId="12" text="△">
      <formula>NOT(ISERROR(SEARCH("△",AA93)))</formula>
    </cfRule>
    <cfRule type="containsText" priority="278" operator="containsText" dxfId="11" text="▽">
      <formula>NOT(ISERROR(SEARCH("▽",AA93)))</formula>
    </cfRule>
  </conditionalFormatting>
  <conditionalFormatting sqref="AA95">
    <cfRule type="containsText" priority="267" operator="containsText" dxfId="12" text="△">
      <formula>NOT(ISERROR(SEARCH("△",AA95)))</formula>
    </cfRule>
    <cfRule type="containsText" priority="268" operator="containsText" dxfId="11" text="▽">
      <formula>NOT(ISERROR(SEARCH("▽",AA95)))</formula>
    </cfRule>
    <cfRule type="containsText" priority="265" operator="containsText" dxfId="12" text="△">
      <formula>NOT(ISERROR(SEARCH("△",AA95)))</formula>
    </cfRule>
    <cfRule type="containsText" priority="266" operator="containsText" dxfId="11" text="▽">
      <formula>NOT(ISERROR(SEARCH("▽",AA95)))</formula>
    </cfRule>
  </conditionalFormatting>
  <conditionalFormatting sqref="Z22:Z96 Z110:Z114">
    <cfRule type="cellIs" priority="263" operator="lessThan" dxfId="8">
      <formula>0</formula>
    </cfRule>
    <cfRule type="cellIs" priority="264" operator="greaterThan" dxfId="7">
      <formula>0</formula>
    </cfRule>
  </conditionalFormatting>
  <conditionalFormatting sqref="AA94">
    <cfRule type="containsText" priority="259" operator="containsText" dxfId="12" text="△">
      <formula>NOT(ISERROR(SEARCH("△",AA94)))</formula>
    </cfRule>
    <cfRule type="containsText" priority="260" operator="containsText" dxfId="11" text="▽">
      <formula>NOT(ISERROR(SEARCH("▽",AA94)))</formula>
    </cfRule>
    <cfRule type="containsText" priority="257" operator="containsText" dxfId="12" text="△">
      <formula>NOT(ISERROR(SEARCH("△",AA94)))</formula>
    </cfRule>
    <cfRule type="containsText" priority="258" operator="containsText" dxfId="11" text="▽">
      <formula>NOT(ISERROR(SEARCH("▽",AA94)))</formula>
    </cfRule>
  </conditionalFormatting>
  <conditionalFormatting sqref="AA120">
    <cfRule type="containsText" priority="247" operator="containsText" dxfId="12" text="△">
      <formula>NOT(ISERROR(SEARCH("△",AA120)))</formula>
    </cfRule>
    <cfRule type="containsText" priority="248" operator="containsText" dxfId="11" text="▽">
      <formula>NOT(ISERROR(SEARCH("▽",AA120)))</formula>
    </cfRule>
  </conditionalFormatting>
  <conditionalFormatting sqref="AA121:AA125">
    <cfRule type="containsText" priority="245" operator="containsText" dxfId="12" text="△">
      <formula>NOT(ISERROR(SEARCH("△",AA121)))</formula>
    </cfRule>
    <cfRule type="containsText" priority="246" operator="containsText" dxfId="11" text="▽">
      <formula>NOT(ISERROR(SEARCH("▽",AA121)))</formula>
    </cfRule>
  </conditionalFormatting>
  <conditionalFormatting sqref="AA2:AA18">
    <cfRule type="containsText" priority="243" operator="containsText" dxfId="12" text="△">
      <formula>NOT(ISERROR(SEARCH("△",AA2)))</formula>
    </cfRule>
    <cfRule type="containsText" priority="244" operator="containsText" dxfId="11" text="▽">
      <formula>NOT(ISERROR(SEARCH("▽",AA2)))</formula>
    </cfRule>
    <cfRule type="containsText" priority="239" operator="containsText" dxfId="12" text="△">
      <formula>NOT(ISERROR(SEARCH("△",AA2)))</formula>
    </cfRule>
    <cfRule type="containsText" priority="240" operator="containsText" dxfId="11" text="▽">
      <formula>NOT(ISERROR(SEARCH("▽",AA2)))</formula>
    </cfRule>
    <cfRule type="containsText" priority="237" operator="containsText" dxfId="12" text="△">
      <formula>NOT(ISERROR(SEARCH("△",AA2)))</formula>
    </cfRule>
    <cfRule type="containsText" priority="238" operator="containsText" dxfId="11" text="▽">
      <formula>NOT(ISERROR(SEARCH("▽",AA2)))</formula>
    </cfRule>
    <cfRule type="containsText" priority="235" operator="containsText" dxfId="12" text="△">
      <formula>NOT(ISERROR(SEARCH("△",AA2)))</formula>
    </cfRule>
    <cfRule type="containsText" priority="236" operator="containsText" dxfId="11" text="▽">
      <formula>NOT(ISERROR(SEARCH("▽",AA2)))</formula>
    </cfRule>
    <cfRule type="containsText" priority="233" operator="containsText" dxfId="12" text="△">
      <formula>NOT(ISERROR(SEARCH("△",AA2)))</formula>
    </cfRule>
    <cfRule type="containsText" priority="234" operator="containsText" dxfId="11" text="▽">
      <formula>NOT(ISERROR(SEARCH("▽",AA2)))</formula>
    </cfRule>
    <cfRule type="containsText" priority="231" operator="containsText" dxfId="12" text="△">
      <formula>NOT(ISERROR(SEARCH("△",AA2)))</formula>
    </cfRule>
    <cfRule type="containsText" priority="232" operator="containsText" dxfId="11" text="▽">
      <formula>NOT(ISERROR(SEARCH("▽",AA2)))</formula>
    </cfRule>
    <cfRule type="containsText" priority="229" operator="containsText" dxfId="12" text="△">
      <formula>NOT(ISERROR(SEARCH("△",AA2)))</formula>
    </cfRule>
    <cfRule type="containsText" priority="230" operator="containsText" dxfId="11" text="▽">
      <formula>NOT(ISERROR(SEARCH("▽",AA2)))</formula>
    </cfRule>
    <cfRule type="containsText" priority="227" operator="containsText" dxfId="12" text="△">
      <formula>NOT(ISERROR(SEARCH("△",AA2)))</formula>
    </cfRule>
    <cfRule type="containsText" priority="228" operator="containsText" dxfId="11" text="▽">
      <formula>NOT(ISERROR(SEARCH("▽",AA2)))</formula>
    </cfRule>
    <cfRule type="containsText" priority="223" operator="containsText" dxfId="12" text="△">
      <formula>NOT(ISERROR(SEARCH("△",AA2)))</formula>
    </cfRule>
    <cfRule type="containsText" priority="224" operator="containsText" dxfId="11" text="▽">
      <formula>NOT(ISERROR(SEARCH("▽",AA2)))</formula>
    </cfRule>
    <cfRule type="containsText" priority="219" operator="containsText" dxfId="12" text="△">
      <formula>NOT(ISERROR(SEARCH("△",AA2)))</formula>
    </cfRule>
    <cfRule type="containsText" priority="220" operator="containsText" dxfId="11" text="▽">
      <formula>NOT(ISERROR(SEARCH("▽",AA2)))</formula>
    </cfRule>
    <cfRule type="containsText" priority="217" operator="containsText" dxfId="12" text="△">
      <formula>NOT(ISERROR(SEARCH("△",AA2)))</formula>
    </cfRule>
    <cfRule type="containsText" priority="218" operator="containsText" dxfId="11" text="▽">
      <formula>NOT(ISERROR(SEARCH("▽",AA2)))</formula>
    </cfRule>
    <cfRule type="containsText" priority="209" operator="containsText" dxfId="12" text="△">
      <formula>NOT(ISERROR(SEARCH("△",AA2)))</formula>
    </cfRule>
    <cfRule type="containsText" priority="210" operator="containsText" dxfId="11" text="▽">
      <formula>NOT(ISERROR(SEARCH("▽",AA2)))</formula>
    </cfRule>
    <cfRule type="containsText" priority="205" operator="containsText" dxfId="12" text="△">
      <formula>NOT(ISERROR(SEARCH("△",AA2)))</formula>
    </cfRule>
    <cfRule type="containsText" priority="206" operator="containsText" dxfId="11" text="▽">
      <formula>NOT(ISERROR(SEARCH("▽",AA2)))</formula>
    </cfRule>
    <cfRule type="containsText" priority="191" operator="containsText" dxfId="12" text="△">
      <formula>NOT(ISERROR(SEARCH("△",AA2)))</formula>
    </cfRule>
    <cfRule type="containsText" priority="192" operator="containsText" dxfId="11" text="▽">
      <formula>NOT(ISERROR(SEARCH("▽",AA2)))</formula>
    </cfRule>
    <cfRule type="containsText" priority="189" operator="containsText" dxfId="12" text="△">
      <formula>NOT(ISERROR(SEARCH("△",AA2)))</formula>
    </cfRule>
    <cfRule type="containsText" priority="190" operator="containsText" dxfId="11" text="▽">
      <formula>NOT(ISERROR(SEARCH("▽",AA2)))</formula>
    </cfRule>
    <cfRule type="containsText" priority="187" operator="containsText" dxfId="12" text="△">
      <formula>NOT(ISERROR(SEARCH("△",AA2)))</formula>
    </cfRule>
    <cfRule type="containsText" priority="188" operator="containsText" dxfId="11" text="▽">
      <formula>NOT(ISERROR(SEARCH("▽",AA2)))</formula>
    </cfRule>
    <cfRule type="containsText" priority="185" operator="containsText" dxfId="12" text="△">
      <formula>NOT(ISERROR(SEARCH("△",AA2)))</formula>
    </cfRule>
    <cfRule type="containsText" priority="186" operator="containsText" dxfId="11" text="▽">
      <formula>NOT(ISERROR(SEARCH("▽",AA2)))</formula>
    </cfRule>
    <cfRule type="containsText" priority="183" operator="containsText" dxfId="12" text="△">
      <formula>NOT(ISERROR(SEARCH("△",AA2)))</formula>
    </cfRule>
    <cfRule type="containsText" priority="184" operator="containsText" dxfId="11" text="▽">
      <formula>NOT(ISERROR(SEARCH("▽",AA2)))</formula>
    </cfRule>
    <cfRule type="containsText" priority="181" operator="containsText" dxfId="12" text="△">
      <formula>NOT(ISERROR(SEARCH("△",AA2)))</formula>
    </cfRule>
    <cfRule type="containsText" priority="182" operator="containsText" dxfId="11" text="▽">
      <formula>NOT(ISERROR(SEARCH("▽",AA2)))</formula>
    </cfRule>
    <cfRule type="containsText" priority="159" operator="containsText" dxfId="12" text="△">
      <formula>NOT(ISERROR(SEARCH("△",AA2)))</formula>
    </cfRule>
    <cfRule type="containsText" priority="160" operator="containsText" dxfId="11" text="▽">
      <formula>NOT(ISERROR(SEARCH("▽",AA2)))</formula>
    </cfRule>
    <cfRule type="containsText" priority="157" operator="containsText" dxfId="12" text="△">
      <formula>NOT(ISERROR(SEARCH("△",AA2)))</formula>
    </cfRule>
    <cfRule type="containsText" priority="158" operator="containsText" dxfId="11" text="▽">
      <formula>NOT(ISERROR(SEARCH("▽",AA2)))</formula>
    </cfRule>
  </conditionalFormatting>
  <conditionalFormatting sqref="AA11:AA18">
    <cfRule type="containsText" priority="241" operator="containsText" dxfId="12" text="△">
      <formula>NOT(ISERROR(SEARCH("△",AA11)))</formula>
    </cfRule>
    <cfRule type="containsText" priority="242" operator="containsText" dxfId="11" text="▽">
      <formula>NOT(ISERROR(SEARCH("▽",AA11)))</formula>
    </cfRule>
  </conditionalFormatting>
  <conditionalFormatting sqref="AA13:AA18">
    <cfRule type="containsText" priority="225" operator="containsText" dxfId="12" text="△">
      <formula>NOT(ISERROR(SEARCH("△",AA13)))</formula>
    </cfRule>
    <cfRule type="containsText" priority="226" operator="containsText" dxfId="11" text="▽">
      <formula>NOT(ISERROR(SEARCH("▽",AA13)))</formula>
    </cfRule>
  </conditionalFormatting>
  <conditionalFormatting sqref="AA12:AA18">
    <cfRule type="containsText" priority="221" operator="containsText" dxfId="12" text="△">
      <formula>NOT(ISERROR(SEARCH("△",AA12)))</formula>
    </cfRule>
    <cfRule type="containsText" priority="222" operator="containsText" dxfId="11" text="▽">
      <formula>NOT(ISERROR(SEARCH("▽",AA12)))</formula>
    </cfRule>
  </conditionalFormatting>
  <conditionalFormatting sqref="AA5:AA18">
    <cfRule type="containsText" priority="215" operator="containsText" dxfId="12" text="△">
      <formula>NOT(ISERROR(SEARCH("△",AA5)))</formula>
    </cfRule>
    <cfRule type="containsText" priority="216" operator="containsText" dxfId="11" text="▽">
      <formula>NOT(ISERROR(SEARCH("▽",AA5)))</formula>
    </cfRule>
  </conditionalFormatting>
  <conditionalFormatting sqref="AA3:AA18">
    <cfRule type="containsText" priority="213" operator="containsText" dxfId="12" text="△">
      <formula>NOT(ISERROR(SEARCH("△",AA3)))</formula>
    </cfRule>
    <cfRule type="containsText" priority="214" operator="containsText" dxfId="11" text="▽">
      <formula>NOT(ISERROR(SEARCH("▽",AA3)))</formula>
    </cfRule>
  </conditionalFormatting>
  <conditionalFormatting sqref="AA2">
    <cfRule type="containsText" priority="211" operator="containsText" dxfId="12" text="△">
      <formula>NOT(ISERROR(SEARCH("△",AA2)))</formula>
    </cfRule>
    <cfRule type="containsText" priority="212" operator="containsText" dxfId="11" text="▽">
      <formula>NOT(ISERROR(SEARCH("▽",AA2)))</formula>
    </cfRule>
  </conditionalFormatting>
  <conditionalFormatting sqref="AA6:AA18">
    <cfRule type="containsText" priority="207" operator="containsText" dxfId="12" text="△">
      <formula>NOT(ISERROR(SEARCH("△",AA6)))</formula>
    </cfRule>
    <cfRule type="containsText" priority="208" operator="containsText" dxfId="11" text="▽">
      <formula>NOT(ISERROR(SEARCH("▽",AA6)))</formula>
    </cfRule>
  </conditionalFormatting>
  <conditionalFormatting sqref="AA10:AA18">
    <cfRule type="containsText" priority="203" operator="containsText" dxfId="12" text="△">
      <formula>NOT(ISERROR(SEARCH("△",AA10)))</formula>
    </cfRule>
    <cfRule type="containsText" priority="204" operator="containsText" dxfId="11" text="▽">
      <formula>NOT(ISERROR(SEARCH("▽",AA10)))</formula>
    </cfRule>
    <cfRule type="containsText" priority="201" operator="containsText" dxfId="12" text="△">
      <formula>NOT(ISERROR(SEARCH("△",AA10)))</formula>
    </cfRule>
    <cfRule type="containsText" priority="202" operator="containsText" dxfId="11" text="▽">
      <formula>NOT(ISERROR(SEARCH("▽",AA10)))</formula>
    </cfRule>
  </conditionalFormatting>
  <conditionalFormatting sqref="AA20">
    <cfRule type="containsText" priority="199" operator="containsText" dxfId="12" text="△">
      <formula>NOT(ISERROR(SEARCH("△",AA20)))</formula>
    </cfRule>
    <cfRule type="containsText" priority="200" operator="containsText" dxfId="11" text="▽">
      <formula>NOT(ISERROR(SEARCH("▽",AA20)))</formula>
    </cfRule>
    <cfRule type="containsText" priority="197" operator="containsText" dxfId="12" text="△">
      <formula>NOT(ISERROR(SEARCH("△",AA20)))</formula>
    </cfRule>
    <cfRule type="containsText" priority="198" operator="containsText" dxfId="11" text="▽">
      <formula>NOT(ISERROR(SEARCH("▽",AA20)))</formula>
    </cfRule>
  </conditionalFormatting>
  <conditionalFormatting sqref="AA14">
    <cfRule type="containsText" priority="195" operator="containsText" dxfId="12" text="△">
      <formula>NOT(ISERROR(SEARCH("△",AA14)))</formula>
    </cfRule>
    <cfRule type="containsText" priority="196" operator="containsText" dxfId="11" text="▽">
      <formula>NOT(ISERROR(SEARCH("▽",AA14)))</formula>
    </cfRule>
    <cfRule type="containsText" priority="193" operator="containsText" dxfId="12" text="△">
      <formula>NOT(ISERROR(SEARCH("△",AA14)))</formula>
    </cfRule>
    <cfRule type="containsText" priority="194" operator="containsText" dxfId="11" text="▽">
      <formula>NOT(ISERROR(SEARCH("▽",AA14)))</formula>
    </cfRule>
  </conditionalFormatting>
  <conditionalFormatting sqref="AA15">
    <cfRule type="containsText" priority="179" operator="containsText" dxfId="12" text="△">
      <formula>NOT(ISERROR(SEARCH("△",AA15)))</formula>
    </cfRule>
    <cfRule type="containsText" priority="180" operator="containsText" dxfId="11" text="▽">
      <formula>NOT(ISERROR(SEARCH("▽",AA15)))</formula>
    </cfRule>
    <cfRule type="containsText" priority="177" operator="containsText" dxfId="12" text="△">
      <formula>NOT(ISERROR(SEARCH("△",AA15)))</formula>
    </cfRule>
    <cfRule type="containsText" priority="178" operator="containsText" dxfId="11" text="▽">
      <formula>NOT(ISERROR(SEARCH("▽",AA15)))</formula>
    </cfRule>
  </conditionalFormatting>
  <conditionalFormatting sqref="AA4:AA18">
    <cfRule type="containsText" priority="175" operator="containsText" dxfId="12" text="△">
      <formula>NOT(ISERROR(SEARCH("△",AA4)))</formula>
    </cfRule>
    <cfRule type="containsText" priority="176" operator="containsText" dxfId="11" text="▽">
      <formula>NOT(ISERROR(SEARCH("▽",AA4)))</formula>
    </cfRule>
    <cfRule type="containsText" priority="173" operator="containsText" dxfId="12" text="△">
      <formula>NOT(ISERROR(SEARCH("△",AA4)))</formula>
    </cfRule>
    <cfRule type="containsText" priority="174" operator="containsText" dxfId="11" text="▽">
      <formula>NOT(ISERROR(SEARCH("▽",AA4)))</formula>
    </cfRule>
  </conditionalFormatting>
  <conditionalFormatting sqref="AA7:AA18">
    <cfRule type="containsText" priority="171" operator="containsText" dxfId="12" text="△">
      <formula>NOT(ISERROR(SEARCH("△",AA7)))</formula>
    </cfRule>
    <cfRule type="containsText" priority="172" operator="containsText" dxfId="11" text="▽">
      <formula>NOT(ISERROR(SEARCH("▽",AA7)))</formula>
    </cfRule>
    <cfRule type="containsText" priority="169" operator="containsText" dxfId="12" text="△">
      <formula>NOT(ISERROR(SEARCH("△",AA7)))</formula>
    </cfRule>
    <cfRule type="containsText" priority="170" operator="containsText" dxfId="11" text="▽">
      <formula>NOT(ISERROR(SEARCH("▽",AA7)))</formula>
    </cfRule>
  </conditionalFormatting>
  <conditionalFormatting sqref="AA8">
    <cfRule type="containsText" priority="167" operator="containsText" dxfId="12" text="△">
      <formula>NOT(ISERROR(SEARCH("△",AA8)))</formula>
    </cfRule>
    <cfRule type="containsText" priority="168" operator="containsText" dxfId="11" text="▽">
      <formula>NOT(ISERROR(SEARCH("▽",AA8)))</formula>
    </cfRule>
    <cfRule type="containsText" priority="165" operator="containsText" dxfId="12" text="△">
      <formula>NOT(ISERROR(SEARCH("△",AA8)))</formula>
    </cfRule>
    <cfRule type="containsText" priority="166" operator="containsText" dxfId="11" text="▽">
      <formula>NOT(ISERROR(SEARCH("▽",AA8)))</formula>
    </cfRule>
  </conditionalFormatting>
  <conditionalFormatting sqref="AA16">
    <cfRule type="containsText" priority="163" operator="containsText" dxfId="12" text="△">
      <formula>NOT(ISERROR(SEARCH("△",AA16)))</formula>
    </cfRule>
    <cfRule type="containsText" priority="164" operator="containsText" dxfId="11" text="▽">
      <formula>NOT(ISERROR(SEARCH("▽",AA16)))</formula>
    </cfRule>
    <cfRule type="containsText" priority="161" operator="containsText" dxfId="12" text="△">
      <formula>NOT(ISERROR(SEARCH("△",AA16)))</formula>
    </cfRule>
    <cfRule type="containsText" priority="162" operator="containsText" dxfId="11" text="▽">
      <formula>NOT(ISERROR(SEARCH("▽",AA16)))</formula>
    </cfRule>
  </conditionalFormatting>
  <conditionalFormatting sqref="AA9:AA18">
    <cfRule type="containsText" priority="155" operator="containsText" dxfId="12" text="△">
      <formula>NOT(ISERROR(SEARCH("△",AA9)))</formula>
    </cfRule>
    <cfRule type="containsText" priority="156" operator="containsText" dxfId="11" text="▽">
      <formula>NOT(ISERROR(SEARCH("▽",AA9)))</formula>
    </cfRule>
    <cfRule type="containsText" priority="153" operator="containsText" dxfId="12" text="△">
      <formula>NOT(ISERROR(SEARCH("△",AA9)))</formula>
    </cfRule>
    <cfRule type="containsText" priority="154" operator="containsText" dxfId="11" text="▽">
      <formula>NOT(ISERROR(SEARCH("▽",AA9)))</formula>
    </cfRule>
  </conditionalFormatting>
  <conditionalFormatting sqref="AA18">
    <cfRule type="containsText" priority="151" operator="containsText" dxfId="12" text="△">
      <formula>NOT(ISERROR(SEARCH("△",AA18)))</formula>
    </cfRule>
    <cfRule type="containsText" priority="152" operator="containsText" dxfId="11" text="▽">
      <formula>NOT(ISERROR(SEARCH("▽",AA18)))</formula>
    </cfRule>
    <cfRule type="containsText" priority="149" operator="containsText" dxfId="12" text="△">
      <formula>NOT(ISERROR(SEARCH("△",AA18)))</formula>
    </cfRule>
    <cfRule type="containsText" priority="150" operator="containsText" dxfId="11" text="▽">
      <formula>NOT(ISERROR(SEARCH("▽",AA18)))</formula>
    </cfRule>
  </conditionalFormatting>
  <conditionalFormatting sqref="AA17">
    <cfRule type="containsText" priority="147" operator="containsText" dxfId="12" text="△">
      <formula>NOT(ISERROR(SEARCH("△",AA17)))</formula>
    </cfRule>
    <cfRule type="containsText" priority="148" operator="containsText" dxfId="11" text="▽">
      <formula>NOT(ISERROR(SEARCH("▽",AA17)))</formula>
    </cfRule>
    <cfRule type="containsText" priority="145" operator="containsText" dxfId="12" text="△">
      <formula>NOT(ISERROR(SEARCH("△",AA17)))</formula>
    </cfRule>
    <cfRule type="containsText" priority="146" operator="containsText" dxfId="11" text="▽">
      <formula>NOT(ISERROR(SEARCH("▽",AA17)))</formula>
    </cfRule>
  </conditionalFormatting>
  <conditionalFormatting sqref="AA19:AA20">
    <cfRule type="containsText" priority="143" operator="containsText" dxfId="12" text="△">
      <formula>NOT(ISERROR(SEARCH("△",AA19)))</formula>
    </cfRule>
    <cfRule type="containsText" priority="144" operator="containsText" dxfId="11" text="▽">
      <formula>NOT(ISERROR(SEARCH("▽",AA19)))</formula>
    </cfRule>
    <cfRule type="containsText" priority="141" operator="containsText" dxfId="12" text="△">
      <formula>NOT(ISERROR(SEARCH("△",AA19)))</formula>
    </cfRule>
    <cfRule type="containsText" priority="142" operator="containsText" dxfId="11" text="▽">
      <formula>NOT(ISERROR(SEARCH("▽",AA19)))</formula>
    </cfRule>
  </conditionalFormatting>
  <conditionalFormatting sqref="AA21">
    <cfRule type="containsText" priority="139" operator="containsText" dxfId="12" text="△">
      <formula>NOT(ISERROR(SEARCH("△",AA21)))</formula>
    </cfRule>
    <cfRule type="containsText" priority="140" operator="containsText" dxfId="11" text="▽">
      <formula>NOT(ISERROR(SEARCH("▽",AA21)))</formula>
    </cfRule>
    <cfRule type="containsText" priority="137" operator="containsText" dxfId="12" text="△">
      <formula>NOT(ISERROR(SEARCH("△",AA21)))</formula>
    </cfRule>
    <cfRule type="containsText" priority="138" operator="containsText" dxfId="11" text="▽">
      <formula>NOT(ISERROR(SEARCH("▽",AA21)))</formula>
    </cfRule>
  </conditionalFormatting>
  <conditionalFormatting sqref="Z2:Z21">
    <cfRule type="containsText" priority="135" operator="containsText" dxfId="12" text="▲">
      <formula>NOT(ISERROR(SEARCH("▲",Z2)))</formula>
    </cfRule>
    <cfRule type="containsText" priority="136" operator="containsText" dxfId="11" text="▼">
      <formula>NOT(ISERROR(SEARCH("▼",Z2)))</formula>
    </cfRule>
    <cfRule type="cellIs" priority="133" operator="lessThan" dxfId="8">
      <formula>0</formula>
    </cfRule>
    <cfRule type="cellIs" priority="134" operator="greaterThan" dxfId="7">
      <formula>0</formula>
    </cfRule>
  </conditionalFormatting>
  <conditionalFormatting sqref="Z97:AA99">
    <cfRule type="containsText" priority="131" operator="containsText" dxfId="12" text="△">
      <formula>NOT(ISERROR(SEARCH("△",Z97)))</formula>
    </cfRule>
    <cfRule type="containsText" priority="132" operator="containsText" dxfId="11" text="▽">
      <formula>NOT(ISERROR(SEARCH("▽",Z97)))</formula>
    </cfRule>
  </conditionalFormatting>
  <conditionalFormatting sqref="Z97:Z99">
    <cfRule type="containsText" priority="129" operator="containsText" dxfId="12" text="▲">
      <formula>NOT(ISERROR(SEARCH("▲",Z97)))</formula>
    </cfRule>
    <cfRule type="containsText" priority="130" operator="containsText" dxfId="11" text="▼">
      <formula>NOT(ISERROR(SEARCH("▼",Z97)))</formula>
    </cfRule>
    <cfRule type="cellIs" priority="115" operator="lessThan" dxfId="8">
      <formula>0</formula>
    </cfRule>
    <cfRule type="cellIs" priority="116" operator="greaterThan" dxfId="7">
      <formula>0</formula>
    </cfRule>
  </conditionalFormatting>
  <conditionalFormatting sqref="AA97:AA99">
    <cfRule type="containsText" priority="127" operator="containsText" dxfId="12" text="△">
      <formula>NOT(ISERROR(SEARCH("△",AA97)))</formula>
    </cfRule>
    <cfRule type="containsText" priority="128" operator="containsText" dxfId="11" text="▽">
      <formula>NOT(ISERROR(SEARCH("▽",AA97)))</formula>
    </cfRule>
    <cfRule type="containsText" priority="125" operator="containsText" dxfId="12" text="△">
      <formula>NOT(ISERROR(SEARCH("△",AA97)))</formula>
    </cfRule>
    <cfRule type="containsText" priority="126" operator="containsText" dxfId="11" text="▽">
      <formula>NOT(ISERROR(SEARCH("▽",AA97)))</formula>
    </cfRule>
  </conditionalFormatting>
  <conditionalFormatting sqref="AA98:AA99">
    <cfRule type="containsText" priority="123" operator="containsText" dxfId="12" text="△">
      <formula>NOT(ISERROR(SEARCH("△",AA98)))</formula>
    </cfRule>
    <cfRule type="containsText" priority="124" operator="containsText" dxfId="11" text="▽">
      <formula>NOT(ISERROR(SEARCH("▽",AA98)))</formula>
    </cfRule>
    <cfRule type="containsText" priority="121" operator="containsText" dxfId="12" text="△">
      <formula>NOT(ISERROR(SEARCH("△",AA98)))</formula>
    </cfRule>
    <cfRule type="containsText" priority="122" operator="containsText" dxfId="11" text="▽">
      <formula>NOT(ISERROR(SEARCH("▽",AA98)))</formula>
    </cfRule>
  </conditionalFormatting>
  <conditionalFormatting sqref="AA99">
    <cfRule type="containsText" priority="119" operator="containsText" dxfId="12" text="△">
      <formula>NOT(ISERROR(SEARCH("△",AA99)))</formula>
    </cfRule>
    <cfRule type="containsText" priority="120" operator="containsText" dxfId="11" text="▽">
      <formula>NOT(ISERROR(SEARCH("▽",AA99)))</formula>
    </cfRule>
    <cfRule type="containsText" priority="117" operator="containsText" dxfId="12" text="△">
      <formula>NOT(ISERROR(SEARCH("△",AA99)))</formula>
    </cfRule>
    <cfRule type="containsText" priority="118" operator="containsText" dxfId="11" text="▽">
      <formula>NOT(ISERROR(SEARCH("▽",AA99)))</formula>
    </cfRule>
  </conditionalFormatting>
  <conditionalFormatting sqref="AA100:AA102">
    <cfRule type="containsText" priority="113" operator="containsText" dxfId="12" text="△">
      <formula>NOT(ISERROR(SEARCH("△",AA100)))</formula>
    </cfRule>
    <cfRule type="containsText" priority="114" operator="containsText" dxfId="11" text="▽">
      <formula>NOT(ISERROR(SEARCH("▽",AA100)))</formula>
    </cfRule>
    <cfRule type="containsText" priority="103" operator="containsText" dxfId="12" text="△">
      <formula>NOT(ISERROR(SEARCH("△",AA100)))</formula>
    </cfRule>
    <cfRule type="containsText" priority="104" operator="containsText" dxfId="11" text="▽">
      <formula>NOT(ISERROR(SEARCH("▽",AA100)))</formula>
    </cfRule>
    <cfRule type="containsText" priority="101" operator="containsText" dxfId="12" text="△">
      <formula>NOT(ISERROR(SEARCH("△",AA100)))</formula>
    </cfRule>
    <cfRule type="containsText" priority="102" operator="containsText" dxfId="11" text="▽">
      <formula>NOT(ISERROR(SEARCH("▽",AA100)))</formula>
    </cfRule>
    <cfRule type="containsText" priority="99" operator="containsText" dxfId="12" text="△">
      <formula>NOT(ISERROR(SEARCH("△",AA100)))</formula>
    </cfRule>
    <cfRule type="containsText" priority="100" operator="containsText" dxfId="11" text="▽">
      <formula>NOT(ISERROR(SEARCH("▽",AA100)))</formula>
    </cfRule>
    <cfRule type="containsText" priority="97" operator="containsText" dxfId="12" text="△">
      <formula>NOT(ISERROR(SEARCH("△",AA100)))</formula>
    </cfRule>
    <cfRule type="containsText" priority="98" operator="containsText" dxfId="11" text="▽">
      <formula>NOT(ISERROR(SEARCH("▽",AA100)))</formula>
    </cfRule>
    <cfRule type="containsText" priority="91" operator="containsText" dxfId="12" text="△">
      <formula>NOT(ISERROR(SEARCH("△",AA100)))</formula>
    </cfRule>
    <cfRule type="containsText" priority="92" operator="containsText" dxfId="11" text="▽">
      <formula>NOT(ISERROR(SEARCH("▽",AA100)))</formula>
    </cfRule>
    <cfRule type="containsText" priority="89" operator="containsText" dxfId="12" text="△">
      <formula>NOT(ISERROR(SEARCH("△",AA100)))</formula>
    </cfRule>
    <cfRule type="containsText" priority="90" operator="containsText" dxfId="11" text="▽">
      <formula>NOT(ISERROR(SEARCH("▽",AA100)))</formula>
    </cfRule>
    <cfRule type="containsText" priority="87" operator="containsText" dxfId="12" text="△">
      <formula>NOT(ISERROR(SEARCH("△",AA100)))</formula>
    </cfRule>
    <cfRule type="containsText" priority="88" operator="containsText" dxfId="11" text="▽">
      <formula>NOT(ISERROR(SEARCH("▽",AA100)))</formula>
    </cfRule>
    <cfRule type="containsText" priority="85" operator="containsText" dxfId="12" text="△">
      <formula>NOT(ISERROR(SEARCH("△",AA100)))</formula>
    </cfRule>
    <cfRule type="containsText" priority="86" operator="containsText" dxfId="11" text="▽">
      <formula>NOT(ISERROR(SEARCH("▽",AA100)))</formula>
    </cfRule>
  </conditionalFormatting>
  <conditionalFormatting sqref="Z100:Z102">
    <cfRule type="cellIs" priority="111" operator="lessThan" dxfId="8">
      <formula>0</formula>
    </cfRule>
    <cfRule type="cellIs" priority="112" operator="greaterThan" dxfId="7">
      <formula>0</formula>
    </cfRule>
    <cfRule type="containsText" priority="105" operator="containsText" dxfId="12" text="▲">
      <formula>NOT(ISERROR(SEARCH("▲",Z100)))</formula>
    </cfRule>
    <cfRule type="containsText" priority="106" operator="containsText" dxfId="11" text="▼">
      <formula>NOT(ISERROR(SEARCH("▼",Z100)))</formula>
    </cfRule>
    <cfRule type="cellIs" priority="83" operator="lessThan" dxfId="8">
      <formula>0</formula>
    </cfRule>
    <cfRule type="cellIs" priority="84" operator="greaterThan" dxfId="7">
      <formula>0</formula>
    </cfRule>
  </conditionalFormatting>
  <conditionalFormatting sqref="Z100:AA102">
    <cfRule type="containsText" priority="109" operator="containsText" dxfId="12" text="▲">
      <formula>NOT(ISERROR(SEARCH("▲",Z100)))</formula>
    </cfRule>
    <cfRule type="containsText" priority="110" operator="containsText" dxfId="11" text="▼">
      <formula>NOT(ISERROR(SEARCH("▼",Z100)))</formula>
    </cfRule>
    <cfRule type="containsText" priority="107" operator="containsText" dxfId="12" text="△">
      <formula>NOT(ISERROR(SEARCH("△",Z100)))</formula>
    </cfRule>
    <cfRule type="containsText" priority="108" operator="containsText" dxfId="11" text="▽">
      <formula>NOT(ISERROR(SEARCH("▽",Z100)))</formula>
    </cfRule>
  </conditionalFormatting>
  <conditionalFormatting sqref="AA102">
    <cfRule type="containsText" priority="95" operator="containsText" dxfId="12" text="△">
      <formula>NOT(ISERROR(SEARCH("△",AA102)))</formula>
    </cfRule>
    <cfRule type="containsText" priority="96" operator="containsText" dxfId="11" text="▽">
      <formula>NOT(ISERROR(SEARCH("▽",AA102)))</formula>
    </cfRule>
    <cfRule type="containsText" priority="93" operator="containsText" dxfId="12" text="△">
      <formula>NOT(ISERROR(SEARCH("△",AA102)))</formula>
    </cfRule>
    <cfRule type="containsText" priority="94" operator="containsText" dxfId="11" text="▽">
      <formula>NOT(ISERROR(SEARCH("▽",AA102)))</formula>
    </cfRule>
  </conditionalFormatting>
  <conditionalFormatting sqref="Z103">
    <cfRule type="containsText" priority="79" operator="containsText" dxfId="12" text="▲">
      <formula>NOT(ISERROR(SEARCH("▲",Z103)))</formula>
    </cfRule>
    <cfRule type="containsText" priority="80" operator="containsText" dxfId="11" text="▼">
      <formula>NOT(ISERROR(SEARCH("▼",Z103)))</formula>
    </cfRule>
    <cfRule type="cellIs" priority="53" operator="lessThan" dxfId="8">
      <formula>0</formula>
    </cfRule>
    <cfRule type="cellIs" priority="54" operator="greaterThan" dxfId="7">
      <formula>0</formula>
    </cfRule>
  </conditionalFormatting>
  <conditionalFormatting sqref="AA103">
    <cfRule type="containsText" priority="77" operator="containsText" dxfId="12" text="△">
      <formula>NOT(ISERROR(SEARCH("△",AA103)))</formula>
    </cfRule>
    <cfRule type="containsText" priority="78" operator="containsText" dxfId="11" text="▽">
      <formula>NOT(ISERROR(SEARCH("▽",AA103)))</formula>
    </cfRule>
    <cfRule type="containsText" priority="75" operator="containsText" dxfId="12" text="△">
      <formula>NOT(ISERROR(SEARCH("△",AA103)))</formula>
    </cfRule>
    <cfRule type="containsText" priority="76" operator="containsText" dxfId="11" text="▽">
      <formula>NOT(ISERROR(SEARCH("▽",AA103)))</formula>
    </cfRule>
    <cfRule type="containsText" priority="73" operator="containsText" dxfId="12" text="△">
      <formula>NOT(ISERROR(SEARCH("△",AA103)))</formula>
    </cfRule>
    <cfRule type="containsText" priority="74" operator="containsText" dxfId="11" text="▽">
      <formula>NOT(ISERROR(SEARCH("▽",AA103)))</formula>
    </cfRule>
    <cfRule type="containsText" priority="71" operator="containsText" dxfId="12" text="△">
      <formula>NOT(ISERROR(SEARCH("△",AA103)))</formula>
    </cfRule>
    <cfRule type="containsText" priority="72" operator="containsText" dxfId="11" text="▽">
      <formula>NOT(ISERROR(SEARCH("▽",AA103)))</formula>
    </cfRule>
    <cfRule type="containsText" priority="69" operator="containsText" dxfId="12" text="△">
      <formula>NOT(ISERROR(SEARCH("△",AA103)))</formula>
    </cfRule>
    <cfRule type="containsText" priority="70" operator="containsText" dxfId="11" text="▽">
      <formula>NOT(ISERROR(SEARCH("▽",AA103)))</formula>
    </cfRule>
    <cfRule type="containsText" priority="67" operator="containsText" dxfId="12" text="△">
      <formula>NOT(ISERROR(SEARCH("△",AA103)))</formula>
    </cfRule>
    <cfRule type="containsText" priority="68" operator="containsText" dxfId="11" text="▽">
      <formula>NOT(ISERROR(SEARCH("▽",AA103)))</formula>
    </cfRule>
    <cfRule type="containsText" priority="65" operator="containsText" dxfId="12" text="△">
      <formula>NOT(ISERROR(SEARCH("△",AA103)))</formula>
    </cfRule>
    <cfRule type="containsText" priority="66" operator="containsText" dxfId="11" text="▽">
      <formula>NOT(ISERROR(SEARCH("▽",AA103)))</formula>
    </cfRule>
    <cfRule type="containsText" priority="63" operator="containsText" dxfId="12" text="△">
      <formula>NOT(ISERROR(SEARCH("△",AA103)))</formula>
    </cfRule>
    <cfRule type="containsText" priority="64" operator="containsText" dxfId="11" text="▽">
      <formula>NOT(ISERROR(SEARCH("▽",AA103)))</formula>
    </cfRule>
    <cfRule type="containsText" priority="61" operator="containsText" dxfId="12" text="△">
      <formula>NOT(ISERROR(SEARCH("△",AA103)))</formula>
    </cfRule>
    <cfRule type="containsText" priority="62" operator="containsText" dxfId="11" text="▽">
      <formula>NOT(ISERROR(SEARCH("▽",AA103)))</formula>
    </cfRule>
    <cfRule type="containsText" priority="59" operator="containsText" dxfId="12" text="△">
      <formula>NOT(ISERROR(SEARCH("△",AA103)))</formula>
    </cfRule>
    <cfRule type="containsText" priority="60" operator="containsText" dxfId="11" text="▽">
      <formula>NOT(ISERROR(SEARCH("▽",AA103)))</formula>
    </cfRule>
    <cfRule type="containsText" priority="57" operator="containsText" dxfId="12" text="△">
      <formula>NOT(ISERROR(SEARCH("△",AA103)))</formula>
    </cfRule>
    <cfRule type="containsText" priority="58" operator="containsText" dxfId="11" text="▽">
      <formula>NOT(ISERROR(SEARCH("▽",AA103)))</formula>
    </cfRule>
    <cfRule type="containsText" priority="55" operator="containsText" dxfId="12" text="△">
      <formula>NOT(ISERROR(SEARCH("△",AA103)))</formula>
    </cfRule>
    <cfRule type="containsText" priority="56" operator="containsText" dxfId="11" text="▽">
      <formula>NOT(ISERROR(SEARCH("▽",AA103)))</formula>
    </cfRule>
  </conditionalFormatting>
  <conditionalFormatting sqref="Z103:AA103">
    <cfRule type="containsText" priority="51" operator="containsText" dxfId="12" text="△">
      <formula>NOT(ISERROR(SEARCH("△",Z103)))</formula>
    </cfRule>
    <cfRule type="containsText" priority="52" operator="containsText" dxfId="11" text="▽">
      <formula>NOT(ISERROR(SEARCH("▽",Z103)))</formula>
    </cfRule>
  </conditionalFormatting>
  <conditionalFormatting sqref="Z104:AA104">
    <cfRule type="containsText" priority="49" operator="containsText" dxfId="12" text="▲">
      <formula>NOT(ISERROR(SEARCH("▲",Z104)))</formula>
    </cfRule>
    <cfRule type="containsText" priority="50" operator="containsText" dxfId="11" text="▼">
      <formula>NOT(ISERROR(SEARCH("▼",Z104)))</formula>
    </cfRule>
  </conditionalFormatting>
  <conditionalFormatting sqref="Z104">
    <cfRule type="containsText" priority="47" operator="containsText" dxfId="12" text="▲">
      <formula>NOT(ISERROR(SEARCH("▲",Z104)))</formula>
    </cfRule>
    <cfRule type="containsText" priority="48" operator="containsText" dxfId="11" text="▼">
      <formula>NOT(ISERROR(SEARCH("▼",Z104)))</formula>
    </cfRule>
    <cfRule type="cellIs" priority="41" operator="lessThan" dxfId="8">
      <formula>0</formula>
    </cfRule>
    <cfRule type="cellIs" priority="42" operator="greaterThan" dxfId="7">
      <formula>0</formula>
    </cfRule>
  </conditionalFormatting>
  <conditionalFormatting sqref="AA104">
    <cfRule type="containsText" priority="45" operator="containsText" dxfId="12" text="△">
      <formula>NOT(ISERROR(SEARCH("△",AA104)))</formula>
    </cfRule>
    <cfRule type="containsText" priority="46" operator="containsText" dxfId="11" text="▽">
      <formula>NOT(ISERROR(SEARCH("▽",AA104)))</formula>
    </cfRule>
    <cfRule type="containsText" priority="43" operator="containsText" dxfId="12" text="△">
      <formula>NOT(ISERROR(SEARCH("△",AA104)))</formula>
    </cfRule>
    <cfRule type="containsText" priority="44" operator="containsText" dxfId="11" text="▽">
      <formula>NOT(ISERROR(SEARCH("▽",AA104)))</formula>
    </cfRule>
  </conditionalFormatting>
  <conditionalFormatting sqref="Z105:AA106">
    <cfRule type="containsText" priority="39" operator="containsText" dxfId="12" text="▲">
      <formula>NOT(ISERROR(SEARCH("▲",Z105)))</formula>
    </cfRule>
    <cfRule type="containsText" priority="40" operator="containsText" dxfId="11" text="▼">
      <formula>NOT(ISERROR(SEARCH("▼",Z105)))</formula>
    </cfRule>
  </conditionalFormatting>
  <conditionalFormatting sqref="AA106">
    <cfRule type="containsText" priority="37" operator="containsText" dxfId="12" text="△">
      <formula>NOT(ISERROR(SEARCH("△",AA106)))</formula>
    </cfRule>
    <cfRule type="containsText" priority="38" operator="containsText" dxfId="11" text="▽">
      <formula>NOT(ISERROR(SEARCH("▽",AA106)))</formula>
    </cfRule>
    <cfRule type="containsText" priority="35" operator="containsText" dxfId="12" text="△">
      <formula>NOT(ISERROR(SEARCH("△",AA106)))</formula>
    </cfRule>
    <cfRule type="containsText" priority="36" operator="containsText" dxfId="11" text="▽">
      <formula>NOT(ISERROR(SEARCH("▽",AA106)))</formula>
    </cfRule>
  </conditionalFormatting>
  <conditionalFormatting sqref="Z105:Z106">
    <cfRule type="containsText" priority="33" operator="containsText" dxfId="12" text="▲">
      <formula>NOT(ISERROR(SEARCH("▲",Z105)))</formula>
    </cfRule>
    <cfRule type="containsText" priority="34" operator="containsText" dxfId="11" text="▼">
      <formula>NOT(ISERROR(SEARCH("▼",Z105)))</formula>
    </cfRule>
    <cfRule type="cellIs" priority="27" operator="lessThan" dxfId="8">
      <formula>0</formula>
    </cfRule>
    <cfRule type="cellIs" priority="28" operator="greaterThan" dxfId="7">
      <formula>0</formula>
    </cfRule>
  </conditionalFormatting>
  <conditionalFormatting sqref="AA105">
    <cfRule type="containsText" priority="31" operator="containsText" dxfId="12" text="△">
      <formula>NOT(ISERROR(SEARCH("△",AA105)))</formula>
    </cfRule>
    <cfRule type="containsText" priority="32" operator="containsText" dxfId="11" text="▽">
      <formula>NOT(ISERROR(SEARCH("▽",AA105)))</formula>
    </cfRule>
    <cfRule type="containsText" priority="29" operator="containsText" dxfId="12" text="△">
      <formula>NOT(ISERROR(SEARCH("△",AA105)))</formula>
    </cfRule>
    <cfRule type="containsText" priority="30" operator="containsText" dxfId="11" text="▽">
      <formula>NOT(ISERROR(SEARCH("▽",AA105)))</formula>
    </cfRule>
  </conditionalFormatting>
  <conditionalFormatting sqref="Z107:AA107">
    <cfRule type="containsText" priority="25" operator="containsText" dxfId="12" text="▲">
      <formula>NOT(ISERROR(SEARCH("▲",Z107)))</formula>
    </cfRule>
    <cfRule type="containsText" priority="26" operator="containsText" dxfId="11" text="▼">
      <formula>NOT(ISERROR(SEARCH("▼",Z107)))</formula>
    </cfRule>
  </conditionalFormatting>
  <conditionalFormatting sqref="Z107">
    <cfRule type="containsText" priority="23" operator="containsText" dxfId="12" text="▲">
      <formula>NOT(ISERROR(SEARCH("▲",Z107)))</formula>
    </cfRule>
    <cfRule type="containsText" priority="24" operator="containsText" dxfId="11" text="▼">
      <formula>NOT(ISERROR(SEARCH("▼",Z107)))</formula>
    </cfRule>
    <cfRule type="cellIs" priority="17" operator="lessThan" dxfId="8">
      <formula>0</formula>
    </cfRule>
    <cfRule type="cellIs" priority="18" operator="greaterThan" dxfId="7">
      <formula>0</formula>
    </cfRule>
  </conditionalFormatting>
  <conditionalFormatting sqref="AA107">
    <cfRule type="containsText" priority="21" operator="containsText" dxfId="12" text="△">
      <formula>NOT(ISERROR(SEARCH("△",AA107)))</formula>
    </cfRule>
    <cfRule type="containsText" priority="22" operator="containsText" dxfId="11" text="▽">
      <formula>NOT(ISERROR(SEARCH("▽",AA107)))</formula>
    </cfRule>
    <cfRule type="containsText" priority="19" operator="containsText" dxfId="12" text="△">
      <formula>NOT(ISERROR(SEARCH("△",AA107)))</formula>
    </cfRule>
    <cfRule type="containsText" priority="20" operator="containsText" dxfId="11" text="▽">
      <formula>NOT(ISERROR(SEARCH("▽",AA107)))</formula>
    </cfRule>
  </conditionalFormatting>
  <conditionalFormatting sqref="Z108:AA108">
    <cfRule type="containsText" priority="15" operator="containsText" dxfId="12" text="▲">
      <formula>NOT(ISERROR(SEARCH("▲",Z108)))</formula>
    </cfRule>
    <cfRule type="containsText" priority="16" operator="containsText" dxfId="11" text="▼">
      <formula>NOT(ISERROR(SEARCH("▼",Z108)))</formula>
    </cfRule>
  </conditionalFormatting>
  <conditionalFormatting sqref="Z108">
    <cfRule type="containsText" priority="13" operator="containsText" dxfId="12" text="▲">
      <formula>NOT(ISERROR(SEARCH("▲",Z108)))</formula>
    </cfRule>
    <cfRule type="containsText" priority="14" operator="containsText" dxfId="11" text="▼">
      <formula>NOT(ISERROR(SEARCH("▼",Z108)))</formula>
    </cfRule>
    <cfRule type="cellIs" priority="7" operator="lessThan" dxfId="8">
      <formula>0</formula>
    </cfRule>
    <cfRule type="cellIs" priority="8" operator="greaterThan" dxfId="7">
      <formula>0</formula>
    </cfRule>
  </conditionalFormatting>
  <conditionalFormatting sqref="AA108">
    <cfRule type="containsText" priority="11" operator="containsText" dxfId="12" text="△">
      <formula>NOT(ISERROR(SEARCH("△",AA108)))</formula>
    </cfRule>
    <cfRule type="containsText" priority="12" operator="containsText" dxfId="11" text="▽">
      <formula>NOT(ISERROR(SEARCH("▽",AA108)))</formula>
    </cfRule>
    <cfRule type="containsText" priority="9" operator="containsText" dxfId="12" text="△">
      <formula>NOT(ISERROR(SEARCH("△",AA108)))</formula>
    </cfRule>
    <cfRule type="containsText" priority="10" operator="containsText" dxfId="11" text="▽">
      <formula>NOT(ISERROR(SEARCH("▽",AA108)))</formula>
    </cfRule>
  </conditionalFormatting>
  <conditionalFormatting sqref="Z109:AA109">
    <cfRule type="containsText" priority="5" operator="containsText" dxfId="12" text="▲">
      <formula>NOT(ISERROR(SEARCH("▲",Z109)))</formula>
    </cfRule>
    <cfRule type="containsText" priority="6" operator="containsText" dxfId="11" text="▼">
      <formula>NOT(ISERROR(SEARCH("▼",Z109)))</formula>
    </cfRule>
    <cfRule type="containsText" priority="3" operator="containsText" dxfId="12" text="▲">
      <formula>NOT(ISERROR(SEARCH("▲",Z109)))</formula>
    </cfRule>
    <cfRule type="containsText" priority="4" operator="containsText" dxfId="11" text="▼">
      <formula>NOT(ISERROR(SEARCH("▼",Z109)))</formula>
    </cfRule>
  </conditionalFormatting>
  <conditionalFormatting sqref="Z109">
    <cfRule type="cellIs" priority="1" operator="lessThan" dxfId="8">
      <formula>0</formula>
    </cfRule>
    <cfRule type="cellIs" priority="2" operator="greaterThan" dxfId="7">
      <formula>0</formula>
    </cfRule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codeName="Sheet13">
    <tabColor rgb="FF92D050"/>
    <outlinePr summaryBelow="0" summaryRight="0"/>
    <pageSetUpPr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baseColWidth="8" defaultColWidth="9" defaultRowHeight="16.5" outlineLevelRow="1"/>
  <cols>
    <col width="11.125" customWidth="1" style="9" min="1" max="1"/>
    <col hidden="1" width="10" customWidth="1" style="9" min="2" max="2"/>
    <col width="11.375" customWidth="1" style="9" min="3" max="3"/>
    <col width="12.375" bestFit="1" customWidth="1" style="37" min="4" max="4"/>
    <col width="7.125" customWidth="1" style="9" min="5" max="5"/>
    <col width="9.125" customWidth="1" style="9" min="6" max="6"/>
    <col width="12.625" customWidth="1" style="9" min="7" max="7"/>
    <col width="9.125" customWidth="1" style="9" min="8" max="8"/>
    <col collapsed="1" width="11.5" bestFit="1" customWidth="1" style="9" min="9" max="9"/>
    <col hidden="1" outlineLevel="1" width="9.375" customWidth="1" style="9" min="10" max="10"/>
    <col hidden="1" outlineLevel="1" width="13" customWidth="1" style="9" min="11" max="11"/>
    <col hidden="1" outlineLevel="1" width="9.625" customWidth="1" style="9" min="12" max="13"/>
    <col hidden="1" outlineLevel="1" width="9.125" customWidth="1" style="9" min="14" max="14"/>
    <col width="11.375" customWidth="1" style="9" min="15" max="15"/>
    <col width="13.375" customWidth="1" style="9" min="16" max="16"/>
    <col width="13.125" customWidth="1" style="9" min="17" max="17"/>
    <col collapsed="1" width="9.5" bestFit="1" customWidth="1" style="9" min="18" max="18"/>
    <col hidden="1" outlineLevel="1" width="11.625" customWidth="1" style="9" min="19" max="19"/>
    <col hidden="1" outlineLevel="1" width="18.625" customWidth="1" style="9" min="20" max="20"/>
    <col collapsed="1" width="18.625" bestFit="1" customWidth="1" style="9" min="21" max="21"/>
    <col hidden="1" outlineLevel="1" width="12.375" customWidth="1" style="9" min="22" max="23"/>
    <col width="13.875" customWidth="1" style="9" min="24" max="24"/>
    <col width="13.375" bestFit="1" customWidth="1" style="9" min="25" max="25"/>
    <col width="12.875" bestFit="1" customWidth="1" style="9" min="26" max="26"/>
    <col width="12.875" customWidth="1" style="9" min="27" max="27"/>
    <col width="12.125" bestFit="1" customWidth="1" style="28" min="28" max="28"/>
    <col width="74.5" customWidth="1" style="28" min="29" max="29"/>
    <col width="9" customWidth="1" style="9" min="30" max="16384"/>
  </cols>
  <sheetData>
    <row r="1" customFormat="1" s="8">
      <c r="A1" s="1" t="inlineStr">
        <is>
          <t>買進日期</t>
        </is>
      </c>
      <c r="B1" s="2" t="inlineStr">
        <is>
          <t>種類</t>
        </is>
      </c>
      <c r="C1" s="3" t="inlineStr">
        <is>
          <t>股票代號</t>
        </is>
      </c>
      <c r="D1" s="4" t="inlineStr">
        <is>
          <t>股票名稱</t>
        </is>
      </c>
      <c r="E1" s="4" t="inlineStr">
        <is>
          <t>股數</t>
        </is>
      </c>
      <c r="F1" s="4" t="inlineStr">
        <is>
          <t>買進價</t>
        </is>
      </c>
      <c r="G1" s="4" t="inlineStr">
        <is>
          <t>成交金額</t>
        </is>
      </c>
      <c r="H1" s="432" t="inlineStr">
        <is>
          <t>手續費</t>
        </is>
      </c>
      <c r="I1" s="140" t="inlineStr">
        <is>
          <t>賣出日期</t>
        </is>
      </c>
      <c r="J1" s="4" t="inlineStr">
        <is>
          <t>賣出價</t>
        </is>
      </c>
      <c r="K1" s="4" t="inlineStr">
        <is>
          <t>成交金額</t>
        </is>
      </c>
      <c r="L1" s="432" t="inlineStr">
        <is>
          <t>手續費</t>
        </is>
      </c>
      <c r="M1" s="432" t="inlineStr">
        <is>
          <t>交易稅</t>
        </is>
      </c>
      <c r="N1" s="3" t="inlineStr">
        <is>
          <t>證所稅</t>
        </is>
      </c>
      <c r="O1" s="4" t="inlineStr">
        <is>
          <t>參考現值</t>
        </is>
      </c>
      <c r="P1" s="433" t="inlineStr">
        <is>
          <t>已實現損益</t>
        </is>
      </c>
      <c r="Q1" s="4" t="inlineStr">
        <is>
          <t>未實現損益</t>
        </is>
      </c>
      <c r="R1" s="4" t="inlineStr">
        <is>
          <t>除息</t>
        </is>
      </c>
      <c r="S1" s="68" t="inlineStr">
        <is>
          <t>手續費</t>
        </is>
      </c>
      <c r="T1" s="68" t="inlineStr">
        <is>
          <t>健保補充保費</t>
        </is>
      </c>
      <c r="U1" s="68" t="inlineStr">
        <is>
          <t>實質扣抵稅率</t>
        </is>
      </c>
      <c r="V1" s="68" t="inlineStr">
        <is>
          <t>扣抵稅率</t>
        </is>
      </c>
      <c r="W1" s="68" t="inlineStr">
        <is>
          <t>所得稅率</t>
        </is>
      </c>
      <c r="X1" s="4" t="inlineStr">
        <is>
          <t>投資報酬率</t>
        </is>
      </c>
      <c r="Y1" s="4" t="inlineStr">
        <is>
          <t>今日股價</t>
        </is>
      </c>
      <c r="Z1" s="7" t="inlineStr">
        <is>
          <t>漲跌</t>
        </is>
      </c>
      <c r="AA1" s="89" t="n"/>
      <c r="AB1" s="86" t="inlineStr">
        <is>
          <t>買進理由</t>
        </is>
      </c>
      <c r="AC1" s="86" t="inlineStr">
        <is>
          <t>賣出理由</t>
        </is>
      </c>
    </row>
    <row r="2" outlineLevel="1">
      <c r="A2" s="99" t="n">
        <v>44004</v>
      </c>
      <c r="B2" s="11" t="inlineStr">
        <is>
          <t>普通買進</t>
        </is>
      </c>
      <c r="C2" s="11" t="n">
        <v>1319</v>
      </c>
      <c r="D2" s="11" t="inlineStr">
        <is>
          <t>東陽</t>
        </is>
      </c>
      <c r="E2" s="11" t="n">
        <v>1000</v>
      </c>
      <c r="F2" s="11" t="n">
        <v>39.75</v>
      </c>
      <c r="G2" s="212">
        <f>E2*F2</f>
        <v/>
      </c>
      <c r="H2" s="11" t="n">
        <v>56</v>
      </c>
      <c r="I2" s="104" t="n">
        <v>44040</v>
      </c>
      <c r="J2" s="16" t="n">
        <v>34.2</v>
      </c>
      <c r="K2" s="11">
        <f>E2*J2</f>
        <v/>
      </c>
      <c r="L2" s="17" t="n"/>
      <c r="M2" s="11" t="n"/>
      <c r="N2" s="11" t="n">
        <v>0</v>
      </c>
      <c r="O2" s="434">
        <f>IF(I2="",E2*Y2,0)</f>
        <v/>
      </c>
      <c r="P2" s="435">
        <f>IF(I2="",R2-H2,(K2-H2-SUM(L2:N2)+R2-S2-T2)-G2)+(ROUND(R2*V2,0)-ROUND(R2*(1+V2),0)*W2)</f>
        <v/>
      </c>
      <c r="Q2" s="435">
        <f>IF(I2="",(O2-G2-(O2*0.1425%*0.65)-(O2*0.3%)-S2-T2),0)</f>
        <v/>
      </c>
      <c r="R2" s="435" t="n">
        <v>1800</v>
      </c>
      <c r="S2" s="435" t="n">
        <v>10</v>
      </c>
      <c r="T2" s="435">
        <f>IF(ROUND(R2*(1+V2),0)&gt;20000,ROUND(ROUND(R2*(1+V2),0)*2%,0),0)</f>
        <v/>
      </c>
      <c r="U2" s="69">
        <f>(V2*50%)/(1+50%*V2)</f>
        <v/>
      </c>
      <c r="V2" s="69" t="n"/>
      <c r="W2" s="70" t="n">
        <v>0.06</v>
      </c>
      <c r="X2" s="436">
        <f>(P2+Q2)/G2</f>
        <v/>
      </c>
      <c r="Y2" s="16">
        <f>VLOOKUP(C2,台股行情!A:D,4,FALSE)</f>
        <v/>
      </c>
      <c r="Z2" s="437">
        <f>VLOOKUP(C2,台股行情!A:E,5,FALSE)</f>
        <v/>
      </c>
      <c r="AA2" s="438">
        <f>IF(I2="",((TODAY()-A2)*G2)/365.24,((I2-A2)*G2)/365.24)</f>
        <v/>
      </c>
      <c r="AB2" s="142" t="inlineStr">
        <is>
          <t>除權息</t>
        </is>
      </c>
      <c r="AC2" s="135" t="inlineStr">
        <is>
          <t>網站提供資訊不正確，貼息且持續低於月線走跌</t>
        </is>
      </c>
    </row>
    <row r="3" outlineLevel="1">
      <c r="A3" s="99" t="n">
        <v>44005</v>
      </c>
      <c r="B3" s="11" t="inlineStr">
        <is>
          <t>普通買進</t>
        </is>
      </c>
      <c r="C3" s="11" t="n">
        <v>2357</v>
      </c>
      <c r="D3" s="11" t="inlineStr">
        <is>
          <t>華碩</t>
        </is>
      </c>
      <c r="E3" s="11" t="n">
        <v>1000</v>
      </c>
      <c r="F3" s="11" t="n">
        <v>246.5</v>
      </c>
      <c r="G3" s="212">
        <f>E3*F3</f>
        <v/>
      </c>
      <c r="H3" s="11" t="n">
        <v>351</v>
      </c>
      <c r="I3" s="104" t="n">
        <v>44069</v>
      </c>
      <c r="J3" s="16" t="n">
        <v>253</v>
      </c>
      <c r="K3" s="11">
        <f>E3*J3</f>
        <v/>
      </c>
      <c r="L3" s="17" t="n">
        <v>360</v>
      </c>
      <c r="M3" s="11" t="n">
        <v>759</v>
      </c>
      <c r="N3" s="11" t="n">
        <v>0</v>
      </c>
      <c r="O3" s="434">
        <f>IF(I3="",E3*Y3,0)</f>
        <v/>
      </c>
      <c r="P3" s="435">
        <f>IF(I3="",R3-H3,(K3-H3-SUM(L3:N3)+R3-S3-T3)-G3)+(ROUND(R3*V3,0)-ROUND(R3*(1+V3),0)*W3)</f>
        <v/>
      </c>
      <c r="Q3" s="435">
        <f>IF(I3="",(O3-G3-(O3*0.1425%*0.65)-(O3*0.3%)-S3-T3),0)</f>
        <v/>
      </c>
      <c r="R3" s="435" t="n">
        <v>14000</v>
      </c>
      <c r="S3" s="435" t="n">
        <v>10</v>
      </c>
      <c r="T3" s="435">
        <f>IF(ROUND(R3*(1+V3),0)&gt;20000,ROUND(ROUND(R3*(1+V3),0)*2%,0),0)</f>
        <v/>
      </c>
      <c r="U3" s="69">
        <f>(V3*50%)/(1+50%*V3)</f>
        <v/>
      </c>
      <c r="V3" s="69" t="n"/>
      <c r="W3" s="70" t="n">
        <v>0.06</v>
      </c>
      <c r="X3" s="436">
        <f>(P3+Q3)/G3</f>
        <v/>
      </c>
      <c r="Y3" s="16">
        <f>VLOOKUP(C3,台股行情!A:D,4,FALSE)</f>
        <v/>
      </c>
      <c r="Z3" s="437">
        <f>VLOOKUP(C3,台股行情!A:E,5,FALSE)</f>
        <v/>
      </c>
      <c r="AA3" s="438">
        <f>IF(I3="",((TODAY()-A3)*G3)/365.24,((I3-A3)*G3)/365.24)</f>
        <v/>
      </c>
      <c r="AB3" s="103" t="inlineStr">
        <is>
          <t>除權息</t>
        </is>
      </c>
      <c r="AC3" s="135" t="inlineStr">
        <is>
          <t>已填息</t>
        </is>
      </c>
    </row>
    <row r="4" outlineLevel="1">
      <c r="A4" s="99" t="n">
        <v>44015</v>
      </c>
      <c r="B4" s="11" t="inlineStr">
        <is>
          <t>普通買進</t>
        </is>
      </c>
      <c r="C4" s="11" t="n">
        <v>3038</v>
      </c>
      <c r="D4" s="11" t="inlineStr">
        <is>
          <t>全台</t>
        </is>
      </c>
      <c r="E4" s="11" t="n">
        <v>1000</v>
      </c>
      <c r="F4" s="11" t="n">
        <v>24.55</v>
      </c>
      <c r="G4" s="212">
        <f>E4*F4</f>
        <v/>
      </c>
      <c r="H4" s="11" t="n">
        <v>34</v>
      </c>
      <c r="I4" s="104" t="n">
        <v>44025</v>
      </c>
      <c r="J4" s="16" t="n">
        <v>19.65</v>
      </c>
      <c r="K4" s="11">
        <f>E4*J4</f>
        <v/>
      </c>
      <c r="L4" s="17" t="n">
        <v>28</v>
      </c>
      <c r="M4" s="11" t="n">
        <v>59</v>
      </c>
      <c r="N4" s="11" t="n">
        <v>0</v>
      </c>
      <c r="O4" s="434">
        <f>IF(I4="",E4*Y4,0)</f>
        <v/>
      </c>
      <c r="P4" s="435">
        <f>IF(I4="",R4-H4,(K4-H4-SUM(L4:N4)+R4-S4-T4)-G4)+(ROUND(R4*V4,0)-ROUND(R4*(1+V4),0)*W4)</f>
        <v/>
      </c>
      <c r="Q4" s="435">
        <f>IF(I4="",(O4-G4-(O4*0.1425%*0.65)-(O4*0.3%)-S4-T4),0)</f>
        <v/>
      </c>
      <c r="R4" s="435" t="n">
        <v>1000</v>
      </c>
      <c r="S4" s="435" t="n"/>
      <c r="T4" s="435">
        <f>IF(ROUND(R4*(1+V4),0)&gt;20000,ROUND(ROUND(R4*(1+V4),0)*2%,0),0)</f>
        <v/>
      </c>
      <c r="U4" s="69">
        <f>(V4*50%)/(1+50%*V4)</f>
        <v/>
      </c>
      <c r="V4" s="69" t="n"/>
      <c r="W4" s="70" t="n">
        <v>0.06</v>
      </c>
      <c r="X4" s="436">
        <f>(P4+Q4)/G4</f>
        <v/>
      </c>
      <c r="Y4" s="16">
        <f>VLOOKUP(C4,台股行情!A:D,4,FALSE)</f>
        <v/>
      </c>
      <c r="Z4" s="437">
        <f>VLOOKUP(C4,台股行情!A:E,5,FALSE)</f>
        <v/>
      </c>
      <c r="AA4" s="438">
        <f>IF(I4="",((TODAY()-A4)*G4)/365.24,((I4-A4)*G4)/365.24)</f>
        <v/>
      </c>
      <c r="AB4" s="103" t="inlineStr">
        <is>
          <t>水某精選</t>
        </is>
      </c>
      <c r="AC4" s="135" t="inlineStr">
        <is>
          <t>水某說賣</t>
        </is>
      </c>
    </row>
    <row r="5" outlineLevel="1">
      <c r="A5" s="99" t="n">
        <v>44015</v>
      </c>
      <c r="B5" s="11" t="inlineStr">
        <is>
          <t>普通買進</t>
        </is>
      </c>
      <c r="C5" s="11" t="n">
        <v>3038</v>
      </c>
      <c r="D5" s="11" t="inlineStr">
        <is>
          <t>全台</t>
        </is>
      </c>
      <c r="E5" s="11" t="n">
        <v>1000</v>
      </c>
      <c r="F5" s="11" t="n">
        <v>24.5</v>
      </c>
      <c r="G5" s="212">
        <f>E5*F5</f>
        <v/>
      </c>
      <c r="H5" s="11" t="n">
        <v>34</v>
      </c>
      <c r="I5" s="104" t="n">
        <v>44025</v>
      </c>
      <c r="J5" s="16" t="n">
        <v>19.65</v>
      </c>
      <c r="K5" s="11">
        <f>E5*J5</f>
        <v/>
      </c>
      <c r="L5" s="17" t="n">
        <v>28</v>
      </c>
      <c r="M5" s="11" t="n">
        <v>58</v>
      </c>
      <c r="N5" s="11" t="n">
        <v>0</v>
      </c>
      <c r="O5" s="434">
        <f>IF(I5="",E5*Y5,0)</f>
        <v/>
      </c>
      <c r="P5" s="435">
        <f>IF(I5="",R5-H5,(K5-H5-SUM(L5:N5)+R5-S5-T5)-G5)+(ROUND(R5*V5,0)-ROUND(R5*(1+V5),0)*W5)</f>
        <v/>
      </c>
      <c r="Q5" s="435">
        <f>IF(I5="",(O5-G5-(O5*0.1425%*0.65)-(O5*0.3%)-S5-T5),0)</f>
        <v/>
      </c>
      <c r="R5" s="435" t="n">
        <v>1000</v>
      </c>
      <c r="S5" s="435" t="n"/>
      <c r="T5" s="435">
        <f>IF(ROUND(R5*(1+V5),0)&gt;20000,ROUND(ROUND(R5*(1+V5),0)*2%,0),0)</f>
        <v/>
      </c>
      <c r="U5" s="69">
        <f>(V5*50%)/(1+50%*V5)</f>
        <v/>
      </c>
      <c r="V5" s="69" t="n"/>
      <c r="W5" s="70" t="n">
        <v>0.06</v>
      </c>
      <c r="X5" s="436">
        <f>(P5+Q5)/G5</f>
        <v/>
      </c>
      <c r="Y5" s="16">
        <f>VLOOKUP(C5,台股行情!A:D,4,FALSE)</f>
        <v/>
      </c>
      <c r="Z5" s="437">
        <f>VLOOKUP(C5,台股行情!A:E,5,FALSE)</f>
        <v/>
      </c>
      <c r="AA5" s="438">
        <f>IF(I5="",((TODAY()-A5)*G5)/365.24,((I5-A5)*G5)/365.24)</f>
        <v/>
      </c>
      <c r="AB5" s="103" t="inlineStr">
        <is>
          <t>水某精選</t>
        </is>
      </c>
      <c r="AC5" s="135" t="inlineStr">
        <is>
          <t>水某說賣</t>
        </is>
      </c>
    </row>
    <row r="6" outlineLevel="1">
      <c r="A6" s="99" t="n">
        <v>44070</v>
      </c>
      <c r="B6" s="11" t="inlineStr">
        <is>
          <t>普通買進</t>
        </is>
      </c>
      <c r="C6" s="11" t="n">
        <v>6109</v>
      </c>
      <c r="D6" s="11" t="inlineStr">
        <is>
          <t>亞元</t>
        </is>
      </c>
      <c r="E6" s="11" t="n">
        <v>1000</v>
      </c>
      <c r="F6" s="11" t="n">
        <v>17.4</v>
      </c>
      <c r="G6" s="212">
        <f>E6*F6</f>
        <v/>
      </c>
      <c r="H6" s="11" t="n">
        <v>24</v>
      </c>
      <c r="I6" s="104" t="n">
        <v>44076</v>
      </c>
      <c r="J6" s="16" t="n">
        <v>16.35</v>
      </c>
      <c r="K6" s="11">
        <f>E6*J6</f>
        <v/>
      </c>
      <c r="L6" s="17" t="n">
        <v>23</v>
      </c>
      <c r="M6" s="11" t="n">
        <v>49</v>
      </c>
      <c r="N6" s="11" t="n">
        <v>0</v>
      </c>
      <c r="O6" s="434">
        <f>IF(I6="",E6*Y6,0)</f>
        <v/>
      </c>
      <c r="P6" s="435">
        <f>IF(I6="",R6-H6,(K6-H6-SUM(L6:N6)+R6-S6-T6)-G6)+(ROUND(R6*V6,0)-ROUND(R6*(1+V6),0)*W6)</f>
        <v/>
      </c>
      <c r="Q6" s="435">
        <f>IF(I6="",(O6-G6-(O6*0.1425%*0.65)-(O6*0.3%)-S6-T6),0)</f>
        <v/>
      </c>
      <c r="R6" s="435" t="n"/>
      <c r="S6" s="435" t="n">
        <v>10</v>
      </c>
      <c r="T6" s="435">
        <f>IF(ROUND(R6*(1+V6),0)&gt;20000,ROUND(ROUND(R6*(1+V6),0)*2%,0),0)</f>
        <v/>
      </c>
      <c r="U6" s="69">
        <f>(V6*50%)/(1+50%*V6)</f>
        <v/>
      </c>
      <c r="V6" s="69" t="n"/>
      <c r="W6" s="70" t="n">
        <v>0.06</v>
      </c>
      <c r="X6" s="436">
        <f>(P6+Q6)/G6</f>
        <v/>
      </c>
      <c r="Y6" s="16">
        <f>VLOOKUP(C6,台股行情!A:D,4,FALSE)</f>
        <v/>
      </c>
      <c r="Z6" s="437">
        <f>VLOOKUP(C6,台股行情!A:E,5,FALSE)</f>
        <v/>
      </c>
      <c r="AA6" s="438">
        <f>IF(I6="",((TODAY()-A6)*G6)/365.24,((I6-A6)*G6)/365.24)</f>
        <v/>
      </c>
      <c r="AB6" s="103" t="inlineStr">
        <is>
          <t>阿水一式</t>
        </is>
      </c>
      <c r="AC6" s="135" t="inlineStr">
        <is>
          <t>5% 停損</t>
        </is>
      </c>
    </row>
    <row r="7" outlineLevel="1">
      <c r="A7" s="99" t="n">
        <v>44077</v>
      </c>
      <c r="B7" s="11" t="inlineStr">
        <is>
          <t>普通買進</t>
        </is>
      </c>
      <c r="C7" s="11" t="n">
        <v>3015</v>
      </c>
      <c r="D7" s="11" t="inlineStr">
        <is>
          <t>全漢</t>
        </is>
      </c>
      <c r="E7" s="11" t="n">
        <v>1000</v>
      </c>
      <c r="F7" s="11" t="n">
        <v>36.5</v>
      </c>
      <c r="G7" s="212">
        <f>E7*F7</f>
        <v/>
      </c>
      <c r="H7" s="11" t="n">
        <v>52</v>
      </c>
      <c r="I7" s="104" t="n">
        <v>44081</v>
      </c>
      <c r="J7" s="16" t="n">
        <v>34.55</v>
      </c>
      <c r="K7" s="11">
        <f>E7*J7</f>
        <v/>
      </c>
      <c r="L7" s="17" t="n">
        <v>49</v>
      </c>
      <c r="M7" s="11" t="n">
        <v>103</v>
      </c>
      <c r="N7" s="11" t="n">
        <v>0</v>
      </c>
      <c r="O7" s="434">
        <f>IF(I7="",E7*Y7,0)</f>
        <v/>
      </c>
      <c r="P7" s="435">
        <f>IF(I7="",R7-H7,(K7-H7-SUM(L7:N7)+R7-S7-T7)-G7)+(ROUND(R7*V7,0)-ROUND(R7*(1+V7),0)*W7)</f>
        <v/>
      </c>
      <c r="Q7" s="435">
        <f>IF(I7="",(O7-G7-(O7*0.1425%*0.65)-(O7*0.3%)-S7-T7),0)</f>
        <v/>
      </c>
      <c r="R7" s="435" t="n"/>
      <c r="S7" s="435" t="n">
        <v>10</v>
      </c>
      <c r="T7" s="435">
        <f>IF(ROUND(R7*(1+V7),0)&gt;20000,ROUND(ROUND(R7*(1+V7),0)*2%,0),0)</f>
        <v/>
      </c>
      <c r="U7" s="69">
        <f>(V7*50%)/(1+50%*V7)</f>
        <v/>
      </c>
      <c r="V7" s="69" t="n"/>
      <c r="W7" s="70" t="n">
        <v>0.06</v>
      </c>
      <c r="X7" s="436">
        <f>(P7+Q7)/G7</f>
        <v/>
      </c>
      <c r="Y7" s="16">
        <f>VLOOKUP(C7,台股行情!A:D,4,FALSE)</f>
        <v/>
      </c>
      <c r="Z7" s="437">
        <f>VLOOKUP(C7,台股行情!A:E,5,FALSE)</f>
        <v/>
      </c>
      <c r="AA7" s="438">
        <f>IF(I7="",((TODAY()-A7)*G7)/365.24,((I7-A7)*G7)/365.24)</f>
        <v/>
      </c>
      <c r="AB7" s="103" t="inlineStr">
        <is>
          <t>阿水一式</t>
        </is>
      </c>
      <c r="AC7" s="135" t="inlineStr">
        <is>
          <t>5% 停損</t>
        </is>
      </c>
    </row>
    <row r="8" outlineLevel="1">
      <c r="A8" s="99" t="n">
        <v>44070</v>
      </c>
      <c r="B8" s="11" t="inlineStr">
        <is>
          <t>普通買進</t>
        </is>
      </c>
      <c r="C8" s="11" t="n">
        <v>3501</v>
      </c>
      <c r="D8" s="11" t="inlineStr">
        <is>
          <t>維熹</t>
        </is>
      </c>
      <c r="E8" s="11" t="n">
        <v>1000</v>
      </c>
      <c r="F8" s="11" t="n">
        <v>47.45</v>
      </c>
      <c r="G8" s="212">
        <f>E8*F8</f>
        <v/>
      </c>
      <c r="H8" s="11" t="n">
        <v>67</v>
      </c>
      <c r="I8" s="104" t="n">
        <v>44085</v>
      </c>
      <c r="J8" s="16" t="n">
        <v>46.55</v>
      </c>
      <c r="K8" s="11">
        <f>E8*J8</f>
        <v/>
      </c>
      <c r="L8" s="17" t="n">
        <v>66</v>
      </c>
      <c r="M8" s="11" t="n">
        <v>139</v>
      </c>
      <c r="N8" s="11" t="n">
        <v>0</v>
      </c>
      <c r="O8" s="434">
        <f>IF(I8="",E8*Y8,0)</f>
        <v/>
      </c>
      <c r="P8" s="435">
        <f>IF(I8="",R8-H8,(K8-H8-SUM(L8:N8)+R8-S8-T8)-G8)+(ROUND(R8*V8,0)-ROUND(R8*(1+V8),0)*W8)</f>
        <v/>
      </c>
      <c r="Q8" s="435">
        <f>IF(I8="",(O8-G8-(O8*0.1425%*0.65)-(O8*0.3%)-S8-T8),0)</f>
        <v/>
      </c>
      <c r="R8" s="435" t="n"/>
      <c r="S8" s="435" t="n">
        <v>10</v>
      </c>
      <c r="T8" s="435">
        <f>IF(ROUND(R8*(1+V8),0)&gt;20000,ROUND(ROUND(R8*(1+V8),0)*2%,0),0)</f>
        <v/>
      </c>
      <c r="U8" s="69">
        <f>(V8*50%)/(1+50%*V8)</f>
        <v/>
      </c>
      <c r="V8" s="69" t="n"/>
      <c r="W8" s="70" t="n">
        <v>0.06</v>
      </c>
      <c r="X8" s="436">
        <f>(P8+Q8)/G8</f>
        <v/>
      </c>
      <c r="Y8" s="16">
        <f>VLOOKUP(C8,台股行情!A:D,4,FALSE)</f>
        <v/>
      </c>
      <c r="Z8" s="437">
        <f>VLOOKUP(C8,台股行情!A:E,5,FALSE)</f>
        <v/>
      </c>
      <c r="AA8" s="438">
        <f>IF(I8="",((TODAY()-A8)*G8)/365.24,((I8-A8)*G8)/365.24)</f>
        <v/>
      </c>
      <c r="AB8" s="103" t="inlineStr">
        <is>
          <t>阿水一式</t>
        </is>
      </c>
      <c r="AC8" s="135" t="inlineStr">
        <is>
          <t>大盤燈號不明，碰20MA停損出場</t>
        </is>
      </c>
    </row>
    <row r="9" outlineLevel="1">
      <c r="A9" s="99" t="n">
        <v>44069</v>
      </c>
      <c r="B9" s="11" t="inlineStr">
        <is>
          <t>普通買進</t>
        </is>
      </c>
      <c r="C9" s="11" t="n">
        <v>3713</v>
      </c>
      <c r="D9" s="11" t="inlineStr">
        <is>
          <t>新晶投控</t>
        </is>
      </c>
      <c r="E9" s="11" t="n">
        <v>1000</v>
      </c>
      <c r="F9" s="11" t="n">
        <v>68.7</v>
      </c>
      <c r="G9" s="212">
        <f>E9*F9</f>
        <v/>
      </c>
      <c r="H9" s="11" t="n">
        <v>97</v>
      </c>
      <c r="I9" s="104" t="n">
        <v>44089</v>
      </c>
      <c r="J9" s="16" t="n">
        <v>69.3</v>
      </c>
      <c r="K9" s="11">
        <f>E9*J9</f>
        <v/>
      </c>
      <c r="L9" s="17" t="n">
        <v>98</v>
      </c>
      <c r="M9" s="11" t="n">
        <v>207</v>
      </c>
      <c r="N9" s="11" t="n">
        <v>0</v>
      </c>
      <c r="O9" s="434">
        <f>IF(I9="",E9*Y9,0)</f>
        <v/>
      </c>
      <c r="P9" s="435">
        <f>IF(I9="",R9-H9,(K9-H9-SUM(L9:N9)+R9-S9-T9)-G9)+(ROUND(R9*V9,0)-ROUND(R9*(1+V9),0)*W9)</f>
        <v/>
      </c>
      <c r="Q9" s="435">
        <f>IF(I9="",(O9-G9-(O9*0.1425%*0.65)-(O9*0.3%)-S9-T9),0)</f>
        <v/>
      </c>
      <c r="R9" s="435" t="n"/>
      <c r="S9" s="435" t="n">
        <v>10</v>
      </c>
      <c r="T9" s="435">
        <f>IF(ROUND(R9*(1+V9),0)&gt;20000,ROUND(ROUND(R9*(1+V9),0)*2%,0),0)</f>
        <v/>
      </c>
      <c r="U9" s="69">
        <f>(V9*50%)/(1+50%*V9)</f>
        <v/>
      </c>
      <c r="V9" s="69" t="n"/>
      <c r="W9" s="70" t="n">
        <v>0.06</v>
      </c>
      <c r="X9" s="436">
        <f>(P9+Q9)/G9</f>
        <v/>
      </c>
      <c r="Y9" s="16">
        <f>VLOOKUP(C9,台股行情!A:D,4,FALSE)</f>
        <v/>
      </c>
      <c r="Z9" s="437">
        <f>VLOOKUP(C9,台股行情!A:E,5,FALSE)</f>
        <v/>
      </c>
      <c r="AA9" s="438">
        <f>IF(I9="",((TODAY()-A9)*G9)/365.24,((I9-A9)*G9)/365.24)</f>
        <v/>
      </c>
      <c r="AB9" s="103" t="inlineStr">
        <is>
          <t>阿水一式</t>
        </is>
      </c>
      <c r="AC9" s="135" t="inlineStr">
        <is>
          <t>碰20MA出場</t>
        </is>
      </c>
    </row>
    <row r="10" outlineLevel="1">
      <c r="A10" s="99" t="n">
        <v>44061</v>
      </c>
      <c r="B10" s="11" t="inlineStr">
        <is>
          <t>普通買進</t>
        </is>
      </c>
      <c r="C10" s="11" t="n">
        <v>3034</v>
      </c>
      <c r="D10" s="11" t="inlineStr">
        <is>
          <t>聯詠</t>
        </is>
      </c>
      <c r="E10" s="11" t="n">
        <v>1000</v>
      </c>
      <c r="F10" s="11" t="n">
        <v>265.5</v>
      </c>
      <c r="G10" s="212">
        <f>E10*F10</f>
        <v/>
      </c>
      <c r="H10" s="11" t="n">
        <v>378</v>
      </c>
      <c r="I10" s="104" t="n">
        <v>44144</v>
      </c>
      <c r="J10" s="16" t="n">
        <v>297</v>
      </c>
      <c r="K10" s="11">
        <f>E10*J10</f>
        <v/>
      </c>
      <c r="L10" s="17" t="n">
        <v>423</v>
      </c>
      <c r="M10" s="11" t="n">
        <v>891</v>
      </c>
      <c r="N10" s="11" t="n">
        <v>0</v>
      </c>
      <c r="O10" s="434">
        <f>IF(I10="",E10*Y10,0)</f>
        <v/>
      </c>
      <c r="P10" s="435">
        <f>IF(I10="",R10-H10,(K10-H10-SUM(L10:N10)+R10-S10-T10)-G10)+(ROUND(R10*V10,0)-ROUND(R10*(1+V10),0)*W10)</f>
        <v/>
      </c>
      <c r="Q10" s="435">
        <f>IF(I10="",(O10-G10-(O10*0.1425%*0.65)-(O10*0.3%)-S10-T10),0)</f>
        <v/>
      </c>
      <c r="R10" s="435" t="n"/>
      <c r="S10" s="435" t="n">
        <v>10</v>
      </c>
      <c r="T10" s="435">
        <f>IF(ROUND(R10*(1+V10),0)&gt;20000,ROUND(ROUND(R10*(1+V10),0)*2%,0),0)</f>
        <v/>
      </c>
      <c r="U10" s="69">
        <f>(V10*50%)/(1+50%*V10)</f>
        <v/>
      </c>
      <c r="V10" s="69" t="n"/>
      <c r="W10" s="70" t="n">
        <v>0.06</v>
      </c>
      <c r="X10" s="436">
        <f>(P10+Q10)/G10</f>
        <v/>
      </c>
      <c r="Y10" s="16">
        <f>VLOOKUP(C10,台股行情!A:D,4,FALSE)</f>
        <v/>
      </c>
      <c r="Z10" s="437">
        <f>VLOOKUP(C10,台股行情!A:E,5,FALSE)</f>
        <v/>
      </c>
      <c r="AA10" s="438">
        <f>IF(I10="",((TODAY()-A10)*G10)/365.24,((I10-A10)*G10)/365.24)</f>
        <v/>
      </c>
      <c r="AB10" s="103" t="inlineStr">
        <is>
          <t>水某精選</t>
        </is>
      </c>
      <c r="AC10" s="135" t="inlineStr">
        <is>
          <t>水某說賣</t>
        </is>
      </c>
    </row>
    <row r="11" outlineLevel="1">
      <c r="A11" s="99" t="n">
        <v>44133</v>
      </c>
      <c r="B11" s="11" t="inlineStr">
        <is>
          <t>普通買進</t>
        </is>
      </c>
      <c r="C11" s="11" t="n">
        <v>8171</v>
      </c>
      <c r="D11" s="11" t="inlineStr">
        <is>
          <t>天宇</t>
        </is>
      </c>
      <c r="E11" s="11" t="n">
        <v>1000</v>
      </c>
      <c r="F11" s="11" t="n">
        <v>39</v>
      </c>
      <c r="G11" s="212">
        <f>E11*F11</f>
        <v/>
      </c>
      <c r="H11" s="11" t="n">
        <v>55</v>
      </c>
      <c r="I11" s="104" t="n">
        <v>44152</v>
      </c>
      <c r="J11" s="16" t="n">
        <v>38.85</v>
      </c>
      <c r="K11" s="11">
        <f>E11*J11</f>
        <v/>
      </c>
      <c r="L11" s="17" t="n">
        <v>55</v>
      </c>
      <c r="M11" s="11" t="n">
        <v>116</v>
      </c>
      <c r="N11" s="11" t="n">
        <v>0</v>
      </c>
      <c r="O11" s="434">
        <f>IF(I11="",E11*Y11,0)</f>
        <v/>
      </c>
      <c r="P11" s="435">
        <f>IF(I11="",R11-H11,(K11-H11-SUM(L11:N11)+R11-S11-T11)-G11)+(ROUND(R11*V11,0)-ROUND(R11*(1+V11),0)*W11)</f>
        <v/>
      </c>
      <c r="Q11" s="435">
        <f>IF(I11="",(O11-G11-(O11*0.1425%*0.65)-(O11*0.3%)-S11-T11),0)</f>
        <v/>
      </c>
      <c r="R11" s="435" t="n"/>
      <c r="S11" s="435" t="n">
        <v>10</v>
      </c>
      <c r="T11" s="435">
        <f>IF(ROUND(R11*(1+V11),0)&gt;20000,ROUND(ROUND(R11*(1+V11),0)*2%,0),0)</f>
        <v/>
      </c>
      <c r="U11" s="69">
        <f>(V11*50%)/(1+50%*V11)</f>
        <v/>
      </c>
      <c r="V11" s="69" t="n"/>
      <c r="W11" s="70" t="n">
        <v>0.06</v>
      </c>
      <c r="X11" s="436">
        <f>(P11+Q11)/G11</f>
        <v/>
      </c>
      <c r="Y11" s="16">
        <f>VLOOKUP(C11,台股行情!A:D,4,FALSE)</f>
        <v/>
      </c>
      <c r="Z11" s="437">
        <f>VLOOKUP(C11,台股行情!A:E,5,FALSE)</f>
        <v/>
      </c>
      <c r="AA11" s="438">
        <f>IF(I11="",((TODAY()-A11)*G11)/365.24,((I11-A11)*G11)/365.24)</f>
        <v/>
      </c>
      <c r="AB11" s="103" t="inlineStr">
        <is>
          <t>阿水一式</t>
        </is>
      </c>
      <c r="AC11" s="135" t="inlineStr">
        <is>
          <t>碰20MA出場</t>
        </is>
      </c>
    </row>
    <row r="12" outlineLevel="1">
      <c r="A12" s="99" t="n">
        <v>44159</v>
      </c>
      <c r="B12" s="11" t="inlineStr">
        <is>
          <t>普通買進</t>
        </is>
      </c>
      <c r="C12" s="11" t="n">
        <v>3406</v>
      </c>
      <c r="D12" s="11" t="inlineStr">
        <is>
          <t>玉晶光</t>
        </is>
      </c>
      <c r="E12" s="11" t="n">
        <v>1000</v>
      </c>
      <c r="F12" s="11" t="n">
        <v>604</v>
      </c>
      <c r="G12" s="212">
        <f>E12*F12</f>
        <v/>
      </c>
      <c r="H12" s="11" t="n">
        <v>860</v>
      </c>
      <c r="I12" s="104" t="n">
        <v>44166</v>
      </c>
      <c r="J12" s="16" t="n">
        <v>637</v>
      </c>
      <c r="K12" s="11">
        <f>E12*J12</f>
        <v/>
      </c>
      <c r="L12" s="17" t="n">
        <v>907</v>
      </c>
      <c r="M12" s="11" t="n">
        <v>1911</v>
      </c>
      <c r="N12" s="11" t="n">
        <v>0</v>
      </c>
      <c r="O12" s="434">
        <f>IF(I12="",E12*Y12,0)</f>
        <v/>
      </c>
      <c r="P12" s="435">
        <f>IF(I12="",R12-H12,(K12-H12-SUM(L12:N12)+R12-S12-T12)-G12)+(ROUND(R12*V12,0)-ROUND(R12*(1+V12),0)*W12)</f>
        <v/>
      </c>
      <c r="Q12" s="435">
        <f>IF(I12="",(O12-G12-(O12*0.1425%*0.65)-(O12*0.3%)-S12-T12),0)</f>
        <v/>
      </c>
      <c r="R12" s="435" t="n"/>
      <c r="S12" s="435" t="n">
        <v>10</v>
      </c>
      <c r="T12" s="435">
        <f>IF(ROUND(R12*(1+V12),0)&gt;20000,ROUND(ROUND(R12*(1+V12),0)*2%,0),0)</f>
        <v/>
      </c>
      <c r="U12" s="69">
        <f>(V12*50%)/(1+50%*V12)</f>
        <v/>
      </c>
      <c r="V12" s="69" t="n"/>
      <c r="W12" s="70" t="n">
        <v>0.06</v>
      </c>
      <c r="X12" s="436">
        <f>(P12+Q12)/G12</f>
        <v/>
      </c>
      <c r="Y12" s="16">
        <f>VLOOKUP(C12,台股行情!A:D,4,FALSE)</f>
        <v/>
      </c>
      <c r="Z12" s="437">
        <f>VLOOKUP(C12,台股行情!A:E,5,FALSE)</f>
        <v/>
      </c>
      <c r="AA12" s="438">
        <f>IF(I12="",((TODAY()-A12)*G12)/365.24,((I12-A12)*G12)/365.24)</f>
        <v/>
      </c>
      <c r="AB12" s="103" t="inlineStr">
        <is>
          <t>水某精選</t>
        </is>
      </c>
      <c r="AC12" s="103" t="n"/>
    </row>
    <row r="13" outlineLevel="1">
      <c r="A13" s="99" t="n">
        <v>44158</v>
      </c>
      <c r="B13" s="11" t="inlineStr">
        <is>
          <t>普通買進</t>
        </is>
      </c>
      <c r="C13" s="11" t="n">
        <v>2610</v>
      </c>
      <c r="D13" s="11" t="inlineStr">
        <is>
          <t>華航</t>
        </is>
      </c>
      <c r="E13" s="11" t="n">
        <v>1000</v>
      </c>
      <c r="F13" s="11" t="n">
        <v>9.140000000000001</v>
      </c>
      <c r="G13" s="212">
        <f>E13*F13</f>
        <v/>
      </c>
      <c r="H13" s="11" t="n">
        <v>20</v>
      </c>
      <c r="I13" s="104" t="n">
        <v>44173</v>
      </c>
      <c r="J13" s="16" t="n">
        <v>10.55</v>
      </c>
      <c r="K13" s="11">
        <f>E13*J13</f>
        <v/>
      </c>
      <c r="L13" s="17" t="n">
        <v>20</v>
      </c>
      <c r="M13" s="11" t="n">
        <v>31</v>
      </c>
      <c r="N13" s="11" t="n">
        <v>0</v>
      </c>
      <c r="O13" s="434">
        <f>IF(I13="",E13*Y13,0)</f>
        <v/>
      </c>
      <c r="P13" s="435">
        <f>IF(I13="",R13-H13,(K13-H13-SUM(L13:N13)+R13-S13-T13)-G13)+(ROUND(R13*V13,0)-ROUND(R13*(1+V13),0)*W13)</f>
        <v/>
      </c>
      <c r="Q13" s="435">
        <f>IF(I13="",(O13-G13-(O13*0.1425%*0.65)-(O13*0.3%)-S13-T13),0)</f>
        <v/>
      </c>
      <c r="R13" s="435" t="n"/>
      <c r="S13" s="435" t="n">
        <v>10</v>
      </c>
      <c r="T13" s="435">
        <f>IF(ROUND(R13*(1+V13),0)&gt;20000,ROUND(ROUND(R13*(1+V13),0)*2%,0),0)</f>
        <v/>
      </c>
      <c r="U13" s="69">
        <f>(V13*50%)/(1+50%*V13)</f>
        <v/>
      </c>
      <c r="V13" s="69" t="n"/>
      <c r="W13" s="70" t="n">
        <v>0.06</v>
      </c>
      <c r="X13" s="436">
        <f>(P13+Q13)/G13</f>
        <v/>
      </c>
      <c r="Y13" s="16">
        <f>VLOOKUP(C13,台股行情!A:D,4,FALSE)</f>
        <v/>
      </c>
      <c r="Z13" s="437">
        <f>VLOOKUP(C13,台股行情!A:E,5,FALSE)</f>
        <v/>
      </c>
      <c r="AA13" s="438">
        <f>IF(I13="",((TODAY()-A13)*G13)/365.24,((I13-A13)*G13)/365.24)</f>
        <v/>
      </c>
      <c r="AB13" s="103" t="inlineStr">
        <is>
          <t>水某精選</t>
        </is>
      </c>
      <c r="AC13" s="103" t="n"/>
    </row>
    <row r="14" outlineLevel="1">
      <c r="A14" s="99" t="n">
        <v>44161</v>
      </c>
      <c r="B14" s="11" t="inlineStr">
        <is>
          <t>普通買進</t>
        </is>
      </c>
      <c r="C14" s="11" t="n">
        <v>5213</v>
      </c>
      <c r="D14" s="11" t="inlineStr">
        <is>
          <t>亞昕</t>
        </is>
      </c>
      <c r="E14" s="11" t="n">
        <v>2000</v>
      </c>
      <c r="F14" s="11" t="n">
        <v>18.2</v>
      </c>
      <c r="G14" s="212">
        <f>E14*F14</f>
        <v/>
      </c>
      <c r="H14" s="11" t="n">
        <v>51</v>
      </c>
      <c r="I14" s="104" t="n">
        <v>44173</v>
      </c>
      <c r="J14" s="16" t="n">
        <v>17</v>
      </c>
      <c r="K14" s="11">
        <f>E14*J14</f>
        <v/>
      </c>
      <c r="L14" s="17" t="n">
        <v>48</v>
      </c>
      <c r="M14" s="11" t="n">
        <v>102</v>
      </c>
      <c r="N14" s="11" t="n">
        <v>0</v>
      </c>
      <c r="O14" s="434">
        <f>IF(I14="",E14*Y14,0)</f>
        <v/>
      </c>
      <c r="P14" s="435">
        <f>IF(I14="",R14-H14,(K14-H14-SUM(L14:N14)+R14-S14-T14)-G14)+(ROUND(R14*V14,0)-ROUND(R14*(1+V14),0)*W14)</f>
        <v/>
      </c>
      <c r="Q14" s="435">
        <f>IF(I14="",(O14-G14-(O14*0.1425%*0.65)-(O14*0.3%)-S14-T14),0)</f>
        <v/>
      </c>
      <c r="R14" s="435" t="n"/>
      <c r="S14" s="435" t="n">
        <v>10</v>
      </c>
      <c r="T14" s="435">
        <f>IF(ROUND(R14*(1+V14),0)&gt;20000,ROUND(ROUND(R14*(1+V14),0)*2%,0),0)</f>
        <v/>
      </c>
      <c r="U14" s="69">
        <f>(V14*50%)/(1+50%*V14)</f>
        <v/>
      </c>
      <c r="V14" s="69" t="n"/>
      <c r="W14" s="70" t="n">
        <v>0.06</v>
      </c>
      <c r="X14" s="436">
        <f>(P14+Q14)/G14</f>
        <v/>
      </c>
      <c r="Y14" s="16">
        <f>VLOOKUP(C14,台股行情!A:D,4,FALSE)</f>
        <v/>
      </c>
      <c r="Z14" s="437">
        <f>VLOOKUP(C14,台股行情!A:E,5,FALSE)</f>
        <v/>
      </c>
      <c r="AA14" s="438">
        <f>IF(I14="",((TODAY()-A14)*G14)/365.24,((I14-A14)*G14)/365.24)</f>
        <v/>
      </c>
      <c r="AB14" s="103" t="inlineStr">
        <is>
          <t>阿水一式</t>
        </is>
      </c>
      <c r="AC14" s="135" t="inlineStr">
        <is>
          <t>碰20MA出場</t>
        </is>
      </c>
    </row>
    <row r="15" outlineLevel="1">
      <c r="A15" s="99" t="n">
        <v>44158</v>
      </c>
      <c r="B15" s="11" t="inlineStr">
        <is>
          <t>普通買進</t>
        </is>
      </c>
      <c r="C15" s="11" t="n">
        <v>2303</v>
      </c>
      <c r="D15" s="11" t="inlineStr">
        <is>
          <t>聯電</t>
        </is>
      </c>
      <c r="E15" s="11" t="n">
        <v>1000</v>
      </c>
      <c r="F15" s="11" t="n">
        <v>35.35</v>
      </c>
      <c r="G15" s="212">
        <f>E15*F15</f>
        <v/>
      </c>
      <c r="H15" s="11" t="n">
        <v>50</v>
      </c>
      <c r="I15" s="104" t="n">
        <v>44173</v>
      </c>
      <c r="J15" s="16" t="n">
        <v>50.8</v>
      </c>
      <c r="K15" s="11">
        <f>E15*J15</f>
        <v/>
      </c>
      <c r="L15" s="17" t="n">
        <v>72</v>
      </c>
      <c r="M15" s="11" t="n">
        <v>152</v>
      </c>
      <c r="N15" s="11" t="n">
        <v>0</v>
      </c>
      <c r="O15" s="434">
        <f>IF(I15="",E15*Y15,0)</f>
        <v/>
      </c>
      <c r="P15" s="435">
        <f>IF(I15="",R15-H15,(K15-H15-SUM(L15:N15)+R15-S15-T15)-G15)+(ROUND(R15*V15,0)-ROUND(R15*(1+V15),0)*W15)</f>
        <v/>
      </c>
      <c r="Q15" s="435">
        <f>IF(I15="",(O15-G15-(O15*0.1425%*0.65)-(O15*0.3%)-S15-T15),0)</f>
        <v/>
      </c>
      <c r="R15" s="435" t="n"/>
      <c r="S15" s="435" t="n">
        <v>10</v>
      </c>
      <c r="T15" s="435">
        <f>IF(ROUND(R15*(1+V15),0)&gt;20000,ROUND(ROUND(R15*(1+V15),0)*2%,0),0)</f>
        <v/>
      </c>
      <c r="U15" s="69">
        <f>(V15*50%)/(1+50%*V15)</f>
        <v/>
      </c>
      <c r="V15" s="69" t="n"/>
      <c r="W15" s="70" t="n">
        <v>0.06</v>
      </c>
      <c r="X15" s="436">
        <f>(P15+Q15)/G15</f>
        <v/>
      </c>
      <c r="Y15" s="16">
        <f>VLOOKUP(C15,台股行情!A:D,4,FALSE)</f>
        <v/>
      </c>
      <c r="Z15" s="437">
        <f>VLOOKUP(C15,台股行情!A:E,5,FALSE)</f>
        <v/>
      </c>
      <c r="AA15" s="438">
        <f>IF(I15="",((TODAY()-A15)*G15)/365.24,((I15-A15)*G15)/365.24)</f>
        <v/>
      </c>
      <c r="AB15" s="103" t="inlineStr">
        <is>
          <t>水某精選</t>
        </is>
      </c>
      <c r="AC15" s="103" t="n"/>
    </row>
    <row r="16" outlineLevel="1">
      <c r="A16" s="99" t="n">
        <v>44158</v>
      </c>
      <c r="B16" s="11" t="inlineStr">
        <is>
          <t>普通買進</t>
        </is>
      </c>
      <c r="C16" s="11" t="n">
        <v>5347</v>
      </c>
      <c r="D16" s="11" t="inlineStr">
        <is>
          <t>世界</t>
        </is>
      </c>
      <c r="E16" s="11" t="n">
        <v>1000</v>
      </c>
      <c r="F16" s="11" t="n">
        <v>110</v>
      </c>
      <c r="G16" s="212">
        <f>E16*F16</f>
        <v/>
      </c>
      <c r="H16" s="11" t="n">
        <v>156</v>
      </c>
      <c r="I16" s="104" t="n">
        <v>44174</v>
      </c>
      <c r="J16" s="16" t="n">
        <v>126</v>
      </c>
      <c r="K16" s="11">
        <f>E16*J16</f>
        <v/>
      </c>
      <c r="L16" s="17" t="n">
        <v>179</v>
      </c>
      <c r="M16" s="11" t="n">
        <v>378</v>
      </c>
      <c r="N16" s="11" t="n">
        <v>0</v>
      </c>
      <c r="O16" s="434">
        <f>IF(I16="",E16*Y16,0)</f>
        <v/>
      </c>
      <c r="P16" s="435">
        <f>IF(I16="",R16-H16,(K16-H16-SUM(L16:N16)+R16-S16-T16)-G16)+(ROUND(R16*V16,0)-ROUND(R16*(1+V16),0)*W16)</f>
        <v/>
      </c>
      <c r="Q16" s="435">
        <f>IF(I16="",(O16-G16-(O16*0.1425%*0.65)-(O16*0.3%)-S16-T16),0)</f>
        <v/>
      </c>
      <c r="R16" s="435" t="n"/>
      <c r="S16" s="435" t="n">
        <v>10</v>
      </c>
      <c r="T16" s="435">
        <f>IF(ROUND(R16*(1+V16),0)&gt;20000,ROUND(ROUND(R16*(1+V16),0)*2%,0),0)</f>
        <v/>
      </c>
      <c r="U16" s="69">
        <f>(V16*50%)/(1+50%*V16)</f>
        <v/>
      </c>
      <c r="V16" s="69" t="n"/>
      <c r="W16" s="70" t="n">
        <v>0.06</v>
      </c>
      <c r="X16" s="436">
        <f>(P16+Q16)/G16</f>
        <v/>
      </c>
      <c r="Y16" s="16">
        <f>VLOOKUP(C16,台股行情!A:D,4,FALSE)</f>
        <v/>
      </c>
      <c r="Z16" s="437">
        <f>VLOOKUP(C16,台股行情!A:E,5,FALSE)</f>
        <v/>
      </c>
      <c r="AA16" s="438">
        <f>IF(I16="",((TODAY()-A16)*G16)/365.24,((I16-A16)*G16)/365.24)</f>
        <v/>
      </c>
      <c r="AB16" s="103" t="inlineStr">
        <is>
          <t>水某精選</t>
        </is>
      </c>
      <c r="AC16" s="103" t="n"/>
    </row>
    <row r="17" outlineLevel="1">
      <c r="A17" s="99" t="n">
        <v>44172</v>
      </c>
      <c r="B17" s="11" t="inlineStr">
        <is>
          <t>普通買進</t>
        </is>
      </c>
      <c r="C17" s="11" t="n">
        <v>5907</v>
      </c>
      <c r="D17" s="11" t="inlineStr">
        <is>
          <t>大洋-KY</t>
        </is>
      </c>
      <c r="E17" s="11" t="n">
        <v>2000</v>
      </c>
      <c r="F17" s="11" t="n">
        <v>23.1</v>
      </c>
      <c r="G17" s="212">
        <f>E17*F17</f>
        <v/>
      </c>
      <c r="H17" s="11" t="n">
        <v>65</v>
      </c>
      <c r="I17" s="104" t="n">
        <v>44176</v>
      </c>
      <c r="J17" s="16" t="n">
        <v>21.1</v>
      </c>
      <c r="K17" s="11">
        <f>E17*J17</f>
        <v/>
      </c>
      <c r="L17" s="17" t="n">
        <v>60</v>
      </c>
      <c r="M17" s="11" t="n">
        <v>126</v>
      </c>
      <c r="N17" s="11" t="n">
        <v>0</v>
      </c>
      <c r="O17" s="434">
        <f>IF(I17="",E17*Y17,0)</f>
        <v/>
      </c>
      <c r="P17" s="435">
        <f>IF(I17="",R17-H17,(K17-H17-SUM(L17:N17)+R17-S17-T17)-G17)+(ROUND(R17*V17,0)-ROUND(R17*(1+V17),0)*W17)</f>
        <v/>
      </c>
      <c r="Q17" s="435">
        <f>IF(I17="",(O17-G17-(O17*0.1425%*0.65)-(O17*0.3%)-S17-T17),0)</f>
        <v/>
      </c>
      <c r="R17" s="435" t="n"/>
      <c r="S17" s="435" t="n">
        <v>10</v>
      </c>
      <c r="T17" s="435">
        <f>IF(ROUND(R17*(1+V17),0)&gt;20000,ROUND(ROUND(R17*(1+V17),0)*2%,0),0)</f>
        <v/>
      </c>
      <c r="U17" s="69">
        <f>(V17*50%)/(1+50%*V17)</f>
        <v/>
      </c>
      <c r="V17" s="69" t="n"/>
      <c r="W17" s="70" t="n">
        <v>0.06</v>
      </c>
      <c r="X17" s="436">
        <f>(P17+Q17)/G17</f>
        <v/>
      </c>
      <c r="Y17" s="16">
        <f>VLOOKUP(C17,台股行情!A:D,4,FALSE)</f>
        <v/>
      </c>
      <c r="Z17" s="437">
        <f>VLOOKUP(C17,台股行情!A:E,5,FALSE)</f>
        <v/>
      </c>
      <c r="AA17" s="438">
        <f>IF(I17="",((TODAY()-A17)*G17)/365.24,((I17-A17)*G17)/365.24)</f>
        <v/>
      </c>
      <c r="AB17" s="103" t="inlineStr">
        <is>
          <t>阿水一式</t>
        </is>
      </c>
      <c r="AC17" s="135" t="inlineStr">
        <is>
          <t>碰20MA出場</t>
        </is>
      </c>
    </row>
    <row r="18" outlineLevel="1">
      <c r="A18" s="99" t="n">
        <v>44173</v>
      </c>
      <c r="B18" s="11" t="inlineStr">
        <is>
          <t>普通買進</t>
        </is>
      </c>
      <c r="C18" s="11" t="n">
        <v>3706</v>
      </c>
      <c r="D18" s="11" t="inlineStr">
        <is>
          <t>神達</t>
        </is>
      </c>
      <c r="E18" s="11" t="n">
        <v>1000</v>
      </c>
      <c r="F18" s="11" t="n">
        <v>32.55</v>
      </c>
      <c r="G18" s="212">
        <f>E18*F18</f>
        <v/>
      </c>
      <c r="H18" s="11" t="n">
        <v>46</v>
      </c>
      <c r="I18" s="104" t="n">
        <v>44176</v>
      </c>
      <c r="J18" s="16" t="n">
        <v>29.65</v>
      </c>
      <c r="K18" s="11">
        <f>E18*J18</f>
        <v/>
      </c>
      <c r="L18" s="17" t="n">
        <v>42</v>
      </c>
      <c r="M18" s="11" t="n">
        <v>88</v>
      </c>
      <c r="N18" s="11" t="n">
        <v>0</v>
      </c>
      <c r="O18" s="434">
        <f>IF(I18="",E18*Y18,0)</f>
        <v/>
      </c>
      <c r="P18" s="435">
        <f>IF(I18="",R18-H18,(K18-H18-SUM(L18:N18)+R18-S18-T18)-G18)+(ROUND(R18*V18,0)-ROUND(R18*(1+V18),0)*W18)</f>
        <v/>
      </c>
      <c r="Q18" s="435">
        <f>IF(I18="",(O18-G18-(O18*0.1425%*0.65)-(O18*0.3%)-S18-T18),0)</f>
        <v/>
      </c>
      <c r="R18" s="435" t="n"/>
      <c r="S18" s="435" t="n">
        <v>10</v>
      </c>
      <c r="T18" s="435">
        <f>IF(ROUND(R18*(1+V18),0)&gt;20000,ROUND(ROUND(R18*(1+V18),0)*2%,0),0)</f>
        <v/>
      </c>
      <c r="U18" s="69">
        <f>(V18*50%)/(1+50%*V18)</f>
        <v/>
      </c>
      <c r="V18" s="69" t="n"/>
      <c r="W18" s="70" t="n">
        <v>0.06</v>
      </c>
      <c r="X18" s="436">
        <f>(P18+Q18)/G18</f>
        <v/>
      </c>
      <c r="Y18" s="16">
        <f>VLOOKUP(C18,台股行情!A:D,4,FALSE)</f>
        <v/>
      </c>
      <c r="Z18" s="437">
        <f>VLOOKUP(C18,台股行情!A:E,5,FALSE)</f>
        <v/>
      </c>
      <c r="AA18" s="438">
        <f>IF(I18="",((TODAY()-A18)*G18)/365.24,((I18-A18)*G18)/365.24)</f>
        <v/>
      </c>
      <c r="AB18" s="103" t="inlineStr">
        <is>
          <t>阿水一式</t>
        </is>
      </c>
      <c r="AC18" s="135" t="inlineStr">
        <is>
          <t>碰20MA出場</t>
        </is>
      </c>
    </row>
    <row r="19" outlineLevel="1">
      <c r="A19" s="99" t="n">
        <v>44172</v>
      </c>
      <c r="B19" s="11" t="inlineStr">
        <is>
          <t>普通買進</t>
        </is>
      </c>
      <c r="C19" s="11" t="n">
        <v>8163</v>
      </c>
      <c r="D19" s="11" t="inlineStr">
        <is>
          <t>達方</t>
        </is>
      </c>
      <c r="E19" s="11" t="n">
        <v>1000</v>
      </c>
      <c r="F19" s="11" t="n">
        <v>45.75</v>
      </c>
      <c r="G19" s="212">
        <f>E19*F19</f>
        <v/>
      </c>
      <c r="H19" s="11" t="n">
        <v>65</v>
      </c>
      <c r="I19" s="104" t="n">
        <v>44182</v>
      </c>
      <c r="J19" s="16" t="n">
        <v>43.35</v>
      </c>
      <c r="K19" s="11">
        <f>E19*J19</f>
        <v/>
      </c>
      <c r="L19" s="17" t="n">
        <v>61</v>
      </c>
      <c r="M19" s="11" t="n">
        <v>130</v>
      </c>
      <c r="N19" s="11" t="n">
        <v>0</v>
      </c>
      <c r="O19" s="434">
        <f>IF(I19="",E19*Y19,0)</f>
        <v/>
      </c>
      <c r="P19" s="435">
        <f>IF(I19="",R19-H19,(K19-H19-SUM(L19:N19)+R19-S19-T19)-G19)+(ROUND(R19*V19,0)-ROUND(R19*(1+V19),0)*W19)</f>
        <v/>
      </c>
      <c r="Q19" s="435">
        <f>IF(I19="",(O19-G19-(O19*0.1425%*0.65)-(O19*0.3%)-S19-T19),0)</f>
        <v/>
      </c>
      <c r="R19" s="435" t="n"/>
      <c r="S19" s="435" t="n">
        <v>10</v>
      </c>
      <c r="T19" s="435">
        <f>IF(ROUND(R19*(1+V19),0)&gt;20000,ROUND(ROUND(R19*(1+V19),0)*2%,0),0)</f>
        <v/>
      </c>
      <c r="U19" s="69">
        <f>(V19*50%)/(1+50%*V19)</f>
        <v/>
      </c>
      <c r="V19" s="69" t="n"/>
      <c r="W19" s="70" t="n">
        <v>0.06</v>
      </c>
      <c r="X19" s="436">
        <f>(P19+Q19)/G19</f>
        <v/>
      </c>
      <c r="Y19" s="16">
        <f>VLOOKUP(C19,台股行情!A:D,4,FALSE)</f>
        <v/>
      </c>
      <c r="Z19" s="437">
        <f>VLOOKUP(C19,台股行情!A:E,5,FALSE)</f>
        <v/>
      </c>
      <c r="AA19" s="438">
        <f>IF(I19="",((TODAY()-A19)*G19)/365.24,((I19-A19)*G19)/365.24)</f>
        <v/>
      </c>
      <c r="AB19" s="103" t="inlineStr">
        <is>
          <t>阿水一式</t>
        </is>
      </c>
      <c r="AC19" s="135" t="inlineStr">
        <is>
          <t>碰20MA出場</t>
        </is>
      </c>
    </row>
    <row r="20" outlineLevel="1">
      <c r="A20" s="99" t="n">
        <v>44173</v>
      </c>
      <c r="B20" s="11" t="inlineStr">
        <is>
          <t>普通買進</t>
        </is>
      </c>
      <c r="C20" s="11" t="n">
        <v>3707</v>
      </c>
      <c r="D20" s="11" t="inlineStr">
        <is>
          <t>漢磊</t>
        </is>
      </c>
      <c r="E20" s="11" t="n">
        <v>1000</v>
      </c>
      <c r="F20" s="11" t="n">
        <v>41.3</v>
      </c>
      <c r="G20" s="212">
        <f>E20*F20</f>
        <v/>
      </c>
      <c r="H20" s="11" t="n">
        <v>58</v>
      </c>
      <c r="I20" s="104" t="n">
        <v>44182</v>
      </c>
      <c r="J20" s="16" t="n">
        <v>38.1</v>
      </c>
      <c r="K20" s="11">
        <f>E20*J20</f>
        <v/>
      </c>
      <c r="L20" s="17" t="n">
        <v>54</v>
      </c>
      <c r="M20" s="11" t="n">
        <v>114</v>
      </c>
      <c r="N20" s="11" t="n">
        <v>0</v>
      </c>
      <c r="O20" s="434">
        <f>IF(I20="",E20*Y20,0)</f>
        <v/>
      </c>
      <c r="P20" s="435">
        <f>IF(I20="",R20-H20,(K20-H20-SUM(L20:N20)+R20-S20-T20)-G20)+(ROUND(R20*V20,0)-ROUND(R20*(1+V20),0)*W20)</f>
        <v/>
      </c>
      <c r="Q20" s="435">
        <f>IF(I20="",(O20-G20-(O20*0.1425%*0.65)-(O20*0.3%)-S20-T20),0)</f>
        <v/>
      </c>
      <c r="R20" s="435" t="n"/>
      <c r="S20" s="435" t="n">
        <v>10</v>
      </c>
      <c r="T20" s="435">
        <f>IF(ROUND(R20*(1+V20),0)&gt;20000,ROUND(ROUND(R20*(1+V20),0)*2%,0),0)</f>
        <v/>
      </c>
      <c r="U20" s="69">
        <f>(V20*50%)/(1+50%*V20)</f>
        <v/>
      </c>
      <c r="V20" s="69" t="n"/>
      <c r="W20" s="70" t="n">
        <v>0.06</v>
      </c>
      <c r="X20" s="436">
        <f>(P20+Q20)/G20</f>
        <v/>
      </c>
      <c r="Y20" s="16">
        <f>VLOOKUP(C20,台股行情!A:D,4,FALSE)</f>
        <v/>
      </c>
      <c r="Z20" s="437">
        <f>VLOOKUP(C20,台股行情!A:E,5,FALSE)</f>
        <v/>
      </c>
      <c r="AA20" s="438">
        <f>IF(I20="",((TODAY()-A20)*G20)/365.24,((I20-A20)*G20)/365.24)</f>
        <v/>
      </c>
      <c r="AB20" s="103" t="inlineStr">
        <is>
          <t>阿水一式</t>
        </is>
      </c>
      <c r="AC20" s="135" t="inlineStr">
        <is>
          <t>5% 停損</t>
        </is>
      </c>
    </row>
    <row r="21">
      <c r="A21" s="491" t="n"/>
      <c r="B21" s="11" t="n"/>
      <c r="C21" s="11" t="n"/>
      <c r="D21" s="11" t="n"/>
      <c r="E21" s="11" t="n"/>
      <c r="F21" s="11" t="n"/>
      <c r="G21" s="213" t="n"/>
      <c r="H21" s="64" t="n"/>
      <c r="I21" s="12" t="n"/>
      <c r="J21" s="11" t="n"/>
      <c r="K21" s="64" t="n"/>
      <c r="L21" s="64" t="n"/>
      <c r="M21" s="64" t="n"/>
      <c r="N21" s="64" t="n"/>
      <c r="O21" s="64" t="n"/>
      <c r="P21" s="64" t="n"/>
      <c r="Q21" s="435" t="n"/>
      <c r="R21" s="64" t="n"/>
      <c r="S21" s="11" t="n"/>
      <c r="T21" s="435" t="n"/>
      <c r="U21" s="69" t="n"/>
      <c r="V21" s="57" t="n"/>
      <c r="W21" s="75" t="n"/>
      <c r="X21" s="57" t="n"/>
      <c r="Y21" s="11" t="n"/>
      <c r="Z21" s="437" t="n"/>
      <c r="AA21" s="438" t="n"/>
    </row>
    <row r="22">
      <c r="A22" s="39" t="n"/>
      <c r="B22" s="40" t="n"/>
      <c r="C22" s="40" t="n"/>
      <c r="D22" s="40" t="n"/>
      <c r="E22" s="40" t="n"/>
      <c r="F22" s="40" t="n"/>
      <c r="G22" s="40" t="n"/>
      <c r="H22" s="40" t="n"/>
      <c r="I22" s="41" t="n"/>
      <c r="J22" s="42" t="n"/>
      <c r="K22" s="40" t="n"/>
      <c r="L22" s="439" t="n"/>
      <c r="M22" s="40" t="n"/>
      <c r="N22" s="40" t="n"/>
      <c r="O22" s="440" t="n"/>
      <c r="P22" s="441" t="n"/>
      <c r="Q22" s="441" t="n"/>
      <c r="R22" s="441" t="n"/>
      <c r="S22" s="441" t="n"/>
      <c r="T22" s="441" t="n"/>
      <c r="U22" s="73" t="n"/>
      <c r="V22" s="73" t="n"/>
      <c r="W22" s="76" t="n"/>
      <c r="X22" s="442" t="n"/>
      <c r="Y22" s="42" t="n"/>
      <c r="Z22" s="47" t="n"/>
      <c r="AA22" s="438" t="n"/>
    </row>
    <row r="23">
      <c r="A23" s="10" t="n"/>
      <c r="B23" s="11" t="n"/>
      <c r="C23" s="11" t="n"/>
      <c r="D23" s="11" t="n"/>
      <c r="E23" s="11" t="n"/>
      <c r="F23" s="11" t="n"/>
      <c r="G23" s="11" t="n"/>
      <c r="H23" s="11" t="n"/>
      <c r="I23" s="12" t="n"/>
      <c r="J23" s="11" t="n"/>
      <c r="K23" s="11" t="n"/>
      <c r="L23" s="11" t="n"/>
      <c r="M23" s="11" t="n"/>
      <c r="N23" s="11" t="n"/>
      <c r="O23" s="434" t="n"/>
      <c r="P23" s="435" t="n"/>
      <c r="Q23" s="435" t="n"/>
      <c r="R23" s="435" t="n"/>
      <c r="S23" s="435" t="n"/>
      <c r="T23" s="435" t="n"/>
      <c r="U23" s="435" t="n"/>
      <c r="V23" s="69" t="n"/>
      <c r="W23" s="70" t="n"/>
      <c r="X23" s="436" t="n"/>
      <c r="Y23" s="16" t="n"/>
      <c r="Z23" s="437" t="n"/>
      <c r="AA23" s="438" t="n"/>
    </row>
    <row r="24">
      <c r="A24" s="18">
        <f>MIN(A25:A26)</f>
        <v/>
      </c>
      <c r="B24" s="19" t="n"/>
      <c r="C24" s="20" t="n"/>
      <c r="D24" s="19" t="n"/>
      <c r="E24" s="19" t="n"/>
      <c r="F24" s="19" t="n"/>
      <c r="G24" s="19" t="n"/>
      <c r="H24" s="19" t="n"/>
      <c r="I24" s="21" t="n"/>
      <c r="J24" s="22" t="n"/>
      <c r="K24" s="19" t="n"/>
      <c r="L24" s="443" t="n"/>
      <c r="M24" s="19" t="n"/>
      <c r="N24" s="19" t="n"/>
      <c r="O24" s="444" t="n"/>
      <c r="P24" s="445" t="n"/>
      <c r="Q24" s="445" t="n"/>
      <c r="R24" s="445" t="n"/>
      <c r="S24" s="445" t="n"/>
      <c r="T24" s="445" t="n"/>
      <c r="U24" s="445" t="n"/>
      <c r="V24" s="74" t="n"/>
      <c r="W24" s="77" t="n"/>
      <c r="X24" s="446" t="n"/>
      <c r="Y24" s="22" t="n"/>
      <c r="Z24" s="27" t="n"/>
      <c r="AA24" s="438" t="n"/>
    </row>
    <row r="25">
      <c r="A25" s="99" t="n"/>
      <c r="B25" s="11" t="n"/>
      <c r="C25" s="11" t="n"/>
      <c r="D25" s="11" t="n"/>
      <c r="E25" s="11" t="n"/>
      <c r="F25" s="11" t="n"/>
      <c r="G25" s="11" t="n"/>
      <c r="H25" s="11" t="n"/>
      <c r="I25" s="104" t="n"/>
      <c r="J25" s="16" t="n"/>
      <c r="K25" s="11" t="n"/>
      <c r="L25" s="17" t="n"/>
      <c r="M25" s="11" t="n"/>
      <c r="N25" s="11" t="n"/>
      <c r="O25" s="434" t="n"/>
      <c r="P25" s="435" t="n"/>
      <c r="Q25" s="435" t="n"/>
      <c r="R25" s="435" t="n"/>
      <c r="S25" s="435" t="n"/>
      <c r="T25" s="435" t="n"/>
      <c r="U25" s="69" t="n"/>
      <c r="V25" s="69" t="n"/>
      <c r="W25" s="70" t="n"/>
      <c r="X25" s="436" t="n"/>
      <c r="Y25" s="16" t="n"/>
      <c r="Z25" s="437" t="n"/>
      <c r="AA25" s="438" t="n"/>
      <c r="AB25" s="103" t="n"/>
      <c r="AC25" s="103" t="n"/>
    </row>
    <row r="26" ht="17.25" customHeight="1" thickBot="1">
      <c r="A26" s="48" t="n"/>
      <c r="B26" s="49" t="n"/>
      <c r="C26" s="49" t="n"/>
      <c r="D26" s="49" t="n"/>
      <c r="E26" s="49" t="n"/>
      <c r="F26" s="49" t="n"/>
      <c r="G26" s="49" t="n"/>
      <c r="H26" s="49" t="n"/>
      <c r="I26" s="50" t="n"/>
      <c r="J26" s="51" t="n"/>
      <c r="K26" s="49" t="n"/>
      <c r="L26" s="447" t="n"/>
      <c r="M26" s="49" t="n"/>
      <c r="N26" s="49" t="n"/>
      <c r="O26" s="448" t="n"/>
      <c r="P26" s="449" t="n"/>
      <c r="Q26" s="449" t="n"/>
      <c r="R26" s="449" t="n"/>
      <c r="S26" s="449" t="n"/>
      <c r="T26" s="450" t="n"/>
      <c r="U26" s="449" t="n"/>
      <c r="V26" s="449" t="n"/>
      <c r="W26" s="78" t="n"/>
      <c r="X26" s="451" t="n"/>
      <c r="Y26" s="51" t="n"/>
      <c r="Z26" s="56" t="n"/>
      <c r="AA26" s="438" t="n"/>
    </row>
    <row r="27" ht="17.25" customHeight="1" thickBot="1">
      <c r="A27" s="29" t="n"/>
      <c r="D27" s="9" t="n"/>
      <c r="I27" s="30" t="n"/>
      <c r="J27" s="31" t="n"/>
      <c r="L27" s="452" t="n"/>
      <c r="O27" s="453" t="n"/>
      <c r="P27" s="454" t="n"/>
      <c r="Q27" s="454" t="n"/>
      <c r="R27" s="454" t="n"/>
      <c r="S27" s="454" t="n"/>
      <c r="T27" s="454" t="n"/>
      <c r="U27" s="454" t="n"/>
      <c r="V27" s="454" t="n"/>
      <c r="W27" s="454" t="n"/>
      <c r="X27" s="455" t="n"/>
      <c r="Y27" s="31" t="n"/>
      <c r="Z27" s="31" t="n"/>
      <c r="AA27" s="438" t="n"/>
    </row>
    <row r="28" ht="17.25" customHeight="1" thickBot="1">
      <c r="A28" s="457" t="inlineStr">
        <is>
          <t>總表</t>
        </is>
      </c>
      <c r="B28" s="456" t="n"/>
      <c r="C28" s="458" t="n"/>
      <c r="D28" s="414" t="inlineStr">
        <is>
          <t>持股小計</t>
        </is>
      </c>
      <c r="E28" s="493" t="n"/>
      <c r="F28" s="458" t="n"/>
      <c r="G28" s="62">
        <f>SUM(G24:G26)</f>
        <v/>
      </c>
      <c r="H28" s="62">
        <f>SUM(H24:H26)</f>
        <v/>
      </c>
      <c r="I28" s="493" t="n"/>
      <c r="J28" s="458" t="n"/>
      <c r="K28" s="62" t="n"/>
      <c r="L28" s="459" t="n"/>
      <c r="M28" s="459" t="n"/>
      <c r="N28" s="460" t="n"/>
      <c r="O28" s="62">
        <f>SUM(O24:O26)</f>
        <v/>
      </c>
      <c r="P28" s="461">
        <f>SUM(P24:P26)</f>
        <v/>
      </c>
      <c r="Q28" s="461">
        <f>SUM(Q24:Q26)</f>
        <v/>
      </c>
      <c r="R28" s="62">
        <f>SUM(R24:R26)</f>
        <v/>
      </c>
      <c r="S28" s="407" t="n"/>
      <c r="T28" s="407" t="n"/>
      <c r="U28" s="407" t="n"/>
      <c r="V28" s="407" t="n"/>
      <c r="W28" s="407" t="n"/>
      <c r="X28" s="462">
        <f>(P28+Q28)/G28</f>
        <v/>
      </c>
      <c r="Y28" s="390" t="inlineStr">
        <is>
          <t>年化報酬率</t>
        </is>
      </c>
      <c r="Z28" s="463">
        <f>IF(AA28=0,0,(P28+Q28)/(AA28))</f>
        <v/>
      </c>
      <c r="AA28" s="438">
        <f>SUM(AA24:AA26)</f>
        <v/>
      </c>
    </row>
    <row r="29" ht="17.25" customFormat="1" customHeight="1" s="36" thickBot="1">
      <c r="A29" s="464" t="n"/>
      <c r="C29" s="465" t="n"/>
      <c r="D29" s="414" t="inlineStr">
        <is>
          <t>2020總計</t>
        </is>
      </c>
      <c r="E29" s="466" t="n"/>
      <c r="F29" s="465" t="n"/>
      <c r="G29" s="63">
        <f>SUM(G2:G26)</f>
        <v/>
      </c>
      <c r="H29" s="63">
        <f>SUM(H2:H26)</f>
        <v/>
      </c>
      <c r="I29" s="466" t="n"/>
      <c r="J29" s="465" t="n"/>
      <c r="K29" s="63">
        <f>SUM(K2:K26)</f>
        <v/>
      </c>
      <c r="L29" s="63">
        <f>SUM(L2:L26)</f>
        <v/>
      </c>
      <c r="M29" s="63">
        <f>SUM(M2:M26)</f>
        <v/>
      </c>
      <c r="N29" s="63">
        <f>SUM(N2:N26)</f>
        <v/>
      </c>
      <c r="O29" s="63">
        <f>SUM(O2:O26)</f>
        <v/>
      </c>
      <c r="P29" s="472">
        <f>SUM(P2:P26)</f>
        <v/>
      </c>
      <c r="Q29" s="461">
        <f>SUM(Q2:Q26)</f>
        <v/>
      </c>
      <c r="R29" s="63">
        <f>SUM(R2:R26)</f>
        <v/>
      </c>
      <c r="S29" s="72" t="n"/>
      <c r="T29" s="72" t="n"/>
      <c r="U29" s="72" t="n"/>
      <c r="V29" s="72" t="n"/>
      <c r="W29" s="72" t="n"/>
      <c r="X29" s="462">
        <f>(P29+Q29)/G29</f>
        <v/>
      </c>
      <c r="Y29" s="467" t="n"/>
      <c r="Z29" s="463">
        <f>IF(AA29=0,0,(P29+Q29)/(AA29))</f>
        <v/>
      </c>
      <c r="AA29" s="438">
        <f>SUM(AA2:AA26)</f>
        <v/>
      </c>
      <c r="AB29" s="87" t="n"/>
      <c r="AC29" s="88" t="n"/>
    </row>
    <row r="30" ht="17.25" customFormat="1" customHeight="1" s="36" thickBot="1">
      <c r="A30" s="468" t="n"/>
      <c r="B30" s="469" t="n"/>
      <c r="C30" s="470" t="n"/>
      <c r="D30" s="414" t="inlineStr">
        <is>
          <t>總計</t>
        </is>
      </c>
      <c r="E30" s="471" t="n"/>
      <c r="F30" s="470" t="n"/>
      <c r="G30" s="63">
        <f>SUM(G2:G26)</f>
        <v/>
      </c>
      <c r="H30" s="63">
        <f>SUM(H2:H26)</f>
        <v/>
      </c>
      <c r="I30" s="471" t="n"/>
      <c r="J30" s="470" t="n"/>
      <c r="K30" s="63">
        <f>SUM(K2:K26)</f>
        <v/>
      </c>
      <c r="L30" s="63">
        <f>SUM(L2:L26)</f>
        <v/>
      </c>
      <c r="M30" s="63">
        <f>SUM(M2:M26)</f>
        <v/>
      </c>
      <c r="N30" s="63">
        <f>SUM(N2:N26)</f>
        <v/>
      </c>
      <c r="O30" s="63">
        <f>SUM(O2:O26)</f>
        <v/>
      </c>
      <c r="P30" s="472">
        <f>SUM(P2:P26)</f>
        <v/>
      </c>
      <c r="Q30" s="461">
        <f>SUM(Q2:Q26)</f>
        <v/>
      </c>
      <c r="R30" s="63">
        <f>SUM(R2:R26)</f>
        <v/>
      </c>
      <c r="S30" s="72" t="n"/>
      <c r="T30" s="72" t="n"/>
      <c r="U30" s="72" t="n"/>
      <c r="V30" s="72" t="n"/>
      <c r="W30" s="72" t="n"/>
      <c r="X30" s="462">
        <f>(P30+Q30)/G30</f>
        <v/>
      </c>
      <c r="Y30" s="473" t="n"/>
      <c r="Z30" s="463">
        <f>IF(AA30=0,0,(P30+Q30)/(AA30))</f>
        <v/>
      </c>
      <c r="AA30" s="438">
        <f>AA29</f>
        <v/>
      </c>
      <c r="AB30" s="87" t="n"/>
      <c r="AC30" s="87" t="n"/>
    </row>
    <row r="31" ht="17.25" customHeight="1" thickBot="1">
      <c r="A31" s="66" t="n"/>
      <c r="C31" s="65" t="n"/>
      <c r="D31" s="9" t="n"/>
      <c r="P31" s="492" t="n"/>
    </row>
    <row r="32" ht="17.25" customHeight="1" thickBot="1">
      <c r="A32" s="383" t="inlineStr">
        <is>
          <t>分析</t>
        </is>
      </c>
      <c r="B32" s="456" t="n"/>
      <c r="C32" s="474" t="n"/>
      <c r="D32" s="251" t="inlineStr">
        <is>
          <t>技法</t>
        </is>
      </c>
      <c r="E32" s="383" t="n"/>
      <c r="F32" s="474" t="n"/>
      <c r="G32" s="251" t="inlineStr">
        <is>
          <t>成交金額</t>
        </is>
      </c>
      <c r="H32" s="251" t="inlineStr">
        <is>
          <t>手續費</t>
        </is>
      </c>
      <c r="I32" s="383" t="n"/>
      <c r="J32" s="383" t="n"/>
      <c r="K32" s="383" t="n"/>
      <c r="L32" s="383" t="n"/>
      <c r="M32" s="383" t="n"/>
      <c r="N32" s="383" t="n"/>
      <c r="O32" s="251" t="inlineStr">
        <is>
          <t>參考現值</t>
        </is>
      </c>
      <c r="P32" s="251" t="inlineStr">
        <is>
          <t>已實現損益</t>
        </is>
      </c>
      <c r="Q32" s="251" t="inlineStr">
        <is>
          <t>未實現損益</t>
        </is>
      </c>
      <c r="R32" s="251" t="inlineStr">
        <is>
          <t>除息</t>
        </is>
      </c>
      <c r="S32" s="383" t="inlineStr">
        <is>
          <t>手續費</t>
        </is>
      </c>
      <c r="T32" s="383" t="inlineStr">
        <is>
          <t>健保補充保費</t>
        </is>
      </c>
      <c r="U32" s="383" t="n"/>
      <c r="V32" s="383" t="inlineStr">
        <is>
          <t>扣抵稅率</t>
        </is>
      </c>
      <c r="W32" s="383" t="inlineStr">
        <is>
          <t>所得稅率</t>
        </is>
      </c>
      <c r="X32" s="251" t="inlineStr">
        <is>
          <t>投資報酬率</t>
        </is>
      </c>
      <c r="Y32" s="251" t="inlineStr">
        <is>
          <t>年化報酬率</t>
        </is>
      </c>
      <c r="Z32" s="251" t="inlineStr">
        <is>
          <t>勝率</t>
        </is>
      </c>
      <c r="AA32" s="89" t="n"/>
    </row>
    <row r="33">
      <c r="A33" s="464" t="n"/>
      <c r="C33" s="475" t="n"/>
      <c r="D33" s="385" t="inlineStr">
        <is>
          <t>阿水一式</t>
        </is>
      </c>
      <c r="E33" s="464" t="n"/>
      <c r="F33" s="475" t="n"/>
      <c r="G33" s="265">
        <f>SUMIF(AB$2:AB$22,D33,G$2:G$22)</f>
        <v/>
      </c>
      <c r="H33" s="265">
        <f>SUMIF(AB$2:AB$22,D33,H$2:H$22)</f>
        <v/>
      </c>
      <c r="I33" s="467" t="n"/>
      <c r="J33" s="249" t="n"/>
      <c r="K33" s="257" t="n"/>
      <c r="L33" s="257" t="n"/>
      <c r="M33" s="257" t="n"/>
      <c r="N33" s="257" t="n"/>
      <c r="O33" s="265">
        <f>SUMIF(AB$2:AB$22,D33,O$2:O$22)</f>
        <v/>
      </c>
      <c r="P33" s="476">
        <f>SUMIF(AB$2:AB$22,D33,P$2:P$22)</f>
        <v/>
      </c>
      <c r="Q33" s="476">
        <f>SUMIF(AB$2:AB$22,"*"&amp;D33&amp;"*",Q$2:Q$22)</f>
        <v/>
      </c>
      <c r="R33" s="265">
        <f>SUMIF(AB$2:AB$22,D33,R$2:R$22)</f>
        <v/>
      </c>
      <c r="S33" s="257" t="n"/>
      <c r="T33" s="257" t="n"/>
      <c r="U33" s="467" t="n"/>
      <c r="V33" s="257" t="n"/>
      <c r="W33" s="257" t="n"/>
      <c r="X33" s="477">
        <f>(SUMIF(AB$2:AB$27,D33,P$2:P$27)+SUMIF(AB$2:AB$27,D33,Q$2:Q$27))/SUMIF(AB$2:AB$27,D33,G$2:G$27)</f>
        <v/>
      </c>
      <c r="Y33" s="477">
        <f>(P33+Q33)/(AA33)</f>
        <v/>
      </c>
      <c r="Z33" s="268">
        <f>COUNTIFS(X$2:X$27,"&gt;0",AB$2:AB$27,D33)/COUNTIF(AB$2:AB$27,D33)</f>
        <v/>
      </c>
      <c r="AA33" s="9">
        <f>SUMIF(AB$2:AB$22,D33,AA$2:AA$22)</f>
        <v/>
      </c>
    </row>
    <row r="34">
      <c r="A34" s="464" t="n"/>
      <c r="C34" s="475" t="n"/>
      <c r="D34" s="247" t="inlineStr">
        <is>
          <t>除權息</t>
        </is>
      </c>
      <c r="E34" s="464" t="n"/>
      <c r="F34" s="475" t="n"/>
      <c r="G34" s="256">
        <f>SUMIF(AB$2:AB$22,D34,G$2:G$22)</f>
        <v/>
      </c>
      <c r="H34" s="256">
        <f>SUMIF(AB$2:AB$22,D34,H$2:H$22)</f>
        <v/>
      </c>
      <c r="I34" s="467" t="n"/>
      <c r="J34" s="249" t="n"/>
      <c r="K34" s="257" t="n"/>
      <c r="L34" s="257" t="n"/>
      <c r="M34" s="257" t="n"/>
      <c r="N34" s="257" t="n"/>
      <c r="O34" s="256">
        <f>SUMIF(AB$2:AB$22,D34,O$2:O$22)</f>
        <v/>
      </c>
      <c r="P34" s="494">
        <f>SUMIF(AB$2:AB$22,D34,P$2:P$22)</f>
        <v/>
      </c>
      <c r="Q34" s="494">
        <f>SUMIF(AB$2:AB$22,"*"&amp;D34&amp;"*",Q$2:Q$22)</f>
        <v/>
      </c>
      <c r="R34" s="256">
        <f>SUMIF(AB$2:AB$22,D34,R$2:R$22)</f>
        <v/>
      </c>
      <c r="S34" s="257" t="n"/>
      <c r="T34" s="257" t="n"/>
      <c r="U34" s="467" t="n"/>
      <c r="V34" s="257" t="n"/>
      <c r="W34" s="257" t="n"/>
      <c r="X34" s="477">
        <f>(SUMIF(AB$2:AB$27,D34,P$2:P$27)+SUMIF(AB$2:AB$27,D34,Q$2:Q$27))/SUMIF(AB$2:AB$27,D34,G$2:G$27)</f>
        <v/>
      </c>
      <c r="Y34" s="495">
        <f>(P34+Q34)/(AA34)</f>
        <v/>
      </c>
      <c r="Z34" s="268">
        <f>COUNTIFS(X$2:X$27,"&gt;0",AB$2:AB$27,D34)/COUNTIF(AB$2:AB$27,D34)</f>
        <v/>
      </c>
      <c r="AA34" s="9">
        <f>SUMIF(AB$2:AB$22,D34,AA$2:AA$22)</f>
        <v/>
      </c>
    </row>
    <row r="35" ht="17.25" customHeight="1" thickBot="1">
      <c r="A35" s="478" t="n"/>
      <c r="B35" s="479" t="n"/>
      <c r="C35" s="480" t="n"/>
      <c r="D35" s="248" t="inlineStr">
        <is>
          <t>水某精選</t>
        </is>
      </c>
      <c r="E35" s="478" t="n"/>
      <c r="F35" s="480" t="n"/>
      <c r="G35" s="260">
        <f>SUMIF(AB$2:AB$22,D35,G$2:G$22)</f>
        <v/>
      </c>
      <c r="H35" s="260">
        <f>SUMIF(AB$2:AB$22,D35,H$2:H$22)</f>
        <v/>
      </c>
      <c r="I35" s="481" t="n"/>
      <c r="J35" s="250" t="n"/>
      <c r="K35" s="261" t="n"/>
      <c r="L35" s="261" t="n"/>
      <c r="M35" s="261" t="n"/>
      <c r="N35" s="261" t="n"/>
      <c r="O35" s="260">
        <f>SUMIF(AB$2:AB$22,D35,O$2:O$22)</f>
        <v/>
      </c>
      <c r="P35" s="496">
        <f>SUMIF(AB$2:AB$22,D35,P$2:P$22)</f>
        <v/>
      </c>
      <c r="Q35" s="496">
        <f>SUMIF(AB$2:AB$22,"*"&amp;D35&amp;"*",Q$2:Q$22)</f>
        <v/>
      </c>
      <c r="R35" s="260">
        <f>SUMIF(AB$2:AB$22,D35,R$2:R$22)</f>
        <v/>
      </c>
      <c r="S35" s="261" t="n"/>
      <c r="T35" s="261" t="n"/>
      <c r="U35" s="481" t="n"/>
      <c r="V35" s="261" t="n"/>
      <c r="W35" s="261" t="n"/>
      <c r="X35" s="483">
        <f>(SUMIF(AB$2:AB$27,D35,P$2:P$27)+SUMIF(AB$2:AB$27,D35,Q$2:Q$27))/SUMIF(AB$2:AB$27,D35,G$2:G$27)</f>
        <v/>
      </c>
      <c r="Y35" s="497">
        <f>(P35+Q35)/(AA35)</f>
        <v/>
      </c>
      <c r="Z35" s="255">
        <f>COUNTIFS(X$2:X$27,"&gt;0",AB$2:AB$27,D35)/COUNTIF(AB$2:AB$27,D35)</f>
        <v/>
      </c>
      <c r="AA35" s="9">
        <f>SUMIF(AB$2:AB$22,D35,AA$2:AA$22)</f>
        <v/>
      </c>
    </row>
    <row r="36">
      <c r="B36" s="37" t="n"/>
      <c r="C36" s="37" t="n"/>
      <c r="D36" s="9" t="n"/>
    </row>
    <row r="37">
      <c r="B37" s="37" t="n"/>
      <c r="C37" s="37" t="n"/>
      <c r="D37" s="9" t="n"/>
    </row>
    <row r="38">
      <c r="A38" s="37" t="n"/>
      <c r="B38" s="37" t="n"/>
      <c r="C38" s="37" t="n"/>
      <c r="D38" s="9" t="n"/>
    </row>
    <row r="39">
      <c r="A39" s="37" t="n"/>
      <c r="B39" s="37" t="n"/>
      <c r="C39" s="37" t="n"/>
      <c r="D39" s="9" t="n"/>
    </row>
    <row r="40">
      <c r="A40" s="37" t="n"/>
      <c r="B40" s="37" t="n"/>
      <c r="C40" s="37" t="n"/>
      <c r="D40" s="9" t="n"/>
    </row>
    <row r="41">
      <c r="A41" s="37" t="n"/>
      <c r="B41" s="37" t="n"/>
      <c r="C41" s="37" t="n"/>
      <c r="D41" s="9" t="n"/>
    </row>
    <row r="42">
      <c r="A42" s="37" t="n"/>
      <c r="B42" s="37" t="n"/>
      <c r="C42" s="37" t="n"/>
      <c r="D42" s="9" t="n"/>
    </row>
    <row r="43">
      <c r="A43" s="37" t="n"/>
      <c r="B43" s="37" t="n"/>
      <c r="C43" s="37" t="n"/>
      <c r="D43" s="9" t="n"/>
    </row>
    <row r="44">
      <c r="A44" s="37" t="n"/>
      <c r="B44" s="37" t="n"/>
      <c r="C44" s="37" t="n"/>
      <c r="D44" s="9" t="n"/>
    </row>
    <row r="45">
      <c r="A45" s="37" t="n"/>
      <c r="B45" s="37" t="n"/>
      <c r="C45" s="37" t="n"/>
      <c r="D45" s="9" t="n"/>
    </row>
  </sheetData>
  <autoFilter ref="A1:AA47"/>
  <mergeCells count="9">
    <mergeCell ref="I32:I35"/>
    <mergeCell ref="K28:N28"/>
    <mergeCell ref="U32:U35"/>
    <mergeCell ref="I28:J30"/>
    <mergeCell ref="E32:F35"/>
    <mergeCell ref="A32:C35"/>
    <mergeCell ref="Y28:Y30"/>
    <mergeCell ref="E28:F30"/>
    <mergeCell ref="A28:C30"/>
  </mergeCells>
  <conditionalFormatting sqref="Z1:AA1 Z21:AA31 Z36:AA1048576 AA2:AA3 AA11:AA20">
    <cfRule type="containsText" priority="221" operator="containsText" dxfId="12" text="△">
      <formula>NOT(ISERROR(SEARCH("△",Z1)))</formula>
    </cfRule>
    <cfRule type="containsText" priority="222" operator="containsText" dxfId="11" text="▽">
      <formula>NOT(ISERROR(SEARCH("▽",Z1)))</formula>
    </cfRule>
  </conditionalFormatting>
  <conditionalFormatting sqref="I21:I24 I26:I27">
    <cfRule type="expression" priority="219" dxfId="204">
      <formula>$I21&gt;(TODAY()-7)</formula>
    </cfRule>
    <cfRule type="expression" priority="220" dxfId="203">
      <formula>$I21&gt;(TODAY()-30)</formula>
    </cfRule>
  </conditionalFormatting>
  <conditionalFormatting sqref="AA2:AA3">
    <cfRule type="containsText" priority="173" operator="containsText" dxfId="12" text="△">
      <formula>NOT(ISERROR(SEARCH("△",AA2)))</formula>
    </cfRule>
    <cfRule type="containsText" priority="174" operator="containsText" dxfId="11" text="▽">
      <formula>NOT(ISERROR(SEARCH("▽",AA2)))</formula>
    </cfRule>
  </conditionalFormatting>
  <conditionalFormatting sqref="AA3">
    <cfRule type="containsText" priority="171" operator="containsText" dxfId="12" text="△">
      <formula>NOT(ISERROR(SEARCH("△",AA3)))</formula>
    </cfRule>
    <cfRule type="containsText" priority="172" operator="containsText" dxfId="11" text="▽">
      <formula>NOT(ISERROR(SEARCH("▽",AA3)))</formula>
    </cfRule>
  </conditionalFormatting>
  <conditionalFormatting sqref="AA9:AA20">
    <cfRule type="containsText" priority="169" operator="containsText" dxfId="12" text="△">
      <formula>NOT(ISERROR(SEARCH("△",AA9)))</formula>
    </cfRule>
    <cfRule type="containsText" priority="170" operator="containsText" dxfId="11" text="▽">
      <formula>NOT(ISERROR(SEARCH("▽",AA9)))</formula>
    </cfRule>
  </conditionalFormatting>
  <conditionalFormatting sqref="AA2:AA20">
    <cfRule type="containsText" priority="167" operator="containsText" dxfId="12" text="△">
      <formula>NOT(ISERROR(SEARCH("△",AA2)))</formula>
    </cfRule>
    <cfRule type="containsText" priority="168" operator="containsText" dxfId="11" text="▽">
      <formula>NOT(ISERROR(SEARCH("▽",AA2)))</formula>
    </cfRule>
    <cfRule type="containsText" priority="165" operator="containsText" dxfId="12" text="△">
      <formula>NOT(ISERROR(SEARCH("△",AA2)))</formula>
    </cfRule>
    <cfRule type="containsText" priority="166" operator="containsText" dxfId="11" text="▽">
      <formula>NOT(ISERROR(SEARCH("▽",AA2)))</formula>
    </cfRule>
    <cfRule type="containsText" priority="161" operator="containsText" dxfId="12" text="△">
      <formula>NOT(ISERROR(SEARCH("△",AA2)))</formula>
    </cfRule>
    <cfRule type="containsText" priority="162" operator="containsText" dxfId="11" text="▽">
      <formula>NOT(ISERROR(SEARCH("▽",AA2)))</formula>
    </cfRule>
  </conditionalFormatting>
  <conditionalFormatting sqref="AA8:AA20">
    <cfRule type="containsText" priority="163" operator="containsText" dxfId="12" text="△">
      <formula>NOT(ISERROR(SEARCH("△",AA8)))</formula>
    </cfRule>
    <cfRule type="containsText" priority="164" operator="containsText" dxfId="11" text="▽">
      <formula>NOT(ISERROR(SEARCH("▽",AA8)))</formula>
    </cfRule>
  </conditionalFormatting>
  <conditionalFormatting sqref="AA7:AA20">
    <cfRule type="containsText" priority="159" operator="containsText" dxfId="12" text="△">
      <formula>NOT(ISERROR(SEARCH("△",AA7)))</formula>
    </cfRule>
    <cfRule type="containsText" priority="160" operator="containsText" dxfId="11" text="▽">
      <formula>NOT(ISERROR(SEARCH("▽",AA7)))</formula>
    </cfRule>
  </conditionalFormatting>
  <conditionalFormatting sqref="AA10:AA20">
    <cfRule type="containsText" priority="155" operator="containsText" dxfId="12" text="△">
      <formula>NOT(ISERROR(SEARCH("△",AA10)))</formula>
    </cfRule>
    <cfRule type="containsText" priority="156" operator="containsText" dxfId="11" text="▽">
      <formula>NOT(ISERROR(SEARCH("▽",AA10)))</formula>
    </cfRule>
  </conditionalFormatting>
  <conditionalFormatting sqref="AA14:AA20">
    <cfRule type="containsText" priority="151" operator="containsText" dxfId="12" text="△">
      <formula>NOT(ISERROR(SEARCH("△",AA14)))</formula>
    </cfRule>
    <cfRule type="containsText" priority="152" operator="containsText" dxfId="11" text="▽">
      <formula>NOT(ISERROR(SEARCH("▽",AA14)))</formula>
    </cfRule>
  </conditionalFormatting>
  <conditionalFormatting sqref="Z25:AA25">
    <cfRule type="containsText" priority="149" operator="containsText" dxfId="12" text="△">
      <formula>NOT(ISERROR(SEARCH("△",Z25)))</formula>
    </cfRule>
    <cfRule type="containsText" priority="150" operator="containsText" dxfId="11" text="▽">
      <formula>NOT(ISERROR(SEARCH("▽",Z25)))</formula>
    </cfRule>
  </conditionalFormatting>
  <conditionalFormatting sqref="AA15:AA20">
    <cfRule type="containsText" priority="143" operator="containsText" dxfId="12" text="△">
      <formula>NOT(ISERROR(SEARCH("△",AA15)))</formula>
    </cfRule>
    <cfRule type="containsText" priority="144" operator="containsText" dxfId="11" text="▽">
      <formula>NOT(ISERROR(SEARCH("▽",AA15)))</formula>
    </cfRule>
  </conditionalFormatting>
  <conditionalFormatting sqref="AA11:AA20">
    <cfRule type="containsText" priority="141" operator="containsText" dxfId="12" text="△">
      <formula>NOT(ISERROR(SEARCH("△",AA11)))</formula>
    </cfRule>
    <cfRule type="containsText" priority="142" operator="containsText" dxfId="11" text="▽">
      <formula>NOT(ISERROR(SEARCH("▽",AA11)))</formula>
    </cfRule>
  </conditionalFormatting>
  <conditionalFormatting sqref="AA12:AA20">
    <cfRule type="containsText" priority="131" operator="containsText" dxfId="12" text="△">
      <formula>NOT(ISERROR(SEARCH("△",AA12)))</formula>
    </cfRule>
    <cfRule type="containsText" priority="132" operator="containsText" dxfId="11" text="▽">
      <formula>NOT(ISERROR(SEARCH("▽",AA12)))</formula>
    </cfRule>
  </conditionalFormatting>
  <conditionalFormatting sqref="AA16:AA20">
    <cfRule type="containsText" priority="127" operator="containsText" dxfId="12" text="△">
      <formula>NOT(ISERROR(SEARCH("△",AA16)))</formula>
    </cfRule>
    <cfRule type="containsText" priority="128" operator="containsText" dxfId="11" text="▽">
      <formula>NOT(ISERROR(SEARCH("▽",AA16)))</formula>
    </cfRule>
  </conditionalFormatting>
  <conditionalFormatting sqref="AA18:AA20">
    <cfRule type="containsText" priority="109" operator="containsText" dxfId="12" text="△">
      <formula>NOT(ISERROR(SEARCH("△",AA18)))</formula>
    </cfRule>
    <cfRule type="containsText" priority="110" operator="containsText" dxfId="11" text="▽">
      <formula>NOT(ISERROR(SEARCH("▽",AA18)))</formula>
    </cfRule>
    <cfRule type="containsText" priority="107" operator="containsText" dxfId="12" text="△">
      <formula>NOT(ISERROR(SEARCH("△",AA18)))</formula>
    </cfRule>
    <cfRule type="containsText" priority="108" operator="containsText" dxfId="11" text="▽">
      <formula>NOT(ISERROR(SEARCH("▽",AA18)))</formula>
    </cfRule>
  </conditionalFormatting>
  <conditionalFormatting sqref="AA19:AA20">
    <cfRule type="containsText" priority="105" operator="containsText" dxfId="12" text="△">
      <formula>NOT(ISERROR(SEARCH("△",AA19)))</formula>
    </cfRule>
    <cfRule type="containsText" priority="106" operator="containsText" dxfId="11" text="▽">
      <formula>NOT(ISERROR(SEARCH("▽",AA19)))</formula>
    </cfRule>
    <cfRule type="containsText" priority="103" operator="containsText" dxfId="12" text="△">
      <formula>NOT(ISERROR(SEARCH("△",AA19)))</formula>
    </cfRule>
    <cfRule type="containsText" priority="104" operator="containsText" dxfId="11" text="▽">
      <formula>NOT(ISERROR(SEARCH("▽",AA19)))</formula>
    </cfRule>
  </conditionalFormatting>
  <conditionalFormatting sqref="AA17:AA20">
    <cfRule type="containsText" priority="101" operator="containsText" dxfId="12" text="△">
      <formula>NOT(ISERROR(SEARCH("△",AA17)))</formula>
    </cfRule>
    <cfRule type="containsText" priority="102" operator="containsText" dxfId="11" text="▽">
      <formula>NOT(ISERROR(SEARCH("▽",AA17)))</formula>
    </cfRule>
    <cfRule type="containsText" priority="99" operator="containsText" dxfId="12" text="△">
      <formula>NOT(ISERROR(SEARCH("△",AA17)))</formula>
    </cfRule>
    <cfRule type="containsText" priority="100" operator="containsText" dxfId="11" text="▽">
      <formula>NOT(ISERROR(SEARCH("▽",AA17)))</formula>
    </cfRule>
  </conditionalFormatting>
  <conditionalFormatting sqref="AA20">
    <cfRule type="containsText" priority="77" operator="containsText" dxfId="12" text="△">
      <formula>NOT(ISERROR(SEARCH("△",AA20)))</formula>
    </cfRule>
    <cfRule type="containsText" priority="78" operator="containsText" dxfId="11" text="▽">
      <formula>NOT(ISERROR(SEARCH("▽",AA20)))</formula>
    </cfRule>
    <cfRule type="containsText" priority="75" operator="containsText" dxfId="12" text="△">
      <formula>NOT(ISERROR(SEARCH("△",AA20)))</formula>
    </cfRule>
    <cfRule type="containsText" priority="76" operator="containsText" dxfId="11" text="▽">
      <formula>NOT(ISERROR(SEARCH("▽",AA20)))</formula>
    </cfRule>
  </conditionalFormatting>
  <conditionalFormatting sqref="Z2:Z20">
    <cfRule type="containsText" priority="7" operator="containsText" dxfId="12" text="▲">
      <formula>NOT(ISERROR(SEARCH("▲",Z2)))</formula>
    </cfRule>
    <cfRule type="containsText" priority="8" operator="containsText" dxfId="11" text="▼">
      <formula>NOT(ISERROR(SEARCH("▼",Z2)))</formula>
    </cfRule>
    <cfRule type="cellIs" priority="5" operator="lessThan" dxfId="8">
      <formula>0</formula>
    </cfRule>
    <cfRule type="cellIs" priority="6" operator="greaterThan" dxfId="7">
      <formula>0</formula>
    </cfRule>
  </conditionalFormatting>
  <conditionalFormatting sqref="AA32">
    <cfRule type="containsText" priority="3" operator="containsText" dxfId="12" text="△">
      <formula>NOT(ISERROR(SEARCH("△",AA32)))</formula>
    </cfRule>
    <cfRule type="containsText" priority="4" operator="containsText" dxfId="11" text="▽">
      <formula>NOT(ISERROR(SEARCH("▽",AA32)))</formula>
    </cfRule>
  </conditionalFormatting>
  <conditionalFormatting sqref="AA33:AA35">
    <cfRule type="containsText" priority="1" operator="containsText" dxfId="12" text="△">
      <formula>NOT(ISERROR(SEARCH("△",AA33)))</formula>
    </cfRule>
    <cfRule type="containsText" priority="2" operator="containsText" dxfId="11" text="▽">
      <formula>NOT(ISERROR(SEARCH("▽",AA33)))</formula>
    </cfRule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codeName="Sheet12">
    <tabColor rgb="FF92D050"/>
    <outlinePr summaryBelow="0" summaryRight="0"/>
    <pageSetUpPr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baseColWidth="8" defaultColWidth="9" defaultRowHeight="16.5" outlineLevelRow="1"/>
  <cols>
    <col width="11.125" customWidth="1" style="9" min="1" max="1"/>
    <col hidden="1" width="10" customWidth="1" style="9" min="2" max="2"/>
    <col width="11.375" customWidth="1" style="9" min="3" max="3"/>
    <col width="11.375" customWidth="1" style="37" min="4" max="4"/>
    <col width="7.125" customWidth="1" style="9" min="5" max="5"/>
    <col width="9.125" customWidth="1" style="9" min="6" max="6"/>
    <col width="12.625" bestFit="1" customWidth="1" style="9" min="7" max="7"/>
    <col width="9.125" customWidth="1" style="9" min="8" max="8"/>
    <col collapsed="1" width="11.5" bestFit="1" customWidth="1" style="9" min="9" max="9"/>
    <col hidden="1" outlineLevel="1" width="9.375" customWidth="1" style="9" min="10" max="10"/>
    <col hidden="1" outlineLevel="1" width="13" customWidth="1" style="9" min="11" max="11"/>
    <col hidden="1" outlineLevel="1" width="9.625" customWidth="1" style="9" min="12" max="13"/>
    <col hidden="1" outlineLevel="1" width="9.125" customWidth="1" style="9" min="14" max="14"/>
    <col width="11.375" customWidth="1" style="9" min="15" max="15"/>
    <col width="13.375" customWidth="1" style="9" min="16" max="16"/>
    <col width="13.125" customWidth="1" style="9" min="17" max="17"/>
    <col collapsed="1" width="9.5" bestFit="1" customWidth="1" style="9" min="18" max="18"/>
    <col hidden="1" outlineLevel="1" width="11.625" customWidth="1" style="9" min="19" max="19"/>
    <col hidden="1" outlineLevel="1" width="18.625" customWidth="1" style="9" min="20" max="20"/>
    <col collapsed="1" width="18.625" bestFit="1" customWidth="1" style="9" min="21" max="21"/>
    <col hidden="1" outlineLevel="1" width="12.375" customWidth="1" style="9" min="22" max="23"/>
    <col width="13.875" customWidth="1" style="9" min="24" max="24"/>
    <col width="13.125" bestFit="1" customWidth="1" style="9" min="25" max="25"/>
    <col width="12.875" bestFit="1" customWidth="1" style="9" min="26" max="26"/>
    <col width="12.875" customWidth="1" style="9" min="27" max="27"/>
    <col width="30.625" bestFit="1" customWidth="1" style="28" min="28" max="28"/>
    <col width="74.5" customWidth="1" style="28" min="29" max="29"/>
    <col width="9" customWidth="1" style="9" min="30" max="16384"/>
  </cols>
  <sheetData>
    <row r="1" customFormat="1" s="8">
      <c r="A1" s="1" t="inlineStr">
        <is>
          <t>買進日期</t>
        </is>
      </c>
      <c r="B1" s="2" t="inlineStr">
        <is>
          <t>種類</t>
        </is>
      </c>
      <c r="C1" s="3" t="inlineStr">
        <is>
          <t>股票代號</t>
        </is>
      </c>
      <c r="D1" s="4" t="inlineStr">
        <is>
          <t>股票名稱</t>
        </is>
      </c>
      <c r="E1" s="4" t="inlineStr">
        <is>
          <t>股數</t>
        </is>
      </c>
      <c r="F1" s="4" t="inlineStr">
        <is>
          <t>買進價</t>
        </is>
      </c>
      <c r="G1" s="4" t="inlineStr">
        <is>
          <t>成交金額</t>
        </is>
      </c>
      <c r="H1" s="432" t="inlineStr">
        <is>
          <t>手續費</t>
        </is>
      </c>
      <c r="I1" s="4" t="inlineStr">
        <is>
          <t>賣出日期</t>
        </is>
      </c>
      <c r="J1" s="4" t="inlineStr">
        <is>
          <t>賣出價</t>
        </is>
      </c>
      <c r="K1" s="4" t="inlineStr">
        <is>
          <t>成交金額</t>
        </is>
      </c>
      <c r="L1" s="432" t="inlineStr">
        <is>
          <t>手續費</t>
        </is>
      </c>
      <c r="M1" s="432" t="inlineStr">
        <is>
          <t>交易稅</t>
        </is>
      </c>
      <c r="N1" s="3" t="inlineStr">
        <is>
          <t>證所稅</t>
        </is>
      </c>
      <c r="O1" s="4" t="inlineStr">
        <is>
          <t>參考現值</t>
        </is>
      </c>
      <c r="P1" s="433" t="inlineStr">
        <is>
          <t>已實現損益</t>
        </is>
      </c>
      <c r="Q1" s="4" t="inlineStr">
        <is>
          <t>未實現損益</t>
        </is>
      </c>
      <c r="R1" s="4" t="inlineStr">
        <is>
          <t>除息</t>
        </is>
      </c>
      <c r="S1" s="68" t="inlineStr">
        <is>
          <t>手續費</t>
        </is>
      </c>
      <c r="T1" s="68" t="inlineStr">
        <is>
          <t>健保補充保費</t>
        </is>
      </c>
      <c r="U1" s="68" t="inlineStr">
        <is>
          <t>實質扣抵稅率</t>
        </is>
      </c>
      <c r="V1" s="68" t="inlineStr">
        <is>
          <t>扣抵稅率</t>
        </is>
      </c>
      <c r="W1" s="68" t="inlineStr">
        <is>
          <t>所得稅率</t>
        </is>
      </c>
      <c r="X1" s="4" t="inlineStr">
        <is>
          <t>投資報酬率</t>
        </is>
      </c>
      <c r="Y1" s="4" t="inlineStr">
        <is>
          <t>今日股價</t>
        </is>
      </c>
      <c r="Z1" s="7" t="inlineStr">
        <is>
          <t>漲跌</t>
        </is>
      </c>
      <c r="AA1" s="89" t="n"/>
      <c r="AB1" s="86" t="inlineStr">
        <is>
          <t>買進理由</t>
        </is>
      </c>
      <c r="AC1" s="86" t="inlineStr">
        <is>
          <t>賣出理由</t>
        </is>
      </c>
    </row>
    <row r="2" outlineLevel="1">
      <c r="A2" s="99" t="n">
        <v>43509</v>
      </c>
      <c r="B2" s="11" t="inlineStr">
        <is>
          <t>普通買進</t>
        </is>
      </c>
      <c r="C2" s="11" t="n">
        <v>1902</v>
      </c>
      <c r="D2" s="133" t="inlineStr">
        <is>
          <t>台紙</t>
        </is>
      </c>
      <c r="E2" s="11" t="n">
        <v>1000</v>
      </c>
      <c r="F2" s="11" t="n">
        <v>20.25</v>
      </c>
      <c r="G2" s="11">
        <f>E2*F2</f>
        <v/>
      </c>
      <c r="H2" s="11" t="n">
        <v>28</v>
      </c>
      <c r="I2" s="104" t="n">
        <v>43515</v>
      </c>
      <c r="J2" s="16" t="n">
        <v>20</v>
      </c>
      <c r="K2" s="11">
        <f>E2*J2</f>
        <v/>
      </c>
      <c r="L2" s="17" t="n">
        <v>28</v>
      </c>
      <c r="M2" s="11" t="n">
        <v>60</v>
      </c>
      <c r="N2" s="11" t="n">
        <v>0</v>
      </c>
      <c r="O2" s="434">
        <f>IF(I2="",E2*Y2,0)</f>
        <v/>
      </c>
      <c r="P2" s="435">
        <f>IF(I2="",R2-H2,(K2-H2-SUM(L2:N2)+R2-S2-T2)-G2)+(ROUND(R2*V2,0)-ROUND(R2*(1+V2),0)*W2)</f>
        <v/>
      </c>
      <c r="Q2" s="435">
        <f>IF(I2="",(O2-G2-(O2*0.1425%*0.65)-(O2*0.3%)-S2-T2),0)</f>
        <v/>
      </c>
      <c r="R2" s="435" t="n"/>
      <c r="S2" s="435" t="n"/>
      <c r="T2" s="435">
        <f>IF(ROUND(R2*(1+V2),0)&gt;20000,ROUND(ROUND(R2*(1+V2),0)*2%,0),0)</f>
        <v/>
      </c>
      <c r="U2" s="69">
        <f>(V2*50%)/(1+50%*V2)</f>
        <v/>
      </c>
      <c r="V2" s="69" t="n"/>
      <c r="W2" s="70" t="n">
        <v>0.11</v>
      </c>
      <c r="X2" s="436">
        <f>(P2+Q2)/G2</f>
        <v/>
      </c>
      <c r="Y2" s="16">
        <f>VLOOKUP(C2,台股行情!A:D,4,FALSE)</f>
        <v/>
      </c>
      <c r="Z2" s="437">
        <f>VLOOKUP(C2,台股行情!A:E,5,FALSE)</f>
        <v/>
      </c>
      <c r="AA2" s="438">
        <f>IF(I2="",((TODAY()-A2)*G2)/365.24,((I2-A2)*G2)/365.24)</f>
        <v/>
      </c>
      <c r="AB2" s="271" t="inlineStr">
        <is>
          <t>阿水一式</t>
        </is>
      </c>
      <c r="AC2" s="103" t="inlineStr">
        <is>
          <t>連續四天收綠K，且已離開上通道</t>
        </is>
      </c>
    </row>
    <row r="3" outlineLevel="1">
      <c r="A3" s="99" t="n">
        <v>43509</v>
      </c>
      <c r="B3" s="11" t="inlineStr">
        <is>
          <t>普通買進</t>
        </is>
      </c>
      <c r="C3" s="11" t="n">
        <v>2355</v>
      </c>
      <c r="D3" s="272" t="inlineStr">
        <is>
          <t>敬鵬</t>
        </is>
      </c>
      <c r="E3" s="11" t="n">
        <v>1000</v>
      </c>
      <c r="F3" s="11" t="n">
        <v>42</v>
      </c>
      <c r="G3" s="11">
        <f>E3*F3</f>
        <v/>
      </c>
      <c r="H3" s="11" t="n">
        <v>59</v>
      </c>
      <c r="I3" s="104" t="n">
        <v>43517</v>
      </c>
      <c r="J3" s="16" t="n">
        <v>42.2</v>
      </c>
      <c r="K3" s="11">
        <f>E3*J3</f>
        <v/>
      </c>
      <c r="L3" s="17" t="n">
        <v>60</v>
      </c>
      <c r="M3" s="11" t="n">
        <v>126</v>
      </c>
      <c r="N3" s="11" t="n">
        <v>0</v>
      </c>
      <c r="O3" s="434">
        <f>IF(I3="",E3*Y3,0)</f>
        <v/>
      </c>
      <c r="P3" s="435">
        <f>IF(I3="",R3-H3,(K3-H3-SUM(L3:N3)+R3-S3-T3)-G3)+(ROUND(R3*V3,0)-ROUND(R3*(1+V3),0)*W3)</f>
        <v/>
      </c>
      <c r="Q3" s="435">
        <f>IF(I3="",(O3-G3-(O3*0.1425%*0.65)-(O3*0.3%)-S3-T3),0)</f>
        <v/>
      </c>
      <c r="R3" s="435" t="n"/>
      <c r="S3" s="435" t="n"/>
      <c r="T3" s="435">
        <f>IF(ROUND(R3*(1+V3),0)&gt;20000,ROUND(ROUND(R3*(1+V3),0)*2%,0),0)</f>
        <v/>
      </c>
      <c r="U3" s="69">
        <f>(V3*50%)/(1+50%*V3)</f>
        <v/>
      </c>
      <c r="V3" s="69" t="n"/>
      <c r="W3" s="70" t="n">
        <v>0.11</v>
      </c>
      <c r="X3" s="436">
        <f>(P3+Q3)/G3</f>
        <v/>
      </c>
      <c r="Y3" s="16">
        <f>VLOOKUP(C3,台股行情!A:D,4,FALSE)</f>
        <v/>
      </c>
      <c r="Z3" s="437">
        <f>VLOOKUP(C3,台股行情!A:E,5,FALSE)</f>
        <v/>
      </c>
      <c r="AA3" s="438">
        <f>IF(I3="",((TODAY()-A3)*G3)/365.24,((I3-A3)*G3)/365.24)</f>
        <v/>
      </c>
      <c r="AB3" s="100" t="inlineStr">
        <is>
          <t>阿水一式</t>
        </is>
      </c>
      <c r="AC3" s="271" t="inlineStr">
        <is>
          <t>五天內收綠K居多，且已離開上通道</t>
        </is>
      </c>
    </row>
    <row r="4" outlineLevel="1">
      <c r="A4" s="99" t="n">
        <v>43509</v>
      </c>
      <c r="B4" s="11" t="inlineStr">
        <is>
          <t>普通買進</t>
        </is>
      </c>
      <c r="C4" s="11" t="n">
        <v>4947</v>
      </c>
      <c r="D4" s="133" t="inlineStr">
        <is>
          <t>昂寶-KY</t>
        </is>
      </c>
      <c r="E4" s="11" t="n">
        <v>1000</v>
      </c>
      <c r="F4" s="11" t="n">
        <v>188</v>
      </c>
      <c r="G4" s="11">
        <f>E4*F4</f>
        <v/>
      </c>
      <c r="H4" s="11" t="n">
        <v>267</v>
      </c>
      <c r="I4" s="104" t="n">
        <v>43518</v>
      </c>
      <c r="J4" s="16" t="n">
        <v>191</v>
      </c>
      <c r="K4" s="11">
        <f>E4*J4</f>
        <v/>
      </c>
      <c r="L4" s="17" t="n">
        <v>272</v>
      </c>
      <c r="M4" s="11" t="n">
        <v>573</v>
      </c>
      <c r="N4" s="11" t="n">
        <v>0</v>
      </c>
      <c r="O4" s="434">
        <f>IF(I4="",E4*Y4,0)</f>
        <v/>
      </c>
      <c r="P4" s="435">
        <f>IF(I4="",R4-H4,(K4-H4-SUM(L4:N4)+R4-S4-T4)-G4)+(ROUND(R4*V4,0)-ROUND(R4*(1+V4),0)*W4)</f>
        <v/>
      </c>
      <c r="Q4" s="435">
        <f>IF(I4="",(O4-G4-(O4*0.1425%*0.65)-(O4*0.3%)-S4-T4),0)</f>
        <v/>
      </c>
      <c r="R4" s="435" t="n"/>
      <c r="S4" s="435" t="n"/>
      <c r="T4" s="435">
        <f>IF(ROUND(R4*(1+V4),0)&gt;20000,ROUND(ROUND(R4*(1+V4),0)*2%,0),0)</f>
        <v/>
      </c>
      <c r="U4" s="69">
        <f>(V4*50%)/(1+50%*V4)</f>
        <v/>
      </c>
      <c r="V4" s="69" t="n"/>
      <c r="W4" s="70" t="n">
        <v>0.11</v>
      </c>
      <c r="X4" s="436">
        <f>(P4+Q4)/G4</f>
        <v/>
      </c>
      <c r="Y4" s="16">
        <f>VLOOKUP(C4,台股行情!A:D,4,FALSE)</f>
        <v/>
      </c>
      <c r="Z4" s="437">
        <f>VLOOKUP(C4,台股行情!A:E,5,FALSE)</f>
        <v/>
      </c>
      <c r="AA4" s="438">
        <f>IF(I4="",((TODAY()-A4)*G4)/365.24,((I4-A4)*G4)/365.24)</f>
        <v/>
      </c>
      <c r="AB4" s="100" t="inlineStr">
        <is>
          <t>阿水一式</t>
        </is>
      </c>
      <c r="AC4" s="103" t="inlineStr">
        <is>
          <t>連續四天收綠K，且已離開上通道</t>
        </is>
      </c>
    </row>
    <row r="5" outlineLevel="1">
      <c r="A5" s="99" t="n">
        <v>43509</v>
      </c>
      <c r="B5" s="11" t="inlineStr">
        <is>
          <t>普通買進</t>
        </is>
      </c>
      <c r="C5" s="11" t="n">
        <v>3376</v>
      </c>
      <c r="D5" s="11" t="inlineStr">
        <is>
          <t>新日興</t>
        </is>
      </c>
      <c r="E5" s="11" t="n">
        <v>1000</v>
      </c>
      <c r="F5" s="11" t="n">
        <v>95.5</v>
      </c>
      <c r="G5" s="11">
        <f>E5*F5</f>
        <v/>
      </c>
      <c r="H5" s="11" t="n">
        <v>136</v>
      </c>
      <c r="I5" s="104" t="n">
        <v>43530</v>
      </c>
      <c r="J5" s="16" t="n">
        <v>102.5</v>
      </c>
      <c r="K5" s="11">
        <f>E5*J5</f>
        <v/>
      </c>
      <c r="L5" s="17" t="n">
        <v>146</v>
      </c>
      <c r="M5" s="11" t="n">
        <v>307</v>
      </c>
      <c r="N5" s="11" t="n">
        <v>0</v>
      </c>
      <c r="O5" s="434">
        <f>IF(I5="",E5*Y5,0)</f>
        <v/>
      </c>
      <c r="P5" s="435">
        <f>IF(I5="",R5-H5,(K5-H5-SUM(L5:N5)+R5-S5-T5)-G5)+(ROUND(R5*V5,0)-ROUND(R5*(1+V5),0)*W5)</f>
        <v/>
      </c>
      <c r="Q5" s="435">
        <f>IF(I5="",(O5-G5-(O5*0.1425%*0.65)-(O5*0.3%)-S5-T5),0)</f>
        <v/>
      </c>
      <c r="R5" s="435" t="n"/>
      <c r="S5" s="435" t="n"/>
      <c r="T5" s="435">
        <f>IF(ROUND(R5*(1+V5),0)&gt;20000,ROUND(ROUND(R5*(1+V5),0)*2%,0),0)</f>
        <v/>
      </c>
      <c r="U5" s="69">
        <f>(V5*50%)/(1+50%*V5)</f>
        <v/>
      </c>
      <c r="V5" s="69" t="n"/>
      <c r="W5" s="70" t="n">
        <v>0.11</v>
      </c>
      <c r="X5" s="436">
        <f>(P5+Q5)/G5</f>
        <v/>
      </c>
      <c r="Y5" s="16">
        <f>VLOOKUP(C5,台股行情!A:D,4,FALSE)</f>
        <v/>
      </c>
      <c r="Z5" s="437">
        <f>VLOOKUP(C5,台股行情!A:E,5,FALSE)</f>
        <v/>
      </c>
      <c r="AA5" s="438">
        <f>IF(I5="",((TODAY()-A5)*G5)/365.24,((I5-A5)*G5)/365.24)</f>
        <v/>
      </c>
      <c r="AB5" s="100" t="inlineStr">
        <is>
          <t>阿水一式</t>
        </is>
      </c>
      <c r="AC5" s="103" t="inlineStr">
        <is>
          <t>連續四天收綠K，且已離開上通道，2/26就應賣出，因帳密問題延遲</t>
        </is>
      </c>
    </row>
    <row r="6" outlineLevel="1">
      <c r="A6" s="99" t="n">
        <v>43558</v>
      </c>
      <c r="B6" s="11" t="inlineStr">
        <is>
          <t>普通買進</t>
        </is>
      </c>
      <c r="C6" s="11" t="n">
        <v>6108</v>
      </c>
      <c r="D6" s="11" t="inlineStr">
        <is>
          <t>競國</t>
        </is>
      </c>
      <c r="E6" s="11" t="n">
        <v>1000</v>
      </c>
      <c r="F6" s="11" t="n">
        <v>30.55</v>
      </c>
      <c r="G6" s="11">
        <f>E6*F6</f>
        <v/>
      </c>
      <c r="H6" s="11" t="n">
        <v>43</v>
      </c>
      <c r="I6" s="104" t="n">
        <v>43564</v>
      </c>
      <c r="J6" s="16" t="n">
        <v>29.5</v>
      </c>
      <c r="K6" s="11">
        <f>E6*J6</f>
        <v/>
      </c>
      <c r="L6" s="17" t="n">
        <v>42</v>
      </c>
      <c r="M6" s="11" t="n">
        <v>88</v>
      </c>
      <c r="N6" s="11" t="n">
        <v>0</v>
      </c>
      <c r="O6" s="434">
        <f>IF(I6="",E6*Y6,0)</f>
        <v/>
      </c>
      <c r="P6" s="435">
        <f>IF(I6="",R6-H6,(K6-H6-SUM(L6:N6)+R6-S6-T6)-G6)+(ROUND(R6*V6,0)-ROUND(R6*(1+V6),0)*W6)</f>
        <v/>
      </c>
      <c r="Q6" s="435">
        <f>IF(I6="",(O6-G6-(O6*0.1425%*0.65)-(O6*0.3%)-S6-T6),0)</f>
        <v/>
      </c>
      <c r="R6" s="435" t="n"/>
      <c r="S6" s="435" t="n"/>
      <c r="T6" s="435">
        <f>IF(ROUND(R6*(1+V6),0)&gt;20000,ROUND(ROUND(R6*(1+V6),0)*2%,0),0)</f>
        <v/>
      </c>
      <c r="U6" s="69">
        <f>(V6*50%)/(1+50%*V6)</f>
        <v/>
      </c>
      <c r="V6" s="69" t="n"/>
      <c r="W6" s="70" t="n">
        <v>0.11</v>
      </c>
      <c r="X6" s="436">
        <f>(P6+Q6)/G6</f>
        <v/>
      </c>
      <c r="Y6" s="16">
        <f>VLOOKUP(C6,台股行情!A:D,4,FALSE)</f>
        <v/>
      </c>
      <c r="Z6" s="437">
        <f>VLOOKUP(C6,台股行情!A:E,5,FALSE)</f>
        <v/>
      </c>
      <c r="AA6" s="438">
        <f>IF(I6="",((TODAY()-A6)*G6)/365.24,((I6-A6)*G6)/365.24)</f>
        <v/>
      </c>
      <c r="AB6" s="100" t="inlineStr">
        <is>
          <t>阿水一式</t>
        </is>
      </c>
      <c r="AC6" s="119" t="inlineStr">
        <is>
          <t>買進後連續二天收綠K，且已離開上通道</t>
        </is>
      </c>
    </row>
    <row r="7" outlineLevel="1">
      <c r="A7" s="99" t="n">
        <v>43553</v>
      </c>
      <c r="B7" s="11" t="inlineStr">
        <is>
          <t>普通買進</t>
        </is>
      </c>
      <c r="C7" s="11" t="n">
        <v>2451</v>
      </c>
      <c r="D7" s="11" t="inlineStr">
        <is>
          <t>創見</t>
        </is>
      </c>
      <c r="E7" s="11" t="n">
        <v>1000</v>
      </c>
      <c r="F7" s="11" t="n">
        <v>69.90000000000001</v>
      </c>
      <c r="G7" s="11">
        <f>E7*F7</f>
        <v/>
      </c>
      <c r="H7" s="11" t="n">
        <v>99</v>
      </c>
      <c r="I7" s="104" t="n">
        <v>43570</v>
      </c>
      <c r="J7" s="16" t="n">
        <v>69.59999999999999</v>
      </c>
      <c r="K7" s="11">
        <f>E7*J7</f>
        <v/>
      </c>
      <c r="L7" s="17" t="n">
        <v>99</v>
      </c>
      <c r="M7" s="11" t="n">
        <v>208</v>
      </c>
      <c r="N7" s="11" t="n">
        <v>0</v>
      </c>
      <c r="O7" s="434">
        <f>IF(I7="",E7*Y7,0)</f>
        <v/>
      </c>
      <c r="P7" s="435">
        <f>IF(I7="",R7-H7,(K7-H7-SUM(L7:N7)+R7-S7-T7)-G7)+(ROUND(R7*V7,0)-ROUND(R7*(1+V7),0)*W7)</f>
        <v/>
      </c>
      <c r="Q7" s="435">
        <f>IF(I7="",(O7-G7-(O7*0.1425%*0.65)-(O7*0.3%)-S7-T7),0)</f>
        <v/>
      </c>
      <c r="R7" s="435" t="n"/>
      <c r="S7" s="435" t="n"/>
      <c r="T7" s="435">
        <f>IF(ROUND(R7*(1+V7),0)&gt;20000,ROUND(ROUND(R7*(1+V7),0)*2%,0),0)</f>
        <v/>
      </c>
      <c r="U7" s="69">
        <f>(V7*50%)/(1+50%*V7)</f>
        <v/>
      </c>
      <c r="V7" s="69" t="n"/>
      <c r="W7" s="70" t="n">
        <v>0.11</v>
      </c>
      <c r="X7" s="436">
        <f>(P7+Q7)/G7</f>
        <v/>
      </c>
      <c r="Y7" s="16">
        <f>VLOOKUP(C7,台股行情!A:D,4,FALSE)</f>
        <v/>
      </c>
      <c r="Z7" s="437">
        <f>VLOOKUP(C7,台股行情!A:E,5,FALSE)</f>
        <v/>
      </c>
      <c r="AA7" s="438">
        <f>IF(I7="",((TODAY()-A7)*G7)/365.24,((I7-A7)*G7)/365.24)</f>
        <v/>
      </c>
      <c r="AB7" s="100" t="inlineStr">
        <is>
          <t>阿水一式</t>
        </is>
      </c>
      <c r="AC7" s="103" t="inlineStr">
        <is>
          <t>碰20MA停損出場</t>
        </is>
      </c>
    </row>
    <row r="8" outlineLevel="1">
      <c r="A8" s="99" t="n">
        <v>43553</v>
      </c>
      <c r="B8" s="11" t="inlineStr">
        <is>
          <t>普通買進</t>
        </is>
      </c>
      <c r="C8" s="11" t="n">
        <v>3213</v>
      </c>
      <c r="D8" s="11" t="inlineStr">
        <is>
          <t>茂訊</t>
        </is>
      </c>
      <c r="E8" s="11" t="n">
        <v>1000</v>
      </c>
      <c r="F8" s="11" t="n">
        <v>43.85</v>
      </c>
      <c r="G8" s="11">
        <f>E8*F8</f>
        <v/>
      </c>
      <c r="H8" s="11" t="n">
        <v>62</v>
      </c>
      <c r="I8" s="104" t="n">
        <v>43577</v>
      </c>
      <c r="J8" s="16" t="n">
        <v>44.65</v>
      </c>
      <c r="K8" s="11">
        <f>E8*J8</f>
        <v/>
      </c>
      <c r="L8" s="17" t="n">
        <v>63</v>
      </c>
      <c r="M8" s="11" t="n">
        <v>133</v>
      </c>
      <c r="N8" s="11" t="n">
        <v>0</v>
      </c>
      <c r="O8" s="434">
        <f>IF(I8="",E8*Y8,0)</f>
        <v/>
      </c>
      <c r="P8" s="435">
        <f>IF(I8="",R8-H8,(K8-H8-SUM(L8:N8)+R8-S8-T8)-G8)+(ROUND(R8*V8,0)-ROUND(R8*(1+V8),0)*W8)</f>
        <v/>
      </c>
      <c r="Q8" s="435">
        <f>IF(I8="",(O8-G8-(O8*0.1425%*0.65)-(O8*0.3%)-S8-T8),0)</f>
        <v/>
      </c>
      <c r="R8" s="435" t="n"/>
      <c r="S8" s="435" t="n"/>
      <c r="T8" s="435">
        <f>IF(ROUND(R8*(1+V8),0)&gt;20000,ROUND(ROUND(R8*(1+V8),0)*2%,0),0)</f>
        <v/>
      </c>
      <c r="U8" s="69">
        <f>(V8*50%)/(1+50%*V8)</f>
        <v/>
      </c>
      <c r="V8" s="69" t="n"/>
      <c r="W8" s="70" t="n">
        <v>0.11</v>
      </c>
      <c r="X8" s="436">
        <f>(P8+Q8)/G8</f>
        <v/>
      </c>
      <c r="Y8" s="16">
        <f>VLOOKUP(C8,台股行情!A:D,4,FALSE)</f>
        <v/>
      </c>
      <c r="Z8" s="437">
        <f>VLOOKUP(C8,台股行情!A:E,5,FALSE)</f>
        <v/>
      </c>
      <c r="AA8" s="438">
        <f>IF(I8="",((TODAY()-A8)*G8)/365.24,((I8-A8)*G8)/365.24)</f>
        <v/>
      </c>
      <c r="AB8" s="100" t="inlineStr">
        <is>
          <t>阿水一式</t>
        </is>
      </c>
      <c r="AC8" s="120" t="inlineStr">
        <is>
          <t>大盤日線近上通道，個股跌破近期支撐出場</t>
        </is>
      </c>
    </row>
    <row r="9" outlineLevel="1">
      <c r="A9" s="99" t="n">
        <v>43553</v>
      </c>
      <c r="B9" s="11" t="inlineStr">
        <is>
          <t>普通買進</t>
        </is>
      </c>
      <c r="C9" s="11" t="n">
        <v>5340</v>
      </c>
      <c r="D9" s="11" t="inlineStr">
        <is>
          <t>建榮</t>
        </is>
      </c>
      <c r="E9" s="11" t="n">
        <v>1000</v>
      </c>
      <c r="F9" s="11" t="n">
        <v>27.25</v>
      </c>
      <c r="G9" s="11">
        <f>E9*F9</f>
        <v/>
      </c>
      <c r="H9" s="11" t="n">
        <v>38</v>
      </c>
      <c r="I9" s="104" t="n">
        <v>43578</v>
      </c>
      <c r="J9" s="16" t="n">
        <v>45.8</v>
      </c>
      <c r="K9" s="11">
        <f>E9*J9</f>
        <v/>
      </c>
      <c r="L9" s="17" t="n">
        <v>65</v>
      </c>
      <c r="M9" s="11" t="n">
        <v>137</v>
      </c>
      <c r="N9" s="11" t="n">
        <v>0</v>
      </c>
      <c r="O9" s="434">
        <f>IF(I9="",E9*Y9,0)</f>
        <v/>
      </c>
      <c r="P9" s="435">
        <f>IF(I9="",R9-H9,(K9-H9-SUM(L9:N9)+R9-S9-T9)-G9)+(ROUND(R9*V9,0)-ROUND(R9*(1+V9),0)*W9)</f>
        <v/>
      </c>
      <c r="Q9" s="435">
        <f>IF(I9="",(O9-G9-(O9*0.1425%*0.65)-(O9*0.3%)-S9-T9),0)</f>
        <v/>
      </c>
      <c r="R9" s="435" t="n"/>
      <c r="S9" s="435" t="n"/>
      <c r="T9" s="435">
        <f>IF(ROUND(R9*(1+V9),0)&gt;20000,ROUND(ROUND(R9*(1+V9),0)*2%,0),0)</f>
        <v/>
      </c>
      <c r="U9" s="69">
        <f>(V9*50%)/(1+50%*V9)</f>
        <v/>
      </c>
      <c r="V9" s="69" t="n"/>
      <c r="W9" s="70" t="n">
        <v>0.11</v>
      </c>
      <c r="X9" s="436">
        <f>(P9+Q9)/G9</f>
        <v/>
      </c>
      <c r="Y9" s="16">
        <f>VLOOKUP(C9,台股行情!A:D,4,FALSE)</f>
        <v/>
      </c>
      <c r="Z9" s="437">
        <f>VLOOKUP(C9,台股行情!A:E,5,FALSE)</f>
        <v/>
      </c>
      <c r="AA9" s="438">
        <f>IF(I9="",((TODAY()-A9)*G9)/365.24,((I9-A9)*G9)/365.24)</f>
        <v/>
      </c>
      <c r="AB9" s="100" t="inlineStr">
        <is>
          <t>阿水一式</t>
        </is>
      </c>
      <c r="AC9" s="103" t="inlineStr">
        <is>
          <t>短線下殺，獲利了結</t>
        </is>
      </c>
    </row>
    <row r="10" outlineLevel="1">
      <c r="A10" s="99" t="n">
        <v>43637</v>
      </c>
      <c r="B10" s="11" t="inlineStr">
        <is>
          <t>普通買進</t>
        </is>
      </c>
      <c r="C10" s="11" t="n">
        <v>6180</v>
      </c>
      <c r="D10" s="11" t="inlineStr">
        <is>
          <t>橘子</t>
        </is>
      </c>
      <c r="E10" s="11" t="n">
        <v>1000</v>
      </c>
      <c r="F10" s="11" t="n">
        <v>74</v>
      </c>
      <c r="G10" s="11">
        <f>E10*F10</f>
        <v/>
      </c>
      <c r="H10" s="11" t="n">
        <v>105</v>
      </c>
      <c r="I10" s="104" t="n">
        <v>43644</v>
      </c>
      <c r="J10" s="16" t="n">
        <v>66.3</v>
      </c>
      <c r="K10" s="11">
        <f>E10*J10</f>
        <v/>
      </c>
      <c r="L10" s="17" t="n">
        <v>94</v>
      </c>
      <c r="M10" s="11" t="n">
        <v>198</v>
      </c>
      <c r="N10" s="11" t="n">
        <v>0</v>
      </c>
      <c r="O10" s="434">
        <f>IF(I10="",E10*Y10,0)</f>
        <v/>
      </c>
      <c r="P10" s="435">
        <f>IF(I10="",R10-H10,(K10-H10-SUM(L10:N10)+R10-S10-T10)-G10)+(ROUND(R10*V10,0)-ROUND(R10*(1+V10),0)*W10)</f>
        <v/>
      </c>
      <c r="Q10" s="435">
        <f>IF(I10="",(O10-G10-(O10*0.1425%*0.65)-(O10*0.3%)-S10-T10),0)</f>
        <v/>
      </c>
      <c r="R10" s="435" t="n">
        <v>6200</v>
      </c>
      <c r="S10" s="435" t="n">
        <v>10</v>
      </c>
      <c r="T10" s="435">
        <f>IF(ROUND(R10*(1+V10),0)&gt;20000,ROUND(ROUND(R10*(1+V10),0)*2%,0),0)</f>
        <v/>
      </c>
      <c r="U10" s="69">
        <f>(V10*50%)/(1+50%*V10)</f>
        <v/>
      </c>
      <c r="V10" s="69" t="n">
        <v>0.08500000000000001</v>
      </c>
      <c r="W10" s="70" t="n">
        <v>0.11</v>
      </c>
      <c r="X10" s="436">
        <f>(P10+Q10)/G10</f>
        <v/>
      </c>
      <c r="Y10" s="16">
        <f>VLOOKUP(C10,台股行情!A:D,4,FALSE)</f>
        <v/>
      </c>
      <c r="Z10" s="437">
        <f>VLOOKUP(C10,台股行情!A:E,5,FALSE)</f>
        <v/>
      </c>
      <c r="AA10" s="438">
        <f>IF(I10="",((TODAY()-A10)*G10)/365.24,((I10-A10)*G10)/365.24)</f>
        <v/>
      </c>
      <c r="AB10" s="125" t="inlineStr">
        <is>
          <t>現金殖利率 &gt; 8%</t>
        </is>
      </c>
      <c r="AC10" s="103" t="inlineStr">
        <is>
          <t>除息後，連續四個交易日收綠K，停損出場</t>
        </is>
      </c>
    </row>
    <row r="11" outlineLevel="1">
      <c r="A11" s="99" t="n">
        <v>43637</v>
      </c>
      <c r="B11" s="11" t="inlineStr">
        <is>
          <t>普通買進</t>
        </is>
      </c>
      <c r="C11" s="11" t="n">
        <v>6613</v>
      </c>
      <c r="D11" s="11" t="inlineStr">
        <is>
          <t>朋億</t>
        </is>
      </c>
      <c r="E11" s="11" t="n">
        <v>1000</v>
      </c>
      <c r="F11" s="11" t="n">
        <v>175</v>
      </c>
      <c r="G11" s="11">
        <f>E11*F11</f>
        <v/>
      </c>
      <c r="H11" s="11" t="n">
        <v>249</v>
      </c>
      <c r="I11" s="104" t="n">
        <v>43644</v>
      </c>
      <c r="J11" s="16" t="n">
        <v>159.5</v>
      </c>
      <c r="K11" s="11">
        <f>E11*J11</f>
        <v/>
      </c>
      <c r="L11" s="17" t="n">
        <v>227</v>
      </c>
      <c r="M11" s="11" t="n">
        <v>478</v>
      </c>
      <c r="N11" s="11" t="n">
        <v>0</v>
      </c>
      <c r="O11" s="434">
        <f>IF(I11="",E11*Y11,0)</f>
        <v/>
      </c>
      <c r="P11" s="435">
        <f>IF(I11="",R11-H11,(K11-H11-SUM(L11:N11)+R11-S11-T11)-G11)+(ROUND(R11*V11,0)-ROUND(R11*(1+V11),0)*W11)</f>
        <v/>
      </c>
      <c r="Q11" s="435">
        <f>IF(I11="",(O11-G11-(O11*0.1425%*0.65)-(O11*0.3%)-S11-T11),0)</f>
        <v/>
      </c>
      <c r="R11" s="435" t="n">
        <v>15000</v>
      </c>
      <c r="S11" s="435" t="n">
        <v>10</v>
      </c>
      <c r="T11" s="435">
        <f>IF(ROUND(R11*(1+V11),0)&gt;20000,ROUND(ROUND(R11*(1+V11),0)*2%,0),0)</f>
        <v/>
      </c>
      <c r="U11" s="69">
        <f>(V11*50%)/(1+50%*V11)</f>
        <v/>
      </c>
      <c r="V11" s="69" t="n">
        <v>0.08500000000000001</v>
      </c>
      <c r="W11" s="70" t="n">
        <v>0.11</v>
      </c>
      <c r="X11" s="436">
        <f>(P11+Q11)/G11</f>
        <v/>
      </c>
      <c r="Y11" s="16">
        <f>VLOOKUP(C11,台股行情!A:D,4,FALSE)</f>
        <v/>
      </c>
      <c r="Z11" s="437">
        <f>VLOOKUP(C11,台股行情!A:E,5,FALSE)</f>
        <v/>
      </c>
      <c r="AA11" s="438">
        <f>IF(I11="",((TODAY()-A11)*G11)/365.24,((I11-A11)*G11)/365.24)</f>
        <v/>
      </c>
      <c r="AB11" s="125" t="inlineStr">
        <is>
          <t>現金殖利率 &gt; 8%</t>
        </is>
      </c>
      <c r="AC11" s="103" t="inlineStr">
        <is>
          <t>除息後，連續四個交易日收綠K，停損出場</t>
        </is>
      </c>
    </row>
    <row r="12" outlineLevel="1">
      <c r="A12" s="99" t="n">
        <v>43637</v>
      </c>
      <c r="B12" s="11" t="inlineStr">
        <is>
          <t>普通買進</t>
        </is>
      </c>
      <c r="C12" s="11" t="n">
        <v>4153</v>
      </c>
      <c r="D12" s="11" t="inlineStr">
        <is>
          <t>鈺緯</t>
        </is>
      </c>
      <c r="E12" s="11" t="n">
        <v>2000</v>
      </c>
      <c r="F12" s="11" t="n">
        <v>36.45</v>
      </c>
      <c r="G12" s="11">
        <f>E12*F12</f>
        <v/>
      </c>
      <c r="H12" s="11" t="n">
        <v>103</v>
      </c>
      <c r="I12" s="104" t="n">
        <v>43647</v>
      </c>
      <c r="J12" s="16" t="n">
        <v>35.9</v>
      </c>
      <c r="K12" s="11">
        <f>E12*J12</f>
        <v/>
      </c>
      <c r="L12" s="17" t="n">
        <v>102</v>
      </c>
      <c r="M12" s="11" t="n">
        <v>215</v>
      </c>
      <c r="N12" s="11" t="n">
        <v>0</v>
      </c>
      <c r="O12" s="434">
        <f>IF(I12="",E12*Y12,0)</f>
        <v/>
      </c>
      <c r="P12" s="435">
        <f>IF(I12="",R12-H12,(K12-H12-SUM(L12:N12)+R12-S12-T12)-G12)+(ROUND(R12*V12,0)-ROUND(R12*(1+V12),0)*W12)</f>
        <v/>
      </c>
      <c r="Q12" s="435">
        <f>IF(I12="",(O12-G12-(O12*0.1425%*0.65)-(O12*0.3%)-S12-T12),0)</f>
        <v/>
      </c>
      <c r="R12" s="435" t="n">
        <v>2960</v>
      </c>
      <c r="S12" s="435" t="n">
        <v>10</v>
      </c>
      <c r="T12" s="435">
        <f>IF(ROUND(R12*(1+V12),0)&gt;20000,ROUND(ROUND(R12*(1+V12),0)*2%,0),0)</f>
        <v/>
      </c>
      <c r="U12" s="69">
        <f>(V12*50%)/(1+50%*V12)</f>
        <v/>
      </c>
      <c r="V12" s="69" t="n">
        <v>0.08500000000000001</v>
      </c>
      <c r="W12" s="70" t="n">
        <v>0.11</v>
      </c>
      <c r="X12" s="436">
        <f>(P12+Q12)/G12</f>
        <v/>
      </c>
      <c r="Y12" s="16">
        <f>VLOOKUP(C12,台股行情!A:D,4,FALSE)</f>
        <v/>
      </c>
      <c r="Z12" s="437">
        <f>VLOOKUP(C12,台股行情!A:E,5,FALSE)</f>
        <v/>
      </c>
      <c r="AA12" s="438">
        <f>IF(I12="",((TODAY()-A12)*G12)/365.24,((I12-A12)*G12)/365.24)</f>
        <v/>
      </c>
      <c r="AB12" s="100" t="n"/>
      <c r="AC12" s="103" t="inlineStr">
        <is>
          <t>綠K跌破近期支撐</t>
        </is>
      </c>
    </row>
    <row r="13" outlineLevel="1">
      <c r="A13" s="99" t="n">
        <v>43637</v>
      </c>
      <c r="B13" s="11" t="inlineStr">
        <is>
          <t>普通買進</t>
        </is>
      </c>
      <c r="C13" s="11" t="n">
        <v>2385</v>
      </c>
      <c r="D13" s="11" t="inlineStr">
        <is>
          <t>群光</t>
        </is>
      </c>
      <c r="E13" s="11" t="n">
        <v>1000</v>
      </c>
      <c r="F13" s="11" t="n">
        <v>78.5</v>
      </c>
      <c r="G13" s="11">
        <f>E13*F13</f>
        <v/>
      </c>
      <c r="H13" s="11" t="n">
        <v>111</v>
      </c>
      <c r="I13" s="104" t="n">
        <v>43649</v>
      </c>
      <c r="J13" s="16" t="n">
        <v>76.90000000000001</v>
      </c>
      <c r="K13" s="11">
        <f>E13*J13</f>
        <v/>
      </c>
      <c r="L13" s="17" t="n">
        <v>109</v>
      </c>
      <c r="M13" s="11" t="n">
        <v>230</v>
      </c>
      <c r="N13" s="11" t="n">
        <v>0</v>
      </c>
      <c r="O13" s="434">
        <f>IF(I13="",E13*Y13,0)</f>
        <v/>
      </c>
      <c r="P13" s="435">
        <f>IF(I13="",R13-H13,(K13-H13-SUM(L13:N13)+R13-S13-T13)-G13)+(ROUND(R13*V13,0)-ROUND(R13*(1+V13),0)*W13)</f>
        <v/>
      </c>
      <c r="Q13" s="435">
        <f>IF(I13="",(O13-G13-(O13*0.1425%*0.65)-(O13*0.3%)-S13-T13),0)</f>
        <v/>
      </c>
      <c r="R13" s="435" t="n">
        <v>3800</v>
      </c>
      <c r="S13" s="435" t="n">
        <v>10</v>
      </c>
      <c r="T13" s="435">
        <f>IF(ROUND(R13*(1+V13),0)&gt;20000,ROUND(ROUND(R13*(1+V13),0)*2%,0),0)</f>
        <v/>
      </c>
      <c r="U13" s="69">
        <f>(V13*50%)/(1+50%*V13)</f>
        <v/>
      </c>
      <c r="V13" s="69" t="n"/>
      <c r="W13" s="70" t="n">
        <v>0.11</v>
      </c>
      <c r="X13" s="436">
        <f>(P13+Q13)/G13</f>
        <v/>
      </c>
      <c r="Y13" s="16">
        <f>VLOOKUP(C13,台股行情!A:D,4,FALSE)</f>
        <v/>
      </c>
      <c r="Z13" s="437">
        <f>VLOOKUP(C13,台股行情!A:E,5,FALSE)</f>
        <v/>
      </c>
      <c r="AA13" s="438">
        <f>IF(I13="",((TODAY()-A13)*G13)/365.24,((I13-A13)*G13)/365.24)</f>
        <v/>
      </c>
      <c r="AB13" s="126" t="inlineStr">
        <is>
          <t>股利 Sharpe&gt;10</t>
        </is>
      </c>
      <c r="AC13" s="103" t="inlineStr">
        <is>
          <t>跌破20MA，未破近期支撐，應可再觀察</t>
        </is>
      </c>
    </row>
    <row r="14" outlineLevel="1">
      <c r="A14" s="99" t="n">
        <v>43641</v>
      </c>
      <c r="B14" s="11" t="inlineStr">
        <is>
          <t>普通買進</t>
        </is>
      </c>
      <c r="C14" s="11" t="n">
        <v>8916</v>
      </c>
      <c r="D14" s="11" t="inlineStr">
        <is>
          <t>光隆</t>
        </is>
      </c>
      <c r="E14" s="11" t="n">
        <v>1000</v>
      </c>
      <c r="F14" s="11" t="n">
        <v>49.15</v>
      </c>
      <c r="G14" s="11">
        <f>E14*F14</f>
        <v/>
      </c>
      <c r="H14" s="11" t="n">
        <v>70</v>
      </c>
      <c r="I14" s="104" t="n">
        <v>43647</v>
      </c>
      <c r="J14" s="16" t="n">
        <v>47.2</v>
      </c>
      <c r="K14" s="11">
        <f>E14*J14</f>
        <v/>
      </c>
      <c r="L14" s="17" t="n">
        <v>67</v>
      </c>
      <c r="M14" s="11" t="n">
        <v>141</v>
      </c>
      <c r="N14" s="11" t="n">
        <v>0</v>
      </c>
      <c r="O14" s="434">
        <f>IF(I14="",E14*Y14,0)</f>
        <v/>
      </c>
      <c r="P14" s="435">
        <f>IF(I14="",R14-H14,(K14-H14-SUM(L14:N14)+R14-S14-T14)-G14)+(ROUND(R14*V14,0)-ROUND(R14*(1+V14),0)*W14)</f>
        <v/>
      </c>
      <c r="Q14" s="435">
        <f>IF(I14="",(O14-G14-(O14*0.1425%*0.65)-(O14*0.3%)-S14-T14),0)</f>
        <v/>
      </c>
      <c r="R14" s="435" t="n">
        <v>3371</v>
      </c>
      <c r="S14" s="435" t="n">
        <v>10</v>
      </c>
      <c r="T14" s="435">
        <f>IF(ROUND(R14*(1+V14),0)&gt;20000,ROUND(ROUND(R14*(1+V14),0)*2%,0),0)</f>
        <v/>
      </c>
      <c r="U14" s="69">
        <f>(V14*50%)/(1+50%*V14)</f>
        <v/>
      </c>
      <c r="V14" s="69" t="n"/>
      <c r="W14" s="70" t="n">
        <v>0.11</v>
      </c>
      <c r="X14" s="436">
        <f>(P14+Q14)/G14</f>
        <v/>
      </c>
      <c r="Y14" s="16">
        <f>VLOOKUP(C14,台股行情!A:D,4,FALSE)</f>
        <v/>
      </c>
      <c r="Z14" s="437">
        <f>VLOOKUP(C14,台股行情!A:E,5,FALSE)</f>
        <v/>
      </c>
      <c r="AA14" s="438">
        <f>IF(I14="",((TODAY()-A14)*G14)/365.24,((I14-A14)*G14)/365.24)</f>
        <v/>
      </c>
      <c r="AB14" s="125" t="inlineStr">
        <is>
          <t>現金殖利率 &gt; 8%</t>
        </is>
      </c>
      <c r="AC14" s="103" t="inlineStr">
        <is>
          <t>20MA下彎，未破近期支撐，應可再觀察</t>
        </is>
      </c>
    </row>
    <row r="15" outlineLevel="1">
      <c r="A15" s="99" t="n">
        <v>43644</v>
      </c>
      <c r="B15" s="11" t="inlineStr">
        <is>
          <t>普通買進</t>
        </is>
      </c>
      <c r="C15" s="11" t="n">
        <v>4974</v>
      </c>
      <c r="D15" s="11" t="inlineStr">
        <is>
          <t>亞泰</t>
        </is>
      </c>
      <c r="E15" s="11" t="n">
        <v>1000</v>
      </c>
      <c r="F15" s="11" t="n">
        <v>45.35</v>
      </c>
      <c r="G15" s="11">
        <f>E15*F15</f>
        <v/>
      </c>
      <c r="H15" s="11" t="n">
        <v>64</v>
      </c>
      <c r="I15" s="104" t="n">
        <v>43650</v>
      </c>
      <c r="J15" s="16" t="n">
        <v>42.8</v>
      </c>
      <c r="K15" s="11">
        <f>E15*J15</f>
        <v/>
      </c>
      <c r="L15" s="17" t="n">
        <v>60</v>
      </c>
      <c r="M15" s="11" t="n">
        <v>128</v>
      </c>
      <c r="N15" s="11" t="n">
        <v>0</v>
      </c>
      <c r="O15" s="434">
        <f>IF(I15="",E15*Y15,0)</f>
        <v/>
      </c>
      <c r="P15" s="435">
        <f>IF(I15="",R15-H15,(K15-H15-SUM(L15:N15)+R15-S15-T15)-G15)+(ROUND(R15*V15,0)-ROUND(R15*(1+V15),0)*W15)</f>
        <v/>
      </c>
      <c r="Q15" s="435">
        <f>IF(I15="",(O15-G15-(O15*0.1425%*0.65)-(O15*0.3%)-S15-T15),0)</f>
        <v/>
      </c>
      <c r="R15" s="435" t="n">
        <v>3100</v>
      </c>
      <c r="S15" s="435" t="n">
        <v>10</v>
      </c>
      <c r="T15" s="435">
        <f>IF(ROUND(R15*(1+V15),0)&gt;20000,ROUND(ROUND(R15*(1+V15),0)*2%,0),0)</f>
        <v/>
      </c>
      <c r="U15" s="69">
        <f>(V15*50%)/(1+50%*V15)</f>
        <v/>
      </c>
      <c r="V15" s="69" t="n"/>
      <c r="W15" s="70" t="n">
        <v>0.11</v>
      </c>
      <c r="X15" s="436">
        <f>(P15+Q15)/G15</f>
        <v/>
      </c>
      <c r="Y15" s="16">
        <f>VLOOKUP(C15,台股行情!A:D,4,FALSE)</f>
        <v/>
      </c>
      <c r="Z15" s="437">
        <f>VLOOKUP(C15,台股行情!A:E,5,FALSE)</f>
        <v/>
      </c>
      <c r="AA15" s="438">
        <f>IF(I15="",((TODAY()-A15)*G15)/365.24,((I15-A15)*G15)/365.24)</f>
        <v/>
      </c>
      <c r="AB15" s="126" t="inlineStr">
        <is>
          <t>殖利率&gt;6%，股利 Sharpe&gt;10</t>
        </is>
      </c>
      <c r="AC15" s="103" t="inlineStr">
        <is>
          <t>除息後，連續三個交易日貼近下通道，停損出場</t>
        </is>
      </c>
    </row>
    <row r="16" outlineLevel="1">
      <c r="A16" s="99" t="n">
        <v>43644</v>
      </c>
      <c r="B16" s="11" t="inlineStr">
        <is>
          <t>普通買進</t>
        </is>
      </c>
      <c r="C16" s="11" t="n">
        <v>8435</v>
      </c>
      <c r="D16" s="11" t="inlineStr">
        <is>
          <t>鉅邁</t>
        </is>
      </c>
      <c r="E16" s="11" t="n">
        <v>1000</v>
      </c>
      <c r="F16" s="11" t="n">
        <v>51.3</v>
      </c>
      <c r="G16" s="11">
        <f>E16*F16</f>
        <v/>
      </c>
      <c r="H16" s="11" t="n">
        <v>73</v>
      </c>
      <c r="I16" s="104" t="n">
        <v>43651</v>
      </c>
      <c r="J16" s="16" t="n">
        <v>49.35</v>
      </c>
      <c r="K16" s="11">
        <f>E16*J16</f>
        <v/>
      </c>
      <c r="L16" s="17" t="n">
        <v>70</v>
      </c>
      <c r="M16" s="11" t="n">
        <v>148</v>
      </c>
      <c r="N16" s="11" t="n">
        <v>0</v>
      </c>
      <c r="O16" s="434">
        <f>IF(I16="",E16*Y16,0)</f>
        <v/>
      </c>
      <c r="P16" s="435">
        <f>IF(I16="",R16-H16,(K16-H16-SUM(L16:N16)+R16-S16-T16)-G16)+(ROUND(R16*V16,0)-ROUND(R16*(1+V16),0)*W16)</f>
        <v/>
      </c>
      <c r="Q16" s="435">
        <f>IF(I16="",(O16-G16-(O16*0.1425%*0.65)-(O16*0.3%)-S16-T16),0)</f>
        <v/>
      </c>
      <c r="R16" s="435" t="n">
        <v>3200</v>
      </c>
      <c r="S16" s="435" t="n">
        <v>10</v>
      </c>
      <c r="T16" s="435">
        <f>IF(ROUND(R16*(1+V16),0)&gt;20000,ROUND(ROUND(R16*(1+V16),0)*2%,0),0)</f>
        <v/>
      </c>
      <c r="U16" s="69">
        <f>(V16*50%)/(1+50%*V16)</f>
        <v/>
      </c>
      <c r="V16" s="69" t="n"/>
      <c r="W16" s="70" t="n">
        <v>0.11</v>
      </c>
      <c r="X16" s="436">
        <f>(P16+Q16)/G16</f>
        <v/>
      </c>
      <c r="Y16" s="16">
        <f>VLOOKUP(C16,台股行情!A:D,4,FALSE)</f>
        <v/>
      </c>
      <c r="Z16" s="437">
        <f>VLOOKUP(C16,台股行情!A:E,5,FALSE)</f>
        <v/>
      </c>
      <c r="AA16" s="438">
        <f>IF(I16="",((TODAY()-A16)*G16)/365.24,((I16-A16)*G16)/365.24)</f>
        <v/>
      </c>
      <c r="AB16" s="126" t="inlineStr">
        <is>
          <t>殖利率&gt;6%，股利 Sharpe&gt;10</t>
        </is>
      </c>
      <c r="AC16" s="103" t="inlineStr">
        <is>
          <t>成交量太低，獲利了結</t>
        </is>
      </c>
    </row>
    <row r="17" outlineLevel="1">
      <c r="A17" s="99" t="n">
        <v>43649</v>
      </c>
      <c r="B17" s="11" t="inlineStr">
        <is>
          <t>普通買進</t>
        </is>
      </c>
      <c r="C17" s="11" t="n">
        <v>2408</v>
      </c>
      <c r="D17" s="11" t="inlineStr">
        <is>
          <t>南亞科</t>
        </is>
      </c>
      <c r="E17" s="11" t="n">
        <v>1000</v>
      </c>
      <c r="F17" s="11" t="n">
        <v>65.3</v>
      </c>
      <c r="G17" s="11">
        <f>E17*F17</f>
        <v/>
      </c>
      <c r="H17" s="11" t="n">
        <v>93</v>
      </c>
      <c r="I17" s="104" t="n">
        <v>43654</v>
      </c>
      <c r="J17" s="16" t="n">
        <v>60.4</v>
      </c>
      <c r="K17" s="11">
        <f>E17*J17</f>
        <v/>
      </c>
      <c r="L17" s="17" t="n">
        <v>86</v>
      </c>
      <c r="M17" s="11" t="n">
        <v>181</v>
      </c>
      <c r="N17" s="11" t="n">
        <v>0</v>
      </c>
      <c r="O17" s="434">
        <f>IF(I17="",E17*Y17,0)</f>
        <v/>
      </c>
      <c r="P17" s="435">
        <f>IF(I17="",R17-H17,(K17-H17-SUM(L17:N17)+R17-S17-T17)-G17)+(ROUND(R17*V17,0)-ROUND(R17*(1+V17),0)*W17)</f>
        <v/>
      </c>
      <c r="Q17" s="435">
        <f>IF(I17="",(O17-G17-(O17*0.1425%*0.65)-(O17*0.3%)-S17-T17),0)</f>
        <v/>
      </c>
      <c r="R17" s="435" t="n">
        <v>7110</v>
      </c>
      <c r="S17" s="435" t="n">
        <v>10</v>
      </c>
      <c r="T17" s="435">
        <f>IF(ROUND(R17*(1+V17),0)&gt;20000,ROUND(ROUND(R17*(1+V17),0)*2%,0),0)</f>
        <v/>
      </c>
      <c r="U17" s="69">
        <f>(V17*50%)/(1+50%*V17)</f>
        <v/>
      </c>
      <c r="V17" s="69" t="n"/>
      <c r="W17" s="70" t="n">
        <v>0.11</v>
      </c>
      <c r="X17" s="436">
        <f>(P17+Q17)/G17</f>
        <v/>
      </c>
      <c r="Y17" s="16">
        <f>VLOOKUP(C17,台股行情!A:D,4,FALSE)</f>
        <v/>
      </c>
      <c r="Z17" s="437">
        <f>VLOOKUP(C17,台股行情!A:E,5,FALSE)</f>
        <v/>
      </c>
      <c r="AA17" s="438">
        <f>IF(I17="",((TODAY()-A17)*G17)/365.24,((I17-A17)*G17)/365.24)</f>
        <v/>
      </c>
      <c r="AB17" s="127" t="inlineStr">
        <is>
          <t>殖利率&gt;10%，近三年填息快速</t>
        </is>
      </c>
      <c r="AC17" s="103" t="inlineStr">
        <is>
          <t>跌破近期支撐，獲利了結</t>
        </is>
      </c>
    </row>
    <row r="18" outlineLevel="1">
      <c r="A18" s="99" t="n">
        <v>43644</v>
      </c>
      <c r="B18" s="11" t="inlineStr">
        <is>
          <t>普通買進</t>
        </is>
      </c>
      <c r="C18" s="11" t="n">
        <v>2425</v>
      </c>
      <c r="D18" s="11" t="inlineStr">
        <is>
          <t>承啟</t>
        </is>
      </c>
      <c r="E18" s="11" t="n">
        <v>1000</v>
      </c>
      <c r="F18" s="11" t="n">
        <v>31.3</v>
      </c>
      <c r="G18" s="11">
        <f>E18*F18</f>
        <v/>
      </c>
      <c r="H18" s="11" t="n">
        <v>44</v>
      </c>
      <c r="I18" s="104" t="n">
        <v>43654</v>
      </c>
      <c r="J18" s="16" t="n">
        <v>32</v>
      </c>
      <c r="K18" s="11">
        <f>E18*J18</f>
        <v/>
      </c>
      <c r="L18" s="17" t="n">
        <v>45</v>
      </c>
      <c r="M18" s="11" t="n">
        <v>96</v>
      </c>
      <c r="N18" s="11" t="n">
        <v>0</v>
      </c>
      <c r="O18" s="434">
        <f>IF(I18="",E18*Y18,0)</f>
        <v/>
      </c>
      <c r="P18" s="435">
        <f>IF(I18="",R18-H18,(K18-H18-SUM(L18:N18)+R18-S18-T18)-G18)+(ROUND(R18*V18,0)-ROUND(R18*(1+V18),0)*W18)</f>
        <v/>
      </c>
      <c r="Q18" s="435">
        <f>IF(I18="",(O18-G18-(O18*0.1425%*0.65)-(O18*0.3%)-S18-T18),0)</f>
        <v/>
      </c>
      <c r="R18" s="435" t="n">
        <v>1500</v>
      </c>
      <c r="S18" s="435" t="n">
        <v>10</v>
      </c>
      <c r="T18" s="435">
        <f>IF(ROUND(R18*(1+V18),0)&gt;20000,ROUND(ROUND(R18*(1+V18),0)*2%,0),0)</f>
        <v/>
      </c>
      <c r="U18" s="69">
        <f>(V18*50%)/(1+50%*V18)</f>
        <v/>
      </c>
      <c r="V18" s="69" t="n"/>
      <c r="W18" s="70" t="n">
        <v>0.11</v>
      </c>
      <c r="X18" s="436">
        <f>(P18+Q18)/G18</f>
        <v/>
      </c>
      <c r="Y18" s="16">
        <f>VLOOKUP(C18,台股行情!A:D,4,FALSE)</f>
        <v/>
      </c>
      <c r="Z18" s="437">
        <f>VLOOKUP(C18,台股行情!A:E,5,FALSE)</f>
        <v/>
      </c>
      <c r="AA18" s="438">
        <f>IF(I18="",((TODAY()-A18)*G18)/365.24,((I18-A18)*G18)/365.24)</f>
        <v/>
      </c>
      <c r="AB18" s="127" t="inlineStr">
        <is>
          <t>近三年填息快速</t>
        </is>
      </c>
      <c r="AC18" s="103" t="inlineStr">
        <is>
          <t>已填息，獲利了結</t>
        </is>
      </c>
    </row>
    <row r="19" outlineLevel="1">
      <c r="A19" s="99" t="n">
        <v>43644</v>
      </c>
      <c r="B19" s="11" t="inlineStr">
        <is>
          <t>普通買進</t>
        </is>
      </c>
      <c r="C19" s="11" t="n">
        <v>6176</v>
      </c>
      <c r="D19" s="11" t="inlineStr">
        <is>
          <t>瑞儀</t>
        </is>
      </c>
      <c r="E19" s="11" t="n">
        <v>1000</v>
      </c>
      <c r="F19" s="11" t="n">
        <v>104</v>
      </c>
      <c r="G19" s="11">
        <f>E19*F19</f>
        <v/>
      </c>
      <c r="H19" s="11" t="n">
        <v>148</v>
      </c>
      <c r="I19" s="104" t="n">
        <v>43656</v>
      </c>
      <c r="J19" s="16" t="n">
        <v>104.5</v>
      </c>
      <c r="K19" s="11">
        <f>E19*J19</f>
        <v/>
      </c>
      <c r="L19" s="17" t="n">
        <v>148</v>
      </c>
      <c r="M19" s="11" t="n">
        <v>313</v>
      </c>
      <c r="N19" s="11" t="n">
        <v>0</v>
      </c>
      <c r="O19" s="434">
        <f>IF(I19="",E19*Y19,0)</f>
        <v/>
      </c>
      <c r="P19" s="435">
        <f>IF(I19="",R19-H19,(K19-H19-SUM(L19:N19)+R19-S19-T19)-G19)+(ROUND(R19*V19,0)-ROUND(R19*(1+V19),0)*W19)</f>
        <v/>
      </c>
      <c r="Q19" s="435">
        <f>IF(I19="",(O19-G19-(O19*0.1425%*0.65)-(O19*0.3%)-S19-T19),0)</f>
        <v/>
      </c>
      <c r="R19" s="435" t="n">
        <v>7000</v>
      </c>
      <c r="S19" s="435" t="n">
        <v>10</v>
      </c>
      <c r="T19" s="435">
        <f>IF(ROUND(R19*(1+V19),0)&gt;20000,ROUND(ROUND(R19*(1+V19),0)*2%,0),0)</f>
        <v/>
      </c>
      <c r="U19" s="69">
        <f>(V19*50%)/(1+50%*V19)</f>
        <v/>
      </c>
      <c r="V19" s="69" t="n"/>
      <c r="W19" s="70" t="n">
        <v>0.11</v>
      </c>
      <c r="X19" s="436">
        <f>(P19+Q19)/G19</f>
        <v/>
      </c>
      <c r="Y19" s="16">
        <f>VLOOKUP(C19,台股行情!A:D,4,FALSE)</f>
        <v/>
      </c>
      <c r="Z19" s="437">
        <f>VLOOKUP(C19,台股行情!A:E,5,FALSE)</f>
        <v/>
      </c>
      <c r="AA19" s="438">
        <f>IF(I19="",((TODAY()-A19)*G19)/365.24,((I19-A19)*G19)/365.24)</f>
        <v/>
      </c>
      <c r="AB19" s="126" t="inlineStr">
        <is>
          <t>殖利率&gt;6%，營收成長</t>
        </is>
      </c>
      <c r="AC19" s="103" t="inlineStr">
        <is>
          <t>已填息，獲利了結 (未破20MA且20MA上揚，應可再觀察)</t>
        </is>
      </c>
    </row>
    <row r="20" outlineLevel="1">
      <c r="A20" s="99" t="n">
        <v>43650</v>
      </c>
      <c r="B20" s="11" t="inlineStr">
        <is>
          <t>普通買進</t>
        </is>
      </c>
      <c r="C20" s="11" t="n">
        <v>8255</v>
      </c>
      <c r="D20" s="11" t="inlineStr">
        <is>
          <t>朋程</t>
        </is>
      </c>
      <c r="E20" s="11" t="n">
        <v>1000</v>
      </c>
      <c r="F20" s="11" t="n">
        <v>99.8</v>
      </c>
      <c r="G20" s="11">
        <f>E20*F20</f>
        <v/>
      </c>
      <c r="H20" s="11" t="n">
        <v>142</v>
      </c>
      <c r="I20" s="104" t="n">
        <v>43658</v>
      </c>
      <c r="J20" s="16" t="n">
        <v>95.09999999999999</v>
      </c>
      <c r="K20" s="11">
        <f>E20*J20</f>
        <v/>
      </c>
      <c r="L20" s="17" t="n">
        <v>135</v>
      </c>
      <c r="M20" s="11" t="n">
        <v>285</v>
      </c>
      <c r="N20" s="11" t="n">
        <v>0</v>
      </c>
      <c r="O20" s="434">
        <f>IF(I20="",E20*Y20,0)</f>
        <v/>
      </c>
      <c r="P20" s="435">
        <f>IF(I20="",R20-H20,(K20-H20-SUM(L20:N20)+R20-S20-T20)-G20)+(ROUND(R20*V20,0)-ROUND(R20*(1+V20),0)*W20)</f>
        <v/>
      </c>
      <c r="Q20" s="435">
        <f>IF(I20="",(O20-G20-(O20*0.1425%*0.65)-(O20*0.3%)-S20-T20),0)</f>
        <v/>
      </c>
      <c r="R20" s="435" t="n">
        <v>5000</v>
      </c>
      <c r="S20" s="435" t="n">
        <v>10</v>
      </c>
      <c r="T20" s="435">
        <f>IF(ROUND(R20*(1+V20),0)&gt;20000,ROUND(ROUND(R20*(1+V20),0)*2%,0),0)</f>
        <v/>
      </c>
      <c r="U20" s="69">
        <f>(V20*50%)/(1+50%*V20)</f>
        <v/>
      </c>
      <c r="V20" s="69" t="n"/>
      <c r="W20" s="70" t="n">
        <v>0.11</v>
      </c>
      <c r="X20" s="436">
        <f>(P20+Q20)/G20</f>
        <v/>
      </c>
      <c r="Y20" s="16">
        <f>VLOOKUP(C20,台股行情!A:D,4,FALSE)</f>
        <v/>
      </c>
      <c r="Z20" s="437">
        <f>VLOOKUP(C20,台股行情!A:E,5,FALSE)</f>
        <v/>
      </c>
      <c r="AA20" s="438">
        <f>IF(I20="",((TODAY()-A20)*G20)/365.24,((I20-A20)*G20)/365.24)</f>
        <v/>
      </c>
      <c r="AB20" s="127" t="inlineStr">
        <is>
          <t>填息率100%</t>
        </is>
      </c>
      <c r="AC20" s="103" t="inlineStr">
        <is>
          <t>除息後，均未突破 20MA，且 20MA 已下彎，停損出場</t>
        </is>
      </c>
    </row>
    <row r="21" outlineLevel="1">
      <c r="A21" s="99" t="n">
        <v>43649</v>
      </c>
      <c r="B21" s="11" t="inlineStr">
        <is>
          <t>普通買進</t>
        </is>
      </c>
      <c r="C21" s="11" t="n">
        <v>2456</v>
      </c>
      <c r="D21" s="11" t="inlineStr">
        <is>
          <t>奇力新</t>
        </is>
      </c>
      <c r="E21" s="11" t="n">
        <v>1000</v>
      </c>
      <c r="F21" s="11" t="n">
        <v>93.7</v>
      </c>
      <c r="G21" s="11">
        <f>E21*F21</f>
        <v/>
      </c>
      <c r="H21" s="11" t="n">
        <v>133</v>
      </c>
      <c r="I21" s="104" t="n">
        <v>43661</v>
      </c>
      <c r="J21" s="16" t="n">
        <v>87.59999999999999</v>
      </c>
      <c r="K21" s="11">
        <f>E21*J21</f>
        <v/>
      </c>
      <c r="L21" s="17" t="n">
        <v>124</v>
      </c>
      <c r="M21" s="11" t="n">
        <v>262</v>
      </c>
      <c r="N21" s="11" t="n">
        <v>0</v>
      </c>
      <c r="O21" s="434">
        <f>IF(I21="",E21*Y21,0)</f>
        <v/>
      </c>
      <c r="P21" s="435">
        <f>IF(I21="",R21-H21,(K21-H21-SUM(L21:N21)+R21-S21-T21)-G21)+(ROUND(R21*V21,0)-ROUND(R21*(1+V21),0)*W21)</f>
        <v/>
      </c>
      <c r="Q21" s="435">
        <f>IF(I21="",(O21-G21-(O21*0.1425%*0.65)-(O21*0.3%)-S21-T21),0)</f>
        <v/>
      </c>
      <c r="R21" s="435" t="n">
        <v>7990</v>
      </c>
      <c r="S21" s="435" t="n">
        <v>10</v>
      </c>
      <c r="T21" s="435">
        <f>IF(ROUND(R21*(1+V21),0)&gt;20000,ROUND(ROUND(R21*(1+V21),0)*2%,0),0)</f>
        <v/>
      </c>
      <c r="U21" s="69">
        <f>(V21*50%)/(1+50%*V21)</f>
        <v/>
      </c>
      <c r="V21" s="69" t="n"/>
      <c r="W21" s="70" t="n">
        <v>0.11</v>
      </c>
      <c r="X21" s="436">
        <f>(P21+Q21)/G21</f>
        <v/>
      </c>
      <c r="Y21" s="16">
        <f>VLOOKUP(C21,台股行情!A:D,4,FALSE)</f>
        <v/>
      </c>
      <c r="Z21" s="437">
        <f>VLOOKUP(C21,台股行情!A:E,5,FALSE)</f>
        <v/>
      </c>
      <c r="AA21" s="438">
        <f>IF(I21="",((TODAY()-A21)*G21)/365.24,((I21-A21)*G21)/365.24)</f>
        <v/>
      </c>
      <c r="AB21" s="127" t="inlineStr">
        <is>
          <t>殖利率&gt;8%，近五年填息快速</t>
        </is>
      </c>
      <c r="AC21" s="103" t="inlineStr">
        <is>
          <t>除息後，跌破 20MA，且 5 天無法站上，雖然 20MA 尚未下彎，仍決定獲利了結</t>
        </is>
      </c>
    </row>
    <row r="22">
      <c r="A22" s="491" t="n"/>
      <c r="B22" s="11" t="n"/>
      <c r="C22" s="11" t="n"/>
      <c r="D22" s="11" t="n"/>
      <c r="E22" s="11" t="n"/>
      <c r="F22" s="11" t="n"/>
      <c r="G22" s="64" t="n"/>
      <c r="H22" s="64" t="n"/>
      <c r="I22" s="12" t="n"/>
      <c r="J22" s="11" t="n"/>
      <c r="K22" s="64" t="n"/>
      <c r="L22" s="64" t="n"/>
      <c r="M22" s="64" t="n"/>
      <c r="N22" s="64" t="n"/>
      <c r="O22" s="64" t="n"/>
      <c r="P22" s="64" t="n"/>
      <c r="Q22" s="435" t="n"/>
      <c r="R22" s="64" t="n"/>
      <c r="S22" s="11" t="n"/>
      <c r="T22" s="435" t="n"/>
      <c r="U22" s="69" t="n"/>
      <c r="V22" s="57" t="n"/>
      <c r="W22" s="75" t="n"/>
      <c r="X22" s="57" t="n"/>
      <c r="Y22" s="11" t="n"/>
      <c r="Z22" s="437" t="n"/>
      <c r="AA22" s="438" t="n"/>
    </row>
    <row r="23">
      <c r="A23" s="39" t="n"/>
      <c r="B23" s="40" t="n"/>
      <c r="C23" s="40" t="n"/>
      <c r="D23" s="40" t="n"/>
      <c r="E23" s="40" t="n"/>
      <c r="F23" s="40" t="n"/>
      <c r="G23" s="40" t="n"/>
      <c r="H23" s="40" t="n"/>
      <c r="I23" s="41" t="n"/>
      <c r="J23" s="42" t="n"/>
      <c r="K23" s="40" t="n"/>
      <c r="L23" s="439" t="n"/>
      <c r="M23" s="40" t="n"/>
      <c r="N23" s="40" t="n"/>
      <c r="O23" s="440" t="n"/>
      <c r="P23" s="441" t="n"/>
      <c r="Q23" s="441" t="n"/>
      <c r="R23" s="441" t="n"/>
      <c r="S23" s="441" t="n"/>
      <c r="T23" s="441" t="n"/>
      <c r="U23" s="73" t="n"/>
      <c r="V23" s="73" t="n"/>
      <c r="W23" s="76" t="n"/>
      <c r="X23" s="442" t="n"/>
      <c r="Y23" s="42" t="n"/>
      <c r="Z23" s="47" t="n"/>
      <c r="AA23" s="438" t="n"/>
    </row>
    <row r="24">
      <c r="A24" s="10" t="n"/>
      <c r="B24" s="11" t="n"/>
      <c r="C24" s="11" t="n"/>
      <c r="D24" s="11" t="n"/>
      <c r="E24" s="11" t="n"/>
      <c r="F24" s="11" t="n"/>
      <c r="G24" s="11" t="n"/>
      <c r="H24" s="11" t="n"/>
      <c r="I24" s="12" t="n"/>
      <c r="J24" s="11" t="n"/>
      <c r="K24" s="11" t="n"/>
      <c r="L24" s="11" t="n"/>
      <c r="M24" s="11" t="n"/>
      <c r="N24" s="11" t="n"/>
      <c r="O24" s="434" t="n"/>
      <c r="P24" s="435" t="n"/>
      <c r="Q24" s="435" t="n"/>
      <c r="R24" s="435" t="n"/>
      <c r="S24" s="435" t="n"/>
      <c r="T24" s="435" t="n"/>
      <c r="U24" s="435" t="n"/>
      <c r="V24" s="69" t="n"/>
      <c r="W24" s="70" t="n"/>
      <c r="X24" s="436" t="n"/>
      <c r="Y24" s="16" t="n"/>
      <c r="Z24" s="437" t="n"/>
      <c r="AA24" s="438" t="n"/>
    </row>
    <row r="25">
      <c r="A25" s="18">
        <f>MIN(A26:A27)</f>
        <v/>
      </c>
      <c r="B25" s="19" t="n"/>
      <c r="C25" s="20" t="n"/>
      <c r="D25" s="19" t="n"/>
      <c r="E25" s="19" t="n"/>
      <c r="F25" s="19" t="n"/>
      <c r="G25" s="19" t="n"/>
      <c r="H25" s="19" t="n"/>
      <c r="I25" s="21" t="n"/>
      <c r="J25" s="22" t="n"/>
      <c r="K25" s="19" t="n"/>
      <c r="L25" s="443" t="n"/>
      <c r="M25" s="19" t="n"/>
      <c r="N25" s="19" t="n"/>
      <c r="O25" s="444" t="n"/>
      <c r="P25" s="445" t="n"/>
      <c r="Q25" s="445" t="n"/>
      <c r="R25" s="445" t="n"/>
      <c r="S25" s="445" t="n"/>
      <c r="T25" s="445" t="n"/>
      <c r="U25" s="445" t="n"/>
      <c r="V25" s="74" t="n"/>
      <c r="W25" s="77" t="n"/>
      <c r="X25" s="446" t="n"/>
      <c r="Y25" s="22" t="n"/>
      <c r="Z25" s="27" t="n"/>
      <c r="AA25" s="438" t="n"/>
    </row>
    <row r="26" hidden="1">
      <c r="A26" s="18" t="n"/>
      <c r="B26" s="19" t="n"/>
      <c r="C26" s="20" t="n"/>
      <c r="D26" s="19" t="n"/>
      <c r="E26" s="19" t="n"/>
      <c r="F26" s="19" t="n"/>
      <c r="G26" s="19" t="n"/>
      <c r="H26" s="19" t="n"/>
      <c r="I26" s="21" t="n"/>
      <c r="J26" s="22" t="n"/>
      <c r="K26" s="19" t="n"/>
      <c r="L26" s="443" t="n"/>
      <c r="M26" s="19" t="n"/>
      <c r="N26" s="19" t="n"/>
      <c r="O26" s="444" t="n"/>
      <c r="P26" s="445" t="n"/>
      <c r="Q26" s="445" t="n"/>
      <c r="R26" s="445" t="n"/>
      <c r="S26" s="445" t="n"/>
      <c r="T26" s="445" t="n"/>
      <c r="U26" s="445" t="n"/>
      <c r="V26" s="74" t="n"/>
      <c r="W26" s="77" t="n"/>
      <c r="X26" s="446" t="n"/>
      <c r="Y26" s="22" t="n"/>
      <c r="Z26" s="27" t="n"/>
      <c r="AA26" s="438">
        <f>((I26-A26)*G26)/365.24</f>
        <v/>
      </c>
    </row>
    <row r="27" ht="17.25" customHeight="1" thickBot="1">
      <c r="A27" s="48" t="n"/>
      <c r="B27" s="49" t="n"/>
      <c r="C27" s="49" t="n"/>
      <c r="D27" s="49" t="n"/>
      <c r="E27" s="49" t="n"/>
      <c r="F27" s="49" t="n"/>
      <c r="G27" s="49" t="n"/>
      <c r="H27" s="49" t="n"/>
      <c r="I27" s="50" t="n"/>
      <c r="J27" s="51" t="n"/>
      <c r="K27" s="49" t="n"/>
      <c r="L27" s="447" t="n"/>
      <c r="M27" s="49" t="n"/>
      <c r="N27" s="49" t="n"/>
      <c r="O27" s="448" t="n"/>
      <c r="P27" s="449" t="n"/>
      <c r="Q27" s="449" t="n"/>
      <c r="R27" s="449" t="n"/>
      <c r="S27" s="449" t="n"/>
      <c r="T27" s="450" t="n"/>
      <c r="U27" s="449" t="n"/>
      <c r="V27" s="449" t="n"/>
      <c r="W27" s="78" t="n"/>
      <c r="X27" s="451" t="n"/>
      <c r="Y27" s="51" t="n"/>
      <c r="Z27" s="56" t="n"/>
      <c r="AA27" s="438" t="n"/>
    </row>
    <row r="28" ht="17.25" customHeight="1" thickBot="1">
      <c r="A28" s="29" t="n"/>
      <c r="D28" s="9" t="n"/>
      <c r="I28" s="30" t="n"/>
      <c r="J28" s="31" t="n"/>
      <c r="L28" s="452" t="n"/>
      <c r="O28" s="453" t="n"/>
      <c r="P28" s="454" t="n"/>
      <c r="Q28" s="454" t="n"/>
      <c r="R28" s="454" t="n"/>
      <c r="S28" s="454" t="n"/>
      <c r="T28" s="454" t="n"/>
      <c r="U28" s="454" t="n"/>
      <c r="V28" s="454" t="n"/>
      <c r="W28" s="454" t="n"/>
      <c r="X28" s="455" t="n"/>
      <c r="Y28" s="31" t="n"/>
      <c r="Z28" s="31" t="n"/>
      <c r="AA28" s="438" t="n"/>
    </row>
    <row r="29" ht="17.25" customHeight="1" thickBot="1">
      <c r="A29" s="457" t="n"/>
      <c r="B29" s="456" t="n"/>
      <c r="C29" s="458" t="n"/>
      <c r="D29" s="414" t="inlineStr">
        <is>
          <t>持股小計</t>
        </is>
      </c>
      <c r="E29" s="493" t="n"/>
      <c r="F29" s="458" t="n"/>
      <c r="G29" s="62">
        <f>SUM(G25:G27)</f>
        <v/>
      </c>
      <c r="H29" s="62">
        <f>SUM(H25:H27)</f>
        <v/>
      </c>
      <c r="I29" s="493" t="n"/>
      <c r="J29" s="458" t="n"/>
      <c r="K29" s="62" t="n"/>
      <c r="L29" s="459" t="n"/>
      <c r="M29" s="459" t="n"/>
      <c r="N29" s="460" t="n"/>
      <c r="O29" s="62">
        <f>SUM(O25:O27)</f>
        <v/>
      </c>
      <c r="P29" s="461">
        <f>SUM(P25:P27)</f>
        <v/>
      </c>
      <c r="Q29" s="62">
        <f>SUM(Q25:Q27)</f>
        <v/>
      </c>
      <c r="R29" s="62">
        <f>SUM(R25:R27)</f>
        <v/>
      </c>
      <c r="S29" s="407" t="n"/>
      <c r="T29" s="407" t="n"/>
      <c r="U29" s="407" t="n"/>
      <c r="V29" s="407" t="n"/>
      <c r="W29" s="407" t="n"/>
      <c r="X29" s="462">
        <f>(P29+Q29)/G29</f>
        <v/>
      </c>
      <c r="Y29" s="390" t="inlineStr">
        <is>
          <t>年化報酬率</t>
        </is>
      </c>
      <c r="Z29" s="463">
        <f>IF(AA29=0,0,(P29+Q29)/(AA29))</f>
        <v/>
      </c>
      <c r="AA29" s="438">
        <f>SUM(AA25:AA27)</f>
        <v/>
      </c>
    </row>
    <row r="30" ht="17.25" customFormat="1" customHeight="1" s="36" thickBot="1">
      <c r="A30" s="464" t="n"/>
      <c r="C30" s="465" t="n"/>
      <c r="D30" s="414" t="inlineStr">
        <is>
          <t>2019總計</t>
        </is>
      </c>
      <c r="E30" s="466" t="n"/>
      <c r="F30" s="465" t="n"/>
      <c r="G30" s="63">
        <f>SUM(G2:G27)</f>
        <v/>
      </c>
      <c r="H30" s="63">
        <f>SUM(H2:H27)</f>
        <v/>
      </c>
      <c r="I30" s="466" t="n"/>
      <c r="J30" s="465" t="n"/>
      <c r="K30" s="63">
        <f>SUM(K2:K27)</f>
        <v/>
      </c>
      <c r="L30" s="63">
        <f>SUM(L2:L27)</f>
        <v/>
      </c>
      <c r="M30" s="63">
        <f>SUM(M2:M27)</f>
        <v/>
      </c>
      <c r="N30" s="63">
        <f>SUM(N2:N27)</f>
        <v/>
      </c>
      <c r="O30" s="63">
        <f>SUM(O2:O27)</f>
        <v/>
      </c>
      <c r="P30" s="472">
        <f>SUM(P2:P27)</f>
        <v/>
      </c>
      <c r="Q30" s="63">
        <f>SUM(Q2:Q27)</f>
        <v/>
      </c>
      <c r="R30" s="63">
        <f>SUM(R2:R27)</f>
        <v/>
      </c>
      <c r="S30" s="72" t="n"/>
      <c r="T30" s="72" t="n"/>
      <c r="U30" s="72" t="n"/>
      <c r="V30" s="72" t="n"/>
      <c r="W30" s="72" t="n"/>
      <c r="X30" s="462">
        <f>(P30+Q30)/G30</f>
        <v/>
      </c>
      <c r="Y30" s="467" t="n"/>
      <c r="Z30" s="463">
        <f>IF(AA30=0,0,(P30+Q30)/(AA30))</f>
        <v/>
      </c>
      <c r="AA30" s="438">
        <f>SUM(AA2:AA27)</f>
        <v/>
      </c>
      <c r="AB30" s="87" t="n"/>
      <c r="AC30" s="88" t="n"/>
    </row>
    <row r="31" ht="17.25" customFormat="1" customHeight="1" s="36" thickBot="1">
      <c r="A31" s="468" t="n"/>
      <c r="B31" s="469" t="n"/>
      <c r="C31" s="470" t="n"/>
      <c r="D31" s="414" t="inlineStr">
        <is>
          <t>總計</t>
        </is>
      </c>
      <c r="E31" s="471" t="n"/>
      <c r="F31" s="470" t="n"/>
      <c r="G31" s="63">
        <f>SUM(G2:G27)</f>
        <v/>
      </c>
      <c r="H31" s="63">
        <f>SUM(H2:H27)</f>
        <v/>
      </c>
      <c r="I31" s="471" t="n"/>
      <c r="J31" s="470" t="n"/>
      <c r="K31" s="63">
        <f>SUM(K2:K27)</f>
        <v/>
      </c>
      <c r="L31" s="63">
        <f>SUM(L2:L27)</f>
        <v/>
      </c>
      <c r="M31" s="63">
        <f>SUM(M2:M27)</f>
        <v/>
      </c>
      <c r="N31" s="63">
        <f>SUM(N2:N27)</f>
        <v/>
      </c>
      <c r="O31" s="63">
        <f>SUM(O2:O27)</f>
        <v/>
      </c>
      <c r="P31" s="472">
        <f>SUM(P2:P27)+H67</f>
        <v/>
      </c>
      <c r="Q31" s="63">
        <f>SUM(Q2:Q27)</f>
        <v/>
      </c>
      <c r="R31" s="63">
        <f>SUM(R2:R27)</f>
        <v/>
      </c>
      <c r="S31" s="72" t="n"/>
      <c r="T31" s="72" t="n"/>
      <c r="U31" s="72" t="n"/>
      <c r="V31" s="72" t="n"/>
      <c r="W31" s="72" t="n"/>
      <c r="X31" s="462">
        <f>(P31+Q31)/G31</f>
        <v/>
      </c>
      <c r="Y31" s="473" t="n"/>
      <c r="Z31" s="463">
        <f>IF(AA31=0,0,(P31+Q31)/(AA31))</f>
        <v/>
      </c>
      <c r="AA31" s="438">
        <f>AA30</f>
        <v/>
      </c>
      <c r="AB31" s="87" t="n"/>
      <c r="AC31" s="87" t="n"/>
    </row>
    <row r="32" ht="17.25" customHeight="1" thickBot="1">
      <c r="A32" s="66" t="n"/>
      <c r="C32" s="65" t="n"/>
      <c r="D32" s="9" t="n"/>
      <c r="Y32" s="136" t="inlineStr">
        <is>
          <t>阿水14勝率</t>
        </is>
      </c>
      <c r="Z32" s="137">
        <f>COUNTIFS(X3:X28,"&gt;0",AB3:AB28,"阿水一式")/COUNTIF(AB:AB,"阿水一式")</f>
        <v/>
      </c>
    </row>
    <row r="33" ht="17.25" customHeight="1" thickBot="1">
      <c r="A33" s="66" t="n"/>
      <c r="C33" s="65" t="n"/>
      <c r="D33" s="9" t="n"/>
      <c r="P33" s="492" t="n"/>
      <c r="Y33" s="136" t="inlineStr">
        <is>
          <t>除權息勝率</t>
        </is>
      </c>
      <c r="Z33" s="137">
        <f>COUNTIF(X10:X21,"&gt;0")/COUNT(X10:X21)</f>
        <v/>
      </c>
    </row>
    <row r="34">
      <c r="B34" s="37" t="n"/>
      <c r="C34" s="37" t="n"/>
      <c r="D34" s="9" t="n"/>
    </row>
    <row r="35">
      <c r="B35" s="37" t="n"/>
      <c r="C35" s="37" t="n"/>
      <c r="D35" s="9" t="n"/>
    </row>
    <row r="36">
      <c r="B36" s="37" t="n"/>
      <c r="C36" s="37" t="n"/>
      <c r="D36" s="9" t="n"/>
    </row>
    <row r="37">
      <c r="A37" s="37" t="n"/>
      <c r="B37" s="37" t="n"/>
      <c r="C37" s="37" t="n"/>
      <c r="D37" s="9" t="n"/>
    </row>
    <row r="38">
      <c r="A38" s="37" t="n"/>
      <c r="B38" s="37" t="n"/>
      <c r="C38" s="37" t="n"/>
      <c r="D38" s="9" t="n"/>
    </row>
    <row r="39">
      <c r="A39" s="37" t="n"/>
      <c r="B39" s="37" t="n"/>
      <c r="C39" s="37" t="n"/>
      <c r="D39" s="9" t="n"/>
    </row>
    <row r="40" ht="17.25" customHeight="1" thickBot="1">
      <c r="A40" s="37" t="n"/>
      <c r="B40" s="37" t="n"/>
      <c r="C40" s="37" t="n"/>
      <c r="D40" s="9" t="n"/>
    </row>
    <row r="41" collapsed="1">
      <c r="A41" s="105" t="inlineStr">
        <is>
          <t>承銷申購</t>
        </is>
      </c>
      <c r="B41" s="2" t="n"/>
      <c r="C41" s="106" t="n"/>
      <c r="D41" s="2" t="n"/>
      <c r="E41" s="2" t="n"/>
      <c r="F41" s="2" t="n"/>
      <c r="G41" s="2" t="n"/>
      <c r="H41" s="107" t="n"/>
    </row>
    <row r="42" hidden="1" outlineLevel="1">
      <c r="A42" s="108" t="n">
        <v>43481</v>
      </c>
      <c r="B42" s="11" t="n"/>
      <c r="C42" s="109" t="n"/>
      <c r="D42" s="110" t="inlineStr">
        <is>
          <t>M31</t>
        </is>
      </c>
      <c r="E42" s="11" t="n"/>
      <c r="F42" s="11" t="n"/>
      <c r="G42" s="11" t="n"/>
      <c r="H42" s="85" t="n">
        <v>20</v>
      </c>
    </row>
    <row r="43" hidden="1" outlineLevel="1">
      <c r="A43" s="108" t="n">
        <v>43483</v>
      </c>
      <c r="B43" s="11" t="n"/>
      <c r="C43" s="109" t="n"/>
      <c r="D43" s="110" t="inlineStr">
        <is>
          <t>長榮航</t>
        </is>
      </c>
      <c r="E43" s="11" t="n"/>
      <c r="F43" s="11" t="n"/>
      <c r="G43" s="11" t="n"/>
      <c r="H43" s="85" t="n">
        <v>20</v>
      </c>
    </row>
    <row r="44" hidden="1" outlineLevel="1">
      <c r="A44" s="108" t="n">
        <v>43490</v>
      </c>
      <c r="B44" s="11" t="n"/>
      <c r="C44" s="109" t="n"/>
      <c r="D44" s="110" t="inlineStr">
        <is>
          <t>台船</t>
        </is>
      </c>
      <c r="E44" s="11" t="n"/>
      <c r="F44" s="11" t="n"/>
      <c r="G44" s="11" t="n"/>
      <c r="H44" s="85" t="n">
        <v>20</v>
      </c>
    </row>
    <row r="45" hidden="1" outlineLevel="1">
      <c r="A45" s="108" t="n">
        <v>43537</v>
      </c>
      <c r="B45" s="11" t="n"/>
      <c r="C45" s="109" t="n"/>
      <c r="D45" s="110" t="inlineStr">
        <is>
          <t>三洋紡</t>
        </is>
      </c>
      <c r="E45" s="11" t="n"/>
      <c r="F45" s="11" t="n"/>
      <c r="G45" s="11" t="n"/>
      <c r="H45" s="85" t="n">
        <v>20</v>
      </c>
    </row>
    <row r="46" hidden="1" outlineLevel="1">
      <c r="A46" s="108" t="n">
        <v>43538</v>
      </c>
      <c r="B46" s="111" t="n"/>
      <c r="C46" s="112" t="n"/>
      <c r="D46" s="110" t="inlineStr">
        <is>
          <t>勤凱</t>
        </is>
      </c>
      <c r="E46" s="11" t="n"/>
      <c r="F46" s="11" t="n"/>
      <c r="G46" s="11" t="n"/>
      <c r="H46" s="85" t="n">
        <v>20</v>
      </c>
    </row>
    <row r="47" hidden="1" outlineLevel="1">
      <c r="A47" s="108" t="n">
        <v>43543</v>
      </c>
      <c r="B47" s="111" t="n"/>
      <c r="C47" s="112" t="n"/>
      <c r="D47" s="110" t="inlineStr">
        <is>
          <t>麗清</t>
        </is>
      </c>
      <c r="E47" s="11" t="n"/>
      <c r="F47" s="11" t="n"/>
      <c r="G47" s="11" t="n"/>
      <c r="H47" s="85" t="n">
        <v>20</v>
      </c>
    </row>
    <row r="48" hidden="1" outlineLevel="1">
      <c r="A48" s="108" t="n">
        <v>43543</v>
      </c>
      <c r="B48" s="111" t="n"/>
      <c r="C48" s="112" t="n"/>
      <c r="D48" s="110" t="inlineStr">
        <is>
          <t>樂斯科</t>
        </is>
      </c>
      <c r="E48" s="11" t="n"/>
      <c r="F48" s="11" t="n"/>
      <c r="G48" s="11" t="n"/>
      <c r="H48" s="85" t="n">
        <v>20</v>
      </c>
    </row>
    <row r="49" hidden="1" outlineLevel="1">
      <c r="A49" s="108" t="n">
        <v>43544</v>
      </c>
      <c r="B49" s="111" t="n"/>
      <c r="C49" s="112" t="n"/>
      <c r="D49" s="110" t="inlineStr">
        <is>
          <t>緯穎</t>
        </is>
      </c>
      <c r="E49" s="11" t="n"/>
      <c r="F49" s="11" t="n"/>
      <c r="G49" s="11" t="n"/>
      <c r="H49" s="85" t="n">
        <v>20</v>
      </c>
    </row>
    <row r="50" hidden="1" outlineLevel="1">
      <c r="A50" s="108" t="n">
        <v>43566</v>
      </c>
      <c r="B50" s="111" t="n"/>
      <c r="C50" s="112" t="n"/>
      <c r="D50" s="121" t="inlineStr">
        <is>
          <t>雍智科技</t>
        </is>
      </c>
      <c r="E50" s="11" t="n"/>
      <c r="F50" s="11" t="n"/>
      <c r="G50" s="11" t="n"/>
      <c r="H50" s="85" t="n">
        <v>20</v>
      </c>
    </row>
    <row r="51" hidden="1" outlineLevel="1">
      <c r="A51" s="108" t="n">
        <v>43587</v>
      </c>
      <c r="B51" s="111" t="n"/>
      <c r="C51" s="112" t="n"/>
      <c r="D51" s="133" t="inlineStr">
        <is>
          <t>鈺太</t>
        </is>
      </c>
      <c r="E51" s="11" t="n"/>
      <c r="F51" s="11" t="n"/>
      <c r="G51" s="11" t="n"/>
      <c r="H51" s="85" t="n">
        <v>20</v>
      </c>
    </row>
    <row r="52" hidden="1" outlineLevel="1">
      <c r="A52" s="108" t="n">
        <v>43740</v>
      </c>
      <c r="B52" s="11" t="n"/>
      <c r="C52" s="109" t="n"/>
      <c r="D52" s="110" t="inlineStr">
        <is>
          <t>生展</t>
        </is>
      </c>
      <c r="E52" s="11" t="n"/>
      <c r="F52" s="11" t="n"/>
      <c r="G52" s="11" t="n"/>
      <c r="H52" s="85" t="n">
        <v>20</v>
      </c>
    </row>
    <row r="53" hidden="1" outlineLevel="1">
      <c r="A53" s="108" t="n">
        <v>43745</v>
      </c>
      <c r="B53" s="11" t="n"/>
      <c r="C53" s="109" t="n"/>
      <c r="D53" s="110" t="inlineStr">
        <is>
          <t>上海商銀</t>
        </is>
      </c>
      <c r="E53" s="11" t="n"/>
      <c r="F53" s="11" t="n"/>
      <c r="G53" s="11" t="n"/>
      <c r="H53" s="85" t="n">
        <v>20</v>
      </c>
    </row>
    <row r="54" hidden="1" outlineLevel="1">
      <c r="A54" s="108" t="n">
        <v>43753</v>
      </c>
      <c r="B54" s="11" t="n"/>
      <c r="C54" s="109" t="n"/>
      <c r="D54" s="110" t="inlineStr">
        <is>
          <t>遠雄港</t>
        </is>
      </c>
      <c r="E54" s="11" t="n"/>
      <c r="F54" s="11" t="n"/>
      <c r="G54" s="11" t="n"/>
      <c r="H54" s="85" t="n">
        <v>20</v>
      </c>
    </row>
    <row r="55" hidden="1" outlineLevel="1">
      <c r="A55" s="108" t="n">
        <v>43755</v>
      </c>
      <c r="B55" s="11" t="n"/>
      <c r="C55" s="109" t="n"/>
      <c r="D55" s="110" t="inlineStr">
        <is>
          <t>新唐</t>
        </is>
      </c>
      <c r="E55" s="11" t="n"/>
      <c r="F55" s="11" t="n"/>
      <c r="G55" s="11" t="n"/>
      <c r="H55" s="85" t="n">
        <v>20</v>
      </c>
    </row>
    <row r="56" hidden="1" outlineLevel="1">
      <c r="A56" s="108" t="n">
        <v>43808</v>
      </c>
      <c r="B56" s="111" t="n"/>
      <c r="C56" s="112" t="n"/>
      <c r="D56" s="110" t="inlineStr">
        <is>
          <t>艾美特-KY</t>
        </is>
      </c>
      <c r="E56" s="11" t="n"/>
      <c r="F56" s="11" t="n"/>
      <c r="G56" s="11" t="n"/>
      <c r="H56" s="85" t="n">
        <v>20</v>
      </c>
    </row>
    <row r="57" hidden="1" outlineLevel="1">
      <c r="A57" s="108" t="n">
        <v>43808</v>
      </c>
      <c r="B57" s="111" t="n"/>
      <c r="C57" s="112" t="n"/>
      <c r="D57" s="110" t="inlineStr">
        <is>
          <t>鑫龍騰</t>
        </is>
      </c>
      <c r="E57" s="11" t="n"/>
      <c r="F57" s="11" t="n"/>
      <c r="G57" s="11" t="n"/>
      <c r="H57" s="85" t="n">
        <v>20</v>
      </c>
    </row>
    <row r="58" hidden="1" outlineLevel="1">
      <c r="A58" s="108" t="n">
        <v>43809</v>
      </c>
      <c r="B58" s="111" t="n"/>
      <c r="C58" s="112" t="n"/>
      <c r="D58" s="110" t="inlineStr">
        <is>
          <t>統新</t>
        </is>
      </c>
      <c r="E58" s="11" t="n"/>
      <c r="F58" s="11" t="n"/>
      <c r="G58" s="11" t="n"/>
      <c r="H58" s="85" t="n">
        <v>20</v>
      </c>
    </row>
    <row r="59" hidden="1" outlineLevel="1">
      <c r="A59" s="108" t="n">
        <v>43811</v>
      </c>
      <c r="B59" s="111" t="n"/>
      <c r="C59" s="112" t="n"/>
      <c r="D59" s="110" t="inlineStr">
        <is>
          <t>惠特</t>
        </is>
      </c>
      <c r="E59" s="11" t="n"/>
      <c r="F59" s="11" t="n"/>
      <c r="G59" s="11" t="n"/>
      <c r="H59" s="85" t="n">
        <v>20</v>
      </c>
    </row>
    <row r="60" hidden="1" outlineLevel="1">
      <c r="A60" s="108" t="n">
        <v>43811</v>
      </c>
      <c r="B60" s="111" t="n"/>
      <c r="C60" s="112" t="n"/>
      <c r="D60" s="121" t="inlineStr">
        <is>
          <t>大世科</t>
        </is>
      </c>
      <c r="E60" s="11" t="n"/>
      <c r="F60" s="11" t="n"/>
      <c r="G60" s="11" t="n"/>
      <c r="H60" s="85" t="n">
        <v>20</v>
      </c>
    </row>
    <row r="61" hidden="1" outlineLevel="1">
      <c r="A61" s="108" t="n">
        <v>43818</v>
      </c>
      <c r="B61" s="111" t="n"/>
      <c r="C61" s="112" t="n"/>
      <c r="D61" s="133" t="inlineStr">
        <is>
          <t>東捷資訊</t>
        </is>
      </c>
      <c r="E61" s="11" t="n"/>
      <c r="F61" s="11" t="n"/>
      <c r="G61" s="11" t="n"/>
      <c r="H61" s="85" t="n">
        <v>20</v>
      </c>
    </row>
    <row r="62" hidden="1" outlineLevel="1">
      <c r="A62" s="108" t="n">
        <v>43819</v>
      </c>
      <c r="B62" s="11" t="n"/>
      <c r="C62" s="109" t="n"/>
      <c r="D62" s="110" t="inlineStr">
        <is>
          <t>華星光</t>
        </is>
      </c>
      <c r="E62" s="11" t="n"/>
      <c r="F62" s="11" t="n"/>
      <c r="G62" s="11" t="n"/>
      <c r="H62" s="85" t="n">
        <v>20</v>
      </c>
    </row>
    <row r="63" hidden="1" outlineLevel="1">
      <c r="A63" s="108" t="n">
        <v>43820</v>
      </c>
      <c r="B63" s="11" t="n"/>
      <c r="C63" s="109" t="n"/>
      <c r="D63" s="110" t="inlineStr">
        <is>
          <t>利息</t>
        </is>
      </c>
      <c r="E63" s="11" t="n"/>
      <c r="F63" s="11" t="n"/>
      <c r="G63" s="11" t="n"/>
      <c r="H63" s="85" t="n">
        <v>20</v>
      </c>
    </row>
    <row r="64" hidden="1" outlineLevel="1">
      <c r="A64" s="108" t="n">
        <v>43826</v>
      </c>
      <c r="B64" s="11" t="n"/>
      <c r="C64" s="109" t="n"/>
      <c r="D64" s="110" t="inlineStr">
        <is>
          <t>家登</t>
        </is>
      </c>
      <c r="E64" s="11" t="n"/>
      <c r="F64" s="11" t="n"/>
      <c r="G64" s="11" t="n"/>
      <c r="H64" s="85" t="n">
        <v>20</v>
      </c>
    </row>
    <row r="65" hidden="1" outlineLevel="1">
      <c r="A65" s="108" t="n">
        <v>43826</v>
      </c>
      <c r="B65" s="11" t="n"/>
      <c r="C65" s="109" t="n"/>
      <c r="D65" s="110" t="inlineStr">
        <is>
          <t>捷流閥業</t>
        </is>
      </c>
      <c r="E65" s="11" t="n"/>
      <c r="F65" s="11" t="n"/>
      <c r="G65" s="11" t="n"/>
      <c r="H65" s="85" t="n">
        <v>20</v>
      </c>
    </row>
    <row r="66" hidden="1" outlineLevel="1">
      <c r="A66" s="113" t="n"/>
      <c r="B66" s="111" t="n"/>
      <c r="C66" s="112" t="n"/>
      <c r="D66" s="110" t="n"/>
      <c r="E66" s="11" t="n"/>
      <c r="F66" s="11" t="n"/>
      <c r="G66" s="11" t="n"/>
      <c r="H66" s="85" t="n"/>
    </row>
    <row r="67" ht="17.25" customHeight="1" thickBot="1">
      <c r="A67" s="114" t="n"/>
      <c r="B67" s="115" t="n"/>
      <c r="C67" s="116" t="n"/>
      <c r="D67" s="117" t="inlineStr">
        <is>
          <t>總計</t>
        </is>
      </c>
      <c r="E67" s="59" t="n"/>
      <c r="F67" s="59" t="n"/>
      <c r="G67" s="59" t="n"/>
      <c r="H67" s="118">
        <f>SUM(H41:H66)</f>
        <v/>
      </c>
    </row>
    <row r="68">
      <c r="B68" s="37" t="n"/>
      <c r="C68" s="37" t="n"/>
      <c r="D68" s="9" t="n"/>
    </row>
    <row r="69">
      <c r="B69" s="37" t="n"/>
      <c r="C69" s="37" t="n"/>
      <c r="D69" s="9" t="n"/>
    </row>
    <row r="70">
      <c r="B70" s="37" t="n"/>
      <c r="C70" s="37" t="n"/>
      <c r="D70" s="9" t="n"/>
    </row>
    <row r="71">
      <c r="A71" s="37" t="n"/>
      <c r="B71" s="37" t="n"/>
      <c r="C71" s="37" t="n"/>
      <c r="D71" s="9" t="n"/>
    </row>
    <row r="72">
      <c r="A72" s="37" t="n"/>
      <c r="B72" s="37" t="n"/>
      <c r="C72" s="37" t="n"/>
      <c r="D72" s="9" t="n"/>
    </row>
    <row r="73">
      <c r="A73" s="37" t="n"/>
      <c r="B73" s="37" t="n"/>
      <c r="C73" s="37" t="n"/>
      <c r="D73" s="9" t="n"/>
    </row>
    <row r="74">
      <c r="A74" s="37" t="n"/>
      <c r="B74" s="37" t="n"/>
      <c r="C74" s="37" t="n"/>
      <c r="D74" s="9" t="n"/>
    </row>
  </sheetData>
  <autoFilter ref="A1:AA76"/>
  <mergeCells count="5">
    <mergeCell ref="E29:F31"/>
    <mergeCell ref="I29:J31"/>
    <mergeCell ref="K29:N29"/>
    <mergeCell ref="Y29:Y31"/>
    <mergeCell ref="A29:C31"/>
  </mergeCells>
  <conditionalFormatting sqref="Z1:AA1 Z22:AA31 Z34:Z70 Z71:AA1048576 AA32:AA70">
    <cfRule type="containsText" priority="75" operator="containsText" dxfId="12" text="△">
      <formula>NOT(ISERROR(SEARCH("△",Z1)))</formula>
    </cfRule>
    <cfRule type="containsText" priority="76" operator="containsText" dxfId="11" text="▽">
      <formula>NOT(ISERROR(SEARCH("▽",Z1)))</formula>
    </cfRule>
  </conditionalFormatting>
  <conditionalFormatting sqref="I22:I28">
    <cfRule type="expression" priority="73" dxfId="204">
      <formula>$I22&gt;(TODAY()-7)</formula>
    </cfRule>
    <cfRule type="expression" priority="74" dxfId="203">
      <formula>$I22&gt;(TODAY()-30)</formula>
    </cfRule>
  </conditionalFormatting>
  <conditionalFormatting sqref="AA4">
    <cfRule type="containsText" priority="63" operator="containsText" dxfId="12" text="△">
      <formula>NOT(ISERROR(SEARCH("△",AA4)))</formula>
    </cfRule>
    <cfRule type="containsText" priority="64" operator="containsText" dxfId="11" text="▽">
      <formula>NOT(ISERROR(SEARCH("▽",AA4)))</formula>
    </cfRule>
  </conditionalFormatting>
  <conditionalFormatting sqref="AA3:AA4">
    <cfRule type="containsText" priority="61" operator="containsText" dxfId="12" text="△">
      <formula>NOT(ISERROR(SEARCH("△",AA3)))</formula>
    </cfRule>
    <cfRule type="containsText" priority="62" operator="containsText" dxfId="11" text="▽">
      <formula>NOT(ISERROR(SEARCH("▽",AA3)))</formula>
    </cfRule>
  </conditionalFormatting>
  <conditionalFormatting sqref="AA7:AA8">
    <cfRule type="containsText" priority="57" operator="containsText" dxfId="12" text="△">
      <formula>NOT(ISERROR(SEARCH("△",AA7)))</formula>
    </cfRule>
    <cfRule type="containsText" priority="58" operator="containsText" dxfId="11" text="▽">
      <formula>NOT(ISERROR(SEARCH("▽",AA7)))</formula>
    </cfRule>
  </conditionalFormatting>
  <conditionalFormatting sqref="AA2:AA4">
    <cfRule type="containsText" priority="55" operator="containsText" dxfId="12" text="△">
      <formula>NOT(ISERROR(SEARCH("△",AA2)))</formula>
    </cfRule>
    <cfRule type="containsText" priority="56" operator="containsText" dxfId="11" text="▽">
      <formula>NOT(ISERROR(SEARCH("▽",AA2)))</formula>
    </cfRule>
  </conditionalFormatting>
  <conditionalFormatting sqref="AA8">
    <cfRule type="containsText" priority="53" operator="containsText" dxfId="12" text="△">
      <formula>NOT(ISERROR(SEARCH("△",AA8)))</formula>
    </cfRule>
    <cfRule type="containsText" priority="54" operator="containsText" dxfId="11" text="▽">
      <formula>NOT(ISERROR(SEARCH("▽",AA8)))</formula>
    </cfRule>
  </conditionalFormatting>
  <conditionalFormatting sqref="AA11:AA21">
    <cfRule type="containsText" priority="51" operator="containsText" dxfId="12" text="△">
      <formula>NOT(ISERROR(SEARCH("△",AA11)))</formula>
    </cfRule>
    <cfRule type="containsText" priority="52" operator="containsText" dxfId="11" text="▽">
      <formula>NOT(ISERROR(SEARCH("▽",AA11)))</formula>
    </cfRule>
  </conditionalFormatting>
  <conditionalFormatting sqref="AA5:AA8">
    <cfRule type="containsText" priority="49" operator="containsText" dxfId="12" text="△">
      <formula>NOT(ISERROR(SEARCH("△",AA5)))</formula>
    </cfRule>
    <cfRule type="containsText" priority="50" operator="containsText" dxfId="11" text="▽">
      <formula>NOT(ISERROR(SEARCH("▽",AA5)))</formula>
    </cfRule>
  </conditionalFormatting>
  <conditionalFormatting sqref="AA6:AA8">
    <cfRule type="containsText" priority="47" operator="containsText" dxfId="12" text="△">
      <formula>NOT(ISERROR(SEARCH("△",AA6)))</formula>
    </cfRule>
    <cfRule type="containsText" priority="48" operator="containsText" dxfId="11" text="▽">
      <formula>NOT(ISERROR(SEARCH("▽",AA6)))</formula>
    </cfRule>
  </conditionalFormatting>
  <conditionalFormatting sqref="AA9:AA21">
    <cfRule type="containsText" priority="43" operator="containsText" dxfId="12" text="△">
      <formula>NOT(ISERROR(SEARCH("△",AA9)))</formula>
    </cfRule>
    <cfRule type="containsText" priority="44" operator="containsText" dxfId="11" text="▽">
      <formula>NOT(ISERROR(SEARCH("▽",AA9)))</formula>
    </cfRule>
  </conditionalFormatting>
  <conditionalFormatting sqref="AA10">
    <cfRule type="containsText" priority="41" operator="containsText" dxfId="12" text="△">
      <formula>NOT(ISERROR(SEARCH("△",AA10)))</formula>
    </cfRule>
    <cfRule type="containsText" priority="42" operator="containsText" dxfId="11" text="▽">
      <formula>NOT(ISERROR(SEARCH("▽",AA10)))</formula>
    </cfRule>
  </conditionalFormatting>
  <conditionalFormatting sqref="AA12:AA21">
    <cfRule type="containsText" priority="39" operator="containsText" dxfId="12" text="△">
      <formula>NOT(ISERROR(SEARCH("△",AA12)))</formula>
    </cfRule>
    <cfRule type="containsText" priority="40" operator="containsText" dxfId="11" text="▽">
      <formula>NOT(ISERROR(SEARCH("▽",AA12)))</formula>
    </cfRule>
  </conditionalFormatting>
  <conditionalFormatting sqref="AA13">
    <cfRule type="containsText" priority="37" operator="containsText" dxfId="12" text="△">
      <formula>NOT(ISERROR(SEARCH("△",AA13)))</formula>
    </cfRule>
    <cfRule type="containsText" priority="38" operator="containsText" dxfId="11" text="▽">
      <formula>NOT(ISERROR(SEARCH("▽",AA13)))</formula>
    </cfRule>
  </conditionalFormatting>
  <conditionalFormatting sqref="AA14:AA21">
    <cfRule type="containsText" priority="35" operator="containsText" dxfId="12" text="△">
      <formula>NOT(ISERROR(SEARCH("△",AA14)))</formula>
    </cfRule>
    <cfRule type="containsText" priority="36" operator="containsText" dxfId="11" text="▽">
      <formula>NOT(ISERROR(SEARCH("▽",AA14)))</formula>
    </cfRule>
  </conditionalFormatting>
  <conditionalFormatting sqref="AA16:AA21">
    <cfRule type="containsText" priority="33" operator="containsText" dxfId="12" text="△">
      <formula>NOT(ISERROR(SEARCH("△",AA16)))</formula>
    </cfRule>
    <cfRule type="containsText" priority="34" operator="containsText" dxfId="11" text="▽">
      <formula>NOT(ISERROR(SEARCH("▽",AA16)))</formula>
    </cfRule>
  </conditionalFormatting>
  <conditionalFormatting sqref="AA18:AA21">
    <cfRule type="containsText" priority="31" operator="containsText" dxfId="12" text="△">
      <formula>NOT(ISERROR(SEARCH("△",AA18)))</formula>
    </cfRule>
    <cfRule type="containsText" priority="32" operator="containsText" dxfId="11" text="▽">
      <formula>NOT(ISERROR(SEARCH("▽",AA18)))</formula>
    </cfRule>
  </conditionalFormatting>
  <conditionalFormatting sqref="AA19:AA21">
    <cfRule type="containsText" priority="29" operator="containsText" dxfId="12" text="△">
      <formula>NOT(ISERROR(SEARCH("△",AA19)))</formula>
    </cfRule>
    <cfRule type="containsText" priority="30" operator="containsText" dxfId="11" text="▽">
      <formula>NOT(ISERROR(SEARCH("▽",AA19)))</formula>
    </cfRule>
  </conditionalFormatting>
  <conditionalFormatting sqref="AA15:AA21">
    <cfRule type="containsText" priority="27" operator="containsText" dxfId="12" text="△">
      <formula>NOT(ISERROR(SEARCH("△",AA15)))</formula>
    </cfRule>
    <cfRule type="containsText" priority="28" operator="containsText" dxfId="11" text="▽">
      <formula>NOT(ISERROR(SEARCH("▽",AA15)))</formula>
    </cfRule>
  </conditionalFormatting>
  <conditionalFormatting sqref="AA17:AA21">
    <cfRule type="containsText" priority="25" operator="containsText" dxfId="12" text="△">
      <formula>NOT(ISERROR(SEARCH("△",AA17)))</formula>
    </cfRule>
    <cfRule type="containsText" priority="26" operator="containsText" dxfId="11" text="▽">
      <formula>NOT(ISERROR(SEARCH("▽",AA17)))</formula>
    </cfRule>
  </conditionalFormatting>
  <conditionalFormatting sqref="AA21">
    <cfRule type="containsText" priority="23" operator="containsText" dxfId="12" text="△">
      <formula>NOT(ISERROR(SEARCH("△",AA21)))</formula>
    </cfRule>
    <cfRule type="containsText" priority="24" operator="containsText" dxfId="11" text="▽">
      <formula>NOT(ISERROR(SEARCH("▽",AA21)))</formula>
    </cfRule>
  </conditionalFormatting>
  <conditionalFormatting sqref="AA20:AA21">
    <cfRule type="containsText" priority="19" operator="containsText" dxfId="12" text="△">
      <formula>NOT(ISERROR(SEARCH("△",AA20)))</formula>
    </cfRule>
    <cfRule type="containsText" priority="20" operator="containsText" dxfId="11" text="▽">
      <formula>NOT(ISERROR(SEARCH("▽",AA20)))</formula>
    </cfRule>
  </conditionalFormatting>
  <conditionalFormatting sqref="Z2:Z21">
    <cfRule type="containsText" priority="3" operator="containsText" dxfId="12" text="▲">
      <formula>NOT(ISERROR(SEARCH("▲",Z2)))</formula>
    </cfRule>
    <cfRule type="containsText" priority="4" operator="containsText" dxfId="11" text="▼">
      <formula>NOT(ISERROR(SEARCH("▼",Z2)))</formula>
    </cfRule>
    <cfRule type="cellIs" priority="1" operator="lessThan" dxfId="8">
      <formula>0</formula>
    </cfRule>
    <cfRule type="cellIs" priority="2" operator="greaterThan" dxfId="7">
      <formula>0</formula>
    </cfRule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codeName="Sheet14">
    <tabColor rgb="FF92D050"/>
    <outlinePr summaryBelow="0" summaryRight="0"/>
    <pageSetUpPr/>
  </sheetPr>
  <dimension ref="A1:AC338"/>
  <sheetViews>
    <sheetView zoomScale="85" zoomScaleNormal="85" workbookViewId="0">
      <pane xSplit="4" ySplit="1" topLeftCell="E317" activePane="bottomRight" state="frozen"/>
      <selection activeCell="F42" sqref="F42"/>
      <selection pane="topRight" activeCell="F42" sqref="F42"/>
      <selection pane="bottomLeft" activeCell="F42" sqref="F42"/>
      <selection pane="bottomRight" activeCell="A327" sqref="A327:XFD327"/>
    </sheetView>
  </sheetViews>
  <sheetFormatPr baseColWidth="8" defaultColWidth="9" defaultRowHeight="16.5" outlineLevelRow="1"/>
  <cols>
    <col width="11.125" customWidth="1" style="9" min="1" max="1"/>
    <col hidden="1" width="10" customWidth="1" style="9" min="2" max="2"/>
    <col width="11.375" customWidth="1" style="9" min="3" max="3"/>
    <col width="19.25" bestFit="1" customWidth="1" style="37" min="4" max="4"/>
    <col width="7.125" customWidth="1" style="9" min="5" max="5"/>
    <col width="9.125" customWidth="1" style="9" min="6" max="6"/>
    <col width="12.625" bestFit="1" customWidth="1" style="9" min="7" max="7"/>
    <col width="9.125" customWidth="1" style="9" min="8" max="8"/>
    <col collapsed="1" width="11.5" bestFit="1" customWidth="1" style="9" min="9" max="9"/>
    <col hidden="1" outlineLevel="1" width="9.375" customWidth="1" style="9" min="10" max="10"/>
    <col hidden="1" outlineLevel="1" width="13" customWidth="1" style="9" min="11" max="11"/>
    <col hidden="1" outlineLevel="1" width="9.625" customWidth="1" style="9" min="12" max="13"/>
    <col hidden="1" outlineLevel="1" width="9.125" customWidth="1" style="9" min="14" max="14"/>
    <col width="11.375" customWidth="1" style="9" min="15" max="15"/>
    <col width="13.375" customWidth="1" style="9" min="16" max="16"/>
    <col width="13.125" customWidth="1" style="9" min="17" max="17"/>
    <col collapsed="1" width="9.5" bestFit="1" customWidth="1" style="9" min="18" max="18"/>
    <col hidden="1" outlineLevel="1" width="11.625" customWidth="1" style="9" min="19" max="19"/>
    <col hidden="1" outlineLevel="1" width="18.625" customWidth="1" style="9" min="20" max="20"/>
    <col collapsed="1" width="18.625" bestFit="1" customWidth="1" style="9" min="21" max="21"/>
    <col hidden="1" outlineLevel="1" width="12.375" customWidth="1" style="9" min="22" max="23"/>
    <col width="13.875" customWidth="1" style="9" min="24" max="24"/>
    <col width="13.125" bestFit="1" customWidth="1" style="9" min="25" max="25"/>
    <col width="12.875" bestFit="1" customWidth="1" style="9" min="26" max="26"/>
    <col width="12.875" customWidth="1" style="9" min="27" max="28"/>
    <col width="9" customWidth="1" style="9" min="29" max="16384"/>
  </cols>
  <sheetData>
    <row r="1" collapsed="1" customFormat="1" s="8">
      <c r="A1" s="1" t="inlineStr">
        <is>
          <t>買進日期</t>
        </is>
      </c>
      <c r="B1" s="2" t="inlineStr">
        <is>
          <t>種類</t>
        </is>
      </c>
      <c r="C1" s="3" t="inlineStr">
        <is>
          <t>股票代號</t>
        </is>
      </c>
      <c r="D1" s="4" t="inlineStr">
        <is>
          <t>股票名稱</t>
        </is>
      </c>
      <c r="E1" s="4" t="inlineStr">
        <is>
          <t>股數</t>
        </is>
      </c>
      <c r="F1" s="4" t="inlineStr">
        <is>
          <t>買進價</t>
        </is>
      </c>
      <c r="G1" s="4" t="inlineStr">
        <is>
          <t>成交金額</t>
        </is>
      </c>
      <c r="H1" s="432" t="inlineStr">
        <is>
          <t>手續費</t>
        </is>
      </c>
      <c r="I1" s="4" t="inlineStr">
        <is>
          <t>賣出日期</t>
        </is>
      </c>
      <c r="J1" s="4" t="inlineStr">
        <is>
          <t>賣出價</t>
        </is>
      </c>
      <c r="K1" s="4" t="inlineStr">
        <is>
          <t>成交金額</t>
        </is>
      </c>
      <c r="L1" s="432" t="inlineStr">
        <is>
          <t>手續費</t>
        </is>
      </c>
      <c r="M1" s="432" t="inlineStr">
        <is>
          <t>交易稅</t>
        </is>
      </c>
      <c r="N1" s="3" t="inlineStr">
        <is>
          <t>證所稅</t>
        </is>
      </c>
      <c r="O1" s="4" t="inlineStr">
        <is>
          <t>參考現值</t>
        </is>
      </c>
      <c r="P1" s="433" t="inlineStr">
        <is>
          <t>已實現損益</t>
        </is>
      </c>
      <c r="Q1" s="4" t="inlineStr">
        <is>
          <t>未實現損益</t>
        </is>
      </c>
      <c r="R1" s="4" t="inlineStr">
        <is>
          <t>除息</t>
        </is>
      </c>
      <c r="S1" s="68" t="inlineStr">
        <is>
          <t>手續費</t>
        </is>
      </c>
      <c r="T1" s="68" t="inlineStr">
        <is>
          <t>健保補充保費</t>
        </is>
      </c>
      <c r="U1" s="68" t="inlineStr">
        <is>
          <t>實質扣抵稅率</t>
        </is>
      </c>
      <c r="V1" s="68" t="inlineStr">
        <is>
          <t>扣抵稅率</t>
        </is>
      </c>
      <c r="W1" s="68" t="inlineStr">
        <is>
          <t>所得稅率</t>
        </is>
      </c>
      <c r="X1" s="4" t="inlineStr">
        <is>
          <t>投資報酬率</t>
        </is>
      </c>
      <c r="Y1" s="4" t="inlineStr">
        <is>
          <t>今日股價</t>
        </is>
      </c>
      <c r="Z1" s="7" t="inlineStr">
        <is>
          <t>漲跌</t>
        </is>
      </c>
      <c r="AA1" s="89" t="n"/>
      <c r="AB1" s="276" t="inlineStr">
        <is>
          <t>分類</t>
        </is>
      </c>
    </row>
    <row r="2" hidden="1" outlineLevel="1">
      <c r="A2" s="99" t="n">
        <v>43509</v>
      </c>
      <c r="B2" s="11" t="inlineStr">
        <is>
          <t>普通買進</t>
        </is>
      </c>
      <c r="C2" s="11" t="n">
        <v>1902</v>
      </c>
      <c r="D2" s="133" t="inlineStr">
        <is>
          <t>台紙</t>
        </is>
      </c>
      <c r="E2" s="11" t="n">
        <v>1000</v>
      </c>
      <c r="F2" s="11" t="n">
        <v>20.25</v>
      </c>
      <c r="G2" s="11" t="n">
        <v>20250</v>
      </c>
      <c r="H2" s="11" t="n">
        <v>28</v>
      </c>
      <c r="I2" s="104" t="n">
        <v>43515</v>
      </c>
      <c r="J2" s="16" t="n">
        <v>20</v>
      </c>
      <c r="K2" s="11" t="n">
        <v>20000</v>
      </c>
      <c r="L2" s="17" t="n">
        <v>28</v>
      </c>
      <c r="M2" s="11" t="n">
        <v>60</v>
      </c>
      <c r="N2" s="11" t="n">
        <v>0</v>
      </c>
      <c r="O2" s="434" t="n">
        <v>0</v>
      </c>
      <c r="P2" s="435" t="n">
        <v>-366</v>
      </c>
      <c r="Q2" s="435" t="n">
        <v>0</v>
      </c>
      <c r="R2" s="435" t="n"/>
      <c r="S2" s="435" t="n"/>
      <c r="T2" s="435" t="n">
        <v>0</v>
      </c>
      <c r="U2" s="69" t="n">
        <v>0</v>
      </c>
      <c r="V2" s="69" t="n"/>
      <c r="W2" s="70" t="n">
        <v>0.11</v>
      </c>
      <c r="X2" s="436" t="n">
        <v>-0.01807407407407408</v>
      </c>
      <c r="Y2" s="16" t="e">
        <v>#N/A</v>
      </c>
      <c r="Z2" s="437" t="e">
        <v>#N/A</v>
      </c>
      <c r="AA2" s="438">
        <f>IF(I2="",((TODAY()-A2)*G2)/365.24,((I2-A2)*G2)/365.24)</f>
        <v/>
      </c>
      <c r="AB2" s="103" t="inlineStr">
        <is>
          <t>台股</t>
        </is>
      </c>
    </row>
    <row r="3" hidden="1" outlineLevel="1">
      <c r="A3" s="99" t="n">
        <v>43509</v>
      </c>
      <c r="B3" s="11" t="inlineStr">
        <is>
          <t>普通買進</t>
        </is>
      </c>
      <c r="C3" s="11" t="n">
        <v>2355</v>
      </c>
      <c r="D3" s="272" t="inlineStr">
        <is>
          <t>敬鵬</t>
        </is>
      </c>
      <c r="E3" s="11" t="n">
        <v>1000</v>
      </c>
      <c r="F3" s="11" t="n">
        <v>42</v>
      </c>
      <c r="G3" s="11" t="n">
        <v>42000</v>
      </c>
      <c r="H3" s="11" t="n">
        <v>59</v>
      </c>
      <c r="I3" s="104" t="n">
        <v>43517</v>
      </c>
      <c r="J3" s="16" t="n">
        <v>42.2</v>
      </c>
      <c r="K3" s="11" t="n">
        <v>42200</v>
      </c>
      <c r="L3" s="17" t="n">
        <v>60</v>
      </c>
      <c r="M3" s="11" t="n">
        <v>126</v>
      </c>
      <c r="N3" s="11" t="n">
        <v>0</v>
      </c>
      <c r="O3" s="434" t="n">
        <v>0</v>
      </c>
      <c r="P3" s="435" t="n">
        <v>-45</v>
      </c>
      <c r="Q3" s="435" t="n">
        <v>0</v>
      </c>
      <c r="R3" s="435" t="n"/>
      <c r="S3" s="435" t="n"/>
      <c r="T3" s="435" t="n">
        <v>0</v>
      </c>
      <c r="U3" s="69" t="n">
        <v>0</v>
      </c>
      <c r="V3" s="69" t="n"/>
      <c r="W3" s="70" t="n">
        <v>0.11</v>
      </c>
      <c r="X3" s="436" t="n">
        <v>-0.001071428571428571</v>
      </c>
      <c r="Y3" s="16" t="n">
        <v>53.1</v>
      </c>
      <c r="Z3" s="437" t="n">
        <v>2.1</v>
      </c>
      <c r="AA3" s="438">
        <f>IF(I3="",((TODAY()-A3)*G3)/365.24,((I3-A3)*G3)/365.24)</f>
        <v/>
      </c>
      <c r="AB3" s="103" t="inlineStr">
        <is>
          <t>台股</t>
        </is>
      </c>
    </row>
    <row r="4" hidden="1" outlineLevel="1">
      <c r="A4" s="99" t="n">
        <v>43509</v>
      </c>
      <c r="B4" s="11" t="inlineStr">
        <is>
          <t>普通買進</t>
        </is>
      </c>
      <c r="C4" s="11" t="n">
        <v>4947</v>
      </c>
      <c r="D4" s="133" t="inlineStr">
        <is>
          <t>昂寶-KY</t>
        </is>
      </c>
      <c r="E4" s="11" t="n">
        <v>1000</v>
      </c>
      <c r="F4" s="11" t="n">
        <v>188</v>
      </c>
      <c r="G4" s="11" t="n">
        <v>188000</v>
      </c>
      <c r="H4" s="11" t="n">
        <v>267</v>
      </c>
      <c r="I4" s="104" t="n">
        <v>43518</v>
      </c>
      <c r="J4" s="16" t="n">
        <v>191</v>
      </c>
      <c r="K4" s="11" t="n">
        <v>191000</v>
      </c>
      <c r="L4" s="17" t="n">
        <v>272</v>
      </c>
      <c r="M4" s="11" t="n">
        <v>573</v>
      </c>
      <c r="N4" s="11" t="n">
        <v>0</v>
      </c>
      <c r="O4" s="434" t="n">
        <v>0</v>
      </c>
      <c r="P4" s="435" t="n">
        <v>1888</v>
      </c>
      <c r="Q4" s="435" t="n">
        <v>0</v>
      </c>
      <c r="R4" s="435" t="n"/>
      <c r="S4" s="435" t="n"/>
      <c r="T4" s="435" t="n">
        <v>0</v>
      </c>
      <c r="U4" s="69" t="n">
        <v>0</v>
      </c>
      <c r="V4" s="69" t="n"/>
      <c r="W4" s="70" t="n">
        <v>0.11</v>
      </c>
      <c r="X4" s="436" t="n">
        <v>0.01004255319148936</v>
      </c>
      <c r="Y4" s="16" t="e">
        <v>#N/A</v>
      </c>
      <c r="Z4" s="437" t="e">
        <v>#N/A</v>
      </c>
      <c r="AA4" s="438">
        <f>IF(I4="",((TODAY()-A4)*G4)/365.24,((I4-A4)*G4)/365.24)</f>
        <v/>
      </c>
      <c r="AB4" s="103" t="inlineStr">
        <is>
          <t>台股</t>
        </is>
      </c>
    </row>
    <row r="5" hidden="1" outlineLevel="1">
      <c r="A5" s="99" t="n">
        <v>43509</v>
      </c>
      <c r="B5" s="11" t="inlineStr">
        <is>
          <t>普通買進</t>
        </is>
      </c>
      <c r="C5" s="11" t="n">
        <v>3376</v>
      </c>
      <c r="D5" s="11" t="inlineStr">
        <is>
          <t>新日興</t>
        </is>
      </c>
      <c r="E5" s="11" t="n">
        <v>1000</v>
      </c>
      <c r="F5" s="11" t="n">
        <v>95.5</v>
      </c>
      <c r="G5" s="11" t="n">
        <v>95500</v>
      </c>
      <c r="H5" s="11" t="n">
        <v>136</v>
      </c>
      <c r="I5" s="104" t="n">
        <v>43530</v>
      </c>
      <c r="J5" s="16" t="n">
        <v>102.5</v>
      </c>
      <c r="K5" s="11" t="n">
        <v>102500</v>
      </c>
      <c r="L5" s="17" t="n">
        <v>146</v>
      </c>
      <c r="M5" s="11" t="n">
        <v>307</v>
      </c>
      <c r="N5" s="11" t="n">
        <v>0</v>
      </c>
      <c r="O5" s="434" t="n">
        <v>0</v>
      </c>
      <c r="P5" s="435" t="n">
        <v>6411</v>
      </c>
      <c r="Q5" s="435" t="n">
        <v>0</v>
      </c>
      <c r="R5" s="435" t="n"/>
      <c r="S5" s="435" t="n"/>
      <c r="T5" s="435" t="n">
        <v>0</v>
      </c>
      <c r="U5" s="69" t="n">
        <v>0</v>
      </c>
      <c r="V5" s="69" t="n"/>
      <c r="W5" s="70" t="n">
        <v>0.11</v>
      </c>
      <c r="X5" s="436" t="n">
        <v>0.06713089005235602</v>
      </c>
      <c r="Y5" s="16" t="n">
        <v>224</v>
      </c>
      <c r="Z5" s="437" t="n">
        <v>20</v>
      </c>
      <c r="AA5" s="438">
        <f>IF(I5="",((TODAY()-A5)*G5)/365.24,((I5-A5)*G5)/365.24)</f>
        <v/>
      </c>
      <c r="AB5" s="103" t="inlineStr">
        <is>
          <t>台股</t>
        </is>
      </c>
    </row>
    <row r="6" hidden="1" outlineLevel="1">
      <c r="A6" s="99" t="n">
        <v>43558</v>
      </c>
      <c r="B6" s="11" t="inlineStr">
        <is>
          <t>普通買進</t>
        </is>
      </c>
      <c r="C6" s="11" t="n">
        <v>6108</v>
      </c>
      <c r="D6" s="11" t="inlineStr">
        <is>
          <t>競國</t>
        </is>
      </c>
      <c r="E6" s="11" t="n">
        <v>1000</v>
      </c>
      <c r="F6" s="11" t="n">
        <v>30.55</v>
      </c>
      <c r="G6" s="11" t="n">
        <v>30550</v>
      </c>
      <c r="H6" s="11" t="n">
        <v>43</v>
      </c>
      <c r="I6" s="104" t="n">
        <v>43564</v>
      </c>
      <c r="J6" s="16" t="n">
        <v>29.5</v>
      </c>
      <c r="K6" s="11" t="n">
        <v>29500</v>
      </c>
      <c r="L6" s="17" t="n">
        <v>42</v>
      </c>
      <c r="M6" s="11" t="n">
        <v>88</v>
      </c>
      <c r="N6" s="11" t="n">
        <v>0</v>
      </c>
      <c r="O6" s="434" t="n">
        <v>0</v>
      </c>
      <c r="P6" s="435" t="n">
        <v>-1223</v>
      </c>
      <c r="Q6" s="435" t="n">
        <v>0</v>
      </c>
      <c r="R6" s="435" t="n"/>
      <c r="S6" s="435" t="n"/>
      <c r="T6" s="435" t="n">
        <v>0</v>
      </c>
      <c r="U6" s="69" t="n">
        <v>0</v>
      </c>
      <c r="V6" s="69" t="n"/>
      <c r="W6" s="70" t="n">
        <v>0.11</v>
      </c>
      <c r="X6" s="436" t="n">
        <v>-0.04003273322422259</v>
      </c>
      <c r="Y6" s="16" t="n">
        <v>18.3</v>
      </c>
      <c r="Z6" s="437" t="n">
        <v>-0.1</v>
      </c>
      <c r="AA6" s="438">
        <f>IF(I6="",((TODAY()-A6)*G6)/365.24,((I6-A6)*G6)/365.24)</f>
        <v/>
      </c>
      <c r="AB6" s="103" t="inlineStr">
        <is>
          <t>台股</t>
        </is>
      </c>
    </row>
    <row r="7" hidden="1" outlineLevel="1">
      <c r="A7" s="99" t="n">
        <v>43553</v>
      </c>
      <c r="B7" s="11" t="inlineStr">
        <is>
          <t>普通買進</t>
        </is>
      </c>
      <c r="C7" s="11" t="n">
        <v>2451</v>
      </c>
      <c r="D7" s="11" t="inlineStr">
        <is>
          <t>創見</t>
        </is>
      </c>
      <c r="E7" s="11" t="n">
        <v>1000</v>
      </c>
      <c r="F7" s="11" t="n">
        <v>69.90000000000001</v>
      </c>
      <c r="G7" s="11" t="n">
        <v>69900</v>
      </c>
      <c r="H7" s="11" t="n">
        <v>99</v>
      </c>
      <c r="I7" s="104" t="n">
        <v>43570</v>
      </c>
      <c r="J7" s="16" t="n">
        <v>69.59999999999999</v>
      </c>
      <c r="K7" s="11" t="n">
        <v>69600</v>
      </c>
      <c r="L7" s="17" t="n">
        <v>99</v>
      </c>
      <c r="M7" s="11" t="n">
        <v>208</v>
      </c>
      <c r="N7" s="11" t="n">
        <v>0</v>
      </c>
      <c r="O7" s="434" t="n">
        <v>0</v>
      </c>
      <c r="P7" s="435" t="n">
        <v>-706</v>
      </c>
      <c r="Q7" s="435" t="n">
        <v>0</v>
      </c>
      <c r="R7" s="435" t="n"/>
      <c r="S7" s="435" t="n"/>
      <c r="T7" s="435" t="n">
        <v>0</v>
      </c>
      <c r="U7" s="69" t="n">
        <v>0</v>
      </c>
      <c r="V7" s="69" t="n"/>
      <c r="W7" s="70" t="n">
        <v>0.11</v>
      </c>
      <c r="X7" s="436" t="n">
        <v>-0.01010014306151645</v>
      </c>
      <c r="Y7" s="16" t="n">
        <v>265.5</v>
      </c>
      <c r="Z7" s="437" t="n">
        <v>15</v>
      </c>
      <c r="AA7" s="438">
        <f>IF(I7="",((TODAY()-A7)*G7)/365.24,((I7-A7)*G7)/365.24)</f>
        <v/>
      </c>
      <c r="AB7" s="103" t="inlineStr">
        <is>
          <t>台股</t>
        </is>
      </c>
    </row>
    <row r="8" hidden="1" outlineLevel="1">
      <c r="A8" s="99" t="n">
        <v>43553</v>
      </c>
      <c r="B8" s="11" t="inlineStr">
        <is>
          <t>普通買進</t>
        </is>
      </c>
      <c r="C8" s="11" t="n">
        <v>3213</v>
      </c>
      <c r="D8" s="11" t="inlineStr">
        <is>
          <t>茂訊</t>
        </is>
      </c>
      <c r="E8" s="11" t="n">
        <v>1000</v>
      </c>
      <c r="F8" s="11" t="n">
        <v>43.85</v>
      </c>
      <c r="G8" s="11" t="n">
        <v>43850</v>
      </c>
      <c r="H8" s="11" t="n">
        <v>62</v>
      </c>
      <c r="I8" s="104" t="n">
        <v>43577</v>
      </c>
      <c r="J8" s="16" t="n">
        <v>44.65</v>
      </c>
      <c r="K8" s="11" t="n">
        <v>44650</v>
      </c>
      <c r="L8" s="17" t="n">
        <v>63</v>
      </c>
      <c r="M8" s="11" t="n">
        <v>133</v>
      </c>
      <c r="N8" s="11" t="n">
        <v>0</v>
      </c>
      <c r="O8" s="434" t="n">
        <v>0</v>
      </c>
      <c r="P8" s="435" t="n">
        <v>542</v>
      </c>
      <c r="Q8" s="435" t="n">
        <v>0</v>
      </c>
      <c r="R8" s="435" t="n"/>
      <c r="S8" s="435" t="n"/>
      <c r="T8" s="435" t="n">
        <v>0</v>
      </c>
      <c r="U8" s="69" t="n">
        <v>0</v>
      </c>
      <c r="V8" s="69" t="n"/>
      <c r="W8" s="70" t="n">
        <v>0.11</v>
      </c>
      <c r="X8" s="436" t="n">
        <v>0.01236031927023945</v>
      </c>
      <c r="Y8" s="16" t="n">
        <v>107</v>
      </c>
      <c r="Z8" s="437" t="n">
        <v>-0.5</v>
      </c>
      <c r="AA8" s="438">
        <f>IF(I8="",((TODAY()-A8)*G8)/365.24,((I8-A8)*G8)/365.24)</f>
        <v/>
      </c>
      <c r="AB8" s="103" t="inlineStr">
        <is>
          <t>台股</t>
        </is>
      </c>
    </row>
    <row r="9" hidden="1" outlineLevel="1">
      <c r="A9" s="99" t="n">
        <v>43553</v>
      </c>
      <c r="B9" s="11" t="inlineStr">
        <is>
          <t>普通買進</t>
        </is>
      </c>
      <c r="C9" s="11" t="n">
        <v>5340</v>
      </c>
      <c r="D9" s="11" t="inlineStr">
        <is>
          <t>建榮</t>
        </is>
      </c>
      <c r="E9" s="11" t="n">
        <v>1000</v>
      </c>
      <c r="F9" s="11" t="n">
        <v>27.25</v>
      </c>
      <c r="G9" s="11" t="n">
        <v>27250</v>
      </c>
      <c r="H9" s="11" t="n">
        <v>38</v>
      </c>
      <c r="I9" s="104" t="n">
        <v>43578</v>
      </c>
      <c r="J9" s="16" t="n">
        <v>45.8</v>
      </c>
      <c r="K9" s="11" t="n">
        <v>45800</v>
      </c>
      <c r="L9" s="17" t="n">
        <v>65</v>
      </c>
      <c r="M9" s="11" t="n">
        <v>137</v>
      </c>
      <c r="N9" s="11" t="n">
        <v>0</v>
      </c>
      <c r="O9" s="434" t="n">
        <v>0</v>
      </c>
      <c r="P9" s="435" t="n">
        <v>18310</v>
      </c>
      <c r="Q9" s="435" t="n">
        <v>0</v>
      </c>
      <c r="R9" s="435" t="n"/>
      <c r="S9" s="435" t="n"/>
      <c r="T9" s="435" t="n">
        <v>0</v>
      </c>
      <c r="U9" s="69" t="n">
        <v>0</v>
      </c>
      <c r="V9" s="69" t="n"/>
      <c r="W9" s="70" t="n">
        <v>0.11</v>
      </c>
      <c r="X9" s="436" t="n">
        <v>0.6719266055045872</v>
      </c>
      <c r="Y9" s="16" t="n">
        <v>117</v>
      </c>
      <c r="Z9" s="437" t="n">
        <v>-8.5</v>
      </c>
      <c r="AA9" s="438">
        <f>IF(I9="",((TODAY()-A9)*G9)/365.24,((I9-A9)*G9)/365.24)</f>
        <v/>
      </c>
      <c r="AB9" s="103" t="inlineStr">
        <is>
          <t>台股</t>
        </is>
      </c>
    </row>
    <row r="10" hidden="1" outlineLevel="1">
      <c r="A10" s="99" t="n">
        <v>43637</v>
      </c>
      <c r="B10" s="11" t="inlineStr">
        <is>
          <t>普通買進</t>
        </is>
      </c>
      <c r="C10" s="11" t="n">
        <v>6180</v>
      </c>
      <c r="D10" s="11" t="inlineStr">
        <is>
          <t>橘子</t>
        </is>
      </c>
      <c r="E10" s="11" t="n">
        <v>1000</v>
      </c>
      <c r="F10" s="11" t="n">
        <v>74</v>
      </c>
      <c r="G10" s="11" t="n">
        <v>74000</v>
      </c>
      <c r="H10" s="11" t="n">
        <v>105</v>
      </c>
      <c r="I10" s="104" t="n">
        <v>43644</v>
      </c>
      <c r="J10" s="16" t="n">
        <v>66.3</v>
      </c>
      <c r="K10" s="11" t="n">
        <v>66300</v>
      </c>
      <c r="L10" s="17" t="n">
        <v>94</v>
      </c>
      <c r="M10" s="11" t="n">
        <v>198</v>
      </c>
      <c r="N10" s="11" t="n">
        <v>0</v>
      </c>
      <c r="O10" s="434" t="n">
        <v>0</v>
      </c>
      <c r="P10" s="435" t="n">
        <v>-2119.97</v>
      </c>
      <c r="Q10" s="435" t="n">
        <v>0</v>
      </c>
      <c r="R10" s="435" t="n">
        <v>6200</v>
      </c>
      <c r="S10" s="435" t="n">
        <v>10</v>
      </c>
      <c r="T10" s="435" t="n">
        <v>0</v>
      </c>
      <c r="U10" s="69" t="n">
        <v>0.0407673860911271</v>
      </c>
      <c r="V10" s="69" t="n">
        <v>0.08500000000000001</v>
      </c>
      <c r="W10" s="70" t="n">
        <v>0.11</v>
      </c>
      <c r="X10" s="436" t="n">
        <v>-0.02864824324324325</v>
      </c>
      <c r="Y10" s="16" t="n">
        <v>41.8</v>
      </c>
      <c r="Z10" s="437" t="n">
        <v>-0.4</v>
      </c>
      <c r="AA10" s="438">
        <f>IF(I10="",((TODAY()-A10)*G10)/365.24,((I10-A10)*G10)/365.24)</f>
        <v/>
      </c>
      <c r="AB10" s="103" t="inlineStr">
        <is>
          <t>台股</t>
        </is>
      </c>
    </row>
    <row r="11" hidden="1" outlineLevel="1">
      <c r="A11" s="99" t="n">
        <v>43637</v>
      </c>
      <c r="B11" s="11" t="inlineStr">
        <is>
          <t>普通買進</t>
        </is>
      </c>
      <c r="C11" s="11" t="n">
        <v>6613</v>
      </c>
      <c r="D11" s="11" t="inlineStr">
        <is>
          <t>朋億</t>
        </is>
      </c>
      <c r="E11" s="11" t="n">
        <v>1000</v>
      </c>
      <c r="F11" s="11" t="n">
        <v>175</v>
      </c>
      <c r="G11" s="11" t="n">
        <v>175000</v>
      </c>
      <c r="H11" s="11" t="n">
        <v>249</v>
      </c>
      <c r="I11" s="104" t="n">
        <v>43644</v>
      </c>
      <c r="J11" s="16" t="n">
        <v>159.5</v>
      </c>
      <c r="K11" s="11" t="n">
        <v>159500</v>
      </c>
      <c r="L11" s="17" t="n">
        <v>227</v>
      </c>
      <c r="M11" s="11" t="n">
        <v>478</v>
      </c>
      <c r="N11" s="11" t="n">
        <v>0</v>
      </c>
      <c r="O11" s="434" t="n">
        <v>0</v>
      </c>
      <c r="P11" s="435" t="n">
        <v>-1979.25</v>
      </c>
      <c r="Q11" s="435" t="n">
        <v>0</v>
      </c>
      <c r="R11" s="435" t="n">
        <v>15000</v>
      </c>
      <c r="S11" s="435" t="n">
        <v>10</v>
      </c>
      <c r="T11" s="435" t="n">
        <v>0</v>
      </c>
      <c r="U11" s="69" t="n">
        <v>0.0407673860911271</v>
      </c>
      <c r="V11" s="69" t="n">
        <v>0.08500000000000001</v>
      </c>
      <c r="W11" s="70" t="n">
        <v>0.11</v>
      </c>
      <c r="X11" s="436" t="n">
        <v>-0.01131</v>
      </c>
      <c r="Y11" s="16" t="n">
        <v>249.5</v>
      </c>
      <c r="Z11" s="437" t="n">
        <v>7.5</v>
      </c>
      <c r="AA11" s="438">
        <f>IF(I11="",((TODAY()-A11)*G11)/365.24,((I11-A11)*G11)/365.24)</f>
        <v/>
      </c>
      <c r="AB11" s="103" t="inlineStr">
        <is>
          <t>台股</t>
        </is>
      </c>
    </row>
    <row r="12" hidden="1" outlineLevel="1">
      <c r="A12" s="99" t="n">
        <v>43637</v>
      </c>
      <c r="B12" s="11" t="inlineStr">
        <is>
          <t>普通買進</t>
        </is>
      </c>
      <c r="C12" s="11" t="n">
        <v>4153</v>
      </c>
      <c r="D12" s="11" t="inlineStr">
        <is>
          <t>鈺緯</t>
        </is>
      </c>
      <c r="E12" s="11" t="n">
        <v>2000</v>
      </c>
      <c r="F12" s="11" t="n">
        <v>36.45</v>
      </c>
      <c r="G12" s="11" t="n">
        <v>72900</v>
      </c>
      <c r="H12" s="11" t="n">
        <v>103</v>
      </c>
      <c r="I12" s="104" t="n">
        <v>43647</v>
      </c>
      <c r="J12" s="16" t="n">
        <v>35.9</v>
      </c>
      <c r="K12" s="11" t="n">
        <v>71800</v>
      </c>
      <c r="L12" s="17" t="n">
        <v>102</v>
      </c>
      <c r="M12" s="11" t="n">
        <v>215</v>
      </c>
      <c r="N12" s="11" t="n">
        <v>0</v>
      </c>
      <c r="O12" s="434" t="n">
        <v>0</v>
      </c>
      <c r="P12" s="435" t="n">
        <v>1328.68</v>
      </c>
      <c r="Q12" s="435" t="n">
        <v>0</v>
      </c>
      <c r="R12" s="435" t="n">
        <v>2960</v>
      </c>
      <c r="S12" s="435" t="n">
        <v>10</v>
      </c>
      <c r="T12" s="435" t="n">
        <v>0</v>
      </c>
      <c r="U12" s="69" t="n">
        <v>0.0407673860911271</v>
      </c>
      <c r="V12" s="69" t="n">
        <v>0.08500000000000001</v>
      </c>
      <c r="W12" s="70" t="n">
        <v>0.11</v>
      </c>
      <c r="X12" s="436" t="n">
        <v>0.01822606310013717</v>
      </c>
      <c r="Y12" s="16" t="n">
        <v>32.15</v>
      </c>
      <c r="Z12" s="437" t="n">
        <v>0.1</v>
      </c>
      <c r="AA12" s="438">
        <f>IF(I12="",((TODAY()-A12)*G12)/365.24,((I12-A12)*G12)/365.24)</f>
        <v/>
      </c>
      <c r="AB12" s="103" t="inlineStr">
        <is>
          <t>台股</t>
        </is>
      </c>
    </row>
    <row r="13" hidden="1" outlineLevel="1">
      <c r="A13" s="99" t="n">
        <v>43637</v>
      </c>
      <c r="B13" s="11" t="inlineStr">
        <is>
          <t>普通買進</t>
        </is>
      </c>
      <c r="C13" s="11" t="n">
        <v>2385</v>
      </c>
      <c r="D13" s="11" t="inlineStr">
        <is>
          <t>群光</t>
        </is>
      </c>
      <c r="E13" s="11" t="n">
        <v>1000</v>
      </c>
      <c r="F13" s="11" t="n">
        <v>78.5</v>
      </c>
      <c r="G13" s="11" t="n">
        <v>78500</v>
      </c>
      <c r="H13" s="11" t="n">
        <v>111</v>
      </c>
      <c r="I13" s="104" t="n">
        <v>43649</v>
      </c>
      <c r="J13" s="16" t="n">
        <v>76.90000000000001</v>
      </c>
      <c r="K13" s="11" t="n">
        <v>76900</v>
      </c>
      <c r="L13" s="17" t="n">
        <v>109</v>
      </c>
      <c r="M13" s="11" t="n">
        <v>230</v>
      </c>
      <c r="N13" s="11" t="n">
        <v>0</v>
      </c>
      <c r="O13" s="434" t="n">
        <v>0</v>
      </c>
      <c r="P13" s="435" t="n">
        <v>1322</v>
      </c>
      <c r="Q13" s="435" t="n">
        <v>0</v>
      </c>
      <c r="R13" s="435" t="n">
        <v>3800</v>
      </c>
      <c r="S13" s="435" t="n">
        <v>10</v>
      </c>
      <c r="T13" s="435" t="n">
        <v>0</v>
      </c>
      <c r="U13" s="69" t="n">
        <v>0</v>
      </c>
      <c r="V13" s="69" t="n"/>
      <c r="W13" s="70" t="n">
        <v>0.11</v>
      </c>
      <c r="X13" s="436" t="n">
        <v>0.01684076433121019</v>
      </c>
      <c r="Y13" s="16" t="n">
        <v>125</v>
      </c>
      <c r="Z13" s="437" t="n">
        <v>3</v>
      </c>
      <c r="AA13" s="438">
        <f>IF(I13="",((TODAY()-A13)*G13)/365.24,((I13-A13)*G13)/365.24)</f>
        <v/>
      </c>
      <c r="AB13" s="103" t="inlineStr">
        <is>
          <t>台股</t>
        </is>
      </c>
    </row>
    <row r="14" hidden="1" outlineLevel="1">
      <c r="A14" s="99" t="n">
        <v>43641</v>
      </c>
      <c r="B14" s="11" t="inlineStr">
        <is>
          <t>普通買進</t>
        </is>
      </c>
      <c r="C14" s="11" t="n">
        <v>8916</v>
      </c>
      <c r="D14" s="11" t="inlineStr">
        <is>
          <t>光隆</t>
        </is>
      </c>
      <c r="E14" s="11" t="n">
        <v>1000</v>
      </c>
      <c r="F14" s="11" t="n">
        <v>49.15</v>
      </c>
      <c r="G14" s="11" t="n">
        <v>49150</v>
      </c>
      <c r="H14" s="11" t="n">
        <v>70</v>
      </c>
      <c r="I14" s="104" t="n">
        <v>43647</v>
      </c>
      <c r="J14" s="16" t="n">
        <v>47.2</v>
      </c>
      <c r="K14" s="11" t="n">
        <v>47200</v>
      </c>
      <c r="L14" s="17" t="n">
        <v>67</v>
      </c>
      <c r="M14" s="11" t="n">
        <v>141</v>
      </c>
      <c r="N14" s="11" t="n">
        <v>0</v>
      </c>
      <c r="O14" s="434" t="n">
        <v>0</v>
      </c>
      <c r="P14" s="435" t="n">
        <v>762.1900000000001</v>
      </c>
      <c r="Q14" s="435" t="n">
        <v>0</v>
      </c>
      <c r="R14" s="435" t="n">
        <v>3371</v>
      </c>
      <c r="S14" s="435" t="n">
        <v>10</v>
      </c>
      <c r="T14" s="435" t="n">
        <v>0</v>
      </c>
      <c r="U14" s="69" t="n">
        <v>0</v>
      </c>
      <c r="V14" s="69" t="n"/>
      <c r="W14" s="70" t="n">
        <v>0.11</v>
      </c>
      <c r="X14" s="436" t="n">
        <v>0.01550742624618515</v>
      </c>
      <c r="Y14" s="16" t="n">
        <v>48.3</v>
      </c>
      <c r="Z14" s="437" t="n">
        <v>0.65</v>
      </c>
      <c r="AA14" s="438">
        <f>IF(I14="",((TODAY()-A14)*G14)/365.24,((I14-A14)*G14)/365.24)</f>
        <v/>
      </c>
      <c r="AB14" s="103" t="inlineStr">
        <is>
          <t>台股</t>
        </is>
      </c>
    </row>
    <row r="15" hidden="1" outlineLevel="1">
      <c r="A15" s="99" t="n">
        <v>43644</v>
      </c>
      <c r="B15" s="11" t="inlineStr">
        <is>
          <t>普通買進</t>
        </is>
      </c>
      <c r="C15" s="11" t="n">
        <v>4974</v>
      </c>
      <c r="D15" s="11" t="inlineStr">
        <is>
          <t>亞泰</t>
        </is>
      </c>
      <c r="E15" s="11" t="n">
        <v>1000</v>
      </c>
      <c r="F15" s="11" t="n">
        <v>45.35</v>
      </c>
      <c r="G15" s="11" t="n">
        <v>45350</v>
      </c>
      <c r="H15" s="11" t="n">
        <v>64</v>
      </c>
      <c r="I15" s="104" t="n">
        <v>43650</v>
      </c>
      <c r="J15" s="16" t="n">
        <v>42.8</v>
      </c>
      <c r="K15" s="11" t="n">
        <v>42800</v>
      </c>
      <c r="L15" s="17" t="n">
        <v>60</v>
      </c>
      <c r="M15" s="11" t="n">
        <v>128</v>
      </c>
      <c r="N15" s="11" t="n">
        <v>0</v>
      </c>
      <c r="O15" s="434" t="n">
        <v>0</v>
      </c>
      <c r="P15" s="435" t="n">
        <v>-53</v>
      </c>
      <c r="Q15" s="435" t="n">
        <v>0</v>
      </c>
      <c r="R15" s="435" t="n">
        <v>3100</v>
      </c>
      <c r="S15" s="435" t="n">
        <v>10</v>
      </c>
      <c r="T15" s="435" t="n">
        <v>0</v>
      </c>
      <c r="U15" s="69" t="n">
        <v>0</v>
      </c>
      <c r="V15" s="69" t="n"/>
      <c r="W15" s="70" t="n">
        <v>0.11</v>
      </c>
      <c r="X15" s="436" t="n">
        <v>-0.001168687982359427</v>
      </c>
      <c r="Y15" s="16" t="n">
        <v>71.2</v>
      </c>
      <c r="Z15" s="437" t="n">
        <v>-0.7</v>
      </c>
      <c r="AA15" s="438">
        <f>IF(I15="",((TODAY()-A15)*G15)/365.24,((I15-A15)*G15)/365.24)</f>
        <v/>
      </c>
      <c r="AB15" s="103" t="inlineStr">
        <is>
          <t>台股</t>
        </is>
      </c>
    </row>
    <row r="16" hidden="1" outlineLevel="1">
      <c r="A16" s="99" t="n">
        <v>43644</v>
      </c>
      <c r="B16" s="11" t="inlineStr">
        <is>
          <t>普通買進</t>
        </is>
      </c>
      <c r="C16" s="11" t="n">
        <v>8435</v>
      </c>
      <c r="D16" s="11" t="inlineStr">
        <is>
          <t>鉅邁</t>
        </is>
      </c>
      <c r="E16" s="11" t="n">
        <v>1000</v>
      </c>
      <c r="F16" s="11" t="n">
        <v>51.3</v>
      </c>
      <c r="G16" s="11" t="n">
        <v>51300</v>
      </c>
      <c r="H16" s="11" t="n">
        <v>73</v>
      </c>
      <c r="I16" s="104" t="n">
        <v>43651</v>
      </c>
      <c r="J16" s="16" t="n">
        <v>49.35</v>
      </c>
      <c r="K16" s="11" t="n">
        <v>49350</v>
      </c>
      <c r="L16" s="17" t="n">
        <v>70</v>
      </c>
      <c r="M16" s="11" t="n">
        <v>148</v>
      </c>
      <c r="N16" s="11" t="n">
        <v>0</v>
      </c>
      <c r="O16" s="434" t="n">
        <v>0</v>
      </c>
      <c r="P16" s="435" t="n">
        <v>597</v>
      </c>
      <c r="Q16" s="435" t="n">
        <v>0</v>
      </c>
      <c r="R16" s="435" t="n">
        <v>3200</v>
      </c>
      <c r="S16" s="435" t="n">
        <v>10</v>
      </c>
      <c r="T16" s="435" t="n">
        <v>0</v>
      </c>
      <c r="U16" s="69" t="n">
        <v>0</v>
      </c>
      <c r="V16" s="69" t="n"/>
      <c r="W16" s="70" t="n">
        <v>0.11</v>
      </c>
      <c r="X16" s="436" t="n">
        <v>0.0116374269005848</v>
      </c>
      <c r="Y16" s="16" t="n">
        <v>56.8</v>
      </c>
      <c r="Z16" s="437" t="n">
        <v>-0.1</v>
      </c>
      <c r="AA16" s="438">
        <f>IF(I16="",((TODAY()-A16)*G16)/365.24,((I16-A16)*G16)/365.24)</f>
        <v/>
      </c>
      <c r="AB16" s="103" t="inlineStr">
        <is>
          <t>台股</t>
        </is>
      </c>
    </row>
    <row r="17" hidden="1" outlineLevel="1">
      <c r="A17" s="99" t="n">
        <v>43649</v>
      </c>
      <c r="B17" s="11" t="inlineStr">
        <is>
          <t>普通買進</t>
        </is>
      </c>
      <c r="C17" s="11" t="n">
        <v>2408</v>
      </c>
      <c r="D17" s="11" t="inlineStr">
        <is>
          <t>南亞科</t>
        </is>
      </c>
      <c r="E17" s="11" t="n">
        <v>1000</v>
      </c>
      <c r="F17" s="11" t="n">
        <v>65.3</v>
      </c>
      <c r="G17" s="11" t="n">
        <v>65300</v>
      </c>
      <c r="H17" s="11" t="n">
        <v>93</v>
      </c>
      <c r="I17" s="104" t="n">
        <v>43654</v>
      </c>
      <c r="J17" s="16" t="n">
        <v>60.4</v>
      </c>
      <c r="K17" s="11" t="n">
        <v>60400</v>
      </c>
      <c r="L17" s="17" t="n">
        <v>86</v>
      </c>
      <c r="M17" s="11" t="n">
        <v>181</v>
      </c>
      <c r="N17" s="11" t="n">
        <v>0</v>
      </c>
      <c r="O17" s="434" t="n">
        <v>0</v>
      </c>
      <c r="P17" s="435" t="n">
        <v>1057.9</v>
      </c>
      <c r="Q17" s="435" t="n">
        <v>0</v>
      </c>
      <c r="R17" s="435" t="n">
        <v>7110</v>
      </c>
      <c r="S17" s="435" t="n">
        <v>10</v>
      </c>
      <c r="T17" s="435" t="n">
        <v>0</v>
      </c>
      <c r="U17" s="69" t="n">
        <v>0</v>
      </c>
      <c r="V17" s="69" t="n"/>
      <c r="W17" s="70" t="n">
        <v>0.11</v>
      </c>
      <c r="X17" s="436" t="n">
        <v>0.01620061255742726</v>
      </c>
      <c r="Y17" s="16" t="n">
        <v>220</v>
      </c>
      <c r="Z17" s="437" t="n">
        <v>13</v>
      </c>
      <c r="AA17" s="438">
        <f>IF(I17="",((TODAY()-A17)*G17)/365.24,((I17-A17)*G17)/365.24)</f>
        <v/>
      </c>
      <c r="AB17" s="103" t="inlineStr">
        <is>
          <t>台股</t>
        </is>
      </c>
    </row>
    <row r="18" hidden="1" outlineLevel="1">
      <c r="A18" s="99" t="n">
        <v>43644</v>
      </c>
      <c r="B18" s="11" t="inlineStr">
        <is>
          <t>普通買進</t>
        </is>
      </c>
      <c r="C18" s="11" t="n">
        <v>2425</v>
      </c>
      <c r="D18" s="11" t="inlineStr">
        <is>
          <t>承啟</t>
        </is>
      </c>
      <c r="E18" s="11" t="n">
        <v>1000</v>
      </c>
      <c r="F18" s="11" t="n">
        <v>31.3</v>
      </c>
      <c r="G18" s="11" t="n">
        <v>31300</v>
      </c>
      <c r="H18" s="11" t="n">
        <v>44</v>
      </c>
      <c r="I18" s="104" t="n">
        <v>43654</v>
      </c>
      <c r="J18" s="16" t="n">
        <v>32</v>
      </c>
      <c r="K18" s="11" t="n">
        <v>32000</v>
      </c>
      <c r="L18" s="17" t="n">
        <v>45</v>
      </c>
      <c r="M18" s="11" t="n">
        <v>96</v>
      </c>
      <c r="N18" s="11" t="n">
        <v>0</v>
      </c>
      <c r="O18" s="434" t="n">
        <v>0</v>
      </c>
      <c r="P18" s="435" t="n">
        <v>1840</v>
      </c>
      <c r="Q18" s="435" t="n">
        <v>0</v>
      </c>
      <c r="R18" s="435" t="n">
        <v>1500</v>
      </c>
      <c r="S18" s="435" t="n">
        <v>10</v>
      </c>
      <c r="T18" s="435" t="n">
        <v>0</v>
      </c>
      <c r="U18" s="69" t="n">
        <v>0</v>
      </c>
      <c r="V18" s="69" t="n"/>
      <c r="W18" s="70" t="n">
        <v>0.11</v>
      </c>
      <c r="X18" s="436" t="n">
        <v>0.05878594249201278</v>
      </c>
      <c r="Y18" s="16" t="n">
        <v>31.2</v>
      </c>
      <c r="Z18" s="437" t="n">
        <v>1.2</v>
      </c>
      <c r="AA18" s="438">
        <f>IF(I18="",((TODAY()-A18)*G18)/365.24,((I18-A18)*G18)/365.24)</f>
        <v/>
      </c>
      <c r="AB18" s="103" t="inlineStr">
        <is>
          <t>台股</t>
        </is>
      </c>
    </row>
    <row r="19" hidden="1" outlineLevel="1">
      <c r="A19" s="99" t="n">
        <v>43644</v>
      </c>
      <c r="B19" s="11" t="inlineStr">
        <is>
          <t>普通買進</t>
        </is>
      </c>
      <c r="C19" s="11" t="n">
        <v>6176</v>
      </c>
      <c r="D19" s="11" t="inlineStr">
        <is>
          <t>瑞儀</t>
        </is>
      </c>
      <c r="E19" s="11" t="n">
        <v>1000</v>
      </c>
      <c r="F19" s="11" t="n">
        <v>104</v>
      </c>
      <c r="G19" s="11" t="n">
        <v>104000</v>
      </c>
      <c r="H19" s="11" t="n">
        <v>148</v>
      </c>
      <c r="I19" s="104" t="n">
        <v>43656</v>
      </c>
      <c r="J19" s="16" t="n">
        <v>104.5</v>
      </c>
      <c r="K19" s="11" t="n">
        <v>104500</v>
      </c>
      <c r="L19" s="17" t="n">
        <v>148</v>
      </c>
      <c r="M19" s="11" t="n">
        <v>313</v>
      </c>
      <c r="N19" s="11" t="n">
        <v>0</v>
      </c>
      <c r="O19" s="434" t="n">
        <v>0</v>
      </c>
      <c r="P19" s="435" t="n">
        <v>6111</v>
      </c>
      <c r="Q19" s="435" t="n">
        <v>0</v>
      </c>
      <c r="R19" s="435" t="n">
        <v>7000</v>
      </c>
      <c r="S19" s="435" t="n">
        <v>10</v>
      </c>
      <c r="T19" s="435" t="n">
        <v>0</v>
      </c>
      <c r="U19" s="69" t="n">
        <v>0</v>
      </c>
      <c r="V19" s="69" t="n"/>
      <c r="W19" s="70" t="n">
        <v>0.11</v>
      </c>
      <c r="X19" s="436" t="n">
        <v>0.05875961538461538</v>
      </c>
      <c r="Y19" s="16" t="n">
        <v>90.59999999999999</v>
      </c>
      <c r="Z19" s="437" t="n">
        <v>-0.7</v>
      </c>
      <c r="AA19" s="438">
        <f>IF(I19="",((TODAY()-A19)*G19)/365.24,((I19-A19)*G19)/365.24)</f>
        <v/>
      </c>
      <c r="AB19" s="103" t="inlineStr">
        <is>
          <t>台股</t>
        </is>
      </c>
    </row>
    <row r="20" hidden="1" outlineLevel="1">
      <c r="A20" s="99" t="n">
        <v>43650</v>
      </c>
      <c r="B20" s="11" t="inlineStr">
        <is>
          <t>普通買進</t>
        </is>
      </c>
      <c r="C20" s="11" t="n">
        <v>8255</v>
      </c>
      <c r="D20" s="11" t="inlineStr">
        <is>
          <t>朋程</t>
        </is>
      </c>
      <c r="E20" s="11" t="n">
        <v>1000</v>
      </c>
      <c r="F20" s="11" t="n">
        <v>99.8</v>
      </c>
      <c r="G20" s="11" t="n">
        <v>99800</v>
      </c>
      <c r="H20" s="11" t="n">
        <v>142</v>
      </c>
      <c r="I20" s="104" t="n">
        <v>43658</v>
      </c>
      <c r="J20" s="16" t="n">
        <v>95.09999999999999</v>
      </c>
      <c r="K20" s="11" t="n">
        <v>95100</v>
      </c>
      <c r="L20" s="17" t="n">
        <v>135</v>
      </c>
      <c r="M20" s="11" t="n">
        <v>285</v>
      </c>
      <c r="N20" s="11" t="n">
        <v>0</v>
      </c>
      <c r="O20" s="434" t="n">
        <v>0</v>
      </c>
      <c r="P20" s="435" t="n">
        <v>-822</v>
      </c>
      <c r="Q20" s="435" t="n">
        <v>0</v>
      </c>
      <c r="R20" s="435" t="n">
        <v>5000</v>
      </c>
      <c r="S20" s="435" t="n">
        <v>10</v>
      </c>
      <c r="T20" s="435" t="n">
        <v>0</v>
      </c>
      <c r="U20" s="69" t="n">
        <v>0</v>
      </c>
      <c r="V20" s="69" t="n"/>
      <c r="W20" s="70" t="n">
        <v>0.11</v>
      </c>
      <c r="X20" s="436" t="n">
        <v>-0.008236472945891783</v>
      </c>
      <c r="Y20" s="16" t="n">
        <v>134</v>
      </c>
      <c r="Z20" s="437" t="n">
        <v>1.5</v>
      </c>
      <c r="AA20" s="438">
        <f>IF(I20="",((TODAY()-A20)*G20)/365.24,((I20-A20)*G20)/365.24)</f>
        <v/>
      </c>
      <c r="AB20" s="103" t="inlineStr">
        <is>
          <t>台股</t>
        </is>
      </c>
    </row>
    <row r="21" hidden="1" outlineLevel="1">
      <c r="A21" s="99" t="n">
        <v>43649</v>
      </c>
      <c r="B21" s="11" t="inlineStr">
        <is>
          <t>普通買進</t>
        </is>
      </c>
      <c r="C21" s="11" t="n">
        <v>2456</v>
      </c>
      <c r="D21" s="11" t="inlineStr">
        <is>
          <t>奇力新</t>
        </is>
      </c>
      <c r="E21" s="11" t="n">
        <v>1000</v>
      </c>
      <c r="F21" s="11" t="n">
        <v>93.7</v>
      </c>
      <c r="G21" s="11" t="n">
        <v>93700</v>
      </c>
      <c r="H21" s="11" t="n">
        <v>133</v>
      </c>
      <c r="I21" s="104" t="n">
        <v>43661</v>
      </c>
      <c r="J21" s="16" t="n">
        <v>87.59999999999999</v>
      </c>
      <c r="K21" s="11" t="n">
        <v>87600</v>
      </c>
      <c r="L21" s="17" t="n">
        <v>124</v>
      </c>
      <c r="M21" s="11" t="n">
        <v>262</v>
      </c>
      <c r="N21" s="11" t="n">
        <v>0</v>
      </c>
      <c r="O21" s="434" t="n">
        <v>0</v>
      </c>
      <c r="P21" s="435" t="n">
        <v>482.1</v>
      </c>
      <c r="Q21" s="435" t="n">
        <v>0</v>
      </c>
      <c r="R21" s="435" t="n">
        <v>7990</v>
      </c>
      <c r="S21" s="435" t="n">
        <v>10</v>
      </c>
      <c r="T21" s="435" t="n">
        <v>0</v>
      </c>
      <c r="U21" s="69" t="n">
        <v>0</v>
      </c>
      <c r="V21" s="69" t="n"/>
      <c r="W21" s="70" t="n">
        <v>0.11</v>
      </c>
      <c r="X21" s="436" t="n">
        <v>0.005145144076840982</v>
      </c>
      <c r="Y21" s="16" t="e">
        <v>#N/A</v>
      </c>
      <c r="Z21" s="437" t="e">
        <v>#N/A</v>
      </c>
      <c r="AA21" s="438">
        <f>IF(I21="",((TODAY()-A21)*G21)/365.24,((I21-A21)*G21)/365.24)</f>
        <v/>
      </c>
      <c r="AB21" s="103" t="inlineStr">
        <is>
          <t>台股</t>
        </is>
      </c>
    </row>
    <row r="22" collapsed="1">
      <c r="A22" s="99" t="n">
        <v>44004</v>
      </c>
      <c r="B22" s="11" t="inlineStr">
        <is>
          <t>普通買進</t>
        </is>
      </c>
      <c r="C22" s="11" t="n">
        <v>1319</v>
      </c>
      <c r="D22" s="11" t="inlineStr">
        <is>
          <t>東陽</t>
        </is>
      </c>
      <c r="E22" s="11" t="n">
        <v>1000</v>
      </c>
      <c r="F22" s="11" t="n">
        <v>39.75</v>
      </c>
      <c r="G22" s="212" t="n">
        <v>39750</v>
      </c>
      <c r="H22" s="11" t="n">
        <v>56</v>
      </c>
      <c r="I22" s="104" t="n">
        <v>44040</v>
      </c>
      <c r="J22" s="16" t="n">
        <v>34.2</v>
      </c>
      <c r="K22" s="11" t="n">
        <v>34200</v>
      </c>
      <c r="L22" s="17" t="n"/>
      <c r="M22" s="11" t="n"/>
      <c r="N22" s="11" t="n">
        <v>0</v>
      </c>
      <c r="O22" s="434" t="n">
        <v>0</v>
      </c>
      <c r="P22" s="435" t="n">
        <v>-3924</v>
      </c>
      <c r="Q22" s="435" t="n">
        <v>0</v>
      </c>
      <c r="R22" s="435" t="n">
        <v>1800</v>
      </c>
      <c r="S22" s="435" t="n">
        <v>10</v>
      </c>
      <c r="T22" s="435" t="n">
        <v>0</v>
      </c>
      <c r="U22" s="69" t="n">
        <v>0</v>
      </c>
      <c r="V22" s="69" t="n"/>
      <c r="W22" s="70" t="n">
        <v>0.06</v>
      </c>
      <c r="X22" s="436" t="n">
        <v>-0.09871698113207547</v>
      </c>
      <c r="Y22" s="16" t="n">
        <v>79</v>
      </c>
      <c r="Z22" s="437" t="n">
        <v>1</v>
      </c>
      <c r="AA22" s="438">
        <f>IF(I22="",((TODAY()-A22)*G22)/365.24,((I22-A22)*G22)/365.24)</f>
        <v/>
      </c>
      <c r="AB22" s="103" t="inlineStr">
        <is>
          <t>台股</t>
        </is>
      </c>
    </row>
    <row r="23" hidden="1" outlineLevel="1">
      <c r="A23" s="99" t="n">
        <v>44005</v>
      </c>
      <c r="B23" s="11" t="inlineStr">
        <is>
          <t>普通買進</t>
        </is>
      </c>
      <c r="C23" s="11" t="n">
        <v>2357</v>
      </c>
      <c r="D23" s="11" t="inlineStr">
        <is>
          <t>華碩</t>
        </is>
      </c>
      <c r="E23" s="11" t="n">
        <v>1000</v>
      </c>
      <c r="F23" s="11" t="n">
        <v>246.5</v>
      </c>
      <c r="G23" s="212" t="n">
        <v>246500</v>
      </c>
      <c r="H23" s="11" t="n">
        <v>351</v>
      </c>
      <c r="I23" s="104" t="n">
        <v>44069</v>
      </c>
      <c r="J23" s="16" t="n">
        <v>253</v>
      </c>
      <c r="K23" s="11" t="n">
        <v>253000</v>
      </c>
      <c r="L23" s="17" t="n">
        <v>360</v>
      </c>
      <c r="M23" s="11" t="n">
        <v>759</v>
      </c>
      <c r="N23" s="11" t="n">
        <v>0</v>
      </c>
      <c r="O23" s="434" t="n">
        <v>0</v>
      </c>
      <c r="P23" s="435" t="n">
        <v>18180</v>
      </c>
      <c r="Q23" s="435" t="n">
        <v>0</v>
      </c>
      <c r="R23" s="435" t="n">
        <v>14000</v>
      </c>
      <c r="S23" s="435" t="n">
        <v>10</v>
      </c>
      <c r="T23" s="435" t="n">
        <v>0</v>
      </c>
      <c r="U23" s="69" t="n">
        <v>0</v>
      </c>
      <c r="V23" s="69" t="n"/>
      <c r="W23" s="70" t="n">
        <v>0.06</v>
      </c>
      <c r="X23" s="436" t="n">
        <v>0.0737525354969574</v>
      </c>
      <c r="Y23" s="16" t="n">
        <v>599</v>
      </c>
      <c r="Z23" s="437" t="n">
        <v>-6</v>
      </c>
      <c r="AA23" s="438">
        <f>IF(I23="",((TODAY()-A23)*G23)/365.24,((I23-A23)*G23)/365.24)</f>
        <v/>
      </c>
      <c r="AB23" s="103" t="inlineStr">
        <is>
          <t>台股</t>
        </is>
      </c>
    </row>
    <row r="24" hidden="1" outlineLevel="1">
      <c r="A24" s="99" t="n">
        <v>44015</v>
      </c>
      <c r="B24" s="11" t="inlineStr">
        <is>
          <t>普通買進</t>
        </is>
      </c>
      <c r="C24" s="11" t="n">
        <v>3038</v>
      </c>
      <c r="D24" s="11" t="inlineStr">
        <is>
          <t>全台</t>
        </is>
      </c>
      <c r="E24" s="11" t="n">
        <v>1000</v>
      </c>
      <c r="F24" s="11" t="n">
        <v>24.55</v>
      </c>
      <c r="G24" s="212" t="n">
        <v>24550</v>
      </c>
      <c r="H24" s="11" t="n">
        <v>34</v>
      </c>
      <c r="I24" s="104" t="n">
        <v>44025</v>
      </c>
      <c r="J24" s="16" t="n">
        <v>19.65</v>
      </c>
      <c r="K24" s="11" t="n">
        <v>19650</v>
      </c>
      <c r="L24" s="17" t="n">
        <v>28</v>
      </c>
      <c r="M24" s="11" t="n">
        <v>59</v>
      </c>
      <c r="N24" s="11" t="n">
        <v>0</v>
      </c>
      <c r="O24" s="434" t="n">
        <v>0</v>
      </c>
      <c r="P24" s="435" t="n">
        <v>-4081</v>
      </c>
      <c r="Q24" s="435" t="n">
        <v>0</v>
      </c>
      <c r="R24" s="435" t="n">
        <v>1000</v>
      </c>
      <c r="S24" s="435" t="n"/>
      <c r="T24" s="435" t="n">
        <v>0</v>
      </c>
      <c r="U24" s="69" t="n">
        <v>0</v>
      </c>
      <c r="V24" s="69" t="n"/>
      <c r="W24" s="70" t="n">
        <v>0.06</v>
      </c>
      <c r="X24" s="436" t="n">
        <v>-0.1662321792260693</v>
      </c>
      <c r="Y24" s="16" t="n">
        <v>23.2</v>
      </c>
      <c r="Z24" s="437" t="n">
        <v>-0.35</v>
      </c>
      <c r="AA24" s="438">
        <f>IF(I24="",((TODAY()-A24)*G24)/365.24,((I24-A24)*G24)/365.24)</f>
        <v/>
      </c>
      <c r="AB24" s="103" t="inlineStr">
        <is>
          <t>台股</t>
        </is>
      </c>
    </row>
    <row r="25" hidden="1" outlineLevel="1">
      <c r="A25" s="99" t="n">
        <v>44015</v>
      </c>
      <c r="B25" s="11" t="inlineStr">
        <is>
          <t>普通買進</t>
        </is>
      </c>
      <c r="C25" s="11" t="n">
        <v>3038</v>
      </c>
      <c r="D25" s="11" t="inlineStr">
        <is>
          <t>全台</t>
        </is>
      </c>
      <c r="E25" s="11" t="n">
        <v>1000</v>
      </c>
      <c r="F25" s="11" t="n">
        <v>24.5</v>
      </c>
      <c r="G25" s="212" t="n">
        <v>24500</v>
      </c>
      <c r="H25" s="11" t="n">
        <v>34</v>
      </c>
      <c r="I25" s="104" t="n">
        <v>44025</v>
      </c>
      <c r="J25" s="16" t="n">
        <v>19.65</v>
      </c>
      <c r="K25" s="11" t="n">
        <v>19650</v>
      </c>
      <c r="L25" s="17" t="n">
        <v>28</v>
      </c>
      <c r="M25" s="11" t="n">
        <v>58</v>
      </c>
      <c r="N25" s="11" t="n">
        <v>0</v>
      </c>
      <c r="O25" s="434" t="n">
        <v>0</v>
      </c>
      <c r="P25" s="435" t="n">
        <v>-4030</v>
      </c>
      <c r="Q25" s="435" t="n">
        <v>0</v>
      </c>
      <c r="R25" s="435" t="n">
        <v>1000</v>
      </c>
      <c r="S25" s="435" t="n"/>
      <c r="T25" s="435" t="n">
        <v>0</v>
      </c>
      <c r="U25" s="69" t="n">
        <v>0</v>
      </c>
      <c r="V25" s="69" t="n"/>
      <c r="W25" s="70" t="n">
        <v>0.06</v>
      </c>
      <c r="X25" s="436" t="n">
        <v>-0.1644897959183673</v>
      </c>
      <c r="Y25" s="16" t="n">
        <v>23.2</v>
      </c>
      <c r="Z25" s="437" t="n">
        <v>-0.35</v>
      </c>
      <c r="AA25" s="438">
        <f>IF(I25="",((TODAY()-A25)*G25)/365.24,((I25-A25)*G25)/365.24)</f>
        <v/>
      </c>
      <c r="AB25" s="103" t="inlineStr">
        <is>
          <t>台股</t>
        </is>
      </c>
    </row>
    <row r="26" hidden="1" outlineLevel="1">
      <c r="A26" s="99" t="n">
        <v>44070</v>
      </c>
      <c r="B26" s="11" t="inlineStr">
        <is>
          <t>普通買進</t>
        </is>
      </c>
      <c r="C26" s="11" t="n">
        <v>6109</v>
      </c>
      <c r="D26" s="11" t="inlineStr">
        <is>
          <t>亞元</t>
        </is>
      </c>
      <c r="E26" s="11" t="n">
        <v>1000</v>
      </c>
      <c r="F26" s="11" t="n">
        <v>17.4</v>
      </c>
      <c r="G26" s="212" t="n">
        <v>17400</v>
      </c>
      <c r="H26" s="11" t="n">
        <v>24</v>
      </c>
      <c r="I26" s="104" t="n">
        <v>44076</v>
      </c>
      <c r="J26" s="16" t="n">
        <v>16.35</v>
      </c>
      <c r="K26" s="11" t="n">
        <v>16350</v>
      </c>
      <c r="L26" s="17" t="n">
        <v>23</v>
      </c>
      <c r="M26" s="11" t="n">
        <v>49</v>
      </c>
      <c r="N26" s="11" t="n">
        <v>0</v>
      </c>
      <c r="O26" s="434" t="n">
        <v>0</v>
      </c>
      <c r="P26" s="435" t="n">
        <v>-1155.999999999998</v>
      </c>
      <c r="Q26" s="435" t="n">
        <v>0</v>
      </c>
      <c r="R26" s="435" t="n"/>
      <c r="S26" s="435" t="n">
        <v>10</v>
      </c>
      <c r="T26" s="435" t="n">
        <v>0</v>
      </c>
      <c r="U26" s="69" t="n">
        <v>0</v>
      </c>
      <c r="V26" s="69" t="n"/>
      <c r="W26" s="70" t="n">
        <v>0.06</v>
      </c>
      <c r="X26" s="436" t="n">
        <v>-0.06643678160919529</v>
      </c>
      <c r="Y26" s="16" t="n">
        <v>11.8</v>
      </c>
      <c r="Z26" s="437" t="n">
        <v>-0.1</v>
      </c>
      <c r="AA26" s="438">
        <f>IF(I26="",((TODAY()-A26)*G26)/365.24,((I26-A26)*G26)/365.24)</f>
        <v/>
      </c>
      <c r="AB26" s="103" t="inlineStr">
        <is>
          <t>台股</t>
        </is>
      </c>
    </row>
    <row r="27" hidden="1" outlineLevel="1">
      <c r="A27" s="99" t="n">
        <v>44077</v>
      </c>
      <c r="B27" s="11" t="inlineStr">
        <is>
          <t>普通買進</t>
        </is>
      </c>
      <c r="C27" s="11" t="n">
        <v>3015</v>
      </c>
      <c r="D27" s="11" t="inlineStr">
        <is>
          <t>全漢</t>
        </is>
      </c>
      <c r="E27" s="11" t="n">
        <v>1000</v>
      </c>
      <c r="F27" s="11" t="n">
        <v>36.5</v>
      </c>
      <c r="G27" s="212" t="n">
        <v>36500</v>
      </c>
      <c r="H27" s="11" t="n">
        <v>52</v>
      </c>
      <c r="I27" s="104" t="n">
        <v>44081</v>
      </c>
      <c r="J27" s="16" t="n">
        <v>34.55</v>
      </c>
      <c r="K27" s="11" t="n">
        <v>34550</v>
      </c>
      <c r="L27" s="17" t="n">
        <v>49</v>
      </c>
      <c r="M27" s="11" t="n">
        <v>103</v>
      </c>
      <c r="N27" s="11" t="n">
        <v>0</v>
      </c>
      <c r="O27" s="434" t="n">
        <v>0</v>
      </c>
      <c r="P27" s="435" t="n">
        <v>-2164</v>
      </c>
      <c r="Q27" s="435" t="n">
        <v>0</v>
      </c>
      <c r="R27" s="435" t="n"/>
      <c r="S27" s="435" t="n">
        <v>10</v>
      </c>
      <c r="T27" s="435" t="n">
        <v>0</v>
      </c>
      <c r="U27" s="69" t="n">
        <v>0</v>
      </c>
      <c r="V27" s="69" t="n"/>
      <c r="W27" s="70" t="n">
        <v>0.06</v>
      </c>
      <c r="X27" s="436" t="n">
        <v>-0.05928767123287671</v>
      </c>
      <c r="Y27" s="16" t="n">
        <v>50.9</v>
      </c>
      <c r="Z27" s="437" t="n">
        <v>-0.1</v>
      </c>
      <c r="AA27" s="438">
        <f>IF(I27="",((TODAY()-A27)*G27)/365.24,((I27-A27)*G27)/365.24)</f>
        <v/>
      </c>
      <c r="AB27" s="103" t="inlineStr">
        <is>
          <t>台股</t>
        </is>
      </c>
    </row>
    <row r="28" hidden="1" outlineLevel="1">
      <c r="A28" s="99" t="n">
        <v>44070</v>
      </c>
      <c r="B28" s="11" t="inlineStr">
        <is>
          <t>普通買進</t>
        </is>
      </c>
      <c r="C28" s="11" t="n">
        <v>3501</v>
      </c>
      <c r="D28" s="11" t="inlineStr">
        <is>
          <t>維熹</t>
        </is>
      </c>
      <c r="E28" s="11" t="n">
        <v>1000</v>
      </c>
      <c r="F28" s="11" t="n">
        <v>47.45</v>
      </c>
      <c r="G28" s="212" t="n">
        <v>47450</v>
      </c>
      <c r="H28" s="11" t="n">
        <v>67</v>
      </c>
      <c r="I28" s="104" t="n">
        <v>44085</v>
      </c>
      <c r="J28" s="16" t="n">
        <v>46.55</v>
      </c>
      <c r="K28" s="11" t="n">
        <v>46550</v>
      </c>
      <c r="L28" s="17" t="n">
        <v>66</v>
      </c>
      <c r="M28" s="11" t="n">
        <v>139</v>
      </c>
      <c r="N28" s="11" t="n">
        <v>0</v>
      </c>
      <c r="O28" s="434" t="n">
        <v>0</v>
      </c>
      <c r="P28" s="435" t="n">
        <v>-1182</v>
      </c>
      <c r="Q28" s="435" t="n">
        <v>0</v>
      </c>
      <c r="R28" s="435" t="n"/>
      <c r="S28" s="435" t="n">
        <v>10</v>
      </c>
      <c r="T28" s="435" t="n">
        <v>0</v>
      </c>
      <c r="U28" s="69" t="n">
        <v>0</v>
      </c>
      <c r="V28" s="69" t="n"/>
      <c r="W28" s="70" t="n">
        <v>0.06</v>
      </c>
      <c r="X28" s="436" t="n">
        <v>-0.0249104320337197</v>
      </c>
      <c r="Y28" s="16" t="n">
        <v>48.25</v>
      </c>
      <c r="Z28" s="437" t="n">
        <v>-0.15</v>
      </c>
      <c r="AA28" s="438">
        <f>IF(I28="",((TODAY()-A28)*G28)/365.24,((I28-A28)*G28)/365.24)</f>
        <v/>
      </c>
      <c r="AB28" s="103" t="inlineStr">
        <is>
          <t>台股</t>
        </is>
      </c>
    </row>
    <row r="29" hidden="1" outlineLevel="1">
      <c r="A29" s="99" t="n">
        <v>44069</v>
      </c>
      <c r="B29" s="11" t="inlineStr">
        <is>
          <t>普通買進</t>
        </is>
      </c>
      <c r="C29" s="11" t="n">
        <v>3713</v>
      </c>
      <c r="D29" s="11" t="inlineStr">
        <is>
          <t>新晶投控</t>
        </is>
      </c>
      <c r="E29" s="11" t="n">
        <v>1000</v>
      </c>
      <c r="F29" s="11" t="n">
        <v>68.7</v>
      </c>
      <c r="G29" s="212" t="n">
        <v>68700</v>
      </c>
      <c r="H29" s="11" t="n">
        <v>97</v>
      </c>
      <c r="I29" s="104" t="n">
        <v>44089</v>
      </c>
      <c r="J29" s="16" t="n">
        <v>69.3</v>
      </c>
      <c r="K29" s="11" t="n">
        <v>69300</v>
      </c>
      <c r="L29" s="17" t="n">
        <v>98</v>
      </c>
      <c r="M29" s="11" t="n">
        <v>207</v>
      </c>
      <c r="N29" s="11" t="n">
        <v>0</v>
      </c>
      <c r="O29" s="434" t="n">
        <v>0</v>
      </c>
      <c r="P29" s="435" t="n">
        <v>188</v>
      </c>
      <c r="Q29" s="435" t="n">
        <v>0</v>
      </c>
      <c r="R29" s="435" t="n"/>
      <c r="S29" s="435" t="n">
        <v>10</v>
      </c>
      <c r="T29" s="435" t="n">
        <v>0</v>
      </c>
      <c r="U29" s="69" t="n">
        <v>0</v>
      </c>
      <c r="V29" s="69" t="n"/>
      <c r="W29" s="70" t="n">
        <v>0.06</v>
      </c>
      <c r="X29" s="436" t="n">
        <v>0.002736535662299854</v>
      </c>
      <c r="Y29" s="16" t="n">
        <v>15.5</v>
      </c>
      <c r="Z29" s="437" t="n">
        <v>-0.45</v>
      </c>
      <c r="AA29" s="438">
        <f>IF(I29="",((TODAY()-A29)*G29)/365.24,((I29-A29)*G29)/365.24)</f>
        <v/>
      </c>
      <c r="AB29" s="103" t="inlineStr">
        <is>
          <t>台股</t>
        </is>
      </c>
    </row>
    <row r="30" hidden="1" outlineLevel="1">
      <c r="A30" s="99" t="n">
        <v>44061</v>
      </c>
      <c r="B30" s="11" t="inlineStr">
        <is>
          <t>普通買進</t>
        </is>
      </c>
      <c r="C30" s="11" t="n">
        <v>3034</v>
      </c>
      <c r="D30" s="11" t="inlineStr">
        <is>
          <t>聯詠</t>
        </is>
      </c>
      <c r="E30" s="11" t="n">
        <v>1000</v>
      </c>
      <c r="F30" s="11" t="n">
        <v>265.5</v>
      </c>
      <c r="G30" s="212" t="n">
        <v>265500</v>
      </c>
      <c r="H30" s="11" t="n">
        <v>378</v>
      </c>
      <c r="I30" s="104" t="n">
        <v>44144</v>
      </c>
      <c r="J30" s="16" t="n">
        <v>297</v>
      </c>
      <c r="K30" s="11" t="n">
        <v>297000</v>
      </c>
      <c r="L30" s="17" t="n">
        <v>423</v>
      </c>
      <c r="M30" s="11" t="n">
        <v>891</v>
      </c>
      <c r="N30" s="11" t="n">
        <v>0</v>
      </c>
      <c r="O30" s="434" t="n">
        <v>0</v>
      </c>
      <c r="P30" s="435" t="n">
        <v>29798</v>
      </c>
      <c r="Q30" s="435" t="n">
        <v>0</v>
      </c>
      <c r="R30" s="435" t="n"/>
      <c r="S30" s="435" t="n">
        <v>10</v>
      </c>
      <c r="T30" s="435" t="n">
        <v>0</v>
      </c>
      <c r="U30" s="69" t="n">
        <v>0</v>
      </c>
      <c r="V30" s="69" t="n"/>
      <c r="W30" s="70" t="n">
        <v>0.06</v>
      </c>
      <c r="X30" s="436" t="n">
        <v>0.1122335216572505</v>
      </c>
      <c r="Y30" s="16" t="n">
        <v>415.5</v>
      </c>
      <c r="Z30" s="437" t="n">
        <v>0.5</v>
      </c>
      <c r="AA30" s="438">
        <f>IF(I30="",((TODAY()-A30)*G30)/365.24,((I30-A30)*G30)/365.24)</f>
        <v/>
      </c>
      <c r="AB30" s="103" t="inlineStr">
        <is>
          <t>台股</t>
        </is>
      </c>
    </row>
    <row r="31" hidden="1" outlineLevel="1">
      <c r="A31" s="99" t="n">
        <v>44133</v>
      </c>
      <c r="B31" s="11" t="inlineStr">
        <is>
          <t>普通買進</t>
        </is>
      </c>
      <c r="C31" s="11" t="n">
        <v>8171</v>
      </c>
      <c r="D31" s="11" t="inlineStr">
        <is>
          <t>天宇</t>
        </is>
      </c>
      <c r="E31" s="11" t="n">
        <v>1000</v>
      </c>
      <c r="F31" s="11" t="n">
        <v>39</v>
      </c>
      <c r="G31" s="212" t="n">
        <v>39000</v>
      </c>
      <c r="H31" s="11" t="n">
        <v>55</v>
      </c>
      <c r="I31" s="104" t="n">
        <v>44152</v>
      </c>
      <c r="J31" s="16" t="n">
        <v>38.85</v>
      </c>
      <c r="K31" s="11" t="n">
        <v>38850</v>
      </c>
      <c r="L31" s="17" t="n">
        <v>55</v>
      </c>
      <c r="M31" s="11" t="n">
        <v>116</v>
      </c>
      <c r="N31" s="11" t="n">
        <v>0</v>
      </c>
      <c r="O31" s="434" t="n">
        <v>0</v>
      </c>
      <c r="P31" s="435" t="n">
        <v>-386</v>
      </c>
      <c r="Q31" s="435" t="n">
        <v>0</v>
      </c>
      <c r="R31" s="435" t="n"/>
      <c r="S31" s="435" t="n">
        <v>10</v>
      </c>
      <c r="T31" s="435" t="n">
        <v>0</v>
      </c>
      <c r="U31" s="69" t="n">
        <v>0</v>
      </c>
      <c r="V31" s="69" t="n"/>
      <c r="W31" s="70" t="n">
        <v>0.06</v>
      </c>
      <c r="X31" s="436" t="n">
        <v>-0.009897435897435898</v>
      </c>
      <c r="Y31" s="16" t="n">
        <v>24.35</v>
      </c>
      <c r="Z31" s="437" t="n">
        <v>0.45</v>
      </c>
      <c r="AA31" s="438">
        <f>IF(I31="",((TODAY()-A31)*G31)/365.24,((I31-A31)*G31)/365.24)</f>
        <v/>
      </c>
      <c r="AB31" s="103" t="inlineStr">
        <is>
          <t>台股</t>
        </is>
      </c>
    </row>
    <row r="32" hidden="1" outlineLevel="1">
      <c r="A32" s="99" t="n">
        <v>44159</v>
      </c>
      <c r="B32" s="11" t="inlineStr">
        <is>
          <t>普通買進</t>
        </is>
      </c>
      <c r="C32" s="11" t="n">
        <v>3406</v>
      </c>
      <c r="D32" s="11" t="inlineStr">
        <is>
          <t>玉晶光</t>
        </is>
      </c>
      <c r="E32" s="11" t="n">
        <v>1000</v>
      </c>
      <c r="F32" s="11" t="n">
        <v>604</v>
      </c>
      <c r="G32" s="212" t="n">
        <v>604000</v>
      </c>
      <c r="H32" s="11" t="n">
        <v>860</v>
      </c>
      <c r="I32" s="104" t="n">
        <v>44166</v>
      </c>
      <c r="J32" s="16" t="n">
        <v>637</v>
      </c>
      <c r="K32" s="11" t="n">
        <v>637000</v>
      </c>
      <c r="L32" s="17" t="n">
        <v>907</v>
      </c>
      <c r="M32" s="11" t="n">
        <v>1911</v>
      </c>
      <c r="N32" s="11" t="n">
        <v>0</v>
      </c>
      <c r="O32" s="434" t="n">
        <v>0</v>
      </c>
      <c r="P32" s="435" t="n">
        <v>29312</v>
      </c>
      <c r="Q32" s="435" t="n">
        <v>0</v>
      </c>
      <c r="R32" s="435" t="n"/>
      <c r="S32" s="435" t="n">
        <v>10</v>
      </c>
      <c r="T32" s="435" t="n">
        <v>0</v>
      </c>
      <c r="U32" s="69" t="n">
        <v>0</v>
      </c>
      <c r="V32" s="69" t="n"/>
      <c r="W32" s="70" t="n">
        <v>0.06</v>
      </c>
      <c r="X32" s="436" t="n">
        <v>0.04852980132450331</v>
      </c>
      <c r="Y32" s="16" t="n">
        <v>529</v>
      </c>
      <c r="Z32" s="437" t="n">
        <v>-15</v>
      </c>
      <c r="AA32" s="438">
        <f>IF(I32="",((TODAY()-A32)*G32)/365.24,((I32-A32)*G32)/365.24)</f>
        <v/>
      </c>
      <c r="AB32" s="103" t="inlineStr">
        <is>
          <t>台股</t>
        </is>
      </c>
    </row>
    <row r="33" hidden="1" outlineLevel="1">
      <c r="A33" s="99" t="n">
        <v>44158</v>
      </c>
      <c r="B33" s="11" t="inlineStr">
        <is>
          <t>普通買進</t>
        </is>
      </c>
      <c r="C33" s="11" t="n">
        <v>2610</v>
      </c>
      <c r="D33" s="11" t="inlineStr">
        <is>
          <t>華航</t>
        </is>
      </c>
      <c r="E33" s="11" t="n">
        <v>1000</v>
      </c>
      <c r="F33" s="11" t="n">
        <v>9.140000000000001</v>
      </c>
      <c r="G33" s="212" t="n">
        <v>9140</v>
      </c>
      <c r="H33" s="11" t="n">
        <v>20</v>
      </c>
      <c r="I33" s="104" t="n">
        <v>44173</v>
      </c>
      <c r="J33" s="16" t="n">
        <v>10.55</v>
      </c>
      <c r="K33" s="11" t="n">
        <v>10550</v>
      </c>
      <c r="L33" s="17" t="n">
        <v>20</v>
      </c>
      <c r="M33" s="11" t="n">
        <v>31</v>
      </c>
      <c r="N33" s="11" t="n">
        <v>0</v>
      </c>
      <c r="O33" s="434" t="n">
        <v>0</v>
      </c>
      <c r="P33" s="435" t="n">
        <v>1329</v>
      </c>
      <c r="Q33" s="435" t="n">
        <v>0</v>
      </c>
      <c r="R33" s="435" t="n"/>
      <c r="S33" s="435" t="n">
        <v>10</v>
      </c>
      <c r="T33" s="435" t="n">
        <v>0</v>
      </c>
      <c r="U33" s="69" t="n">
        <v>0</v>
      </c>
      <c r="V33" s="69" t="n"/>
      <c r="W33" s="70" t="n">
        <v>0.06</v>
      </c>
      <c r="X33" s="436" t="n">
        <v>0.1454048140043764</v>
      </c>
      <c r="Y33" s="16" t="n">
        <v>18.2</v>
      </c>
      <c r="Z33" s="437" t="n">
        <v>0.1</v>
      </c>
      <c r="AA33" s="438">
        <f>IF(I33="",((TODAY()-A33)*G33)/365.24,((I33-A33)*G33)/365.24)</f>
        <v/>
      </c>
      <c r="AB33" s="103" t="inlineStr">
        <is>
          <t>台股</t>
        </is>
      </c>
    </row>
    <row r="34" hidden="1" outlineLevel="1">
      <c r="A34" s="99" t="n">
        <v>44161</v>
      </c>
      <c r="B34" s="11" t="inlineStr">
        <is>
          <t>普通買進</t>
        </is>
      </c>
      <c r="C34" s="11" t="n">
        <v>5213</v>
      </c>
      <c r="D34" s="11" t="inlineStr">
        <is>
          <t>亞昕</t>
        </is>
      </c>
      <c r="E34" s="11" t="n">
        <v>2000</v>
      </c>
      <c r="F34" s="11" t="n">
        <v>18.2</v>
      </c>
      <c r="G34" s="212" t="n">
        <v>36400</v>
      </c>
      <c r="H34" s="11" t="n">
        <v>51</v>
      </c>
      <c r="I34" s="104" t="n">
        <v>44173</v>
      </c>
      <c r="J34" s="16" t="n">
        <v>17</v>
      </c>
      <c r="K34" s="11" t="n">
        <v>34000</v>
      </c>
      <c r="L34" s="17" t="n">
        <v>48</v>
      </c>
      <c r="M34" s="11" t="n">
        <v>102</v>
      </c>
      <c r="N34" s="11" t="n">
        <v>0</v>
      </c>
      <c r="O34" s="434" t="n">
        <v>0</v>
      </c>
      <c r="P34" s="435" t="n">
        <v>-2611</v>
      </c>
      <c r="Q34" s="435" t="n">
        <v>0</v>
      </c>
      <c r="R34" s="435" t="n"/>
      <c r="S34" s="435" t="n">
        <v>10</v>
      </c>
      <c r="T34" s="435" t="n">
        <v>0</v>
      </c>
      <c r="U34" s="69" t="n">
        <v>0</v>
      </c>
      <c r="V34" s="69" t="n"/>
      <c r="W34" s="70" t="n">
        <v>0.06</v>
      </c>
      <c r="X34" s="436" t="n">
        <v>-0.07173076923076924</v>
      </c>
      <c r="Y34" s="16" t="n">
        <v>26.3</v>
      </c>
      <c r="Z34" s="437" t="n">
        <v>-0.25</v>
      </c>
      <c r="AA34" s="438">
        <f>IF(I34="",((TODAY()-A34)*G34)/365.24,((I34-A34)*G34)/365.24)</f>
        <v/>
      </c>
      <c r="AB34" s="103" t="inlineStr">
        <is>
          <t>台股</t>
        </is>
      </c>
    </row>
    <row r="35" hidden="1" outlineLevel="1">
      <c r="A35" s="99" t="n">
        <v>44158</v>
      </c>
      <c r="B35" s="11" t="inlineStr">
        <is>
          <t>普通買進</t>
        </is>
      </c>
      <c r="C35" s="11" t="n">
        <v>2303</v>
      </c>
      <c r="D35" s="11" t="inlineStr">
        <is>
          <t>聯電</t>
        </is>
      </c>
      <c r="E35" s="11" t="n">
        <v>1000</v>
      </c>
      <c r="F35" s="11" t="n">
        <v>35.35</v>
      </c>
      <c r="G35" s="212" t="n">
        <v>35350</v>
      </c>
      <c r="H35" s="11" t="n">
        <v>50</v>
      </c>
      <c r="I35" s="104" t="n">
        <v>44173</v>
      </c>
      <c r="J35" s="16" t="n">
        <v>50.8</v>
      </c>
      <c r="K35" s="11" t="n">
        <v>50800</v>
      </c>
      <c r="L35" s="17" t="n">
        <v>72</v>
      </c>
      <c r="M35" s="11" t="n">
        <v>152</v>
      </c>
      <c r="N35" s="11" t="n">
        <v>0</v>
      </c>
      <c r="O35" s="434" t="n">
        <v>0</v>
      </c>
      <c r="P35" s="435" t="n">
        <v>15166</v>
      </c>
      <c r="Q35" s="435" t="n">
        <v>0</v>
      </c>
      <c r="R35" s="435" t="n"/>
      <c r="S35" s="435" t="n">
        <v>10</v>
      </c>
      <c r="T35" s="435" t="n">
        <v>0</v>
      </c>
      <c r="U35" s="69" t="n">
        <v>0</v>
      </c>
      <c r="V35" s="69" t="n"/>
      <c r="W35" s="70" t="n">
        <v>0.06</v>
      </c>
      <c r="X35" s="436" t="n">
        <v>0.429024045261669</v>
      </c>
      <c r="Y35" s="16" t="n">
        <v>76.2</v>
      </c>
      <c r="Z35" s="437" t="n">
        <v>-0.7</v>
      </c>
      <c r="AA35" s="438">
        <f>IF(I35="",((TODAY()-A35)*G35)/365.24,((I35-A35)*G35)/365.24)</f>
        <v/>
      </c>
      <c r="AB35" s="103" t="inlineStr">
        <is>
          <t>台股</t>
        </is>
      </c>
    </row>
    <row r="36" hidden="1" outlineLevel="1">
      <c r="A36" s="99" t="n">
        <v>44158</v>
      </c>
      <c r="B36" s="11" t="inlineStr">
        <is>
          <t>普通買進</t>
        </is>
      </c>
      <c r="C36" s="11" t="n">
        <v>5347</v>
      </c>
      <c r="D36" s="11" t="inlineStr">
        <is>
          <t>世界</t>
        </is>
      </c>
      <c r="E36" s="11" t="n">
        <v>1000</v>
      </c>
      <c r="F36" s="11" t="n">
        <v>110</v>
      </c>
      <c r="G36" s="212" t="n">
        <v>110000</v>
      </c>
      <c r="H36" s="11" t="n">
        <v>156</v>
      </c>
      <c r="I36" s="104" t="n">
        <v>44174</v>
      </c>
      <c r="J36" s="16" t="n">
        <v>126</v>
      </c>
      <c r="K36" s="11" t="n">
        <v>126000</v>
      </c>
      <c r="L36" s="17" t="n">
        <v>179</v>
      </c>
      <c r="M36" s="11" t="n">
        <v>378</v>
      </c>
      <c r="N36" s="11" t="n">
        <v>0</v>
      </c>
      <c r="O36" s="434" t="n">
        <v>0</v>
      </c>
      <c r="P36" s="435" t="n">
        <v>15277</v>
      </c>
      <c r="Q36" s="435" t="n">
        <v>0</v>
      </c>
      <c r="R36" s="435" t="n"/>
      <c r="S36" s="435" t="n">
        <v>10</v>
      </c>
      <c r="T36" s="435" t="n">
        <v>0</v>
      </c>
      <c r="U36" s="69" t="n">
        <v>0</v>
      </c>
      <c r="V36" s="69" t="n"/>
      <c r="W36" s="70" t="n">
        <v>0.06</v>
      </c>
      <c r="X36" s="436" t="n">
        <v>0.1388818181818182</v>
      </c>
      <c r="Y36" s="16" t="n">
        <v>138.5</v>
      </c>
      <c r="Z36" s="437" t="n">
        <v>-0.5</v>
      </c>
      <c r="AA36" s="438">
        <f>IF(I36="",((TODAY()-A36)*G36)/365.24,((I36-A36)*G36)/365.24)</f>
        <v/>
      </c>
      <c r="AB36" s="103" t="inlineStr">
        <is>
          <t>台股</t>
        </is>
      </c>
    </row>
    <row r="37" hidden="1" outlineLevel="1">
      <c r="A37" s="99" t="n">
        <v>44172</v>
      </c>
      <c r="B37" s="11" t="inlineStr">
        <is>
          <t>普通買進</t>
        </is>
      </c>
      <c r="C37" s="11" t="n">
        <v>5907</v>
      </c>
      <c r="D37" s="11" t="inlineStr">
        <is>
          <t>大洋-KY</t>
        </is>
      </c>
      <c r="E37" s="11" t="n">
        <v>2000</v>
      </c>
      <c r="F37" s="11" t="n">
        <v>23.1</v>
      </c>
      <c r="G37" s="212" t="n">
        <v>46200</v>
      </c>
      <c r="H37" s="11" t="n">
        <v>65</v>
      </c>
      <c r="I37" s="104" t="n">
        <v>44176</v>
      </c>
      <c r="J37" s="16" t="n">
        <v>21.1</v>
      </c>
      <c r="K37" s="11" t="n">
        <v>42200</v>
      </c>
      <c r="L37" s="17" t="n">
        <v>60</v>
      </c>
      <c r="M37" s="11" t="n">
        <v>126</v>
      </c>
      <c r="N37" s="11" t="n">
        <v>0</v>
      </c>
      <c r="O37" s="434" t="n">
        <v>0</v>
      </c>
      <c r="P37" s="435" t="n">
        <v>-4261</v>
      </c>
      <c r="Q37" s="435" t="n">
        <v>0</v>
      </c>
      <c r="R37" s="435" t="n"/>
      <c r="S37" s="435" t="n">
        <v>10</v>
      </c>
      <c r="T37" s="435" t="n">
        <v>0</v>
      </c>
      <c r="U37" s="69" t="n">
        <v>0</v>
      </c>
      <c r="V37" s="69" t="n"/>
      <c r="W37" s="70" t="n">
        <v>0.06</v>
      </c>
      <c r="X37" s="436" t="n">
        <v>-0.09222943722943723</v>
      </c>
      <c r="Y37" s="16" t="n">
        <v>5.67</v>
      </c>
      <c r="Z37" s="437" t="n">
        <v>-0.01</v>
      </c>
      <c r="AA37" s="438">
        <f>IF(I37="",((TODAY()-A37)*G37)/365.24,((I37-A37)*G37)/365.24)</f>
        <v/>
      </c>
      <c r="AB37" s="103" t="inlineStr">
        <is>
          <t>台股</t>
        </is>
      </c>
    </row>
    <row r="38" hidden="1" outlineLevel="1">
      <c r="A38" s="99" t="n">
        <v>44173</v>
      </c>
      <c r="B38" s="11" t="inlineStr">
        <is>
          <t>普通買進</t>
        </is>
      </c>
      <c r="C38" s="11" t="n">
        <v>3706</v>
      </c>
      <c r="D38" s="11" t="inlineStr">
        <is>
          <t>神達</t>
        </is>
      </c>
      <c r="E38" s="11" t="n">
        <v>1000</v>
      </c>
      <c r="F38" s="11" t="n">
        <v>32.55</v>
      </c>
      <c r="G38" s="212" t="n">
        <v>32550</v>
      </c>
      <c r="H38" s="11" t="n">
        <v>46</v>
      </c>
      <c r="I38" s="104" t="n">
        <v>44176</v>
      </c>
      <c r="J38" s="16" t="n">
        <v>29.65</v>
      </c>
      <c r="K38" s="11" t="n">
        <v>29650</v>
      </c>
      <c r="L38" s="17" t="n">
        <v>42</v>
      </c>
      <c r="M38" s="11" t="n">
        <v>88</v>
      </c>
      <c r="N38" s="11" t="n">
        <v>0</v>
      </c>
      <c r="O38" s="434" t="n">
        <v>0</v>
      </c>
      <c r="P38" s="435" t="n">
        <v>-3085.999999999996</v>
      </c>
      <c r="Q38" s="435" t="n">
        <v>0</v>
      </c>
      <c r="R38" s="435" t="n"/>
      <c r="S38" s="435" t="n">
        <v>10</v>
      </c>
      <c r="T38" s="435" t="n">
        <v>0</v>
      </c>
      <c r="U38" s="69" t="n">
        <v>0</v>
      </c>
      <c r="V38" s="69" t="n"/>
      <c r="W38" s="70" t="n">
        <v>0.06</v>
      </c>
      <c r="X38" s="436" t="n">
        <v>-0.09480798771121342</v>
      </c>
      <c r="Y38" s="16" t="n">
        <v>85</v>
      </c>
      <c r="Z38" s="437" t="n">
        <v>0.9</v>
      </c>
      <c r="AA38" s="438">
        <f>IF(I38="",((TODAY()-A38)*G38)/365.24,((I38-A38)*G38)/365.24)</f>
        <v/>
      </c>
      <c r="AB38" s="103" t="inlineStr">
        <is>
          <t>台股</t>
        </is>
      </c>
    </row>
    <row r="39" hidden="1" outlineLevel="1">
      <c r="A39" s="99" t="n">
        <v>44172</v>
      </c>
      <c r="B39" s="11" t="inlineStr">
        <is>
          <t>普通買進</t>
        </is>
      </c>
      <c r="C39" s="11" t="n">
        <v>8163</v>
      </c>
      <c r="D39" s="11" t="inlineStr">
        <is>
          <t>達方</t>
        </is>
      </c>
      <c r="E39" s="11" t="n">
        <v>1000</v>
      </c>
      <c r="F39" s="11" t="n">
        <v>45.75</v>
      </c>
      <c r="G39" s="212" t="n">
        <v>45750</v>
      </c>
      <c r="H39" s="11" t="n">
        <v>65</v>
      </c>
      <c r="I39" s="104" t="n">
        <v>44182</v>
      </c>
      <c r="J39" s="16" t="n">
        <v>43.35</v>
      </c>
      <c r="K39" s="11" t="n">
        <v>43350</v>
      </c>
      <c r="L39" s="17" t="n">
        <v>61</v>
      </c>
      <c r="M39" s="11" t="n">
        <v>130</v>
      </c>
      <c r="N39" s="11" t="n">
        <v>0</v>
      </c>
      <c r="O39" s="434" t="n">
        <v>0</v>
      </c>
      <c r="P39" s="435" t="n">
        <v>-2666</v>
      </c>
      <c r="Q39" s="435" t="n">
        <v>0</v>
      </c>
      <c r="R39" s="435" t="n"/>
      <c r="S39" s="435" t="n">
        <v>10</v>
      </c>
      <c r="T39" s="435" t="n">
        <v>0</v>
      </c>
      <c r="U39" s="69" t="n">
        <v>0</v>
      </c>
      <c r="V39" s="69" t="n"/>
      <c r="W39" s="70" t="n">
        <v>0.06</v>
      </c>
      <c r="X39" s="436" t="n">
        <v>-0.05827322404371585</v>
      </c>
      <c r="Y39" s="16" t="n">
        <v>28.6</v>
      </c>
      <c r="Z39" s="437" t="n">
        <v>0.1</v>
      </c>
      <c r="AA39" s="438">
        <f>IF(I39="",((TODAY()-A39)*G39)/365.24,((I39-A39)*G39)/365.24)</f>
        <v/>
      </c>
      <c r="AB39" s="103" t="inlineStr">
        <is>
          <t>台股</t>
        </is>
      </c>
    </row>
    <row r="40" hidden="1" outlineLevel="1">
      <c r="A40" s="99" t="n">
        <v>44173</v>
      </c>
      <c r="B40" s="11" t="inlineStr">
        <is>
          <t>普通買進</t>
        </is>
      </c>
      <c r="C40" s="11" t="n">
        <v>3707</v>
      </c>
      <c r="D40" s="11" t="inlineStr">
        <is>
          <t>漢磊</t>
        </is>
      </c>
      <c r="E40" s="11" t="n">
        <v>1000</v>
      </c>
      <c r="F40" s="11" t="n">
        <v>41.3</v>
      </c>
      <c r="G40" s="212" t="n">
        <v>41300</v>
      </c>
      <c r="H40" s="11" t="n">
        <v>58</v>
      </c>
      <c r="I40" s="104" t="n">
        <v>44182</v>
      </c>
      <c r="J40" s="16" t="n">
        <v>38.1</v>
      </c>
      <c r="K40" s="11" t="n">
        <v>38100</v>
      </c>
      <c r="L40" s="17" t="n">
        <v>54</v>
      </c>
      <c r="M40" s="11" t="n">
        <v>114</v>
      </c>
      <c r="N40" s="11" t="n">
        <v>0</v>
      </c>
      <c r="O40" s="434" t="n">
        <v>0</v>
      </c>
      <c r="P40" s="435" t="n">
        <v>-3436</v>
      </c>
      <c r="Q40" s="435" t="n">
        <v>0</v>
      </c>
      <c r="R40" s="435" t="n"/>
      <c r="S40" s="435" t="n">
        <v>10</v>
      </c>
      <c r="T40" s="435" t="n">
        <v>0</v>
      </c>
      <c r="U40" s="69" t="n">
        <v>0</v>
      </c>
      <c r="V40" s="69" t="n"/>
      <c r="W40" s="70" t="n">
        <v>0.06</v>
      </c>
      <c r="X40" s="436" t="n">
        <v>-0.08319612590799032</v>
      </c>
      <c r="Y40" s="16" t="n">
        <v>59.1</v>
      </c>
      <c r="Z40" s="437" t="n">
        <v>1.2</v>
      </c>
      <c r="AA40" s="438">
        <f>IF(I40="",((TODAY()-A40)*G40)/365.24,((I40-A40)*G40)/365.24)</f>
        <v/>
      </c>
      <c r="AB40" s="103" t="inlineStr">
        <is>
          <t>台股</t>
        </is>
      </c>
    </row>
    <row r="41" collapsed="1">
      <c r="A41" s="275" t="n">
        <v>44158</v>
      </c>
      <c r="B41" s="11" t="inlineStr">
        <is>
          <t>普通買進</t>
        </is>
      </c>
      <c r="C41" s="11" t="n">
        <v>2615</v>
      </c>
      <c r="D41" s="11" t="inlineStr">
        <is>
          <t>萬海</t>
        </is>
      </c>
      <c r="E41" s="11" t="n">
        <v>1000</v>
      </c>
      <c r="F41" s="11" t="n">
        <v>38.15</v>
      </c>
      <c r="G41" s="212">
        <f>E41*F41</f>
        <v/>
      </c>
      <c r="H41" s="11" t="n">
        <v>54</v>
      </c>
      <c r="I41" s="104" t="n">
        <v>44202</v>
      </c>
      <c r="J41" s="16" t="n">
        <v>53.3</v>
      </c>
      <c r="K41" s="11">
        <f>E41*J41</f>
        <v/>
      </c>
      <c r="L41" s="17" t="n">
        <v>75</v>
      </c>
      <c r="M41" s="11" t="n">
        <v>159</v>
      </c>
      <c r="N41" s="11" t="n">
        <v>0</v>
      </c>
      <c r="O41" s="434">
        <f>IF(I41="",E41*Y41,0)</f>
        <v/>
      </c>
      <c r="P41" s="435">
        <f>IF(I41="",R41-H41,(K41-H41-SUM(L41:N41)+R41-S41-T41)-G41)+(ROUND(R41*V41,0)-ROUND(R41*(1+V41),0)*W41)</f>
        <v/>
      </c>
      <c r="Q41" s="435">
        <f>IF(I41="",(O41-G41-(O41*0.1425%*0.65)-(O41*0.3%)-S41-T41),0)</f>
        <v/>
      </c>
      <c r="R41" s="435" t="n"/>
      <c r="S41" s="435" t="n">
        <v>10</v>
      </c>
      <c r="T41" s="435">
        <f>IF(ROUND(R41*(1+V41),0)&gt;20000,ROUND(ROUND(R41*(1+V41),0)*2%,0),0)</f>
        <v/>
      </c>
      <c r="U41" s="69">
        <f>(V41*50%)/(1+50%*V41)</f>
        <v/>
      </c>
      <c r="V41" s="69" t="n"/>
      <c r="W41" s="70" t="n">
        <v>0.06</v>
      </c>
      <c r="X41" s="436">
        <f>(P41+Q41)/G41</f>
        <v/>
      </c>
      <c r="Y41" s="16">
        <f>VLOOKUP(C41,台股行情!A:D,4,FALSE)</f>
        <v/>
      </c>
      <c r="Z41" s="437">
        <f>VLOOKUP(C41,台股行情!A:E,5,FALSE)</f>
        <v/>
      </c>
      <c r="AA41" s="438">
        <f>IF(I41="",((TODAY()-A41)*G41)/365.24,((I41-A41)*G41)/365.24)</f>
        <v/>
      </c>
      <c r="AB41" s="103" t="inlineStr">
        <is>
          <t>台股</t>
        </is>
      </c>
    </row>
    <row r="42" hidden="1" outlineLevel="1">
      <c r="A42" s="275" t="n">
        <v>44158</v>
      </c>
      <c r="B42" s="11" t="inlineStr">
        <is>
          <t>普通買進</t>
        </is>
      </c>
      <c r="C42" s="11" t="n">
        <v>2634</v>
      </c>
      <c r="D42" s="11" t="inlineStr">
        <is>
          <t>漢翔</t>
        </is>
      </c>
      <c r="E42" s="11" t="n">
        <v>1000</v>
      </c>
      <c r="F42" s="11" t="n">
        <v>29.1</v>
      </c>
      <c r="G42" s="212">
        <f>E42*F42</f>
        <v/>
      </c>
      <c r="H42" s="11" t="n">
        <v>41</v>
      </c>
      <c r="I42" s="104" t="n">
        <v>44202</v>
      </c>
      <c r="J42" s="16" t="n">
        <v>29.15</v>
      </c>
      <c r="K42" s="11">
        <f>E42*J42</f>
        <v/>
      </c>
      <c r="L42" s="17" t="n">
        <v>41</v>
      </c>
      <c r="M42" s="11" t="n">
        <v>87</v>
      </c>
      <c r="N42" s="11" t="n">
        <v>0</v>
      </c>
      <c r="O42" s="434">
        <f>IF(I42="",E42*Y42,0)</f>
        <v/>
      </c>
      <c r="P42" s="435">
        <f>IF(I42="",R42-H42,(K42-H42-SUM(L42:N42)+R42-S42-T42)-G42)+(ROUND(R42*V42,0)-ROUND(R42*(1+V42),0)*W42)</f>
        <v/>
      </c>
      <c r="Q42" s="435">
        <f>IF(I42="",(O42-G42-(O42*0.1425%*0.65)-(O42*0.3%)-S42-T42),0)</f>
        <v/>
      </c>
      <c r="R42" s="435" t="n"/>
      <c r="S42" s="435" t="n">
        <v>10</v>
      </c>
      <c r="T42" s="435">
        <f>IF(ROUND(R42*(1+V42),0)&gt;20000,ROUND(ROUND(R42*(1+V42),0)*2%,0),0)</f>
        <v/>
      </c>
      <c r="U42" s="69">
        <f>(V42*50%)/(1+50%*V42)</f>
        <v/>
      </c>
      <c r="V42" s="69" t="n"/>
      <c r="W42" s="70" t="n">
        <v>0.06</v>
      </c>
      <c r="X42" s="436">
        <f>(P42+Q42)/G42</f>
        <v/>
      </c>
      <c r="Y42" s="16">
        <f>VLOOKUP(C42,台股行情!A:D,4,FALSE)</f>
        <v/>
      </c>
      <c r="Z42" s="437">
        <f>VLOOKUP(C42,台股行情!A:E,5,FALSE)</f>
        <v/>
      </c>
      <c r="AA42" s="438">
        <f>IF(I42="",((TODAY()-A42)*G42)/365.24,((I42-A42)*G42)/365.24)</f>
        <v/>
      </c>
      <c r="AB42" s="103" t="inlineStr">
        <is>
          <t>台股</t>
        </is>
      </c>
    </row>
    <row r="43" hidden="1" outlineLevel="1">
      <c r="A43" s="275" t="n">
        <v>44183</v>
      </c>
      <c r="B43" s="11" t="inlineStr">
        <is>
          <t>普通買進</t>
        </is>
      </c>
      <c r="C43" s="11" t="n">
        <v>3663</v>
      </c>
      <c r="D43" s="11" t="inlineStr">
        <is>
          <t>鑫科</t>
        </is>
      </c>
      <c r="E43" s="11" t="n">
        <v>2000</v>
      </c>
      <c r="F43" s="11" t="n">
        <v>21.85</v>
      </c>
      <c r="G43" s="212">
        <f>E43*F43</f>
        <v/>
      </c>
      <c r="H43" s="11" t="n">
        <v>62</v>
      </c>
      <c r="I43" s="104" t="n">
        <v>44202</v>
      </c>
      <c r="J43" s="16" t="n">
        <v>22.8</v>
      </c>
      <c r="K43" s="11">
        <f>E43*J43</f>
        <v/>
      </c>
      <c r="L43" s="17" t="n">
        <v>64</v>
      </c>
      <c r="M43" s="11" t="n">
        <v>136</v>
      </c>
      <c r="N43" s="11" t="n">
        <v>0</v>
      </c>
      <c r="O43" s="434">
        <f>IF(I43="",E43*Y43,0)</f>
        <v/>
      </c>
      <c r="P43" s="435">
        <f>IF(I43="",R43-H43,(K43-H43-SUM(L43:N43)+R43-S43-T43)-G43)+(ROUND(R43*V43,0)-ROUND(R43*(1+V43),0)*W43)</f>
        <v/>
      </c>
      <c r="Q43" s="435">
        <f>IF(I43="",(O43-G43-(O43*0.1425%*0.65)-(O43*0.3%)-S43-T43),0)</f>
        <v/>
      </c>
      <c r="R43" s="435" t="n"/>
      <c r="S43" s="435" t="n">
        <v>10</v>
      </c>
      <c r="T43" s="435">
        <f>IF(ROUND(R43*(1+V43),0)&gt;20000,ROUND(ROUND(R43*(1+V43),0)*2%,0),0)</f>
        <v/>
      </c>
      <c r="U43" s="69">
        <f>(V43*50%)/(1+50%*V43)</f>
        <v/>
      </c>
      <c r="V43" s="69" t="n"/>
      <c r="W43" s="70" t="n">
        <v>0.06</v>
      </c>
      <c r="X43" s="436">
        <f>(P43+Q43)/G43</f>
        <v/>
      </c>
      <c r="Y43" s="16">
        <f>VLOOKUP(C43,台股行情!A:D,4,FALSE)</f>
        <v/>
      </c>
      <c r="Z43" s="437">
        <f>VLOOKUP(C43,台股行情!A:E,5,FALSE)</f>
        <v/>
      </c>
      <c r="AA43" s="438">
        <f>IF(I43="",((TODAY()-A43)*G43)/365.24,((I43-A43)*G43)/365.24)</f>
        <v/>
      </c>
      <c r="AB43" s="103" t="inlineStr">
        <is>
          <t>台股</t>
        </is>
      </c>
    </row>
    <row r="44" hidden="1" outlineLevel="1">
      <c r="A44" s="275" t="n">
        <v>44158</v>
      </c>
      <c r="B44" s="11" t="inlineStr">
        <is>
          <t>普通買進</t>
        </is>
      </c>
      <c r="C44" s="11" t="n">
        <v>2882</v>
      </c>
      <c r="D44" s="11" t="inlineStr">
        <is>
          <t>國泰金</t>
        </is>
      </c>
      <c r="E44" s="11" t="n">
        <v>1000</v>
      </c>
      <c r="F44" s="11" t="n">
        <v>41.65</v>
      </c>
      <c r="G44" s="212">
        <f>E44*F44</f>
        <v/>
      </c>
      <c r="H44" s="11" t="n">
        <v>59</v>
      </c>
      <c r="I44" s="104" t="n">
        <v>44207</v>
      </c>
      <c r="J44" s="16" t="n">
        <v>42.25</v>
      </c>
      <c r="K44" s="11">
        <f>E44*J44</f>
        <v/>
      </c>
      <c r="L44" s="17" t="n">
        <v>60</v>
      </c>
      <c r="M44" s="11" t="n">
        <v>126</v>
      </c>
      <c r="N44" s="11" t="n">
        <v>0</v>
      </c>
      <c r="O44" s="434">
        <f>IF(I44="",E44*Y44,0)</f>
        <v/>
      </c>
      <c r="P44" s="435">
        <f>IF(I44="",R44-H44,(K44-H44-SUM(L44:N44)+R44-S44-T44)-G44)+(ROUND(R44*V44,0)-ROUND(R44*(1+V44),0)*W44)</f>
        <v/>
      </c>
      <c r="Q44" s="435">
        <f>IF(I44="",(O44-G44-(O44*0.1425%*0.65)-(O44*0.3%)-S44-T44),0)</f>
        <v/>
      </c>
      <c r="R44" s="435" t="n"/>
      <c r="S44" s="435" t="n">
        <v>10</v>
      </c>
      <c r="T44" s="435">
        <f>IF(ROUND(R44*(1+V44),0)&gt;20000,ROUND(ROUND(R44*(1+V44),0)*2%,0),0)</f>
        <v/>
      </c>
      <c r="U44" s="69">
        <f>(V44*50%)/(1+50%*V44)</f>
        <v/>
      </c>
      <c r="V44" s="69" t="n"/>
      <c r="W44" s="70" t="n">
        <v>0.06</v>
      </c>
      <c r="X44" s="436">
        <f>(P44+Q44)/G44</f>
        <v/>
      </c>
      <c r="Y44" s="16">
        <f>VLOOKUP(C44,台股行情!A:D,4,FALSE)</f>
        <v/>
      </c>
      <c r="Z44" s="437">
        <f>VLOOKUP(C44,台股行情!A:E,5,FALSE)</f>
        <v/>
      </c>
      <c r="AA44" s="438">
        <f>IF(I44="",((TODAY()-A44)*G44)/365.24,((I44-A44)*G44)/365.24)</f>
        <v/>
      </c>
      <c r="AB44" s="103" t="inlineStr">
        <is>
          <t>台股</t>
        </is>
      </c>
    </row>
    <row r="45" hidden="1" outlineLevel="1">
      <c r="A45" s="275" t="n">
        <v>44159</v>
      </c>
      <c r="B45" s="11" t="inlineStr">
        <is>
          <t>普通買進</t>
        </is>
      </c>
      <c r="C45" s="11" t="n">
        <v>1304</v>
      </c>
      <c r="D45" s="11" t="inlineStr">
        <is>
          <t>台聚</t>
        </is>
      </c>
      <c r="E45" s="11" t="n">
        <v>2000</v>
      </c>
      <c r="F45" s="11" t="n">
        <v>20.4</v>
      </c>
      <c r="G45" s="212">
        <f>E45*F45</f>
        <v/>
      </c>
      <c r="H45" s="11" t="n">
        <v>58</v>
      </c>
      <c r="I45" s="104" t="n">
        <v>44210</v>
      </c>
      <c r="J45" s="16" t="n">
        <v>21.6</v>
      </c>
      <c r="K45" s="11">
        <f>E45*J45</f>
        <v/>
      </c>
      <c r="L45" s="17" t="n">
        <v>61</v>
      </c>
      <c r="M45" s="11" t="n">
        <v>129</v>
      </c>
      <c r="N45" s="11" t="n">
        <v>0</v>
      </c>
      <c r="O45" s="434">
        <f>IF(I45="",E45*Y45,0)</f>
        <v/>
      </c>
      <c r="P45" s="435">
        <f>IF(I45="",R45-H45,(K45-H45-SUM(L45:N45)+R45-S45-T45)-G45)+(ROUND(R45*V45,0)-ROUND(R45*(1+V45),0)*W45)</f>
        <v/>
      </c>
      <c r="Q45" s="435">
        <f>IF(I45="",(O45-G45-(O45*0.1425%*0.65)-(O45*0.3%)-S45-T45),0)</f>
        <v/>
      </c>
      <c r="R45" s="435" t="n"/>
      <c r="S45" s="435" t="n">
        <v>10</v>
      </c>
      <c r="T45" s="435">
        <f>IF(ROUND(R45*(1+V45),0)&gt;20000,ROUND(ROUND(R45*(1+V45),0)*2%,0),0)</f>
        <v/>
      </c>
      <c r="U45" s="69">
        <f>(V45*50%)/(1+50%*V45)</f>
        <v/>
      </c>
      <c r="V45" s="69" t="n"/>
      <c r="W45" s="70" t="n">
        <v>0.06</v>
      </c>
      <c r="X45" s="436">
        <f>(P45+Q45)/G45</f>
        <v/>
      </c>
      <c r="Y45" s="16">
        <f>VLOOKUP(C45,台股行情!A:D,4,FALSE)</f>
        <v/>
      </c>
      <c r="Z45" s="437">
        <f>VLOOKUP(C45,台股行情!A:E,5,FALSE)</f>
        <v/>
      </c>
      <c r="AA45" s="438">
        <f>IF(I45="",((TODAY()-A45)*G45)/365.24,((I45-A45)*G45)/365.24)</f>
        <v/>
      </c>
      <c r="AB45" s="103" t="inlineStr">
        <is>
          <t>台股</t>
        </is>
      </c>
    </row>
    <row r="46" hidden="1" outlineLevel="1">
      <c r="A46" s="275" t="n">
        <v>44173</v>
      </c>
      <c r="B46" s="11" t="inlineStr">
        <is>
          <t>普通買進</t>
        </is>
      </c>
      <c r="C46" s="11" t="n">
        <v>2603</v>
      </c>
      <c r="D46" s="11" t="inlineStr">
        <is>
          <t>長榮</t>
        </is>
      </c>
      <c r="E46" s="11" t="n">
        <v>1000</v>
      </c>
      <c r="F46" s="11" t="n">
        <v>29.15</v>
      </c>
      <c r="G46" s="212">
        <f>E46*F46</f>
        <v/>
      </c>
      <c r="H46" s="11" t="n">
        <v>41</v>
      </c>
      <c r="I46" s="104" t="n">
        <v>44210</v>
      </c>
      <c r="J46" s="16" t="n">
        <v>37.95</v>
      </c>
      <c r="K46" s="11">
        <f>E46*J46</f>
        <v/>
      </c>
      <c r="L46" s="17" t="n">
        <v>54</v>
      </c>
      <c r="M46" s="11" t="n">
        <v>113</v>
      </c>
      <c r="N46" s="11" t="n">
        <v>0</v>
      </c>
      <c r="O46" s="434">
        <f>IF(I46="",E46*Y46,0)</f>
        <v/>
      </c>
      <c r="P46" s="435">
        <f>IF(I46="",R46-H46,(K46-H46-SUM(L46:N46)+R46-S46-T46)-G46)+(ROUND(R46*V46,0)-ROUND(R46*(1+V46),0)*W46)</f>
        <v/>
      </c>
      <c r="Q46" s="435">
        <f>IF(I46="",(O46-G46-(O46*0.1425%*0.65)-(O46*0.3%)-S46-T46),0)</f>
        <v/>
      </c>
      <c r="R46" s="435" t="n"/>
      <c r="S46" s="435" t="n">
        <v>10</v>
      </c>
      <c r="T46" s="435">
        <f>IF(ROUND(R46*(1+V46),0)&gt;20000,ROUND(ROUND(R46*(1+V46),0)*2%,0),0)</f>
        <v/>
      </c>
      <c r="U46" s="69">
        <f>(V46*50%)/(1+50%*V46)</f>
        <v/>
      </c>
      <c r="V46" s="69" t="n"/>
      <c r="W46" s="70" t="n">
        <v>0.06</v>
      </c>
      <c r="X46" s="436">
        <f>(P46+Q46)/G46</f>
        <v/>
      </c>
      <c r="Y46" s="16">
        <f>VLOOKUP(C46,台股行情!A:D,4,FALSE)</f>
        <v/>
      </c>
      <c r="Z46" s="437">
        <f>VLOOKUP(C46,台股行情!A:E,5,FALSE)</f>
        <v/>
      </c>
      <c r="AA46" s="438">
        <f>IF(I46="",((TODAY()-A46)*G46)/365.24,((I46-A46)*G46)/365.24)</f>
        <v/>
      </c>
      <c r="AB46" s="103" t="inlineStr">
        <is>
          <t>台股</t>
        </is>
      </c>
    </row>
    <row r="47" hidden="1" outlineLevel="1">
      <c r="A47" s="275" t="n">
        <v>44180</v>
      </c>
      <c r="B47" s="11" t="inlineStr">
        <is>
          <t>普通買進</t>
        </is>
      </c>
      <c r="C47" s="11" t="n">
        <v>6204</v>
      </c>
      <c r="D47" s="11" t="inlineStr">
        <is>
          <t>艾華</t>
        </is>
      </c>
      <c r="E47" s="11" t="n">
        <v>1000</v>
      </c>
      <c r="F47" s="11" t="n">
        <v>134.5</v>
      </c>
      <c r="G47" s="212">
        <f>E47*F47</f>
        <v/>
      </c>
      <c r="H47" s="11" t="n">
        <v>191</v>
      </c>
      <c r="I47" s="104" t="n">
        <v>44210</v>
      </c>
      <c r="J47" s="16" t="n">
        <v>119</v>
      </c>
      <c r="K47" s="11">
        <f>E47*J47</f>
        <v/>
      </c>
      <c r="L47" s="17" t="n">
        <v>169</v>
      </c>
      <c r="M47" s="11" t="n">
        <v>357</v>
      </c>
      <c r="N47" s="11" t="n">
        <v>0</v>
      </c>
      <c r="O47" s="434">
        <f>IF(I47="",E47*Y47,0)</f>
        <v/>
      </c>
      <c r="P47" s="435">
        <f>IF(I47="",R47-H47,(K47-H47-SUM(L47:N47)+R47-S47-T47)-G47)+(ROUND(R47*V47,0)-ROUND(R47*(1+V47),0)*W47)</f>
        <v/>
      </c>
      <c r="Q47" s="435">
        <f>IF(I47="",(O47-G47-(O47*0.1425%*0.65)-(O47*0.3%)-S47-T47),0)</f>
        <v/>
      </c>
      <c r="R47" s="435" t="n"/>
      <c r="S47" s="435" t="n">
        <v>10</v>
      </c>
      <c r="T47" s="435">
        <f>IF(ROUND(R47*(1+V47),0)&gt;20000,ROUND(ROUND(R47*(1+V47),0)*2%,0),0)</f>
        <v/>
      </c>
      <c r="U47" s="69">
        <f>(V47*50%)/(1+50%*V47)</f>
        <v/>
      </c>
      <c r="V47" s="69" t="n"/>
      <c r="W47" s="70" t="n">
        <v>0.06</v>
      </c>
      <c r="X47" s="436">
        <f>(P47+Q47)/G47</f>
        <v/>
      </c>
      <c r="Y47" s="16">
        <f>VLOOKUP(C47,台股行情!A:D,4,FALSE)</f>
        <v/>
      </c>
      <c r="Z47" s="437">
        <f>VLOOKUP(C47,台股行情!A:E,5,FALSE)</f>
        <v/>
      </c>
      <c r="AA47" s="438">
        <f>IF(I47="",((TODAY()-A47)*G47)/365.24,((I47-A47)*G47)/365.24)</f>
        <v/>
      </c>
      <c r="AB47" s="103" t="inlineStr">
        <is>
          <t>台股</t>
        </is>
      </c>
    </row>
    <row r="48" hidden="1" outlineLevel="1">
      <c r="A48" s="275" t="n">
        <v>44180</v>
      </c>
      <c r="B48" s="11" t="inlineStr">
        <is>
          <t>普通買進</t>
        </is>
      </c>
      <c r="C48" s="11" t="n">
        <v>2002</v>
      </c>
      <c r="D48" s="11" t="inlineStr">
        <is>
          <t>中鋼</t>
        </is>
      </c>
      <c r="E48" s="11" t="n">
        <v>1000</v>
      </c>
      <c r="F48" s="11" t="n">
        <v>24.9</v>
      </c>
      <c r="G48" s="212">
        <f>E48*F48</f>
        <v/>
      </c>
      <c r="H48" s="11" t="n">
        <v>35</v>
      </c>
      <c r="I48" s="104" t="n">
        <v>44210</v>
      </c>
      <c r="J48" s="16" t="n">
        <v>25.4</v>
      </c>
      <c r="K48" s="11">
        <f>E48*J48</f>
        <v/>
      </c>
      <c r="L48" s="17" t="n">
        <v>36</v>
      </c>
      <c r="M48" s="11" t="n">
        <v>76</v>
      </c>
      <c r="N48" s="11" t="n">
        <v>0</v>
      </c>
      <c r="O48" s="434">
        <f>IF(I48="",E48*Y48,0)</f>
        <v/>
      </c>
      <c r="P48" s="435">
        <f>IF(I48="",R48-H48,(K48-H48-SUM(L48:N48)+R48-S48-T48)-G48)+(ROUND(R48*V48,0)-ROUND(R48*(1+V48),0)*W48)</f>
        <v/>
      </c>
      <c r="Q48" s="435">
        <f>IF(I48="",(O48-G48-(O48*0.1425%*0.65)-(O48*0.3%)-S48-T48),0)</f>
        <v/>
      </c>
      <c r="R48" s="435" t="n"/>
      <c r="S48" s="435" t="n">
        <v>10</v>
      </c>
      <c r="T48" s="435">
        <f>IF(ROUND(R48*(1+V48),0)&gt;20000,ROUND(ROUND(R48*(1+V48),0)*2%,0),0)</f>
        <v/>
      </c>
      <c r="U48" s="69">
        <f>(V48*50%)/(1+50%*V48)</f>
        <v/>
      </c>
      <c r="V48" s="69" t="n"/>
      <c r="W48" s="70" t="n">
        <v>0.06</v>
      </c>
      <c r="X48" s="436">
        <f>(P48+Q48)/G48</f>
        <v/>
      </c>
      <c r="Y48" s="16">
        <f>VLOOKUP(C48,台股行情!A:D,4,FALSE)</f>
        <v/>
      </c>
      <c r="Z48" s="437">
        <f>VLOOKUP(C48,台股行情!A:E,5,FALSE)</f>
        <v/>
      </c>
      <c r="AA48" s="438">
        <f>IF(I48="",((TODAY()-A48)*G48)/365.24,((I48-A48)*G48)/365.24)</f>
        <v/>
      </c>
      <c r="AB48" s="103" t="inlineStr">
        <is>
          <t>台股</t>
        </is>
      </c>
    </row>
    <row r="49" hidden="1" outlineLevel="1">
      <c r="A49" s="275" t="n">
        <v>44165</v>
      </c>
      <c r="B49" s="11" t="inlineStr">
        <is>
          <t>普通買進</t>
        </is>
      </c>
      <c r="C49" s="11" t="n">
        <v>2006</v>
      </c>
      <c r="D49" s="11" t="inlineStr">
        <is>
          <t>東和鋼鐵</t>
        </is>
      </c>
      <c r="E49" s="11" t="n">
        <v>1000</v>
      </c>
      <c r="F49" s="11" t="n">
        <v>35</v>
      </c>
      <c r="G49" s="212">
        <f>E49*F49</f>
        <v/>
      </c>
      <c r="H49" s="11" t="n">
        <v>49</v>
      </c>
      <c r="I49" s="104" t="n">
        <v>44228</v>
      </c>
      <c r="J49" s="16" t="n">
        <v>31.35</v>
      </c>
      <c r="K49" s="11">
        <f>E49*J49</f>
        <v/>
      </c>
      <c r="L49" s="17" t="n">
        <v>44</v>
      </c>
      <c r="M49" s="11" t="n">
        <v>94</v>
      </c>
      <c r="N49" s="11" t="n">
        <v>0</v>
      </c>
      <c r="O49" s="434">
        <f>IF(I49="",E49*Y49,0)</f>
        <v/>
      </c>
      <c r="P49" s="435">
        <f>IF(I49="",R49-H49,(K49-H49-SUM(L49:N49)+R49-S49-T49)-G49)+(ROUND(R49*V49,0)-ROUND(R49*(1+V49),0)*W49)</f>
        <v/>
      </c>
      <c r="Q49" s="435">
        <f>IF(I49="",(O49-G49-(O49*0.1425%*0.65)-(O49*0.3%)-S49-T49),0)</f>
        <v/>
      </c>
      <c r="R49" s="435" t="n"/>
      <c r="S49" s="435" t="n">
        <v>10</v>
      </c>
      <c r="T49" s="435">
        <f>IF(ROUND(R49*(1+V49),0)&gt;20000,ROUND(ROUND(R49*(1+V49),0)*2%,0),0)</f>
        <v/>
      </c>
      <c r="U49" s="69">
        <f>(V49*50%)/(1+50%*V49)</f>
        <v/>
      </c>
      <c r="V49" s="69" t="n"/>
      <c r="W49" s="70" t="n">
        <v>0.06</v>
      </c>
      <c r="X49" s="436">
        <f>(P49+Q49)/G49</f>
        <v/>
      </c>
      <c r="Y49" s="16">
        <f>VLOOKUP(C49,台股行情!A:D,4,FALSE)</f>
        <v/>
      </c>
      <c r="Z49" s="437">
        <f>VLOOKUP(C49,台股行情!A:E,5,FALSE)</f>
        <v/>
      </c>
      <c r="AA49" s="438">
        <f>IF(I49="",((TODAY()-A49)*G49)/365.24,((I49-A49)*G49)/365.24)</f>
        <v/>
      </c>
      <c r="AB49" s="103" t="inlineStr">
        <is>
          <t>台股</t>
        </is>
      </c>
    </row>
    <row r="50" hidden="1" outlineLevel="1">
      <c r="A50" s="275" t="n">
        <v>44168</v>
      </c>
      <c r="B50" s="11" t="inlineStr">
        <is>
          <t>普通買進</t>
        </is>
      </c>
      <c r="C50" s="11" t="n">
        <v>3026</v>
      </c>
      <c r="D50" s="11" t="inlineStr">
        <is>
          <t>禾伸堂</t>
        </is>
      </c>
      <c r="E50" s="11" t="n">
        <v>1000</v>
      </c>
      <c r="F50" s="11" t="n">
        <v>117</v>
      </c>
      <c r="G50" s="212">
        <f>E50*F50</f>
        <v/>
      </c>
      <c r="H50" s="11" t="n">
        <v>166</v>
      </c>
      <c r="I50" s="104" t="n">
        <v>44228</v>
      </c>
      <c r="J50" s="16" t="n">
        <v>106</v>
      </c>
      <c r="K50" s="11">
        <f>E50*J50</f>
        <v/>
      </c>
      <c r="L50" s="17" t="n">
        <v>151</v>
      </c>
      <c r="M50" s="11" t="n">
        <v>318</v>
      </c>
      <c r="N50" s="11" t="n">
        <v>0</v>
      </c>
      <c r="O50" s="434">
        <f>IF(I50="",E50*Y50,0)</f>
        <v/>
      </c>
      <c r="P50" s="435">
        <f>IF(I50="",R50-H50,(K50-H50-SUM(L50:N50)+R50-S50-T50)-G50)+(ROUND(R50*V50,0)-ROUND(R50*(1+V50),0)*W50)</f>
        <v/>
      </c>
      <c r="Q50" s="435">
        <f>IF(I50="",(O50-G50-(O50*0.1425%*0.65)-(O50*0.3%)-S50-T50),0)</f>
        <v/>
      </c>
      <c r="R50" s="435" t="n"/>
      <c r="S50" s="435" t="n">
        <v>10</v>
      </c>
      <c r="T50" s="435">
        <f>IF(ROUND(R50*(1+V50),0)&gt;20000,ROUND(ROUND(R50*(1+V50),0)*2%,0),0)</f>
        <v/>
      </c>
      <c r="U50" s="69">
        <f>(V50*50%)/(1+50%*V50)</f>
        <v/>
      </c>
      <c r="V50" s="69" t="n"/>
      <c r="W50" s="70" t="n">
        <v>0.06</v>
      </c>
      <c r="X50" s="436">
        <f>(P50+Q50)/G50</f>
        <v/>
      </c>
      <c r="Y50" s="16">
        <f>VLOOKUP(C50,台股行情!A:D,4,FALSE)</f>
        <v/>
      </c>
      <c r="Z50" s="437">
        <f>VLOOKUP(C50,台股行情!A:E,5,FALSE)</f>
        <v/>
      </c>
      <c r="AA50" s="438">
        <f>IF(I50="",((TODAY()-A50)*G50)/365.24,((I50-A50)*G50)/365.24)</f>
        <v/>
      </c>
      <c r="AB50" s="103" t="inlineStr">
        <is>
          <t>台股</t>
        </is>
      </c>
    </row>
    <row r="51" hidden="1" outlineLevel="1">
      <c r="A51" s="275" t="n">
        <v>44158</v>
      </c>
      <c r="B51" s="11" t="inlineStr">
        <is>
          <t>普通買進</t>
        </is>
      </c>
      <c r="C51" s="11" t="n">
        <v>2454</v>
      </c>
      <c r="D51" s="11" t="inlineStr">
        <is>
          <t>聯發科</t>
        </is>
      </c>
      <c r="E51" s="11" t="n">
        <v>100</v>
      </c>
      <c r="F51" s="11" t="n">
        <v>752</v>
      </c>
      <c r="G51" s="212">
        <f>E51*F51</f>
        <v/>
      </c>
      <c r="H51" s="11" t="n">
        <v>107</v>
      </c>
      <c r="I51" s="104" t="n">
        <v>44230</v>
      </c>
      <c r="J51" s="16" t="n">
        <v>946</v>
      </c>
      <c r="K51" s="11">
        <f>E51*J51</f>
        <v/>
      </c>
      <c r="L51" s="17" t="n">
        <v>134</v>
      </c>
      <c r="M51" s="11" t="n">
        <v>283</v>
      </c>
      <c r="N51" s="11" t="n">
        <v>0</v>
      </c>
      <c r="O51" s="434">
        <f>IF(I51="",E51*Y51,0)</f>
        <v/>
      </c>
      <c r="P51" s="435">
        <f>IF(I51="",R51-H51,(K51-H51-SUM(L51:N51)+R51-S51-T51)-G51)+(ROUND(R51*V51,0)-ROUND(R51*(1+V51),0)*W51)</f>
        <v/>
      </c>
      <c r="Q51" s="435">
        <f>IF(I51="",(O51-G51-(O51*0.1425%*0.65)-(O51*0.3%)-S51-T51),0)</f>
        <v/>
      </c>
      <c r="R51" s="435" t="n"/>
      <c r="S51" s="435" t="n">
        <v>10</v>
      </c>
      <c r="T51" s="435">
        <f>IF(ROUND(R51*(1+V51),0)&gt;20000,ROUND(ROUND(R51*(1+V51),0)*2%,0),0)</f>
        <v/>
      </c>
      <c r="U51" s="69">
        <f>(V51*50%)/(1+50%*V51)</f>
        <v/>
      </c>
      <c r="V51" s="69" t="n"/>
      <c r="W51" s="70" t="n">
        <v>0.06</v>
      </c>
      <c r="X51" s="436">
        <f>(P51+Q51)/G51</f>
        <v/>
      </c>
      <c r="Y51" s="16">
        <f>VLOOKUP(C51,台股行情!A:D,4,FALSE)</f>
        <v/>
      </c>
      <c r="Z51" s="437">
        <f>VLOOKUP(C51,台股行情!A:E,5,FALSE)</f>
        <v/>
      </c>
      <c r="AA51" s="438">
        <f>IF(I51="",((TODAY()-A51)*G51)/365.24,((I51-A51)*G51)/365.24)</f>
        <v/>
      </c>
      <c r="AB51" s="103" t="inlineStr">
        <is>
          <t>台股</t>
        </is>
      </c>
    </row>
    <row r="52" hidden="1" outlineLevel="1">
      <c r="A52" s="275" t="n">
        <v>44162</v>
      </c>
      <c r="B52" s="11" t="inlineStr">
        <is>
          <t>普通買進</t>
        </is>
      </c>
      <c r="C52" s="11" t="n">
        <v>2454</v>
      </c>
      <c r="D52" s="11" t="inlineStr">
        <is>
          <t>聯發科</t>
        </is>
      </c>
      <c r="E52" s="11" t="n">
        <v>100</v>
      </c>
      <c r="F52" s="11" t="n">
        <v>726</v>
      </c>
      <c r="G52" s="212">
        <f>E52*F52</f>
        <v/>
      </c>
      <c r="H52" s="11" t="n">
        <v>103</v>
      </c>
      <c r="I52" s="104" t="n">
        <v>44230</v>
      </c>
      <c r="J52" s="16" t="n">
        <v>946</v>
      </c>
      <c r="K52" s="11">
        <f>E52*J52</f>
        <v/>
      </c>
      <c r="L52" s="17" t="n">
        <v>134</v>
      </c>
      <c r="M52" s="11" t="n">
        <v>283</v>
      </c>
      <c r="N52" s="11" t="n">
        <v>0</v>
      </c>
      <c r="O52" s="434">
        <f>IF(I52="",E52*Y52,0)</f>
        <v/>
      </c>
      <c r="P52" s="435">
        <f>IF(I52="",R52-H52,(K52-H52-SUM(L52:N52)+R52-S52-T52)-G52)+(ROUND(R52*V52,0)-ROUND(R52*(1+V52),0)*W52)</f>
        <v/>
      </c>
      <c r="Q52" s="435">
        <f>IF(I52="",(O52-G52-(O52*0.1425%*0.65)-(O52*0.3%)-S52-T52),0)</f>
        <v/>
      </c>
      <c r="R52" s="435" t="n"/>
      <c r="S52" s="435" t="n">
        <v>10</v>
      </c>
      <c r="T52" s="435">
        <f>IF(ROUND(R52*(1+V52),0)&gt;20000,ROUND(ROUND(R52*(1+V52),0)*2%,0),0)</f>
        <v/>
      </c>
      <c r="U52" s="69">
        <f>(V52*50%)/(1+50%*V52)</f>
        <v/>
      </c>
      <c r="V52" s="69" t="n"/>
      <c r="W52" s="70" t="n">
        <v>0.06</v>
      </c>
      <c r="X52" s="436">
        <f>(P52+Q52)/G52</f>
        <v/>
      </c>
      <c r="Y52" s="16">
        <f>VLOOKUP(C52,台股行情!A:D,4,FALSE)</f>
        <v/>
      </c>
      <c r="Z52" s="437">
        <f>VLOOKUP(C52,台股行情!A:E,5,FALSE)</f>
        <v/>
      </c>
      <c r="AA52" s="438">
        <f>IF(I52="",((TODAY()-A52)*G52)/365.24,((I52-A52)*G52)/365.24)</f>
        <v/>
      </c>
      <c r="AB52" s="103" t="inlineStr">
        <is>
          <t>台股</t>
        </is>
      </c>
    </row>
    <row r="53" hidden="1" outlineLevel="1">
      <c r="A53" s="275" t="n">
        <v>44173</v>
      </c>
      <c r="B53" s="11" t="inlineStr">
        <is>
          <t>普通買進</t>
        </is>
      </c>
      <c r="C53" s="11" t="n">
        <v>2317</v>
      </c>
      <c r="D53" s="11" t="inlineStr">
        <is>
          <t>鴻海</t>
        </is>
      </c>
      <c r="E53" s="11" t="n">
        <v>1000</v>
      </c>
      <c r="F53" s="11" t="n">
        <v>89</v>
      </c>
      <c r="G53" s="212">
        <f>E53*F53</f>
        <v/>
      </c>
      <c r="H53" s="11" t="n">
        <v>126</v>
      </c>
      <c r="I53" s="104" t="n">
        <v>44230</v>
      </c>
      <c r="J53" s="16" t="n">
        <v>115.5</v>
      </c>
      <c r="K53" s="11">
        <f>E53*J53</f>
        <v/>
      </c>
      <c r="L53" s="17" t="n">
        <v>164</v>
      </c>
      <c r="M53" s="11" t="n">
        <v>346</v>
      </c>
      <c r="N53" s="11" t="n">
        <v>0</v>
      </c>
      <c r="O53" s="434">
        <f>IF(I53="",E53*Y53,0)</f>
        <v/>
      </c>
      <c r="P53" s="435">
        <f>IF(I53="",R53-H53,(K53-H53-SUM(L53:N53)+R53-S53-T53)-G53)+(ROUND(R53*V53,0)-ROUND(R53*(1+V53),0)*W53)</f>
        <v/>
      </c>
      <c r="Q53" s="435">
        <f>IF(I53="",(O53-G53-(O53*0.1425%*0.65)-(O53*0.3%)-S53-T53),0)</f>
        <v/>
      </c>
      <c r="R53" s="435" t="n"/>
      <c r="S53" s="435" t="n">
        <v>10</v>
      </c>
      <c r="T53" s="435">
        <f>IF(ROUND(R53*(1+V53),0)&gt;20000,ROUND(ROUND(R53*(1+V53),0)*2%,0),0)</f>
        <v/>
      </c>
      <c r="U53" s="69">
        <f>(V53*50%)/(1+50%*V53)</f>
        <v/>
      </c>
      <c r="V53" s="69" t="n"/>
      <c r="W53" s="70" t="n">
        <v>0.06</v>
      </c>
      <c r="X53" s="436">
        <f>(P53+Q53)/G53</f>
        <v/>
      </c>
      <c r="Y53" s="16">
        <f>VLOOKUP(C53,台股行情!A:D,4,FALSE)</f>
        <v/>
      </c>
      <c r="Z53" s="437">
        <f>VLOOKUP(C53,台股行情!A:E,5,FALSE)</f>
        <v/>
      </c>
      <c r="AA53" s="438">
        <f>IF(I53="",((TODAY()-A53)*G53)/365.24,((I53-A53)*G53)/365.24)</f>
        <v/>
      </c>
      <c r="AB53" s="103" t="inlineStr">
        <is>
          <t>台股</t>
        </is>
      </c>
    </row>
    <row r="54" hidden="1" outlineLevel="1">
      <c r="A54" s="275" t="n">
        <v>44174</v>
      </c>
      <c r="B54" s="11" t="inlineStr">
        <is>
          <t>普通買進</t>
        </is>
      </c>
      <c r="C54" s="11" t="n">
        <v>2454</v>
      </c>
      <c r="D54" s="11" t="inlineStr">
        <is>
          <t>聯發科</t>
        </is>
      </c>
      <c r="E54" s="11" t="n">
        <v>100</v>
      </c>
      <c r="F54" s="11" t="n">
        <v>737</v>
      </c>
      <c r="G54" s="212">
        <f>E54*F54</f>
        <v/>
      </c>
      <c r="H54" s="11" t="n">
        <v>105</v>
      </c>
      <c r="I54" s="104" t="n">
        <v>44230</v>
      </c>
      <c r="J54" s="16" t="n">
        <v>944</v>
      </c>
      <c r="K54" s="11">
        <f>E54*J54</f>
        <v/>
      </c>
      <c r="L54" s="17" t="n">
        <v>134</v>
      </c>
      <c r="M54" s="11" t="n">
        <v>283</v>
      </c>
      <c r="N54" s="11" t="n">
        <v>0</v>
      </c>
      <c r="O54" s="434">
        <f>IF(I54="",E54*Y54,0)</f>
        <v/>
      </c>
      <c r="P54" s="435">
        <f>IF(I54="",R54-H54,(K54-H54-SUM(L54:N54)+R54-S54-T54)-G54)+(ROUND(R54*V54,0)-ROUND(R54*(1+V54),0)*W54)</f>
        <v/>
      </c>
      <c r="Q54" s="435">
        <f>IF(I54="",(O54-G54-(O54*0.1425%*0.65)-(O54*0.3%)-S54-T54),0)</f>
        <v/>
      </c>
      <c r="R54" s="435" t="n"/>
      <c r="S54" s="435" t="n">
        <v>10</v>
      </c>
      <c r="T54" s="435">
        <f>IF(ROUND(R54*(1+V54),0)&gt;20000,ROUND(ROUND(R54*(1+V54),0)*2%,0),0)</f>
        <v/>
      </c>
      <c r="U54" s="69">
        <f>(V54*50%)/(1+50%*V54)</f>
        <v/>
      </c>
      <c r="V54" s="69" t="n"/>
      <c r="W54" s="70" t="n">
        <v>0.06</v>
      </c>
      <c r="X54" s="436">
        <f>(P54+Q54)/G54</f>
        <v/>
      </c>
      <c r="Y54" s="16">
        <f>VLOOKUP(C54,台股行情!A:D,4,FALSE)</f>
        <v/>
      </c>
      <c r="Z54" s="437">
        <f>VLOOKUP(C54,台股行情!A:E,5,FALSE)</f>
        <v/>
      </c>
      <c r="AA54" s="438">
        <f>IF(I54="",((TODAY()-A54)*G54)/365.24,((I54-A54)*G54)/365.24)</f>
        <v/>
      </c>
      <c r="AB54" s="103" t="inlineStr">
        <is>
          <t>台股</t>
        </is>
      </c>
    </row>
    <row r="55" hidden="1" outlineLevel="1">
      <c r="A55" s="275" t="n">
        <v>44176</v>
      </c>
      <c r="B55" s="11" t="inlineStr">
        <is>
          <t>普通買進</t>
        </is>
      </c>
      <c r="C55" s="11" t="n">
        <v>3481</v>
      </c>
      <c r="D55" s="11" t="inlineStr">
        <is>
          <t>群創</t>
        </is>
      </c>
      <c r="E55" s="11" t="n">
        <v>1000</v>
      </c>
      <c r="F55" s="11" t="n">
        <v>13.85</v>
      </c>
      <c r="G55" s="212">
        <f>E55*F55</f>
        <v/>
      </c>
      <c r="H55" s="11" t="n">
        <v>19</v>
      </c>
      <c r="I55" s="104" t="n">
        <v>44230</v>
      </c>
      <c r="J55" s="16" t="n">
        <v>14</v>
      </c>
      <c r="K55" s="11">
        <f>E55*J55</f>
        <v/>
      </c>
      <c r="L55" s="17" t="n">
        <v>20</v>
      </c>
      <c r="M55" s="11" t="n">
        <v>42</v>
      </c>
      <c r="N55" s="11" t="n">
        <v>0</v>
      </c>
      <c r="O55" s="434">
        <f>IF(I55="",E55*Y55,0)</f>
        <v/>
      </c>
      <c r="P55" s="435">
        <f>IF(I55="",R55-H55,(K55-H55-SUM(L55:N55)+R55-S55-T55)-G55)+(ROUND(R55*V55,0)-ROUND(R55*(1+V55),0)*W55)</f>
        <v/>
      </c>
      <c r="Q55" s="435">
        <f>IF(I55="",(O55-G55-(O55*0.1425%*0.65)-(O55*0.3%)-S55-T55),0)</f>
        <v/>
      </c>
      <c r="R55" s="435" t="n"/>
      <c r="S55" s="435" t="n">
        <v>10</v>
      </c>
      <c r="T55" s="435">
        <f>IF(ROUND(R55*(1+V55),0)&gt;20000,ROUND(ROUND(R55*(1+V55),0)*2%,0),0)</f>
        <v/>
      </c>
      <c r="U55" s="69">
        <f>(V55*50%)/(1+50%*V55)</f>
        <v/>
      </c>
      <c r="V55" s="69" t="n"/>
      <c r="W55" s="70" t="n">
        <v>0.06</v>
      </c>
      <c r="X55" s="436">
        <f>(P55+Q55)/G55</f>
        <v/>
      </c>
      <c r="Y55" s="16">
        <f>VLOOKUP(C55,台股行情!A:D,4,FALSE)</f>
        <v/>
      </c>
      <c r="Z55" s="437">
        <f>VLOOKUP(C55,台股行情!A:E,5,FALSE)</f>
        <v/>
      </c>
      <c r="AA55" s="438">
        <f>IF(I55="",((TODAY()-A55)*G55)/365.24,((I55-A55)*G55)/365.24)</f>
        <v/>
      </c>
      <c r="AB55" s="103" t="inlineStr">
        <is>
          <t>台股</t>
        </is>
      </c>
    </row>
    <row r="56" hidden="1" outlineLevel="1">
      <c r="A56" s="275" t="n">
        <v>44176</v>
      </c>
      <c r="B56" s="11" t="inlineStr">
        <is>
          <t>普通買進</t>
        </is>
      </c>
      <c r="C56" s="11" t="n">
        <v>3481</v>
      </c>
      <c r="D56" s="11" t="inlineStr">
        <is>
          <t>群創</t>
        </is>
      </c>
      <c r="E56" s="11" t="n">
        <v>9000</v>
      </c>
      <c r="F56" s="11" t="n">
        <v>13.85</v>
      </c>
      <c r="G56" s="212">
        <f>E56*F56</f>
        <v/>
      </c>
      <c r="H56" s="11" t="n">
        <v>178</v>
      </c>
      <c r="I56" s="104" t="n">
        <v>44230</v>
      </c>
      <c r="J56" s="16" t="n">
        <v>14.05</v>
      </c>
      <c r="K56" s="11">
        <f>E56*J56</f>
        <v/>
      </c>
      <c r="L56" s="17" t="n">
        <v>180</v>
      </c>
      <c r="M56" s="11" t="n">
        <v>379</v>
      </c>
      <c r="N56" s="11" t="n">
        <v>0</v>
      </c>
      <c r="O56" s="434">
        <f>IF(I56="",E56*Y56,0)</f>
        <v/>
      </c>
      <c r="P56" s="435">
        <f>IF(I56="",R56-H56,(K56-H56-SUM(L56:N56)+R56-S56-T56)-G56)+(ROUND(R56*V56,0)-ROUND(R56*(1+V56),0)*W56)</f>
        <v/>
      </c>
      <c r="Q56" s="435">
        <f>IF(I56="",(O56-G56-(O56*0.1425%*0.65)-(O56*0.3%)-S56-T56),0)</f>
        <v/>
      </c>
      <c r="R56" s="435" t="n"/>
      <c r="S56" s="435" t="n">
        <v>10</v>
      </c>
      <c r="T56" s="435">
        <f>IF(ROUND(R56*(1+V56),0)&gt;20000,ROUND(ROUND(R56*(1+V56),0)*2%,0),0)</f>
        <v/>
      </c>
      <c r="U56" s="69">
        <f>(V56*50%)/(1+50%*V56)</f>
        <v/>
      </c>
      <c r="V56" s="69" t="n"/>
      <c r="W56" s="70" t="n">
        <v>0.06</v>
      </c>
      <c r="X56" s="436">
        <f>(P56+Q56)/G56</f>
        <v/>
      </c>
      <c r="Y56" s="16">
        <f>VLOOKUP(C56,台股行情!A:D,4,FALSE)</f>
        <v/>
      </c>
      <c r="Z56" s="437">
        <f>VLOOKUP(C56,台股行情!A:E,5,FALSE)</f>
        <v/>
      </c>
      <c r="AA56" s="438">
        <f>IF(I56="",((TODAY()-A56)*G56)/365.24,((I56-A56)*G56)/365.24)</f>
        <v/>
      </c>
      <c r="AB56" s="103" t="inlineStr">
        <is>
          <t>台股</t>
        </is>
      </c>
    </row>
    <row r="57" hidden="1" outlineLevel="1">
      <c r="A57" s="275" t="n">
        <v>44181</v>
      </c>
      <c r="B57" s="11" t="inlineStr">
        <is>
          <t>普通買進</t>
        </is>
      </c>
      <c r="C57" s="11" t="n">
        <v>3037</v>
      </c>
      <c r="D57" s="11" t="inlineStr">
        <is>
          <t>欣興</t>
        </is>
      </c>
      <c r="E57" s="11" t="n">
        <v>1000</v>
      </c>
      <c r="F57" s="11" t="n">
        <v>86.7</v>
      </c>
      <c r="G57" s="212">
        <f>E57*F57</f>
        <v/>
      </c>
      <c r="H57" s="11" t="n">
        <v>123</v>
      </c>
      <c r="I57" s="104" t="n">
        <v>44230</v>
      </c>
      <c r="J57" s="16" t="n">
        <v>88.7</v>
      </c>
      <c r="K57" s="11">
        <f>E57*J57</f>
        <v/>
      </c>
      <c r="L57" s="17" t="n">
        <v>126</v>
      </c>
      <c r="M57" s="11" t="n">
        <v>266</v>
      </c>
      <c r="N57" s="11" t="n">
        <v>0</v>
      </c>
      <c r="O57" s="434">
        <f>IF(I57="",E57*Y57,0)</f>
        <v/>
      </c>
      <c r="P57" s="435">
        <f>IF(I57="",R57-H57,(K57-H57-SUM(L57:N57)+R57-S57-T57)-G57)+(ROUND(R57*V57,0)-ROUND(R57*(1+V57),0)*W57)</f>
        <v/>
      </c>
      <c r="Q57" s="435">
        <f>IF(I57="",(O57-G57-(O57*0.1425%*0.65)-(O57*0.3%)-S57-T57),0)</f>
        <v/>
      </c>
      <c r="R57" s="435" t="n"/>
      <c r="S57" s="435" t="n">
        <v>10</v>
      </c>
      <c r="T57" s="435">
        <f>IF(ROUND(R57*(1+V57),0)&gt;20000,ROUND(ROUND(R57*(1+V57),0)*2%,0),0)</f>
        <v/>
      </c>
      <c r="U57" s="69">
        <f>(V57*50%)/(1+50%*V57)</f>
        <v/>
      </c>
      <c r="V57" s="69" t="n"/>
      <c r="W57" s="70" t="n">
        <v>0.06</v>
      </c>
      <c r="X57" s="436">
        <f>(P57+Q57)/G57</f>
        <v/>
      </c>
      <c r="Y57" s="16">
        <f>VLOOKUP(C57,台股行情!A:D,4,FALSE)</f>
        <v/>
      </c>
      <c r="Z57" s="437">
        <f>VLOOKUP(C57,台股行情!A:E,5,FALSE)</f>
        <v/>
      </c>
      <c r="AA57" s="438">
        <f>IF(I57="",((TODAY()-A57)*G57)/365.24,((I57-A57)*G57)/365.24)</f>
        <v/>
      </c>
      <c r="AB57" s="103" t="inlineStr">
        <is>
          <t>台股</t>
        </is>
      </c>
    </row>
    <row r="58" hidden="1" outlineLevel="1">
      <c r="A58" s="275" t="n">
        <v>44155</v>
      </c>
      <c r="B58" s="11" t="inlineStr">
        <is>
          <t>普通買進</t>
        </is>
      </c>
      <c r="C58" s="11" t="n">
        <v>3008</v>
      </c>
      <c r="D58" s="11" t="inlineStr">
        <is>
          <t>大立光</t>
        </is>
      </c>
      <c r="E58" s="11" t="n">
        <v>10</v>
      </c>
      <c r="F58" s="11" t="n">
        <v>3470</v>
      </c>
      <c r="G58" s="212">
        <f>E58*F58</f>
        <v/>
      </c>
      <c r="H58" s="11" t="n">
        <v>49</v>
      </c>
      <c r="I58" s="104" t="n">
        <v>44260</v>
      </c>
      <c r="J58" s="16" t="n">
        <v>3350</v>
      </c>
      <c r="K58" s="11">
        <f>E58*J58</f>
        <v/>
      </c>
      <c r="L58" s="17" t="n">
        <v>47</v>
      </c>
      <c r="M58" s="11" t="n">
        <v>100</v>
      </c>
      <c r="N58" s="11" t="n">
        <v>0</v>
      </c>
      <c r="O58" s="434">
        <f>IF(I58="",E58*Y58,0)</f>
        <v/>
      </c>
      <c r="P58" s="435">
        <f>IF(I58="",R58-H58,(K58-H58-SUM(L58:N58)+R58-S58-T58)-G58)+(ROUND(R58*V58,0)-ROUND(R58*(1+V58),0)*W58)</f>
        <v/>
      </c>
      <c r="Q58" s="435">
        <f>IF(I58="",(O58-G58-(O58*0.1425%*0.65)-(O58*0.3%)-S58-T58),0)</f>
        <v/>
      </c>
      <c r="R58" s="435" t="n"/>
      <c r="S58" s="435" t="n">
        <v>10</v>
      </c>
      <c r="T58" s="435">
        <f>IF(ROUND(R58*(1+V58),0)&gt;20000,ROUND(ROUND(R58*(1+V58),0)*2%,0),0)</f>
        <v/>
      </c>
      <c r="U58" s="69">
        <f>(V58*50%)/(1+50%*V58)</f>
        <v/>
      </c>
      <c r="V58" s="69" t="n"/>
      <c r="W58" s="70" t="n">
        <v>0.06</v>
      </c>
      <c r="X58" s="436">
        <f>(P58+Q58)/G58</f>
        <v/>
      </c>
      <c r="Y58" s="16">
        <f>VLOOKUP(C58,台股行情!A:D,4,FALSE)</f>
        <v/>
      </c>
      <c r="Z58" s="437">
        <f>VLOOKUP(C58,台股行情!A:E,5,FALSE)</f>
        <v/>
      </c>
      <c r="AA58" s="438">
        <f>IF(I58="",((TODAY()-A58)*G58)/365.24,((I58-A58)*G58)/365.24)</f>
        <v/>
      </c>
      <c r="AB58" s="103" t="inlineStr">
        <is>
          <t>台股</t>
        </is>
      </c>
    </row>
    <row r="59" hidden="1" outlineLevel="1">
      <c r="A59" s="275" t="n">
        <v>44166</v>
      </c>
      <c r="B59" s="11" t="inlineStr">
        <is>
          <t>普通買進</t>
        </is>
      </c>
      <c r="C59" s="11" t="n">
        <v>3711</v>
      </c>
      <c r="D59" s="11" t="inlineStr">
        <is>
          <t>日月光投控</t>
        </is>
      </c>
      <c r="E59" s="11" t="n">
        <v>1000</v>
      </c>
      <c r="F59" s="11" t="n">
        <v>76.7</v>
      </c>
      <c r="G59" s="212">
        <f>E59*F59</f>
        <v/>
      </c>
      <c r="H59" s="11" t="n">
        <v>109</v>
      </c>
      <c r="I59" s="104" t="n">
        <v>44260</v>
      </c>
      <c r="J59" s="16" t="n">
        <v>102.5</v>
      </c>
      <c r="K59" s="11">
        <f>E59*J59</f>
        <v/>
      </c>
      <c r="L59" s="17" t="n">
        <v>146</v>
      </c>
      <c r="M59" s="11" t="n">
        <v>307</v>
      </c>
      <c r="N59" s="11" t="n">
        <v>0</v>
      </c>
      <c r="O59" s="434">
        <f>IF(I59="",E59*Y59,0)</f>
        <v/>
      </c>
      <c r="P59" s="435">
        <f>IF(I59="",R59-H59,(K59-H59-SUM(L59:N59)+R59-S59-T59)-G59)+(ROUND(R59*V59,0)-ROUND(R59*(1+V59),0)*W59)</f>
        <v/>
      </c>
      <c r="Q59" s="435">
        <f>IF(I59="",(O59-G59-(O59*0.1425%*0.65)-(O59*0.3%)-S59-T59),0)</f>
        <v/>
      </c>
      <c r="R59" s="435" t="n"/>
      <c r="S59" s="435" t="n">
        <v>10</v>
      </c>
      <c r="T59" s="435">
        <f>IF(ROUND(R59*(1+V59),0)&gt;20000,ROUND(ROUND(R59*(1+V59),0)*2%,0),0)</f>
        <v/>
      </c>
      <c r="U59" s="69">
        <f>(V59*50%)/(1+50%*V59)</f>
        <v/>
      </c>
      <c r="V59" s="69" t="n"/>
      <c r="W59" s="70" t="n">
        <v>0.06</v>
      </c>
      <c r="X59" s="436">
        <f>(P59+Q59)/G59</f>
        <v/>
      </c>
      <c r="Y59" s="16">
        <f>VLOOKUP(C59,台股行情!A:D,4,FALSE)</f>
        <v/>
      </c>
      <c r="Z59" s="437">
        <f>VLOOKUP(C59,台股行情!A:E,5,FALSE)</f>
        <v/>
      </c>
      <c r="AA59" s="438">
        <f>IF(I59="",((TODAY()-A59)*G59)/365.24,((I59-A59)*G59)/365.24)</f>
        <v/>
      </c>
      <c r="AB59" s="103" t="inlineStr">
        <is>
          <t>台股</t>
        </is>
      </c>
    </row>
    <row r="60" hidden="1" outlineLevel="1">
      <c r="A60" s="275" t="n">
        <v>44158</v>
      </c>
      <c r="B60" s="11" t="inlineStr">
        <is>
          <t>普通買進</t>
        </is>
      </c>
      <c r="C60" s="11" t="n">
        <v>2884</v>
      </c>
      <c r="D60" s="11" t="inlineStr">
        <is>
          <t>玉山金</t>
        </is>
      </c>
      <c r="E60" s="11" t="n">
        <v>1000</v>
      </c>
      <c r="F60" s="11" t="n">
        <v>25.6</v>
      </c>
      <c r="G60" s="212">
        <f>E60*F60</f>
        <v/>
      </c>
      <c r="H60" s="11" t="n">
        <v>36</v>
      </c>
      <c r="I60" s="104" t="n">
        <v>44264</v>
      </c>
      <c r="J60" s="16" t="n">
        <v>25.4</v>
      </c>
      <c r="K60" s="11">
        <f>E60*J60</f>
        <v/>
      </c>
      <c r="L60" s="17" t="n">
        <v>36</v>
      </c>
      <c r="M60" s="11" t="n">
        <v>76</v>
      </c>
      <c r="N60" s="11" t="n">
        <v>0</v>
      </c>
      <c r="O60" s="434">
        <f>IF(I60="",E60*Y60,0)</f>
        <v/>
      </c>
      <c r="P60" s="435">
        <f>IF(I60="",R60-H60,(K60-H60-SUM(L60:N60)+R60-S60-T60)-G60)+(ROUND(R60*V60,0)-ROUND(R60*(1+V60),0)*W60)</f>
        <v/>
      </c>
      <c r="Q60" s="435">
        <f>IF(I60="",(O60-G60-(O60*0.1425%*0.65)-(O60*0.3%)-S60-T60),0)</f>
        <v/>
      </c>
      <c r="R60" s="435" t="n"/>
      <c r="S60" s="435" t="n">
        <v>10</v>
      </c>
      <c r="T60" s="435">
        <f>IF(ROUND(R60*(1+V60),0)&gt;20000,ROUND(ROUND(R60*(1+V60),0)*2%,0),0)</f>
        <v/>
      </c>
      <c r="U60" s="69">
        <f>(V60*50%)/(1+50%*V60)</f>
        <v/>
      </c>
      <c r="V60" s="69" t="n"/>
      <c r="W60" s="70" t="n">
        <v>0.06</v>
      </c>
      <c r="X60" s="436">
        <f>(P60+Q60)/G60</f>
        <v/>
      </c>
      <c r="Y60" s="16">
        <f>VLOOKUP(C60,台股行情!A:D,4,FALSE)</f>
        <v/>
      </c>
      <c r="Z60" s="437">
        <f>VLOOKUP(C60,台股行情!A:E,5,FALSE)</f>
        <v/>
      </c>
      <c r="AA60" s="438">
        <f>IF(I60="",((TODAY()-A60)*G60)/365.24,((I60-A60)*G60)/365.24)</f>
        <v/>
      </c>
      <c r="AB60" s="103" t="inlineStr">
        <is>
          <t>台股</t>
        </is>
      </c>
    </row>
    <row r="61" hidden="1" outlineLevel="1">
      <c r="A61" s="99" t="n">
        <v>44210</v>
      </c>
      <c r="B61" s="11" t="inlineStr">
        <is>
          <t>普通買進</t>
        </is>
      </c>
      <c r="C61" s="11" t="n">
        <v>5347</v>
      </c>
      <c r="D61" s="11" t="inlineStr">
        <is>
          <t>世界</t>
        </is>
      </c>
      <c r="E61" s="11" t="n">
        <v>1000</v>
      </c>
      <c r="F61" s="11" t="n">
        <v>121.5</v>
      </c>
      <c r="G61" s="11">
        <f>E61*F61</f>
        <v/>
      </c>
      <c r="H61" s="11" t="n">
        <v>173</v>
      </c>
      <c r="I61" s="104" t="n">
        <v>44214</v>
      </c>
      <c r="J61" s="16" t="n">
        <v>114.5</v>
      </c>
      <c r="K61" s="11">
        <f>E61*J61</f>
        <v/>
      </c>
      <c r="L61" s="17" t="n">
        <v>163</v>
      </c>
      <c r="M61" s="11" t="n">
        <v>343</v>
      </c>
      <c r="N61" s="11" t="n">
        <v>0</v>
      </c>
      <c r="O61" s="434">
        <f>IF(I61="",E61*Y61,0)</f>
        <v/>
      </c>
      <c r="P61" s="435">
        <f>IF(I61="",R61-H61,(K61-H61-SUM(L61:N61)+R61-S61-T61)-G61)+(ROUND(R61*V61,0)-ROUND(R61*(1+V61),0)*W61)</f>
        <v/>
      </c>
      <c r="Q61" s="435">
        <f>IF(I61="",(O61-G61-(O61*0.1425%*0.65)-(O61*0.3%)-S61-T61),0)</f>
        <v/>
      </c>
      <c r="R61" s="435" t="n"/>
      <c r="S61" s="435" t="n">
        <v>10</v>
      </c>
      <c r="T61" s="435">
        <f>IF(ROUND(R61*(1+V61),0)&gt;20000,ROUND(ROUND(R61*(1+V61),0)*2%,0),0)</f>
        <v/>
      </c>
      <c r="U61" s="69">
        <f>(V61*50%)/(1+50%*V61)</f>
        <v/>
      </c>
      <c r="V61" s="69" t="n"/>
      <c r="W61" s="70" t="n">
        <v>0.11</v>
      </c>
      <c r="X61" s="436">
        <f>(P61+Q61)/G61</f>
        <v/>
      </c>
      <c r="Y61" s="16">
        <f>VLOOKUP(C61,台股行情!A:D,4,FALSE)</f>
        <v/>
      </c>
      <c r="Z61" s="437">
        <f>VLOOKUP(C61,台股行情!A:E,5,FALSE)</f>
        <v/>
      </c>
      <c r="AA61" s="438">
        <f>IF(I61="",((TODAY()-A61)*G61)/365.24,((I61-A61)*G61)/365.24)</f>
        <v/>
      </c>
      <c r="AB61" s="103" t="inlineStr">
        <is>
          <t>台股</t>
        </is>
      </c>
    </row>
    <row r="62" hidden="1" outlineLevel="1">
      <c r="A62" s="99" t="n">
        <v>44207</v>
      </c>
      <c r="B62" s="11" t="inlineStr">
        <is>
          <t>普通買進</t>
        </is>
      </c>
      <c r="C62" s="11" t="n">
        <v>3543</v>
      </c>
      <c r="D62" s="11" t="inlineStr">
        <is>
          <t>州巧</t>
        </is>
      </c>
      <c r="E62" s="11" t="n">
        <v>1000</v>
      </c>
      <c r="F62" s="11" t="n">
        <v>34.4</v>
      </c>
      <c r="G62" s="11">
        <f>E62*F62</f>
        <v/>
      </c>
      <c r="H62" s="11" t="n">
        <v>43</v>
      </c>
      <c r="I62" s="104" t="n">
        <v>44216</v>
      </c>
      <c r="J62" s="16" t="n">
        <v>31.2</v>
      </c>
      <c r="K62" s="11">
        <f>E62*J62</f>
        <v/>
      </c>
      <c r="L62" s="17" t="n">
        <v>44</v>
      </c>
      <c r="M62" s="11" t="n">
        <v>93</v>
      </c>
      <c r="N62" s="11" t="n">
        <v>0</v>
      </c>
      <c r="O62" s="434">
        <f>IF(I62="",E62*Y62,0)</f>
        <v/>
      </c>
      <c r="P62" s="435">
        <f>IF(I62="",R62-H62,(K62-H62-SUM(L62:N62)+R62-S62-T62)-G62)+(ROUND(R62*V62,0)-ROUND(R62*(1+V62),0)*W62)</f>
        <v/>
      </c>
      <c r="Q62" s="435">
        <f>IF(I62="",(O62-G62-(O62*0.1425%*0.65)-(O62*0.3%)-S62-T62),0)</f>
        <v/>
      </c>
      <c r="R62" s="435" t="n"/>
      <c r="S62" s="435" t="n">
        <v>10</v>
      </c>
      <c r="T62" s="435">
        <f>IF(ROUND(R62*(1+V62),0)&gt;20000,ROUND(ROUND(R62*(1+V62),0)*2%,0),0)</f>
        <v/>
      </c>
      <c r="U62" s="69">
        <f>(V62*50%)/(1+50%*V62)</f>
        <v/>
      </c>
      <c r="V62" s="69" t="n"/>
      <c r="W62" s="70" t="n">
        <v>0.11</v>
      </c>
      <c r="X62" s="436">
        <f>(P62+Q62)/G62</f>
        <v/>
      </c>
      <c r="Y62" s="16">
        <f>VLOOKUP(C62,台股行情!A:D,4,FALSE)</f>
        <v/>
      </c>
      <c r="Z62" s="437">
        <f>VLOOKUP(C62,台股行情!A:E,5,FALSE)</f>
        <v/>
      </c>
      <c r="AA62" s="438">
        <f>IF(I62="",((TODAY()-A62)*G62)/365.24,((I62-A62)*G62)/365.24)</f>
        <v/>
      </c>
      <c r="AB62" s="103" t="inlineStr">
        <is>
          <t>台股</t>
        </is>
      </c>
    </row>
    <row r="63" hidden="1" outlineLevel="1">
      <c r="A63" s="99" t="n">
        <v>44210</v>
      </c>
      <c r="B63" s="11" t="inlineStr">
        <is>
          <t>普通買進</t>
        </is>
      </c>
      <c r="C63" s="11" t="n">
        <v>6233</v>
      </c>
      <c r="D63" s="11" t="inlineStr">
        <is>
          <t>旺玖</t>
        </is>
      </c>
      <c r="E63" s="11" t="n">
        <v>1000</v>
      </c>
      <c r="F63" s="11" t="n">
        <v>37</v>
      </c>
      <c r="G63" s="11">
        <f>E63*F63</f>
        <v/>
      </c>
      <c r="H63" s="11" t="n">
        <v>52</v>
      </c>
      <c r="I63" s="104" t="n">
        <v>44228</v>
      </c>
      <c r="J63" s="16" t="n">
        <v>35.75</v>
      </c>
      <c r="K63" s="11">
        <f>E63*J63</f>
        <v/>
      </c>
      <c r="L63" s="17" t="n">
        <v>50</v>
      </c>
      <c r="M63" s="11" t="n">
        <v>107</v>
      </c>
      <c r="N63" s="11" t="n">
        <v>0</v>
      </c>
      <c r="O63" s="434">
        <f>IF(I63="",E63*Y63,0)</f>
        <v/>
      </c>
      <c r="P63" s="435">
        <f>IF(I63="",R63-H63,(K63-H63-SUM(L63:N63)+R63-S63-T63)-G63)+(ROUND(R63*V63,0)-ROUND(R63*(1+V63),0)*W63)</f>
        <v/>
      </c>
      <c r="Q63" s="435">
        <f>IF(I63="",(O63-G63-(O63*0.1425%*0.65)-(O63*0.3%)-S63-T63),0)</f>
        <v/>
      </c>
      <c r="R63" s="435" t="n"/>
      <c r="S63" s="435" t="n">
        <v>10</v>
      </c>
      <c r="T63" s="435">
        <f>IF(ROUND(R63*(1+V63),0)&gt;20000,ROUND(ROUND(R63*(1+V63),0)*2%,0),0)</f>
        <v/>
      </c>
      <c r="U63" s="69">
        <f>(V63*50%)/(1+50%*V63)</f>
        <v/>
      </c>
      <c r="V63" s="69" t="n"/>
      <c r="W63" s="70" t="n">
        <v>0.11</v>
      </c>
      <c r="X63" s="436">
        <f>(P63+Q63)/G63</f>
        <v/>
      </c>
      <c r="Y63" s="16">
        <f>VLOOKUP(C63,台股行情!A:D,4,FALSE)</f>
        <v/>
      </c>
      <c r="Z63" s="437">
        <f>VLOOKUP(C63,台股行情!A:E,5,FALSE)</f>
        <v/>
      </c>
      <c r="AA63" s="438">
        <f>IF(I63="",((TODAY()-A63)*G63)/365.24,((I63-A63)*G63)/365.24)</f>
        <v/>
      </c>
      <c r="AB63" s="103" t="inlineStr">
        <is>
          <t>台股</t>
        </is>
      </c>
    </row>
    <row r="64" hidden="1" outlineLevel="1">
      <c r="A64" s="99" t="n">
        <v>44207</v>
      </c>
      <c r="B64" s="11" t="inlineStr">
        <is>
          <t>普通買進</t>
        </is>
      </c>
      <c r="C64" s="11" t="n">
        <v>2303</v>
      </c>
      <c r="D64" s="11" t="inlineStr">
        <is>
          <t>聯電</t>
        </is>
      </c>
      <c r="E64" s="11" t="n">
        <v>1000</v>
      </c>
      <c r="F64" s="11" t="n">
        <v>49.25</v>
      </c>
      <c r="G64" s="11">
        <f>E64*F64</f>
        <v/>
      </c>
      <c r="H64" s="11" t="n">
        <v>70</v>
      </c>
      <c r="I64" s="104" t="n">
        <v>44230</v>
      </c>
      <c r="J64" s="16" t="n">
        <v>52.2</v>
      </c>
      <c r="K64" s="11">
        <f>E64*J64</f>
        <v/>
      </c>
      <c r="L64" s="17" t="n">
        <v>74</v>
      </c>
      <c r="M64" s="11" t="n">
        <v>156</v>
      </c>
      <c r="N64" s="11" t="n">
        <v>0</v>
      </c>
      <c r="O64" s="434">
        <f>IF(I64="",E64*Y64,0)</f>
        <v/>
      </c>
      <c r="P64" s="435">
        <f>IF(I64="",R64-H64,(K64-H64-SUM(L64:N64)+R64-S64-T64)-G64)+(ROUND(R64*V64,0)-ROUND(R64*(1+V64),0)*W64)</f>
        <v/>
      </c>
      <c r="Q64" s="435">
        <f>IF(I64="",(O64-G64-(O64*0.1425%*0.65)-(O64*0.3%)-S64-T64),0)</f>
        <v/>
      </c>
      <c r="R64" s="435" t="n"/>
      <c r="S64" s="435" t="n">
        <v>10</v>
      </c>
      <c r="T64" s="435">
        <f>IF(ROUND(R64*(1+V64),0)&gt;20000,ROUND(ROUND(R64*(1+V64),0)*2%,0),0)</f>
        <v/>
      </c>
      <c r="U64" s="69">
        <f>(V64*50%)/(1+50%*V64)</f>
        <v/>
      </c>
      <c r="V64" s="69" t="n"/>
      <c r="W64" s="70" t="n">
        <v>0.11</v>
      </c>
      <c r="X64" s="436">
        <f>(P64+Q64)/G64</f>
        <v/>
      </c>
      <c r="Y64" s="16">
        <f>VLOOKUP(C64,台股行情!A:D,4,FALSE)</f>
        <v/>
      </c>
      <c r="Z64" s="437">
        <f>VLOOKUP(C64,台股行情!A:E,5,FALSE)</f>
        <v/>
      </c>
      <c r="AA64" s="438">
        <f>IF(I64="",((TODAY()-A64)*G64)/365.24,((I64-A64)*G64)/365.24)</f>
        <v/>
      </c>
      <c r="AB64" s="103" t="inlineStr">
        <is>
          <t>台股</t>
        </is>
      </c>
    </row>
    <row r="65" hidden="1" outlineLevel="1">
      <c r="A65" s="99" t="n">
        <v>44221</v>
      </c>
      <c r="B65" s="11" t="inlineStr">
        <is>
          <t>普通買進</t>
        </is>
      </c>
      <c r="C65" s="11" t="n">
        <v>2603</v>
      </c>
      <c r="D65" s="11" t="inlineStr">
        <is>
          <t>長榮</t>
        </is>
      </c>
      <c r="E65" s="11" t="n">
        <v>1000</v>
      </c>
      <c r="F65" s="11" t="n">
        <v>35.6</v>
      </c>
      <c r="G65" s="11">
        <f>E65*F65</f>
        <v/>
      </c>
      <c r="H65" s="11" t="n">
        <v>50</v>
      </c>
      <c r="I65" s="104" t="n">
        <v>44251</v>
      </c>
      <c r="J65" s="16" t="n">
        <v>37.8</v>
      </c>
      <c r="K65" s="11">
        <f>E65*J65</f>
        <v/>
      </c>
      <c r="L65" s="17" t="n">
        <v>53</v>
      </c>
      <c r="M65" s="11" t="n">
        <v>113</v>
      </c>
      <c r="N65" s="11" t="n">
        <v>0</v>
      </c>
      <c r="O65" s="434">
        <f>IF(I65="",E65*Y65,0)</f>
        <v/>
      </c>
      <c r="P65" s="435">
        <f>IF(I65="",R65-H65,(K65-H65-SUM(L65:N65)+R65-S65-T65)-G65)+(ROUND(R65*V65,0)-ROUND(R65*(1+V65),0)*W65)</f>
        <v/>
      </c>
      <c r="Q65" s="435">
        <f>IF(I65="",(O65-G65-(O65*0.1425%*0.65)-(O65*0.3%)-S65-T65),0)</f>
        <v/>
      </c>
      <c r="R65" s="435" t="n"/>
      <c r="S65" s="435" t="n">
        <v>10</v>
      </c>
      <c r="T65" s="435">
        <f>IF(ROUND(R65*(1+V65),0)&gt;20000,ROUND(ROUND(R65*(1+V65),0)*2%,0),0)</f>
        <v/>
      </c>
      <c r="U65" s="69">
        <f>(V65*50%)/(1+50%*V65)</f>
        <v/>
      </c>
      <c r="V65" s="69" t="n"/>
      <c r="W65" s="70" t="n">
        <v>0.11</v>
      </c>
      <c r="X65" s="436">
        <f>(P65+Q65)/G65</f>
        <v/>
      </c>
      <c r="Y65" s="16">
        <f>VLOOKUP(C65,台股行情!A:D,4,FALSE)</f>
        <v/>
      </c>
      <c r="Z65" s="437">
        <f>VLOOKUP(C65,台股行情!A:E,5,FALSE)</f>
        <v/>
      </c>
      <c r="AA65" s="438">
        <f>IF(I65="",((TODAY()-A65)*G65)/365.24,((I65-A65)*G65)/365.24)</f>
        <v/>
      </c>
      <c r="AB65" s="103" t="inlineStr">
        <is>
          <t>台股</t>
        </is>
      </c>
    </row>
    <row r="66" hidden="1" outlineLevel="1">
      <c r="A66" s="99" t="n">
        <v>44246</v>
      </c>
      <c r="B66" s="11" t="inlineStr">
        <is>
          <t>普通買進</t>
        </is>
      </c>
      <c r="C66" s="11" t="n">
        <v>1515</v>
      </c>
      <c r="D66" s="11" t="inlineStr">
        <is>
          <t>力山</t>
        </is>
      </c>
      <c r="E66" s="11" t="n">
        <v>1000</v>
      </c>
      <c r="F66" s="11" t="n">
        <v>87.90000000000001</v>
      </c>
      <c r="G66" s="11">
        <f>E66*F66</f>
        <v/>
      </c>
      <c r="H66" s="11" t="n">
        <v>125</v>
      </c>
      <c r="I66" s="104" t="n">
        <v>44258</v>
      </c>
      <c r="J66" s="16" t="n">
        <v>82.3</v>
      </c>
      <c r="K66" s="11">
        <f>E66*J66</f>
        <v/>
      </c>
      <c r="L66" s="17" t="n">
        <v>117</v>
      </c>
      <c r="M66" s="11" t="n">
        <v>246</v>
      </c>
      <c r="N66" s="11" t="n">
        <v>0</v>
      </c>
      <c r="O66" s="434">
        <f>IF(I66="",E66*Y66,0)</f>
        <v/>
      </c>
      <c r="P66" s="435">
        <f>IF(I66="",R66-H66,(K66-H66-SUM(L66:N66)+R66-S66-T66)-G66)+(ROUND(R66*V66,0)-ROUND(R66*(1+V66),0)*W66)</f>
        <v/>
      </c>
      <c r="Q66" s="435">
        <f>IF(I66="",(O66-G66-(O66*0.1425%*0.65)-(O66*0.3%)-S66-T66),0)</f>
        <v/>
      </c>
      <c r="R66" s="435" t="n"/>
      <c r="S66" s="435" t="n">
        <v>10</v>
      </c>
      <c r="T66" s="435">
        <f>IF(ROUND(R66*(1+V66),0)&gt;20000,ROUND(ROUND(R66*(1+V66),0)*2%,0),0)</f>
        <v/>
      </c>
      <c r="U66" s="69">
        <f>(V66*50%)/(1+50%*V66)</f>
        <v/>
      </c>
      <c r="V66" s="69" t="n"/>
      <c r="W66" s="70" t="n">
        <v>0.11</v>
      </c>
      <c r="X66" s="436">
        <f>(P66+Q66)/G66</f>
        <v/>
      </c>
      <c r="Y66" s="16">
        <f>VLOOKUP(C66,台股行情!A:D,4,FALSE)</f>
        <v/>
      </c>
      <c r="Z66" s="437">
        <f>VLOOKUP(C66,台股行情!A:E,5,FALSE)</f>
        <v/>
      </c>
      <c r="AA66" s="438">
        <f>IF(I66="",((TODAY()-A66)*G66)/365.24,((I66-A66)*G66)/365.24)</f>
        <v/>
      </c>
      <c r="AB66" s="103" t="inlineStr">
        <is>
          <t>台股</t>
        </is>
      </c>
    </row>
    <row r="67" hidden="1" outlineLevel="1">
      <c r="A67" s="99" t="n">
        <v>44251</v>
      </c>
      <c r="B67" s="11" t="inlineStr">
        <is>
          <t>普通買進</t>
        </is>
      </c>
      <c r="C67" s="11" t="n">
        <v>2009</v>
      </c>
      <c r="D67" s="11" t="inlineStr">
        <is>
          <t>第一銅</t>
        </is>
      </c>
      <c r="E67" s="11" t="n">
        <v>1000</v>
      </c>
      <c r="F67" s="11" t="n">
        <v>34.7</v>
      </c>
      <c r="G67" s="11">
        <f>E67*F67</f>
        <v/>
      </c>
      <c r="H67" s="11" t="n">
        <v>49</v>
      </c>
      <c r="I67" s="104" t="n">
        <v>44258</v>
      </c>
      <c r="J67" s="16" t="n">
        <v>29.8</v>
      </c>
      <c r="K67" s="11">
        <f>E67*J67</f>
        <v/>
      </c>
      <c r="L67" s="17" t="n">
        <v>42</v>
      </c>
      <c r="M67" s="11" t="n">
        <v>89</v>
      </c>
      <c r="N67" s="11" t="n">
        <v>0</v>
      </c>
      <c r="O67" s="434">
        <f>IF(I67="",E67*Y67,0)</f>
        <v/>
      </c>
      <c r="P67" s="435">
        <f>IF(I67="",R67-H67,(K67-H67-SUM(L67:N67)+R67-S67-T67)-G67)+(ROUND(R67*V67,0)-ROUND(R67*(1+V67),0)*W67)</f>
        <v/>
      </c>
      <c r="Q67" s="435">
        <f>IF(I67="",(O67-G67-(O67*0.1425%*0.65)-(O67*0.3%)-S67-T67),0)</f>
        <v/>
      </c>
      <c r="R67" s="435" t="n"/>
      <c r="S67" s="435" t="n">
        <v>10</v>
      </c>
      <c r="T67" s="435">
        <f>IF(ROUND(R67*(1+V67),0)&gt;20000,ROUND(ROUND(R67*(1+V67),0)*2%,0),0)</f>
        <v/>
      </c>
      <c r="U67" s="69">
        <f>(V67*50%)/(1+50%*V67)</f>
        <v/>
      </c>
      <c r="V67" s="69" t="n"/>
      <c r="W67" s="70" t="n">
        <v>0.11</v>
      </c>
      <c r="X67" s="436">
        <f>(P67+Q67)/G67</f>
        <v/>
      </c>
      <c r="Y67" s="16">
        <f>VLOOKUP(C67,台股行情!A:D,4,FALSE)</f>
        <v/>
      </c>
      <c r="Z67" s="437">
        <f>VLOOKUP(C67,台股行情!A:E,5,FALSE)</f>
        <v/>
      </c>
      <c r="AA67" s="438">
        <f>IF(I67="",((TODAY()-A67)*G67)/365.24,((I67-A67)*G67)/365.24)</f>
        <v/>
      </c>
      <c r="AB67" s="103" t="inlineStr">
        <is>
          <t>台股</t>
        </is>
      </c>
    </row>
    <row r="68" hidden="1" outlineLevel="1">
      <c r="A68" s="99" t="n">
        <v>44246</v>
      </c>
      <c r="B68" s="11" t="inlineStr">
        <is>
          <t>普通買進</t>
        </is>
      </c>
      <c r="C68" s="11" t="n">
        <v>3041</v>
      </c>
      <c r="D68" s="11" t="inlineStr">
        <is>
          <t>揚智</t>
        </is>
      </c>
      <c r="E68" s="11" t="n">
        <v>1000</v>
      </c>
      <c r="F68" s="11" t="n">
        <v>29.15</v>
      </c>
      <c r="G68" s="11">
        <f>E68*F68</f>
        <v/>
      </c>
      <c r="H68" s="11" t="n">
        <v>41</v>
      </c>
      <c r="I68" s="104" t="n">
        <v>44258</v>
      </c>
      <c r="J68" s="16" t="n">
        <v>27.8</v>
      </c>
      <c r="K68" s="11">
        <f>E68*J68</f>
        <v/>
      </c>
      <c r="L68" s="17" t="n">
        <v>39</v>
      </c>
      <c r="M68" s="11" t="n">
        <v>83</v>
      </c>
      <c r="N68" s="11" t="n">
        <v>0</v>
      </c>
      <c r="O68" s="434">
        <f>IF(I68="",E68*Y68,0)</f>
        <v/>
      </c>
      <c r="P68" s="435">
        <f>IF(I68="",R68-H68,(K68-H68-SUM(L68:N68)+R68-S68-T68)-G68)+(ROUND(R68*V68,0)-ROUND(R68*(1+V68),0)*W68)</f>
        <v/>
      </c>
      <c r="Q68" s="435">
        <f>IF(I68="",(O68-G68-(O68*0.1425%*0.65)-(O68*0.3%)-S68-T68),0)</f>
        <v/>
      </c>
      <c r="R68" s="435" t="n"/>
      <c r="S68" s="435" t="n">
        <v>10</v>
      </c>
      <c r="T68" s="435">
        <f>IF(ROUND(R68*(1+V68),0)&gt;20000,ROUND(ROUND(R68*(1+V68),0)*2%,0),0)</f>
        <v/>
      </c>
      <c r="U68" s="69">
        <f>(V68*50%)/(1+50%*V68)</f>
        <v/>
      </c>
      <c r="V68" s="69" t="n"/>
      <c r="W68" s="70" t="n">
        <v>0.11</v>
      </c>
      <c r="X68" s="436">
        <f>(P68+Q68)/G68</f>
        <v/>
      </c>
      <c r="Y68" s="16">
        <f>VLOOKUP(C68,台股行情!A:D,4,FALSE)</f>
        <v/>
      </c>
      <c r="Z68" s="437">
        <f>VLOOKUP(C68,台股行情!A:E,5,FALSE)</f>
        <v/>
      </c>
      <c r="AA68" s="438">
        <f>IF(I68="",((TODAY()-A68)*G68)/365.24,((I68-A68)*G68)/365.24)</f>
        <v/>
      </c>
      <c r="AB68" s="103" t="inlineStr">
        <is>
          <t>台股</t>
        </is>
      </c>
    </row>
    <row r="69" hidden="1" outlineLevel="1">
      <c r="A69" s="99" t="n">
        <v>44258</v>
      </c>
      <c r="B69" s="11" t="inlineStr">
        <is>
          <t>普通買進</t>
        </is>
      </c>
      <c r="C69" s="11" t="n">
        <v>6640</v>
      </c>
      <c r="D69" s="11" t="inlineStr">
        <is>
          <t>均華</t>
        </is>
      </c>
      <c r="E69" s="11" t="n">
        <v>1000</v>
      </c>
      <c r="F69" s="11" t="n">
        <v>79</v>
      </c>
      <c r="G69" s="11">
        <f>E69*F69</f>
        <v/>
      </c>
      <c r="H69" s="11" t="n">
        <v>112</v>
      </c>
      <c r="I69" s="104" t="n">
        <v>44259</v>
      </c>
      <c r="J69" s="16" t="n">
        <v>71.90000000000001</v>
      </c>
      <c r="K69" s="11">
        <f>E69*J69</f>
        <v/>
      </c>
      <c r="L69" s="17" t="n">
        <v>102</v>
      </c>
      <c r="M69" s="11" t="n">
        <v>215</v>
      </c>
      <c r="N69" s="11" t="n">
        <v>0</v>
      </c>
      <c r="O69" s="434">
        <f>IF(I69="",E69*Y69,0)</f>
        <v/>
      </c>
      <c r="P69" s="435">
        <f>IF(I69="",R69-H69,(K69-H69-SUM(L69:N69)+R69-S69-T69)-G69)+(ROUND(R69*V69,0)-ROUND(R69*(1+V69),0)*W69)</f>
        <v/>
      </c>
      <c r="Q69" s="435">
        <f>IF(I69="",(O69-G69-(O69*0.1425%*0.65)-(O69*0.3%)-S69-T69),0)</f>
        <v/>
      </c>
      <c r="R69" s="435" t="n"/>
      <c r="S69" s="435" t="n">
        <v>10</v>
      </c>
      <c r="T69" s="435">
        <f>IF(ROUND(R69*(1+V69),0)&gt;20000,ROUND(ROUND(R69*(1+V69),0)*2%,0),0)</f>
        <v/>
      </c>
      <c r="U69" s="69">
        <f>(V69*50%)/(1+50%*V69)</f>
        <v/>
      </c>
      <c r="V69" s="69" t="n"/>
      <c r="W69" s="70" t="n">
        <v>0.11</v>
      </c>
      <c r="X69" s="436">
        <f>(P69+Q69)/G69</f>
        <v/>
      </c>
      <c r="Y69" s="16">
        <f>VLOOKUP(C69,台股行情!A:D,4,FALSE)</f>
        <v/>
      </c>
      <c r="Z69" s="437">
        <f>VLOOKUP(C69,台股行情!A:E,5,FALSE)</f>
        <v/>
      </c>
      <c r="AA69" s="438">
        <f>IF(I69="",((TODAY()-A69)*G69)/365.24,((I69-A69)*G69)/365.24)</f>
        <v/>
      </c>
      <c r="AB69" s="103" t="inlineStr">
        <is>
          <t>台股</t>
        </is>
      </c>
    </row>
    <row r="70" hidden="1" outlineLevel="1">
      <c r="A70" s="99" t="n">
        <v>44203</v>
      </c>
      <c r="B70" s="11" t="inlineStr">
        <is>
          <t>普通買進</t>
        </is>
      </c>
      <c r="C70" s="11" t="n">
        <v>2455</v>
      </c>
      <c r="D70" s="11" t="inlineStr">
        <is>
          <t>全新</t>
        </is>
      </c>
      <c r="E70" s="11" t="n">
        <v>1000</v>
      </c>
      <c r="F70" s="11" t="n">
        <v>115</v>
      </c>
      <c r="G70" s="11">
        <f>E70*F70</f>
        <v/>
      </c>
      <c r="H70" s="11" t="n">
        <v>163</v>
      </c>
      <c r="I70" s="104" t="n">
        <v>44260</v>
      </c>
      <c r="J70" s="16" t="n">
        <v>105.5</v>
      </c>
      <c r="K70" s="11">
        <f>E70*J70</f>
        <v/>
      </c>
      <c r="L70" s="17" t="n">
        <v>150</v>
      </c>
      <c r="M70" s="11" t="n">
        <v>316</v>
      </c>
      <c r="N70" s="11" t="n">
        <v>0</v>
      </c>
      <c r="O70" s="434">
        <f>IF(I70="",E70*Y70,0)</f>
        <v/>
      </c>
      <c r="P70" s="435">
        <f>IF(I70="",R70-H70,(K70-H70-SUM(L70:N70)+R70-S70-T70)-G70)+(ROUND(R70*V70,0)-ROUND(R70*(1+V70),0)*W70)</f>
        <v/>
      </c>
      <c r="Q70" s="435">
        <f>IF(I70="",(O70-G70-(O70*0.1425%*0.65)-(O70*0.3%)-S70-T70),0)</f>
        <v/>
      </c>
      <c r="R70" s="435" t="n"/>
      <c r="S70" s="435" t="n">
        <v>10</v>
      </c>
      <c r="T70" s="435">
        <f>IF(ROUND(R70*(1+V70),0)&gt;20000,ROUND(ROUND(R70*(1+V70),0)*2%,0),0)</f>
        <v/>
      </c>
      <c r="U70" s="69">
        <f>(V70*50%)/(1+50%*V70)</f>
        <v/>
      </c>
      <c r="V70" s="69" t="n"/>
      <c r="W70" s="70" t="n">
        <v>0.11</v>
      </c>
      <c r="X70" s="436">
        <f>(P70+Q70)/G70</f>
        <v/>
      </c>
      <c r="Y70" s="16">
        <f>VLOOKUP(C70,台股行情!A:D,4,FALSE)</f>
        <v/>
      </c>
      <c r="Z70" s="437">
        <f>VLOOKUP(C70,台股行情!A:E,5,FALSE)</f>
        <v/>
      </c>
      <c r="AA70" s="438">
        <f>IF(I70="",((TODAY()-A70)*G70)/365.24,((I70-A70)*G70)/365.24)</f>
        <v/>
      </c>
      <c r="AB70" s="103" t="inlineStr">
        <is>
          <t>台股</t>
        </is>
      </c>
    </row>
    <row r="71" hidden="1" outlineLevel="1">
      <c r="A71" s="99" t="n">
        <v>44210</v>
      </c>
      <c r="B71" s="11" t="inlineStr">
        <is>
          <t>普通買進</t>
        </is>
      </c>
      <c r="C71" s="11" t="n">
        <v>2409</v>
      </c>
      <c r="D71" s="11" t="inlineStr">
        <is>
          <t>友達</t>
        </is>
      </c>
      <c r="E71" s="11" t="n">
        <v>2000</v>
      </c>
      <c r="F71" s="11" t="n">
        <v>15.25</v>
      </c>
      <c r="G71" s="11">
        <f>E71*F71</f>
        <v/>
      </c>
      <c r="H71" s="11" t="n">
        <v>163</v>
      </c>
      <c r="I71" s="104" t="n">
        <v>44260</v>
      </c>
      <c r="J71" s="16" t="n">
        <v>18.4</v>
      </c>
      <c r="K71" s="11">
        <f>E71*J71</f>
        <v/>
      </c>
      <c r="L71" s="17" t="n">
        <v>52</v>
      </c>
      <c r="M71" s="11" t="n">
        <v>110</v>
      </c>
      <c r="N71" s="11" t="n">
        <v>0</v>
      </c>
      <c r="O71" s="434">
        <f>IF(I71="",E71*Y71,0)</f>
        <v/>
      </c>
      <c r="P71" s="435">
        <f>IF(I71="",R71-H71,(K71-H71-SUM(L71:N71)+R71-S71-T71)-G71)+(ROUND(R71*V71,0)-ROUND(R71*(1+V71),0)*W71)</f>
        <v/>
      </c>
      <c r="Q71" s="435">
        <f>IF(I71="",(O71-G71-(O71*0.1425%*0.65)-(O71*0.3%)-S71-T71),0)</f>
        <v/>
      </c>
      <c r="R71" s="435" t="n"/>
      <c r="S71" s="435" t="n">
        <v>10</v>
      </c>
      <c r="T71" s="435">
        <f>IF(ROUND(R71*(1+V71),0)&gt;20000,ROUND(ROUND(R71*(1+V71),0)*2%,0),0)</f>
        <v/>
      </c>
      <c r="U71" s="69">
        <f>(V71*50%)/(1+50%*V71)</f>
        <v/>
      </c>
      <c r="V71" s="69" t="n"/>
      <c r="W71" s="70" t="n">
        <v>0.11</v>
      </c>
      <c r="X71" s="436">
        <f>(P71+Q71)/G71</f>
        <v/>
      </c>
      <c r="Y71" s="16">
        <f>VLOOKUP(C71,台股行情!A:D,4,FALSE)</f>
        <v/>
      </c>
      <c r="Z71" s="437">
        <f>VLOOKUP(C71,台股行情!A:E,5,FALSE)</f>
        <v/>
      </c>
      <c r="AA71" s="438">
        <f>IF(I71="",((TODAY()-A71)*G71)/365.24,((I71-A71)*G71)/365.24)</f>
        <v/>
      </c>
      <c r="AB71" s="103" t="inlineStr">
        <is>
          <t>台股</t>
        </is>
      </c>
    </row>
    <row r="72" hidden="1" outlineLevel="1">
      <c r="A72" s="99" t="n">
        <v>44221</v>
      </c>
      <c r="B72" s="11" t="inlineStr">
        <is>
          <t>普通買進</t>
        </is>
      </c>
      <c r="C72" s="11" t="n">
        <v>2603</v>
      </c>
      <c r="D72" s="11" t="inlineStr">
        <is>
          <t>長榮</t>
        </is>
      </c>
      <c r="E72" s="11" t="n">
        <v>1000</v>
      </c>
      <c r="F72" s="11" t="n">
        <v>35.9</v>
      </c>
      <c r="G72" s="11">
        <f>E72*F72</f>
        <v/>
      </c>
      <c r="H72" s="11" t="n">
        <v>51</v>
      </c>
      <c r="I72" s="104" t="n">
        <v>44260</v>
      </c>
      <c r="J72" s="16" t="n">
        <v>37.3</v>
      </c>
      <c r="K72" s="11">
        <f>E72*J72</f>
        <v/>
      </c>
      <c r="L72" s="17" t="n">
        <v>53</v>
      </c>
      <c r="M72" s="11" t="n">
        <v>111</v>
      </c>
      <c r="N72" s="11" t="n">
        <v>0</v>
      </c>
      <c r="O72" s="434">
        <f>IF(I72="",E72*Y72,0)</f>
        <v/>
      </c>
      <c r="P72" s="435">
        <f>IF(I72="",R72-H72,(K72-H72-SUM(L72:N72)+R72-S72-T72)-G72)+(ROUND(R72*V72,0)-ROUND(R72*(1+V72),0)*W72)</f>
        <v/>
      </c>
      <c r="Q72" s="435">
        <f>IF(I72="",(O72-G72-(O72*0.1425%*0.65)-(O72*0.3%)-S72-T72),0)</f>
        <v/>
      </c>
      <c r="R72" s="435" t="n"/>
      <c r="S72" s="435" t="n">
        <v>10</v>
      </c>
      <c r="T72" s="435">
        <f>IF(ROUND(R72*(1+V72),0)&gt;20000,ROUND(ROUND(R72*(1+V72),0)*2%,0),0)</f>
        <v/>
      </c>
      <c r="U72" s="69">
        <f>(V72*50%)/(1+50%*V72)</f>
        <v/>
      </c>
      <c r="V72" s="69" t="n"/>
      <c r="W72" s="70" t="n">
        <v>0.11</v>
      </c>
      <c r="X72" s="436">
        <f>(P72+Q72)/G72</f>
        <v/>
      </c>
      <c r="Y72" s="16">
        <f>VLOOKUP(C72,台股行情!A:D,4,FALSE)</f>
        <v/>
      </c>
      <c r="Z72" s="437">
        <f>VLOOKUP(C72,台股行情!A:E,5,FALSE)</f>
        <v/>
      </c>
      <c r="AA72" s="438">
        <f>IF(I72="",((TODAY()-A72)*G72)/365.24,((I72-A72)*G72)/365.24)</f>
        <v/>
      </c>
      <c r="AB72" s="103" t="inlineStr">
        <is>
          <t>台股</t>
        </is>
      </c>
    </row>
    <row r="73" hidden="1" outlineLevel="1">
      <c r="A73" s="99" t="n">
        <v>44232</v>
      </c>
      <c r="B73" s="11" t="inlineStr">
        <is>
          <t>普通買進</t>
        </is>
      </c>
      <c r="C73" s="11" t="n">
        <v>2357</v>
      </c>
      <c r="D73" s="11" t="inlineStr">
        <is>
          <t>華碩</t>
        </is>
      </c>
      <c r="E73" s="11" t="n">
        <v>1000</v>
      </c>
      <c r="F73" s="11" t="n">
        <v>287</v>
      </c>
      <c r="G73" s="11">
        <f>E73*F73</f>
        <v/>
      </c>
      <c r="H73" s="11" t="n">
        <v>408</v>
      </c>
      <c r="I73" s="104" t="n">
        <v>44260</v>
      </c>
      <c r="J73" s="16" t="n">
        <v>311</v>
      </c>
      <c r="K73" s="11">
        <f>E73*J73</f>
        <v/>
      </c>
      <c r="L73" s="17" t="n">
        <v>443</v>
      </c>
      <c r="M73" s="11" t="n">
        <v>933</v>
      </c>
      <c r="N73" s="11" t="n">
        <v>0</v>
      </c>
      <c r="O73" s="434">
        <f>IF(I73="",E73*Y73,0)</f>
        <v/>
      </c>
      <c r="P73" s="435">
        <f>IF(I73="",R73-H73,(K73-H73-SUM(L73:N73)+R73-S73-T73)-G73)+(ROUND(R73*V73,0)-ROUND(R73*(1+V73),0)*W73)</f>
        <v/>
      </c>
      <c r="Q73" s="435">
        <f>IF(I73="",(O73-G73-(O73*0.1425%*0.65)-(O73*0.3%)-S73-T73),0)</f>
        <v/>
      </c>
      <c r="R73" s="435" t="n"/>
      <c r="S73" s="435" t="n">
        <v>10</v>
      </c>
      <c r="T73" s="435">
        <f>IF(ROUND(R73*(1+V73),0)&gt;20000,ROUND(ROUND(R73*(1+V73),0)*2%,0),0)</f>
        <v/>
      </c>
      <c r="U73" s="69">
        <f>(V73*50%)/(1+50%*V73)</f>
        <v/>
      </c>
      <c r="V73" s="69" t="n"/>
      <c r="W73" s="70" t="n">
        <v>0.11</v>
      </c>
      <c r="X73" s="436">
        <f>(P73+Q73)/G73</f>
        <v/>
      </c>
      <c r="Y73" s="16">
        <f>VLOOKUP(C73,台股行情!A:D,4,FALSE)</f>
        <v/>
      </c>
      <c r="Z73" s="437">
        <f>VLOOKUP(C73,台股行情!A:E,5,FALSE)</f>
        <v/>
      </c>
      <c r="AA73" s="438">
        <f>IF(I73="",((TODAY()-A73)*G73)/365.24,((I73-A73)*G73)/365.24)</f>
        <v/>
      </c>
      <c r="AB73" s="103" t="inlineStr">
        <is>
          <t>台股</t>
        </is>
      </c>
    </row>
    <row r="74" hidden="1" outlineLevel="1">
      <c r="A74" s="99" t="n">
        <v>44249</v>
      </c>
      <c r="B74" s="11" t="inlineStr">
        <is>
          <t>普通買進</t>
        </is>
      </c>
      <c r="C74" s="11" t="n">
        <v>1513</v>
      </c>
      <c r="D74" s="11" t="inlineStr">
        <is>
          <t>中興電</t>
        </is>
      </c>
      <c r="E74" s="11" t="n">
        <v>1000</v>
      </c>
      <c r="F74" s="11" t="n">
        <v>51.5</v>
      </c>
      <c r="G74" s="11">
        <f>E74*F74</f>
        <v/>
      </c>
      <c r="H74" s="11" t="n">
        <v>73</v>
      </c>
      <c r="I74" s="104" t="n">
        <v>44260</v>
      </c>
      <c r="J74" s="16" t="n">
        <v>51.1</v>
      </c>
      <c r="K74" s="11">
        <f>E74*J74</f>
        <v/>
      </c>
      <c r="L74" s="17" t="n">
        <v>72</v>
      </c>
      <c r="M74" s="11" t="n">
        <v>153</v>
      </c>
      <c r="N74" s="11" t="n">
        <v>0</v>
      </c>
      <c r="O74" s="434">
        <f>IF(I74="",E74*Y74,0)</f>
        <v/>
      </c>
      <c r="P74" s="435">
        <f>IF(I74="",R74-H74,(K74-H74-SUM(L74:N74)+R74-S74-T74)-G74)+(ROUND(R74*V74,0)-ROUND(R74*(1+V74),0)*W74)</f>
        <v/>
      </c>
      <c r="Q74" s="435">
        <f>IF(I74="",(O74-G74-(O74*0.1425%*0.65)-(O74*0.3%)-S74-T74),0)</f>
        <v/>
      </c>
      <c r="R74" s="435" t="n"/>
      <c r="S74" s="435" t="n">
        <v>10</v>
      </c>
      <c r="T74" s="435">
        <f>IF(ROUND(R74*(1+V74),0)&gt;20000,ROUND(ROUND(R74*(1+V74),0)*2%,0),0)</f>
        <v/>
      </c>
      <c r="U74" s="69">
        <f>(V74*50%)/(1+50%*V74)</f>
        <v/>
      </c>
      <c r="V74" s="69" t="n"/>
      <c r="W74" s="70" t="n">
        <v>0.11</v>
      </c>
      <c r="X74" s="436">
        <f>(P74+Q74)/G74</f>
        <v/>
      </c>
      <c r="Y74" s="16">
        <f>VLOOKUP(C74,台股行情!A:D,4,FALSE)</f>
        <v/>
      </c>
      <c r="Z74" s="437">
        <f>VLOOKUP(C74,台股行情!A:E,5,FALSE)</f>
        <v/>
      </c>
      <c r="AA74" s="438">
        <f>IF(I74="",((TODAY()-A74)*G74)/365.24,((I74-A74)*G74)/365.24)</f>
        <v/>
      </c>
      <c r="AB74" s="103" t="inlineStr">
        <is>
          <t>台股</t>
        </is>
      </c>
    </row>
    <row r="75" hidden="1" outlineLevel="1">
      <c r="A75" s="99" t="n">
        <v>44249</v>
      </c>
      <c r="B75" s="11" t="inlineStr">
        <is>
          <t>普通買進</t>
        </is>
      </c>
      <c r="C75" s="11" t="n">
        <v>2393</v>
      </c>
      <c r="D75" s="11" t="inlineStr">
        <is>
          <t>億光</t>
        </is>
      </c>
      <c r="E75" s="11" t="n">
        <v>1000</v>
      </c>
      <c r="F75" s="11" t="n">
        <v>47.75</v>
      </c>
      <c r="G75" s="11">
        <f>E75*F75</f>
        <v/>
      </c>
      <c r="H75" s="11" t="n">
        <v>65</v>
      </c>
      <c r="I75" s="104" t="n">
        <v>44260</v>
      </c>
      <c r="J75" s="16" t="n">
        <v>44.1</v>
      </c>
      <c r="K75" s="11">
        <f>E75*J75</f>
        <v/>
      </c>
      <c r="L75" s="17" t="n">
        <v>62</v>
      </c>
      <c r="M75" s="11" t="n">
        <v>132</v>
      </c>
      <c r="N75" s="11" t="n">
        <v>0</v>
      </c>
      <c r="O75" s="434">
        <f>IF(I75="",E75*Y75,0)</f>
        <v/>
      </c>
      <c r="P75" s="435">
        <f>IF(I75="",R75-H75,(K75-H75-SUM(L75:N75)+R75-S75-T75)-G75)+(ROUND(R75*V75,0)-ROUND(R75*(1+V75),0)*W75)</f>
        <v/>
      </c>
      <c r="Q75" s="435">
        <f>IF(I75="",(O75-G75-(O75*0.1425%*0.65)-(O75*0.3%)-S75-T75),0)</f>
        <v/>
      </c>
      <c r="R75" s="435" t="n"/>
      <c r="S75" s="435" t="n">
        <v>10</v>
      </c>
      <c r="T75" s="435">
        <f>IF(ROUND(R75*(1+V75),0)&gt;20000,ROUND(ROUND(R75*(1+V75),0)*2%,0),0)</f>
        <v/>
      </c>
      <c r="U75" s="69">
        <f>(V75*50%)/(1+50%*V75)</f>
        <v/>
      </c>
      <c r="V75" s="69" t="n"/>
      <c r="W75" s="70" t="n">
        <v>0.11</v>
      </c>
      <c r="X75" s="436">
        <f>(P75+Q75)/G75</f>
        <v/>
      </c>
      <c r="Y75" s="16">
        <f>VLOOKUP(C75,台股行情!A:D,4,FALSE)</f>
        <v/>
      </c>
      <c r="Z75" s="437">
        <f>VLOOKUP(C75,台股行情!A:E,5,FALSE)</f>
        <v/>
      </c>
      <c r="AA75" s="438">
        <f>IF(I75="",((TODAY()-A75)*G75)/365.24,((I75-A75)*G75)/365.24)</f>
        <v/>
      </c>
      <c r="AB75" s="103" t="inlineStr">
        <is>
          <t>台股</t>
        </is>
      </c>
    </row>
    <row r="76" hidden="1" outlineLevel="1">
      <c r="A76" s="99" t="n">
        <v>44249</v>
      </c>
      <c r="B76" s="11" t="inlineStr">
        <is>
          <t>普通買進</t>
        </is>
      </c>
      <c r="C76" s="11" t="n">
        <v>2456</v>
      </c>
      <c r="D76" s="208" t="inlineStr">
        <is>
          <t>奇力新</t>
        </is>
      </c>
      <c r="E76" s="11" t="n">
        <v>1000</v>
      </c>
      <c r="F76" s="11" t="n">
        <v>107</v>
      </c>
      <c r="G76" s="11">
        <f>E76*F76</f>
        <v/>
      </c>
      <c r="H76" s="11" t="n">
        <v>152</v>
      </c>
      <c r="I76" s="104" t="n">
        <v>44260</v>
      </c>
      <c r="J76" s="16" t="n">
        <v>109</v>
      </c>
      <c r="K76" s="11">
        <f>E76*J76</f>
        <v/>
      </c>
      <c r="L76" s="17" t="n">
        <v>155</v>
      </c>
      <c r="M76" s="11" t="n">
        <v>327</v>
      </c>
      <c r="N76" s="11" t="n">
        <v>0</v>
      </c>
      <c r="O76" s="434">
        <f>IF(I76="",E76*Y76,0)</f>
        <v/>
      </c>
      <c r="P76" s="435">
        <f>IF(I76="",R76-H76,(K76-H76-SUM(L76:N76)+R76-S76-T76)-G76)+(ROUND(R76*V76,0)-ROUND(R76*(1+V76),0)*W76)</f>
        <v/>
      </c>
      <c r="Q76" s="435">
        <f>IF(I76="",(O76-G76-(O76*0.1425%*0.65)-(O76*0.3%)-S76-T76),0)</f>
        <v/>
      </c>
      <c r="R76" s="435" t="n"/>
      <c r="S76" s="435" t="n">
        <v>10</v>
      </c>
      <c r="T76" s="435">
        <f>IF(ROUND(R76*(1+V76),0)&gt;20000,ROUND(ROUND(R76*(1+V76),0)*2%,0),0)</f>
        <v/>
      </c>
      <c r="U76" s="69">
        <f>(V76*50%)/(1+50%*V76)</f>
        <v/>
      </c>
      <c r="V76" s="69" t="n"/>
      <c r="W76" s="70" t="n">
        <v>0.11</v>
      </c>
      <c r="X76" s="436">
        <f>(P76+Q76)/G76</f>
        <v/>
      </c>
      <c r="Y76" s="16">
        <f>VLOOKUP(C76,台股行情!A:D,4,FALSE)</f>
        <v/>
      </c>
      <c r="Z76" s="437">
        <f>VLOOKUP(C76,台股行情!A:E,5,FALSE)</f>
        <v/>
      </c>
      <c r="AA76" s="438">
        <f>IF(I76="",((TODAY()-A76)*G76)/365.24,((I76-A76)*G76)/365.24)</f>
        <v/>
      </c>
      <c r="AB76" s="103" t="inlineStr">
        <is>
          <t>台股</t>
        </is>
      </c>
    </row>
    <row r="77" hidden="1" outlineLevel="1">
      <c r="A77" s="99" t="n">
        <v>44250</v>
      </c>
      <c r="B77" s="11" t="inlineStr">
        <is>
          <t>普通買進</t>
        </is>
      </c>
      <c r="C77" s="11" t="n">
        <v>2344</v>
      </c>
      <c r="D77" s="11" t="inlineStr">
        <is>
          <t>華邦電</t>
        </is>
      </c>
      <c r="E77" s="11" t="n">
        <v>1000</v>
      </c>
      <c r="F77" s="11" t="n">
        <v>30.55</v>
      </c>
      <c r="G77" s="11">
        <f>E77*F77</f>
        <v/>
      </c>
      <c r="H77" s="11" t="n">
        <v>43</v>
      </c>
      <c r="I77" s="104" t="n">
        <v>44260</v>
      </c>
      <c r="J77" s="16" t="n">
        <v>27.75</v>
      </c>
      <c r="K77" s="11">
        <f>E77*J77</f>
        <v/>
      </c>
      <c r="L77" s="17" t="n">
        <v>39</v>
      </c>
      <c r="M77" s="11" t="n">
        <v>83</v>
      </c>
      <c r="N77" s="11" t="n">
        <v>0</v>
      </c>
      <c r="O77" s="434">
        <f>IF(I77="",E77*Y77,0)</f>
        <v/>
      </c>
      <c r="P77" s="435">
        <f>IF(I77="",R77-H77,(K77-H77-SUM(L77:N77)+R77-S77-T77)-G77)+(ROUND(R77*V77,0)-ROUND(R77*(1+V77),0)*W77)</f>
        <v/>
      </c>
      <c r="Q77" s="435">
        <f>IF(I77="",(O77-G77-(O77*0.1425%*0.65)-(O77*0.3%)-S77-T77),0)</f>
        <v/>
      </c>
      <c r="R77" s="435" t="n"/>
      <c r="S77" s="435" t="n">
        <v>10</v>
      </c>
      <c r="T77" s="435">
        <f>IF(ROUND(R77*(1+V77),0)&gt;20000,ROUND(ROUND(R77*(1+V77),0)*2%,0),0)</f>
        <v/>
      </c>
      <c r="U77" s="69">
        <f>(V77*50%)/(1+50%*V77)</f>
        <v/>
      </c>
      <c r="V77" s="69" t="n"/>
      <c r="W77" s="70" t="n">
        <v>0.11</v>
      </c>
      <c r="X77" s="436">
        <f>(P77+Q77)/G77</f>
        <v/>
      </c>
      <c r="Y77" s="16">
        <f>VLOOKUP(C77,台股行情!A:D,4,FALSE)</f>
        <v/>
      </c>
      <c r="Z77" s="437">
        <f>VLOOKUP(C77,台股行情!A:E,5,FALSE)</f>
        <v/>
      </c>
      <c r="AA77" s="438">
        <f>IF(I77="",((TODAY()-A77)*G77)/365.24,((I77-A77)*G77)/365.24)</f>
        <v/>
      </c>
      <c r="AB77" s="103" t="inlineStr">
        <is>
          <t>台股</t>
        </is>
      </c>
    </row>
    <row r="78" hidden="1" outlineLevel="1">
      <c r="A78" s="99" t="n">
        <v>44251</v>
      </c>
      <c r="B78" s="11" t="inlineStr">
        <is>
          <t>普通買進</t>
        </is>
      </c>
      <c r="C78" s="11" t="n">
        <v>2890</v>
      </c>
      <c r="D78" s="11" t="inlineStr">
        <is>
          <t>永豐金</t>
        </is>
      </c>
      <c r="E78" s="11" t="n">
        <v>1000</v>
      </c>
      <c r="F78" s="11" t="n">
        <v>11.8</v>
      </c>
      <c r="G78" s="11">
        <f>E78*F78</f>
        <v/>
      </c>
      <c r="H78" s="11" t="n">
        <v>20</v>
      </c>
      <c r="I78" s="104" t="n">
        <v>44260</v>
      </c>
      <c r="J78" s="16" t="n">
        <v>11.65</v>
      </c>
      <c r="K78" s="11">
        <f>E78*J78</f>
        <v/>
      </c>
      <c r="L78" s="17" t="n">
        <v>20</v>
      </c>
      <c r="M78" s="11" t="n">
        <v>34</v>
      </c>
      <c r="N78" s="11" t="n">
        <v>0</v>
      </c>
      <c r="O78" s="434">
        <f>IF(I78="",E78*Y78,0)</f>
        <v/>
      </c>
      <c r="P78" s="435">
        <f>IF(I78="",R78-H78,(K78-H78-SUM(L78:N78)+R78-S78-T78)-G78)+(ROUND(R78*V78,0)-ROUND(R78*(1+V78),0)*W78)</f>
        <v/>
      </c>
      <c r="Q78" s="435">
        <f>IF(I78="",(O78-G78-(O78*0.1425%*0.65)-(O78*0.3%)-S78-T78),0)</f>
        <v/>
      </c>
      <c r="R78" s="435" t="n"/>
      <c r="S78" s="435" t="n">
        <v>10</v>
      </c>
      <c r="T78" s="435">
        <f>IF(ROUND(R78*(1+V78),0)&gt;20000,ROUND(ROUND(R78*(1+V78),0)*2%,0),0)</f>
        <v/>
      </c>
      <c r="U78" s="69">
        <f>(V78*50%)/(1+50%*V78)</f>
        <v/>
      </c>
      <c r="V78" s="69" t="n"/>
      <c r="W78" s="70" t="n">
        <v>0.11</v>
      </c>
      <c r="X78" s="436">
        <f>(P78+Q78)/G78</f>
        <v/>
      </c>
      <c r="Y78" s="16">
        <f>VLOOKUP(C78,台股行情!A:D,4,FALSE)</f>
        <v/>
      </c>
      <c r="Z78" s="437">
        <f>VLOOKUP(C78,台股行情!A:E,5,FALSE)</f>
        <v/>
      </c>
      <c r="AA78" s="438">
        <f>IF(I78="",((TODAY()-A78)*G78)/365.24,((I78-A78)*G78)/365.24)</f>
        <v/>
      </c>
      <c r="AB78" s="103" t="inlineStr">
        <is>
          <t>台股</t>
        </is>
      </c>
    </row>
    <row r="79" hidden="1" outlineLevel="1">
      <c r="A79" s="99" t="n">
        <v>44251</v>
      </c>
      <c r="B79" s="11" t="inlineStr">
        <is>
          <t>普通買進</t>
        </is>
      </c>
      <c r="C79" s="11" t="n">
        <v>2891</v>
      </c>
      <c r="D79" s="11" t="inlineStr">
        <is>
          <t>中信金</t>
        </is>
      </c>
      <c r="E79" s="11" t="n">
        <v>1000</v>
      </c>
      <c r="F79" s="11" t="n">
        <v>20.8</v>
      </c>
      <c r="G79" s="11">
        <f>E79*F79</f>
        <v/>
      </c>
      <c r="H79" s="11" t="n">
        <v>29</v>
      </c>
      <c r="I79" s="104" t="n">
        <v>44260</v>
      </c>
      <c r="J79" s="16" t="n">
        <v>20.15</v>
      </c>
      <c r="K79" s="11">
        <f>E79*J79</f>
        <v/>
      </c>
      <c r="L79" s="17" t="n">
        <v>28</v>
      </c>
      <c r="M79" s="11" t="n">
        <v>60</v>
      </c>
      <c r="N79" s="11" t="n">
        <v>0</v>
      </c>
      <c r="O79" s="434">
        <f>IF(I79="",E79*Y79,0)</f>
        <v/>
      </c>
      <c r="P79" s="435">
        <f>IF(I79="",R79-H79,(K79-H79-SUM(L79:N79)+R79-S79-T79)-G79)+(ROUND(R79*V79,0)-ROUND(R79*(1+V79),0)*W79)</f>
        <v/>
      </c>
      <c r="Q79" s="435">
        <f>IF(I79="",(O79-G79-(O79*0.1425%*0.65)-(O79*0.3%)-S79-T79),0)</f>
        <v/>
      </c>
      <c r="R79" s="435" t="n"/>
      <c r="S79" s="435" t="n">
        <v>10</v>
      </c>
      <c r="T79" s="435">
        <f>IF(ROUND(R79*(1+V79),0)&gt;20000,ROUND(ROUND(R79*(1+V79),0)*2%,0),0)</f>
        <v/>
      </c>
      <c r="U79" s="69">
        <f>(V79*50%)/(1+50%*V79)</f>
        <v/>
      </c>
      <c r="V79" s="69" t="n"/>
      <c r="W79" s="70" t="n">
        <v>0.11</v>
      </c>
      <c r="X79" s="436">
        <f>(P79+Q79)/G79</f>
        <v/>
      </c>
      <c r="Y79" s="16">
        <f>VLOOKUP(C79,台股行情!A:D,4,FALSE)</f>
        <v/>
      </c>
      <c r="Z79" s="437">
        <f>VLOOKUP(C79,台股行情!A:E,5,FALSE)</f>
        <v/>
      </c>
      <c r="AA79" s="438">
        <f>IF(I79="",((TODAY()-A79)*G79)/365.24,((I79-A79)*G79)/365.24)</f>
        <v/>
      </c>
      <c r="AB79" s="103" t="inlineStr">
        <is>
          <t>台股</t>
        </is>
      </c>
    </row>
    <row r="80" hidden="1" outlineLevel="1">
      <c r="A80" s="99" t="n">
        <v>44251</v>
      </c>
      <c r="B80" s="11" t="inlineStr">
        <is>
          <t>普通買進</t>
        </is>
      </c>
      <c r="C80" s="11" t="n">
        <v>1301</v>
      </c>
      <c r="D80" s="11" t="inlineStr">
        <is>
          <t>台塑</t>
        </is>
      </c>
      <c r="E80" s="11" t="n">
        <v>1000</v>
      </c>
      <c r="F80" s="11" t="n">
        <v>100</v>
      </c>
      <c r="G80" s="11">
        <f>E80*F80</f>
        <v/>
      </c>
      <c r="H80" s="11" t="n">
        <v>142</v>
      </c>
      <c r="I80" s="104" t="n">
        <v>44267</v>
      </c>
      <c r="J80" s="16" t="n">
        <v>104.5</v>
      </c>
      <c r="K80" s="11">
        <f>E80*J80</f>
        <v/>
      </c>
      <c r="L80" s="17" t="n">
        <v>148</v>
      </c>
      <c r="M80" s="11" t="n">
        <v>313</v>
      </c>
      <c r="N80" s="11" t="n">
        <v>0</v>
      </c>
      <c r="O80" s="434">
        <f>IF(I80="",E80*Y80,0)</f>
        <v/>
      </c>
      <c r="P80" s="435">
        <f>IF(I80="",R80-H80,(K80-H80-SUM(L80:N80)+R80-S80-T80)-G80)+(ROUND(R80*V80,0)-ROUND(R80*(1+V80),0)*W80)</f>
        <v/>
      </c>
      <c r="Q80" s="435">
        <f>IF(I80="",(O80-G80-(O80*0.1425%*0.65)-(O80*0.3%)-S80-T80),0)</f>
        <v/>
      </c>
      <c r="R80" s="435" t="n"/>
      <c r="S80" s="435" t="n">
        <v>10</v>
      </c>
      <c r="T80" s="435">
        <f>IF(ROUND(R80*(1+V80),0)&gt;20000,ROUND(ROUND(R80*(1+V80),0)*2%,0),0)</f>
        <v/>
      </c>
      <c r="U80" s="69">
        <f>(V80*50%)/(1+50%*V80)</f>
        <v/>
      </c>
      <c r="V80" s="69" t="n"/>
      <c r="W80" s="70" t="n">
        <v>0.11</v>
      </c>
      <c r="X80" s="436">
        <f>(P80+Q80)/G80</f>
        <v/>
      </c>
      <c r="Y80" s="16">
        <f>VLOOKUP(C80,台股行情!A:D,4,FALSE)</f>
        <v/>
      </c>
      <c r="Z80" s="437">
        <f>VLOOKUP(C80,台股行情!A:E,5,FALSE)</f>
        <v/>
      </c>
      <c r="AA80" s="438">
        <f>IF(I80="",((TODAY()-A80)*G80)/365.24,((I80-A80)*G80)/365.24)</f>
        <v/>
      </c>
      <c r="AB80" s="103" t="inlineStr">
        <is>
          <t>台股</t>
        </is>
      </c>
    </row>
    <row r="81" hidden="1" outlineLevel="1">
      <c r="A81" s="99" t="n">
        <v>44251</v>
      </c>
      <c r="B81" s="11" t="inlineStr">
        <is>
          <t>普通買進</t>
        </is>
      </c>
      <c r="C81" s="11" t="n">
        <v>1305</v>
      </c>
      <c r="D81" s="11" t="inlineStr">
        <is>
          <t>華夏</t>
        </is>
      </c>
      <c r="E81" s="11" t="n">
        <v>1000</v>
      </c>
      <c r="F81" s="11" t="n">
        <v>29.85</v>
      </c>
      <c r="G81" s="11">
        <f>E81*F81</f>
        <v/>
      </c>
      <c r="H81" s="11" t="n">
        <v>42</v>
      </c>
      <c r="I81" s="104" t="n">
        <v>44267</v>
      </c>
      <c r="J81" s="16" t="n">
        <v>33.05</v>
      </c>
      <c r="K81" s="11">
        <f>E81*J81</f>
        <v/>
      </c>
      <c r="L81" s="17" t="n">
        <v>47</v>
      </c>
      <c r="M81" s="11" t="n">
        <v>99</v>
      </c>
      <c r="N81" s="11" t="n">
        <v>0</v>
      </c>
      <c r="O81" s="434">
        <f>IF(I81="",E81*Y81,0)</f>
        <v/>
      </c>
      <c r="P81" s="435">
        <f>IF(I81="",R81-H81,(K81-H81-SUM(L81:N81)+R81-S81-T81)-G81)+(ROUND(R81*V81,0)-ROUND(R81*(1+V81),0)*W81)</f>
        <v/>
      </c>
      <c r="Q81" s="435">
        <f>IF(I81="",(O81-G81-(O81*0.1425%*0.65)-(O81*0.3%)-S81-T81),0)</f>
        <v/>
      </c>
      <c r="R81" s="435" t="n"/>
      <c r="S81" s="435" t="n">
        <v>10</v>
      </c>
      <c r="T81" s="435">
        <f>IF(ROUND(R81*(1+V81),0)&gt;20000,ROUND(ROUND(R81*(1+V81),0)*2%,0),0)</f>
        <v/>
      </c>
      <c r="U81" s="69">
        <f>(V81*50%)/(1+50%*V81)</f>
        <v/>
      </c>
      <c r="V81" s="69" t="n"/>
      <c r="W81" s="70" t="n">
        <v>0.11</v>
      </c>
      <c r="X81" s="436">
        <f>(P81+Q81)/G81</f>
        <v/>
      </c>
      <c r="Y81" s="16">
        <f>VLOOKUP(C81,台股行情!A:D,4,FALSE)</f>
        <v/>
      </c>
      <c r="Z81" s="437">
        <f>VLOOKUP(C81,台股行情!A:E,5,FALSE)</f>
        <v/>
      </c>
      <c r="AA81" s="438">
        <f>IF(I81="",((TODAY()-A81)*G81)/365.24,((I81-A81)*G81)/365.24)</f>
        <v/>
      </c>
      <c r="AB81" s="103" t="inlineStr">
        <is>
          <t>台股</t>
        </is>
      </c>
    </row>
    <row r="82" hidden="1" outlineLevel="1">
      <c r="A82" s="99" t="n">
        <v>44251</v>
      </c>
      <c r="B82" s="11" t="inlineStr">
        <is>
          <t>普通買進</t>
        </is>
      </c>
      <c r="C82" s="11" t="n">
        <v>1802</v>
      </c>
      <c r="D82" s="11" t="inlineStr">
        <is>
          <t>台玻</t>
        </is>
      </c>
      <c r="E82" s="11" t="n">
        <v>2000</v>
      </c>
      <c r="F82" s="11" t="n">
        <v>19.65</v>
      </c>
      <c r="G82" s="11">
        <f>E82*F82</f>
        <v/>
      </c>
      <c r="H82" s="11" t="n">
        <v>56</v>
      </c>
      <c r="I82" s="104" t="n">
        <v>44267</v>
      </c>
      <c r="J82" s="16" t="n">
        <v>20.05</v>
      </c>
      <c r="K82" s="11">
        <f>E82*J82</f>
        <v/>
      </c>
      <c r="L82" s="17" t="n">
        <v>57</v>
      </c>
      <c r="M82" s="11" t="n">
        <v>120</v>
      </c>
      <c r="N82" s="11" t="n">
        <v>0</v>
      </c>
      <c r="O82" s="434">
        <f>IF(I82="",E82*Y82,0)</f>
        <v/>
      </c>
      <c r="P82" s="435">
        <f>IF(I82="",R82-H82,(K82-H82-SUM(L82:N82)+R82-S82-T82)-G82)+(ROUND(R82*V82,0)-ROUND(R82*(1+V82),0)*W82)</f>
        <v/>
      </c>
      <c r="Q82" s="435">
        <f>IF(I82="",(O82-G82-(O82*0.1425%*0.65)-(O82*0.3%)-S82-T82),0)</f>
        <v/>
      </c>
      <c r="R82" s="435" t="n"/>
      <c r="S82" s="435" t="n">
        <v>10</v>
      </c>
      <c r="T82" s="435">
        <f>IF(ROUND(R82*(1+V82),0)&gt;20000,ROUND(ROUND(R82*(1+V82),0)*2%,0),0)</f>
        <v/>
      </c>
      <c r="U82" s="69">
        <f>(V82*50%)/(1+50%*V82)</f>
        <v/>
      </c>
      <c r="V82" s="69" t="n"/>
      <c r="W82" s="70" t="n">
        <v>0.11</v>
      </c>
      <c r="X82" s="436">
        <f>(P82+Q82)/G82</f>
        <v/>
      </c>
      <c r="Y82" s="16">
        <f>VLOOKUP(C82,台股行情!A:D,4,FALSE)</f>
        <v/>
      </c>
      <c r="Z82" s="437">
        <f>VLOOKUP(C82,台股行情!A:E,5,FALSE)</f>
        <v/>
      </c>
      <c r="AA82" s="438">
        <f>IF(I82="",((TODAY()-A82)*G82)/365.24,((I82-A82)*G82)/365.24)</f>
        <v/>
      </c>
      <c r="AB82" s="103" t="inlineStr">
        <is>
          <t>台股</t>
        </is>
      </c>
    </row>
    <row r="83" hidden="1" outlineLevel="1">
      <c r="A83" s="99" t="n">
        <v>44251</v>
      </c>
      <c r="B83" s="11" t="inlineStr">
        <is>
          <t>普通買進</t>
        </is>
      </c>
      <c r="C83" s="11" t="n">
        <v>2002</v>
      </c>
      <c r="D83" s="11" t="inlineStr">
        <is>
          <t>中鋼</t>
        </is>
      </c>
      <c r="E83" s="11" t="n">
        <v>1000</v>
      </c>
      <c r="F83" s="11" t="n">
        <v>25.45</v>
      </c>
      <c r="G83" s="11">
        <f>E83*F83</f>
        <v/>
      </c>
      <c r="H83" s="11" t="n">
        <v>36</v>
      </c>
      <c r="I83" s="104" t="n">
        <v>44267</v>
      </c>
      <c r="J83" s="16" t="n">
        <v>25.8</v>
      </c>
      <c r="K83" s="11">
        <f>E83*J83</f>
        <v/>
      </c>
      <c r="L83" s="17" t="n">
        <v>36</v>
      </c>
      <c r="M83" s="11" t="n">
        <v>77</v>
      </c>
      <c r="N83" s="11" t="n">
        <v>0</v>
      </c>
      <c r="O83" s="434">
        <f>IF(I83="",E83*Y83,0)</f>
        <v/>
      </c>
      <c r="P83" s="435">
        <f>IF(I83="",R83-H83,(K83-H83-SUM(L83:N83)+R83-S83-T83)-G83)+(ROUND(R83*V83,0)-ROUND(R83*(1+V83),0)*W83)</f>
        <v/>
      </c>
      <c r="Q83" s="435">
        <f>IF(I83="",(O83-G83-(O83*0.1425%*0.65)-(O83*0.3%)-S83-T83),0)</f>
        <v/>
      </c>
      <c r="R83" s="435" t="n"/>
      <c r="S83" s="435" t="n">
        <v>10</v>
      </c>
      <c r="T83" s="435">
        <f>IF(ROUND(R83*(1+V83),0)&gt;20000,ROUND(ROUND(R83*(1+V83),0)*2%,0),0)</f>
        <v/>
      </c>
      <c r="U83" s="69">
        <f>(V83*50%)/(1+50%*V83)</f>
        <v/>
      </c>
      <c r="V83" s="69" t="n"/>
      <c r="W83" s="70" t="n">
        <v>0.11</v>
      </c>
      <c r="X83" s="436">
        <f>(P83+Q83)/G83</f>
        <v/>
      </c>
      <c r="Y83" s="16">
        <f>VLOOKUP(C83,台股行情!A:D,4,FALSE)</f>
        <v/>
      </c>
      <c r="Z83" s="437">
        <f>VLOOKUP(C83,台股行情!A:E,5,FALSE)</f>
        <v/>
      </c>
      <c r="AA83" s="438">
        <f>IF(I83="",((TODAY()-A83)*G83)/365.24,((I83-A83)*G83)/365.24)</f>
        <v/>
      </c>
      <c r="AB83" s="103" t="inlineStr">
        <is>
          <t>台股</t>
        </is>
      </c>
    </row>
    <row r="84" hidden="1" outlineLevel="1">
      <c r="A84" s="99" t="n">
        <v>44267</v>
      </c>
      <c r="B84" s="11" t="inlineStr">
        <is>
          <t>普通買進</t>
        </is>
      </c>
      <c r="C84" s="11" t="n">
        <v>2338</v>
      </c>
      <c r="D84" s="11" t="inlineStr">
        <is>
          <t>光罩</t>
        </is>
      </c>
      <c r="E84" s="11" t="n">
        <v>2000</v>
      </c>
      <c r="F84" s="11" t="n">
        <v>51.4</v>
      </c>
      <c r="G84" s="11">
        <f>E84*F84</f>
        <v/>
      </c>
      <c r="H84" s="11" t="n">
        <v>73</v>
      </c>
      <c r="I84" s="104" t="n">
        <v>44267</v>
      </c>
      <c r="J84" s="16" t="n">
        <v>53.7</v>
      </c>
      <c r="K84" s="11">
        <f>E84*J84</f>
        <v/>
      </c>
      <c r="L84" s="17" t="n">
        <v>76</v>
      </c>
      <c r="M84" s="11" t="n">
        <v>80</v>
      </c>
      <c r="N84" s="11" t="n">
        <v>0</v>
      </c>
      <c r="O84" s="434">
        <f>IF(I84="",E84*Y84,0)</f>
        <v/>
      </c>
      <c r="P84" s="435">
        <f>IF(I84="",R84-H84,(K84-H84-SUM(L84:N84)+R84-S84-T84)-G84)+(ROUND(R84*V84,0)-ROUND(R84*(1+V84),0)*W84)</f>
        <v/>
      </c>
      <c r="Q84" s="435">
        <f>IF(I84="",(O84-G84-(O84*0.1425%*0.65)-(O84*0.3%)-S84-T84),0)</f>
        <v/>
      </c>
      <c r="R84" s="435" t="n"/>
      <c r="S84" s="435" t="n">
        <v>10</v>
      </c>
      <c r="T84" s="435">
        <f>IF(ROUND(R84*(1+V84),0)&gt;20000,ROUND(ROUND(R84*(1+V84),0)*2%,0),0)</f>
        <v/>
      </c>
      <c r="U84" s="69">
        <f>(V84*50%)/(1+50%*V84)</f>
        <v/>
      </c>
      <c r="V84" s="69" t="n"/>
      <c r="W84" s="70" t="n">
        <v>0.11</v>
      </c>
      <c r="X84" s="436">
        <f>(P84+Q84)/G84</f>
        <v/>
      </c>
      <c r="Y84" s="16">
        <f>VLOOKUP(C84,台股行情!A:D,4,FALSE)</f>
        <v/>
      </c>
      <c r="Z84" s="437">
        <f>VLOOKUP(C84,台股行情!A:E,5,FALSE)</f>
        <v/>
      </c>
      <c r="AA84" s="438">
        <f>IF(I84="",((TODAY()-A84)*G84)/365.24,((I84-A84)*G84)/365.24)</f>
        <v/>
      </c>
      <c r="AB84" s="103" t="inlineStr">
        <is>
          <t>台股</t>
        </is>
      </c>
    </row>
    <row r="85" hidden="1" outlineLevel="1">
      <c r="A85" s="99" t="n">
        <v>44267</v>
      </c>
      <c r="B85" s="11" t="inlineStr">
        <is>
          <t>普通買進</t>
        </is>
      </c>
      <c r="C85" s="11" t="n">
        <v>6138</v>
      </c>
      <c r="D85" s="11" t="inlineStr">
        <is>
          <t>茂達</t>
        </is>
      </c>
      <c r="E85" s="11" t="n">
        <v>1000</v>
      </c>
      <c r="F85" s="11" t="n">
        <v>114.5</v>
      </c>
      <c r="G85" s="11">
        <f>E85*F85</f>
        <v/>
      </c>
      <c r="H85" s="11" t="n">
        <v>163</v>
      </c>
      <c r="I85" s="104" t="n">
        <v>44267</v>
      </c>
      <c r="J85" s="16" t="n">
        <v>115.5</v>
      </c>
      <c r="K85" s="11">
        <f>E85*J85</f>
        <v/>
      </c>
      <c r="L85" s="17" t="n">
        <v>164</v>
      </c>
      <c r="M85" s="11" t="n">
        <v>173</v>
      </c>
      <c r="N85" s="11" t="n">
        <v>0</v>
      </c>
      <c r="O85" s="434">
        <f>IF(I85="",E85*Y85,0)</f>
        <v/>
      </c>
      <c r="P85" s="435">
        <f>IF(I85="",R85-H85,(K85-H85-SUM(L85:N85)+R85-S85-T85)-G85)+(ROUND(R85*V85,0)-ROUND(R85*(1+V85),0)*W85)</f>
        <v/>
      </c>
      <c r="Q85" s="435">
        <f>IF(I85="",(O85-G85-(O85*0.1425%*0.65)-(O85*0.3%)-S85-T85),0)</f>
        <v/>
      </c>
      <c r="R85" s="435" t="n"/>
      <c r="S85" s="435" t="n">
        <v>10</v>
      </c>
      <c r="T85" s="435">
        <f>IF(ROUND(R85*(1+V85),0)&gt;20000,ROUND(ROUND(R85*(1+V85),0)*2%,0),0)</f>
        <v/>
      </c>
      <c r="U85" s="69">
        <f>(V85*50%)/(1+50%*V85)</f>
        <v/>
      </c>
      <c r="V85" s="69" t="n"/>
      <c r="W85" s="70" t="n">
        <v>0.11</v>
      </c>
      <c r="X85" s="436">
        <f>(P85+Q85)/G85</f>
        <v/>
      </c>
      <c r="Y85" s="16">
        <f>VLOOKUP(C85,台股行情!A:D,4,FALSE)</f>
        <v/>
      </c>
      <c r="Z85" s="437">
        <f>VLOOKUP(C85,台股行情!A:E,5,FALSE)</f>
        <v/>
      </c>
      <c r="AA85" s="438">
        <f>IF(I85="",((TODAY()-A85)*G85)/365.24,((I85-A85)*G85)/365.24)</f>
        <v/>
      </c>
      <c r="AB85" s="103" t="inlineStr">
        <is>
          <t>台股</t>
        </is>
      </c>
    </row>
    <row r="86" hidden="1" outlineLevel="1">
      <c r="A86" s="99" t="n">
        <v>44270</v>
      </c>
      <c r="B86" s="11" t="inlineStr">
        <is>
          <t>普通買進</t>
        </is>
      </c>
      <c r="C86" s="11" t="n">
        <v>4953</v>
      </c>
      <c r="D86" s="11" t="inlineStr">
        <is>
          <t>緯軟</t>
        </is>
      </c>
      <c r="E86" s="11" t="n">
        <v>1000</v>
      </c>
      <c r="F86" s="11" t="n">
        <v>107</v>
      </c>
      <c r="G86" s="11">
        <f>E86*F86</f>
        <v/>
      </c>
      <c r="H86" s="11" t="n">
        <v>152</v>
      </c>
      <c r="I86" s="104" t="n">
        <v>44270</v>
      </c>
      <c r="J86" s="16" t="n">
        <v>108</v>
      </c>
      <c r="K86" s="11">
        <f>E86*J86</f>
        <v/>
      </c>
      <c r="L86" s="17" t="n">
        <v>153</v>
      </c>
      <c r="M86" s="11" t="n">
        <v>162</v>
      </c>
      <c r="N86" s="11" t="n">
        <v>0</v>
      </c>
      <c r="O86" s="434">
        <f>IF(I86="",E86*Y86,0)</f>
        <v/>
      </c>
      <c r="P86" s="435">
        <f>IF(I86="",R86-H86,(K86-H86-SUM(L86:N86)+R86-S86-T86)-G86)+(ROUND(R86*V86,0)-ROUND(R86*(1+V86),0)*W86)</f>
        <v/>
      </c>
      <c r="Q86" s="435">
        <f>IF(I86="",(O86-G86-(O86*0.1425%*0.65)-(O86*0.3%)-S86-T86),0)</f>
        <v/>
      </c>
      <c r="R86" s="435" t="n"/>
      <c r="S86" s="435" t="n">
        <v>10</v>
      </c>
      <c r="T86" s="435">
        <f>IF(ROUND(R86*(1+V86),0)&gt;20000,ROUND(ROUND(R86*(1+V86),0)*2%,0),0)</f>
        <v/>
      </c>
      <c r="U86" s="69">
        <f>(V86*50%)/(1+50%*V86)</f>
        <v/>
      </c>
      <c r="V86" s="69" t="n"/>
      <c r="W86" s="70" t="n">
        <v>0.11</v>
      </c>
      <c r="X86" s="436">
        <f>(P86+Q86)/G86</f>
        <v/>
      </c>
      <c r="Y86" s="16">
        <f>VLOOKUP(C86,台股行情!A:D,4,FALSE)</f>
        <v/>
      </c>
      <c r="Z86" s="437">
        <f>VLOOKUP(C86,台股行情!A:E,5,FALSE)</f>
        <v/>
      </c>
      <c r="AA86" s="438">
        <f>IF(I86="",((TODAY()-A86)*G86)/365.24,((I86-A86)*G86)/365.24)</f>
        <v/>
      </c>
      <c r="AB86" s="103" t="inlineStr">
        <is>
          <t>台股</t>
        </is>
      </c>
    </row>
    <row r="87" hidden="1" outlineLevel="1">
      <c r="A87" s="99" t="n">
        <v>44270</v>
      </c>
      <c r="B87" s="11" t="inlineStr">
        <is>
          <t>普通買進</t>
        </is>
      </c>
      <c r="C87" s="11" t="n">
        <v>2338</v>
      </c>
      <c r="D87" s="11" t="inlineStr">
        <is>
          <t>光罩</t>
        </is>
      </c>
      <c r="E87" s="11" t="n">
        <v>1000</v>
      </c>
      <c r="F87" s="11" t="n">
        <v>53.9</v>
      </c>
      <c r="G87" s="11">
        <f>E87*F87</f>
        <v/>
      </c>
      <c r="H87" s="11" t="n">
        <v>76</v>
      </c>
      <c r="I87" s="104" t="n">
        <v>44271</v>
      </c>
      <c r="J87" s="16" t="n">
        <v>54.9</v>
      </c>
      <c r="K87" s="11">
        <f>E87*J87</f>
        <v/>
      </c>
      <c r="L87" s="17" t="n">
        <v>78</v>
      </c>
      <c r="M87" s="11" t="n">
        <v>164</v>
      </c>
      <c r="N87" s="11" t="n">
        <v>0</v>
      </c>
      <c r="O87" s="434">
        <f>IF(I87="",E87*Y87,0)</f>
        <v/>
      </c>
      <c r="P87" s="435">
        <f>IF(I87="",R87-H87,(K87-H87-SUM(L87:N87)+R87-S87-T87)-G87)+(ROUND(R87*V87,0)-ROUND(R87*(1+V87),0)*W87)</f>
        <v/>
      </c>
      <c r="Q87" s="435">
        <f>IF(I87="",(O87-G87-(O87*0.1425%*0.65)-(O87*0.3%)-S87-T87),0)</f>
        <v/>
      </c>
      <c r="R87" s="435" t="n"/>
      <c r="S87" s="435" t="n">
        <v>10</v>
      </c>
      <c r="T87" s="435">
        <f>IF(ROUND(R87*(1+V87),0)&gt;20000,ROUND(ROUND(R87*(1+V87),0)*2%,0),0)</f>
        <v/>
      </c>
      <c r="U87" s="69">
        <f>(V87*50%)/(1+50%*V87)</f>
        <v/>
      </c>
      <c r="V87" s="69" t="n"/>
      <c r="W87" s="70" t="n">
        <v>0.11</v>
      </c>
      <c r="X87" s="436">
        <f>(P87+Q87)/G87</f>
        <v/>
      </c>
      <c r="Y87" s="16">
        <f>VLOOKUP(C87,台股行情!A:D,4,FALSE)</f>
        <v/>
      </c>
      <c r="Z87" s="437">
        <f>VLOOKUP(C87,台股行情!A:E,5,FALSE)</f>
        <v/>
      </c>
      <c r="AA87" s="438">
        <f>IF(I87="",((TODAY()-A87)*G87)/365.24,((I87-A87)*G87)/365.24)</f>
        <v/>
      </c>
      <c r="AB87" s="103" t="inlineStr">
        <is>
          <t>台股</t>
        </is>
      </c>
    </row>
    <row r="88" hidden="1" outlineLevel="1">
      <c r="A88" s="99" t="n">
        <v>44272</v>
      </c>
      <c r="B88" s="11" t="inlineStr">
        <is>
          <t>普通買進</t>
        </is>
      </c>
      <c r="C88" s="11" t="n">
        <v>3092</v>
      </c>
      <c r="D88" s="11" t="inlineStr">
        <is>
          <t>鴻碩</t>
        </is>
      </c>
      <c r="E88" s="11" t="n">
        <v>1000</v>
      </c>
      <c r="F88" s="11" t="n">
        <v>78.8</v>
      </c>
      <c r="G88" s="11">
        <f>E88*F88</f>
        <v/>
      </c>
      <c r="H88" s="11" t="n">
        <v>112</v>
      </c>
      <c r="I88" s="104" t="n">
        <v>44277</v>
      </c>
      <c r="J88" s="16" t="n">
        <v>73.90000000000001</v>
      </c>
      <c r="K88" s="11">
        <f>E88*J88</f>
        <v/>
      </c>
      <c r="L88" s="17" t="n">
        <v>105</v>
      </c>
      <c r="M88" s="11" t="n">
        <v>221</v>
      </c>
      <c r="N88" s="11" t="n">
        <v>0</v>
      </c>
      <c r="O88" s="434">
        <f>IF(I88="",E88*Y88,0)</f>
        <v/>
      </c>
      <c r="P88" s="435">
        <f>IF(I88="",R88-H88,(K88-H88-SUM(L88:N88)+R88-S88-T88)-G88)+(ROUND(R88*V88,0)-ROUND(R88*(1+V88),0)*W88)</f>
        <v/>
      </c>
      <c r="Q88" s="435">
        <f>IF(I88="",(O88-G88-(O88*0.1425%*0.65)-(O88*0.3%)-S88-T88),0)</f>
        <v/>
      </c>
      <c r="R88" s="435" t="n"/>
      <c r="S88" s="435" t="n">
        <v>10</v>
      </c>
      <c r="T88" s="435">
        <f>IF(ROUND(R88*(1+V88),0)&gt;20000,ROUND(ROUND(R88*(1+V88),0)*2%,0),0)</f>
        <v/>
      </c>
      <c r="U88" s="69">
        <f>(V88*50%)/(1+50%*V88)</f>
        <v/>
      </c>
      <c r="V88" s="69" t="n"/>
      <c r="W88" s="70" t="n">
        <v>0.11</v>
      </c>
      <c r="X88" s="436">
        <f>(P88+Q88)/G88</f>
        <v/>
      </c>
      <c r="Y88" s="16">
        <f>VLOOKUP(C88,台股行情!A:D,4,FALSE)</f>
        <v/>
      </c>
      <c r="Z88" s="437">
        <f>VLOOKUP(C88,台股行情!A:E,5,FALSE)</f>
        <v/>
      </c>
      <c r="AA88" s="438">
        <f>IF(I88="",((TODAY()-A88)*G88)/365.24,((I88-A88)*G88)/365.24)</f>
        <v/>
      </c>
      <c r="AB88" s="103" t="inlineStr">
        <is>
          <t>台股</t>
        </is>
      </c>
    </row>
    <row r="89" hidden="1" outlineLevel="1">
      <c r="A89" s="99" t="n">
        <v>44272</v>
      </c>
      <c r="B89" s="11" t="inlineStr">
        <is>
          <t>普通買進</t>
        </is>
      </c>
      <c r="C89" s="11" t="n">
        <v>5243</v>
      </c>
      <c r="D89" s="11" t="inlineStr">
        <is>
          <t>乙盛-KY</t>
        </is>
      </c>
      <c r="E89" s="11" t="n">
        <v>1000</v>
      </c>
      <c r="F89" s="11" t="n">
        <v>71.2</v>
      </c>
      <c r="G89" s="11">
        <f>E89*F89</f>
        <v/>
      </c>
      <c r="H89" s="11" t="n">
        <v>101</v>
      </c>
      <c r="I89" s="104" t="n">
        <v>44277</v>
      </c>
      <c r="J89" s="16" t="n">
        <v>71.8</v>
      </c>
      <c r="K89" s="11">
        <f>E89*J89</f>
        <v/>
      </c>
      <c r="L89" s="17" t="n">
        <v>102</v>
      </c>
      <c r="M89" s="11" t="n">
        <v>215</v>
      </c>
      <c r="N89" s="11" t="n">
        <v>0</v>
      </c>
      <c r="O89" s="434">
        <f>IF(I89="",E89*Y89,0)</f>
        <v/>
      </c>
      <c r="P89" s="435">
        <f>IF(I89="",R89-H89,(K89-H89-SUM(L89:N89)+R89-S89-T89)-G89)+(ROUND(R89*V89,0)-ROUND(R89*(1+V89),0)*W89)</f>
        <v/>
      </c>
      <c r="Q89" s="435">
        <f>IF(I89="",(O89-G89-(O89*0.1425%*0.65)-(O89*0.3%)-S89-T89),0)</f>
        <v/>
      </c>
      <c r="R89" s="435" t="n"/>
      <c r="S89" s="435" t="n">
        <v>10</v>
      </c>
      <c r="T89" s="435">
        <f>IF(ROUND(R89*(1+V89),0)&gt;20000,ROUND(ROUND(R89*(1+V89),0)*2%,0),0)</f>
        <v/>
      </c>
      <c r="U89" s="69">
        <f>(V89*50%)/(1+50%*V89)</f>
        <v/>
      </c>
      <c r="V89" s="69" t="n"/>
      <c r="W89" s="70" t="n">
        <v>0.11</v>
      </c>
      <c r="X89" s="436">
        <f>(P89+Q89)/G89</f>
        <v/>
      </c>
      <c r="Y89" s="16">
        <f>VLOOKUP(C89,台股行情!A:D,4,FALSE)</f>
        <v/>
      </c>
      <c r="Z89" s="437">
        <f>VLOOKUP(C89,台股行情!A:E,5,FALSE)</f>
        <v/>
      </c>
      <c r="AA89" s="438">
        <f>IF(I89="",((TODAY()-A89)*G89)/365.24,((I89-A89)*G89)/365.24)</f>
        <v/>
      </c>
      <c r="AB89" s="103" t="inlineStr">
        <is>
          <t>台股</t>
        </is>
      </c>
    </row>
    <row r="90" hidden="1" outlineLevel="1">
      <c r="A90" s="99" t="n">
        <v>44272</v>
      </c>
      <c r="B90" s="11" t="inlineStr">
        <is>
          <t>普通買進</t>
        </is>
      </c>
      <c r="C90" s="11" t="n">
        <v>5243</v>
      </c>
      <c r="D90" s="11" t="inlineStr">
        <is>
          <t>乙盛-KY</t>
        </is>
      </c>
      <c r="E90" s="11" t="n">
        <v>1000</v>
      </c>
      <c r="F90" s="11" t="n">
        <v>70.5</v>
      </c>
      <c r="G90" s="11">
        <f>E90*F90</f>
        <v/>
      </c>
      <c r="H90" s="11" t="n">
        <v>100</v>
      </c>
      <c r="I90" s="104" t="n">
        <v>44278</v>
      </c>
      <c r="J90" s="16" t="n">
        <v>79</v>
      </c>
      <c r="K90" s="11">
        <f>E90*J90</f>
        <v/>
      </c>
      <c r="L90" s="17" t="n">
        <v>112</v>
      </c>
      <c r="M90" s="11" t="n">
        <v>237</v>
      </c>
      <c r="N90" s="11" t="n">
        <v>0</v>
      </c>
      <c r="O90" s="434">
        <f>IF(I90="",E90*Y90,0)</f>
        <v/>
      </c>
      <c r="P90" s="435">
        <f>IF(I90="",R90-H90,(K90-H90-SUM(L90:N90)+R90-S90-T90)-G90)+(ROUND(R90*V90,0)-ROUND(R90*(1+V90),0)*W90)</f>
        <v/>
      </c>
      <c r="Q90" s="435">
        <f>IF(I90="",(O90-G90-(O90*0.1425%*0.65)-(O90*0.3%)-S90-T90),0)</f>
        <v/>
      </c>
      <c r="R90" s="435" t="n"/>
      <c r="S90" s="435" t="n">
        <v>10</v>
      </c>
      <c r="T90" s="435">
        <f>IF(ROUND(R90*(1+V90),0)&gt;20000,ROUND(ROUND(R90*(1+V90),0)*2%,0),0)</f>
        <v/>
      </c>
      <c r="U90" s="69">
        <f>(V90*50%)/(1+50%*V90)</f>
        <v/>
      </c>
      <c r="V90" s="69" t="n"/>
      <c r="W90" s="70" t="n">
        <v>0.11</v>
      </c>
      <c r="X90" s="436">
        <f>(P90+Q90)/G90</f>
        <v/>
      </c>
      <c r="Y90" s="16">
        <f>VLOOKUP(C90,台股行情!A:D,4,FALSE)</f>
        <v/>
      </c>
      <c r="Z90" s="437">
        <f>VLOOKUP(C90,台股行情!A:E,5,FALSE)</f>
        <v/>
      </c>
      <c r="AA90" s="438">
        <f>IF(I90="",((TODAY()-A90)*G90)/365.24,((I90-A90)*G90)/365.24)</f>
        <v/>
      </c>
      <c r="AB90" s="103" t="inlineStr">
        <is>
          <t>台股</t>
        </is>
      </c>
    </row>
    <row r="91" hidden="1" outlineLevel="1">
      <c r="A91" s="99" t="n">
        <v>44270</v>
      </c>
      <c r="B91" s="11" t="inlineStr">
        <is>
          <t>普通買進</t>
        </is>
      </c>
      <c r="C91" s="11" t="n">
        <v>4953</v>
      </c>
      <c r="D91" s="11" t="inlineStr">
        <is>
          <t>緯軟</t>
        </is>
      </c>
      <c r="E91" s="11" t="n">
        <v>1000</v>
      </c>
      <c r="F91" s="11" t="n">
        <v>107.5</v>
      </c>
      <c r="G91" s="11">
        <f>E91*F91</f>
        <v/>
      </c>
      <c r="H91" s="11" t="n">
        <v>153</v>
      </c>
      <c r="I91" s="104" t="n">
        <v>44280</v>
      </c>
      <c r="J91" s="16" t="n">
        <v>104.5</v>
      </c>
      <c r="K91" s="11">
        <f>E91*J91</f>
        <v/>
      </c>
      <c r="L91" s="17" t="n">
        <v>148</v>
      </c>
      <c r="M91" s="11" t="n">
        <v>313</v>
      </c>
      <c r="N91" s="11" t="n">
        <v>0</v>
      </c>
      <c r="O91" s="434">
        <f>IF(I91="",E91*Y91,0)</f>
        <v/>
      </c>
      <c r="P91" s="435">
        <f>IF(I91="",R91-H91,(K91-H91-SUM(L91:N91)+R91-S91-T91)-G91)+(ROUND(R91*V91,0)-ROUND(R91*(1+V91),0)*W91)</f>
        <v/>
      </c>
      <c r="Q91" s="435">
        <f>IF(I91="",(O91-G91-(O91*0.1425%*0.65)-(O91*0.3%)-S91-T91),0)</f>
        <v/>
      </c>
      <c r="R91" s="435" t="n"/>
      <c r="S91" s="435" t="n">
        <v>10</v>
      </c>
      <c r="T91" s="435">
        <f>IF(ROUND(R91*(1+V91),0)&gt;20000,ROUND(ROUND(R91*(1+V91),0)*2%,0),0)</f>
        <v/>
      </c>
      <c r="U91" s="69">
        <f>(V91*50%)/(1+50%*V91)</f>
        <v/>
      </c>
      <c r="V91" s="69" t="n"/>
      <c r="W91" s="70" t="n">
        <v>0.11</v>
      </c>
      <c r="X91" s="436">
        <f>(P91+Q91)/G91</f>
        <v/>
      </c>
      <c r="Y91" s="16">
        <f>VLOOKUP(C91,台股行情!A:D,4,FALSE)</f>
        <v/>
      </c>
      <c r="Z91" s="437">
        <f>VLOOKUP(C91,台股行情!A:E,5,FALSE)</f>
        <v/>
      </c>
      <c r="AA91" s="438">
        <f>IF(I91="",((TODAY()-A91)*G91)/365.24,((I91-A91)*G91)/365.24)</f>
        <v/>
      </c>
      <c r="AB91" s="103" t="inlineStr">
        <is>
          <t>台股</t>
        </is>
      </c>
    </row>
    <row r="92" hidden="1" outlineLevel="1">
      <c r="A92" s="99" t="n">
        <v>44270</v>
      </c>
      <c r="B92" s="11" t="inlineStr">
        <is>
          <t>普通買進</t>
        </is>
      </c>
      <c r="C92" s="11" t="n">
        <v>6443</v>
      </c>
      <c r="D92" s="11" t="inlineStr">
        <is>
          <t>元晶</t>
        </is>
      </c>
      <c r="E92" s="11" t="n">
        <v>1000</v>
      </c>
      <c r="F92" s="11" t="n">
        <v>42.55</v>
      </c>
      <c r="G92" s="11">
        <f>E92*F92</f>
        <v/>
      </c>
      <c r="H92" s="11" t="n">
        <v>60</v>
      </c>
      <c r="I92" s="104" t="n">
        <v>44287</v>
      </c>
      <c r="J92" s="16" t="n">
        <v>45</v>
      </c>
      <c r="K92" s="11">
        <f>E92*J92</f>
        <v/>
      </c>
      <c r="L92" s="17" t="n">
        <v>64</v>
      </c>
      <c r="M92" s="11" t="n">
        <v>135</v>
      </c>
      <c r="N92" s="11" t="n">
        <v>0</v>
      </c>
      <c r="O92" s="434">
        <f>IF(I92="",E92*Y92,0)</f>
        <v/>
      </c>
      <c r="P92" s="435">
        <f>IF(I92="",R92-H92,(K92-H92-SUM(L92:N92)+R92-S92-T92)-G92)+(ROUND(R92*V92,0)-ROUND(R92*(1+V92),0)*W92)</f>
        <v/>
      </c>
      <c r="Q92" s="435">
        <f>IF(I92="",(O92-G92-(O92*0.1425%*0.65)-(O92*0.3%)-S92-T92),0)</f>
        <v/>
      </c>
      <c r="R92" s="435" t="n"/>
      <c r="S92" s="435" t="n">
        <v>10</v>
      </c>
      <c r="T92" s="435">
        <f>IF(ROUND(R92*(1+V92),0)&gt;20000,ROUND(ROUND(R92*(1+V92),0)*2%,0),0)</f>
        <v/>
      </c>
      <c r="U92" s="69">
        <f>(V92*50%)/(1+50%*V92)</f>
        <v/>
      </c>
      <c r="V92" s="69" t="n"/>
      <c r="W92" s="70" t="n">
        <v>0.11</v>
      </c>
      <c r="X92" s="436">
        <f>(P92+Q92)/G92</f>
        <v/>
      </c>
      <c r="Y92" s="16">
        <f>VLOOKUP(C92,台股行情!A:D,4,FALSE)</f>
        <v/>
      </c>
      <c r="Z92" s="437">
        <f>VLOOKUP(C92,台股行情!A:E,5,FALSE)</f>
        <v/>
      </c>
      <c r="AA92" s="438">
        <f>IF(I92="",((TODAY()-A92)*G92)/365.24,((I92-A92)*G92)/365.24)</f>
        <v/>
      </c>
      <c r="AB92" s="103" t="inlineStr">
        <is>
          <t>台股</t>
        </is>
      </c>
    </row>
    <row r="93" hidden="1" outlineLevel="1">
      <c r="A93" s="99" t="n">
        <v>44272</v>
      </c>
      <c r="B93" s="11" t="inlineStr">
        <is>
          <t>普通買進</t>
        </is>
      </c>
      <c r="C93" s="11" t="n">
        <v>2328</v>
      </c>
      <c r="D93" s="11" t="inlineStr">
        <is>
          <t>廣宇</t>
        </is>
      </c>
      <c r="E93" s="11" t="n">
        <v>1000</v>
      </c>
      <c r="F93" s="11" t="n">
        <v>43.6</v>
      </c>
      <c r="G93" s="11">
        <f>E93*F93</f>
        <v/>
      </c>
      <c r="H93" s="11" t="n">
        <v>62</v>
      </c>
      <c r="I93" s="104" t="n">
        <v>44287</v>
      </c>
      <c r="J93" s="16" t="n">
        <v>44.45</v>
      </c>
      <c r="K93" s="11">
        <f>E93*J93</f>
        <v/>
      </c>
      <c r="L93" s="17" t="n">
        <v>63</v>
      </c>
      <c r="M93" s="11" t="n">
        <v>135</v>
      </c>
      <c r="N93" s="11" t="n">
        <v>0</v>
      </c>
      <c r="O93" s="434">
        <f>IF(I93="",E93*Y93,0)</f>
        <v/>
      </c>
      <c r="P93" s="435">
        <f>IF(I93="",R93-H93,(K93-H93-SUM(L93:N93)+R93-S93-T93)-G93)+(ROUND(R93*V93,0)-ROUND(R93*(1+V93),0)*W93)</f>
        <v/>
      </c>
      <c r="Q93" s="435">
        <f>IF(I93="",(O93-G93-(O93*0.1425%*0.65)-(O93*0.3%)-S93-T93),0)</f>
        <v/>
      </c>
      <c r="R93" s="435" t="n"/>
      <c r="S93" s="435" t="n">
        <v>10</v>
      </c>
      <c r="T93" s="435">
        <f>IF(ROUND(R93*(1+V93),0)&gt;20000,ROUND(ROUND(R93*(1+V93),0)*2%,0),0)</f>
        <v/>
      </c>
      <c r="U93" s="69">
        <f>(V93*50%)/(1+50%*V93)</f>
        <v/>
      </c>
      <c r="V93" s="69" t="n"/>
      <c r="W93" s="70" t="n">
        <v>0.11</v>
      </c>
      <c r="X93" s="436">
        <f>(P93+Q93)/G93</f>
        <v/>
      </c>
      <c r="Y93" s="16">
        <f>VLOOKUP(C93,台股行情!A:D,4,FALSE)</f>
        <v/>
      </c>
      <c r="Z93" s="437">
        <f>VLOOKUP(C93,台股行情!A:E,5,FALSE)</f>
        <v/>
      </c>
      <c r="AA93" s="438">
        <f>IF(I93="",((TODAY()-A93)*G93)/365.24,((I93-A93)*G93)/365.24)</f>
        <v/>
      </c>
      <c r="AB93" s="103" t="inlineStr">
        <is>
          <t>台股</t>
        </is>
      </c>
    </row>
    <row r="94" hidden="1" outlineLevel="1">
      <c r="A94" s="99" t="n">
        <v>44285</v>
      </c>
      <c r="B94" s="11" t="inlineStr">
        <is>
          <t>普通買進</t>
        </is>
      </c>
      <c r="C94" s="11" t="n">
        <v>3005</v>
      </c>
      <c r="D94" s="11" t="inlineStr">
        <is>
          <t>神基</t>
        </is>
      </c>
      <c r="E94" s="11" t="n">
        <v>1000</v>
      </c>
      <c r="F94" s="11" t="n">
        <v>64.40000000000001</v>
      </c>
      <c r="G94" s="11">
        <f>E94*F94</f>
        <v/>
      </c>
      <c r="H94" s="11" t="n">
        <v>91</v>
      </c>
      <c r="I94" s="104" t="n">
        <v>44292</v>
      </c>
      <c r="J94" s="16" t="n">
        <v>58.4</v>
      </c>
      <c r="K94" s="11">
        <f>E94*J94</f>
        <v/>
      </c>
      <c r="L94" s="17" t="n">
        <v>83</v>
      </c>
      <c r="M94" s="11" t="n">
        <v>175</v>
      </c>
      <c r="N94" s="11" t="n">
        <v>0</v>
      </c>
      <c r="O94" s="434">
        <f>IF(I94="",E94*Y94,0)</f>
        <v/>
      </c>
      <c r="P94" s="435">
        <f>IF(I94="",R94-H94,(K94-H94-SUM(L94:N94)+R94-S94-T94)-G94)+(ROUND(R94*V94,0)-ROUND(R94*(1+V94),0)*W94)</f>
        <v/>
      </c>
      <c r="Q94" s="435">
        <f>IF(I94="",(O94-G94-(O94*0.1425%*0.65)-(O94*0.3%)-S94-T94),0)</f>
        <v/>
      </c>
      <c r="R94" s="435" t="n">
        <v>3587</v>
      </c>
      <c r="S94" s="435" t="n">
        <v>10</v>
      </c>
      <c r="T94" s="435">
        <f>IF(ROUND(R94*(1+V94),0)&gt;20000,ROUND(ROUND(R94*(1+V94),0)*2%,0),0)</f>
        <v/>
      </c>
      <c r="U94" s="69">
        <f>(V94*50%)/(1+50%*V94)</f>
        <v/>
      </c>
      <c r="V94" s="69" t="n"/>
      <c r="W94" s="70" t="n">
        <v>0.11</v>
      </c>
      <c r="X94" s="436">
        <f>(P94+Q94)/G94</f>
        <v/>
      </c>
      <c r="Y94" s="16">
        <f>VLOOKUP(C94,台股行情!A:D,4,FALSE)</f>
        <v/>
      </c>
      <c r="Z94" s="437">
        <f>VLOOKUP(C94,台股行情!A:E,5,FALSE)</f>
        <v/>
      </c>
      <c r="AA94" s="438">
        <f>IF(I94="",((TODAY()-A94)*G94)/365.24,((I94-A94)*G94)/365.24)</f>
        <v/>
      </c>
      <c r="AB94" s="103" t="inlineStr">
        <is>
          <t>台股</t>
        </is>
      </c>
    </row>
    <row r="95" hidden="1" outlineLevel="1">
      <c r="A95" s="99" t="n">
        <v>44280</v>
      </c>
      <c r="B95" s="11" t="inlineStr">
        <is>
          <t>普通買進</t>
        </is>
      </c>
      <c r="C95" s="11" t="n">
        <v>5523</v>
      </c>
      <c r="D95" s="11" t="inlineStr">
        <is>
          <t>豐謙</t>
        </is>
      </c>
      <c r="E95" s="11" t="n">
        <v>2000</v>
      </c>
      <c r="F95" s="11" t="n">
        <v>20.65</v>
      </c>
      <c r="G95" s="11">
        <f>E95*F95</f>
        <v/>
      </c>
      <c r="H95" s="11" t="n">
        <v>58</v>
      </c>
      <c r="I95" s="104" t="n">
        <v>44292</v>
      </c>
      <c r="J95" s="16" t="n">
        <v>22.8</v>
      </c>
      <c r="K95" s="11">
        <f>E95*J95</f>
        <v/>
      </c>
      <c r="L95" s="17" t="n">
        <v>64</v>
      </c>
      <c r="M95" s="11" t="n">
        <v>136</v>
      </c>
      <c r="N95" s="11" t="n">
        <v>0</v>
      </c>
      <c r="O95" s="434">
        <f>IF(I95="",E95*Y95,0)</f>
        <v/>
      </c>
      <c r="P95" s="435">
        <f>IF(I95="",R95-H95,(K95-H95-SUM(L95:N95)+R95-S95-T95)-G95)+(ROUND(R95*V95,0)-ROUND(R95*(1+V95),0)*W95)</f>
        <v/>
      </c>
      <c r="Q95" s="435">
        <f>IF(I95="",(O95-G95-(O95*0.1425%*0.65)-(O95*0.3%)-S95-T95),0)</f>
        <v/>
      </c>
      <c r="R95" s="435" t="n"/>
      <c r="S95" s="435" t="n">
        <v>10</v>
      </c>
      <c r="T95" s="435">
        <f>IF(ROUND(R95*(1+V95),0)&gt;20000,ROUND(ROUND(R95*(1+V95),0)*2%,0),0)</f>
        <v/>
      </c>
      <c r="U95" s="69">
        <f>(V95*50%)/(1+50%*V95)</f>
        <v/>
      </c>
      <c r="V95" s="69" t="n"/>
      <c r="W95" s="70" t="n">
        <v>0.11</v>
      </c>
      <c r="X95" s="436">
        <f>(P95+Q95)/G95</f>
        <v/>
      </c>
      <c r="Y95" s="16">
        <f>VLOOKUP(C95,台股行情!A:D,4,FALSE)</f>
        <v/>
      </c>
      <c r="Z95" s="437">
        <f>VLOOKUP(C95,台股行情!A:E,5,FALSE)</f>
        <v/>
      </c>
      <c r="AA95" s="438">
        <f>IF(I95="",((TODAY()-A95)*G95)/365.24,((I95-A95)*G95)/365.24)</f>
        <v/>
      </c>
      <c r="AB95" s="103" t="inlineStr">
        <is>
          <t>台股</t>
        </is>
      </c>
    </row>
    <row r="96" hidden="1" outlineLevel="1">
      <c r="A96" s="99" t="n">
        <v>44272</v>
      </c>
      <c r="B96" s="11" t="inlineStr">
        <is>
          <t>普通買進</t>
        </is>
      </c>
      <c r="C96" s="11" t="n">
        <v>3707</v>
      </c>
      <c r="D96" s="11" t="inlineStr">
        <is>
          <t>漢磊</t>
        </is>
      </c>
      <c r="E96" s="11" t="n">
        <v>1000</v>
      </c>
      <c r="F96" s="11" t="n">
        <v>51.3</v>
      </c>
      <c r="G96" s="11">
        <f>E96*F96</f>
        <v/>
      </c>
      <c r="H96" s="11" t="n">
        <v>73</v>
      </c>
      <c r="I96" s="104" t="n">
        <v>44292</v>
      </c>
      <c r="J96" s="16" t="n">
        <v>64.40000000000001</v>
      </c>
      <c r="K96" s="11">
        <f>E96*J96</f>
        <v/>
      </c>
      <c r="L96" s="17" t="n">
        <v>91</v>
      </c>
      <c r="M96" s="11" t="n">
        <v>193</v>
      </c>
      <c r="N96" s="11" t="n">
        <v>0</v>
      </c>
      <c r="O96" s="434">
        <f>IF(I96="",E96*Y96,0)</f>
        <v/>
      </c>
      <c r="P96" s="435">
        <f>IF(I96="",R96-H96,(K96-H96-SUM(L96:N96)+R96-S96-T96)-G96)+(ROUND(R96*V96,0)-ROUND(R96*(1+V96),0)*W96)</f>
        <v/>
      </c>
      <c r="Q96" s="435">
        <f>IF(I96="",(O96-G96-(O96*0.1425%*0.65)-(O96*0.3%)-S96-T96),0)</f>
        <v/>
      </c>
      <c r="R96" s="435" t="n"/>
      <c r="S96" s="435" t="n">
        <v>10</v>
      </c>
      <c r="T96" s="435">
        <f>IF(ROUND(R96*(1+V96),0)&gt;20000,ROUND(ROUND(R96*(1+V96),0)*2%,0),0)</f>
        <v/>
      </c>
      <c r="U96" s="69">
        <f>(V96*50%)/(1+50%*V96)</f>
        <v/>
      </c>
      <c r="V96" s="69" t="n"/>
      <c r="W96" s="70" t="n">
        <v>0.11</v>
      </c>
      <c r="X96" s="436">
        <f>(P96+Q96)/G96</f>
        <v/>
      </c>
      <c r="Y96" s="16">
        <f>VLOOKUP(C96,台股行情!A:D,4,FALSE)</f>
        <v/>
      </c>
      <c r="Z96" s="437">
        <f>VLOOKUP(C96,台股行情!A:E,5,FALSE)</f>
        <v/>
      </c>
      <c r="AA96" s="438">
        <f>IF(I96="",((TODAY()-A96)*G96)/365.24,((I96-A96)*G96)/365.24)</f>
        <v/>
      </c>
      <c r="AB96" s="103" t="inlineStr">
        <is>
          <t>台股</t>
        </is>
      </c>
    </row>
    <row r="97" hidden="1" outlineLevel="1">
      <c r="A97" s="99" t="n">
        <v>44287</v>
      </c>
      <c r="B97" s="11" t="inlineStr">
        <is>
          <t>普通買進</t>
        </is>
      </c>
      <c r="C97" s="11" t="n">
        <v>1313</v>
      </c>
      <c r="D97" s="11" t="inlineStr">
        <is>
          <t>聯成</t>
        </is>
      </c>
      <c r="E97" s="11" t="n">
        <v>2000</v>
      </c>
      <c r="F97" s="11" t="n">
        <v>20.65</v>
      </c>
      <c r="G97" s="11">
        <f>E97*F97</f>
        <v/>
      </c>
      <c r="H97" s="11" t="n">
        <v>58</v>
      </c>
      <c r="I97" s="104" t="n">
        <v>44292</v>
      </c>
      <c r="J97" s="16" t="n">
        <v>21</v>
      </c>
      <c r="K97" s="11">
        <f>E97*J97</f>
        <v/>
      </c>
      <c r="L97" s="17" t="n">
        <v>59</v>
      </c>
      <c r="M97" s="11" t="n">
        <v>126</v>
      </c>
      <c r="N97" s="11" t="n">
        <v>0</v>
      </c>
      <c r="O97" s="434">
        <f>IF(I97="",E97*Y97,0)</f>
        <v/>
      </c>
      <c r="P97" s="435">
        <f>IF(I97="",R97-H97,(K97-H97-SUM(L97:N97)+R97-S97-T97)-G97)+(ROUND(R97*V97,0)-ROUND(R97*(1+V97),0)*W97)</f>
        <v/>
      </c>
      <c r="Q97" s="435">
        <f>IF(I97="",(O97-G97-(O97*0.1425%*0.65)-(O97*0.3%)-S97-T97),0)</f>
        <v/>
      </c>
      <c r="R97" s="435" t="n"/>
      <c r="S97" s="435" t="n">
        <v>10</v>
      </c>
      <c r="T97" s="435">
        <f>IF(ROUND(R97*(1+V97),0)&gt;20000,ROUND(ROUND(R97*(1+V97),0)*2%,0),0)</f>
        <v/>
      </c>
      <c r="U97" s="69">
        <f>(V97*50%)/(1+50%*V97)</f>
        <v/>
      </c>
      <c r="V97" s="69" t="n"/>
      <c r="W97" s="70" t="n">
        <v>0.11</v>
      </c>
      <c r="X97" s="436">
        <f>(P97+Q97)/G97</f>
        <v/>
      </c>
      <c r="Y97" s="16">
        <f>VLOOKUP(C97,台股行情!A:D,4,FALSE)</f>
        <v/>
      </c>
      <c r="Z97" s="437">
        <f>VLOOKUP(C97,台股行情!A:E,5,FALSE)</f>
        <v/>
      </c>
      <c r="AA97" s="438">
        <f>IF(I97="",((TODAY()-A97)*G97)/365.24,((I97-A97)*G97)/365.24)</f>
        <v/>
      </c>
      <c r="AB97" s="103" t="inlineStr">
        <is>
          <t>台股</t>
        </is>
      </c>
    </row>
    <row r="98" hidden="1" outlineLevel="1">
      <c r="A98" s="99" t="n">
        <v>44284</v>
      </c>
      <c r="B98" s="11" t="inlineStr">
        <is>
          <t>普通買進</t>
        </is>
      </c>
      <c r="C98" s="11" t="n">
        <v>2330</v>
      </c>
      <c r="D98" s="11" t="inlineStr">
        <is>
          <t>台積電</t>
        </is>
      </c>
      <c r="E98" s="11" t="n">
        <v>1000</v>
      </c>
      <c r="F98" s="11" t="n">
        <v>598</v>
      </c>
      <c r="G98" s="11">
        <f>E98*F98</f>
        <v/>
      </c>
      <c r="H98" s="11" t="n">
        <v>852</v>
      </c>
      <c r="I98" s="104" t="n">
        <v>44292</v>
      </c>
      <c r="J98" s="16" t="n">
        <v>610</v>
      </c>
      <c r="K98" s="11">
        <f>E98*J98</f>
        <v/>
      </c>
      <c r="L98" s="17" t="n">
        <v>869</v>
      </c>
      <c r="M98" s="11" t="n">
        <v>1830</v>
      </c>
      <c r="N98" s="11" t="n">
        <v>0</v>
      </c>
      <c r="O98" s="434">
        <f>IF(I98="",E98*Y98,0)</f>
        <v/>
      </c>
      <c r="P98" s="435">
        <f>IF(I98="",R98-H98,(K98-H98-SUM(L98:N98)+R98-S98-T98)-G98)+(ROUND(R98*V98,0)-ROUND(R98*(1+V98),0)*W98)</f>
        <v/>
      </c>
      <c r="Q98" s="435">
        <f>IF(I98="",(O98-G98-(O98*0.1425%*0.65)-(O98*0.3%)-S98-T98),0)</f>
        <v/>
      </c>
      <c r="R98" s="435" t="n"/>
      <c r="S98" s="435" t="n">
        <v>10</v>
      </c>
      <c r="T98" s="435">
        <f>IF(ROUND(R98*(1+V98),0)&gt;20000,ROUND(ROUND(R98*(1+V98),0)*2%,0),0)</f>
        <v/>
      </c>
      <c r="U98" s="69">
        <f>(V98*50%)/(1+50%*V98)</f>
        <v/>
      </c>
      <c r="V98" s="69" t="n"/>
      <c r="W98" s="70" t="n">
        <v>0.11</v>
      </c>
      <c r="X98" s="436">
        <f>(P98+Q98)/G98</f>
        <v/>
      </c>
      <c r="Y98" s="16">
        <f>VLOOKUP(C98,台股行情!A:D,4,FALSE)</f>
        <v/>
      </c>
      <c r="Z98" s="437">
        <f>VLOOKUP(C98,台股行情!A:E,5,FALSE)</f>
        <v/>
      </c>
      <c r="AA98" s="438">
        <f>IF(I98="",((TODAY()-A98)*G98)/365.24,((I98-A98)*G98)/365.24)</f>
        <v/>
      </c>
      <c r="AB98" s="103" t="inlineStr">
        <is>
          <t>台股</t>
        </is>
      </c>
    </row>
    <row r="99" hidden="1" outlineLevel="1">
      <c r="A99" s="99" t="n">
        <v>44285</v>
      </c>
      <c r="B99" s="11" t="inlineStr">
        <is>
          <t>普通買進</t>
        </is>
      </c>
      <c r="C99" s="11" t="n">
        <v>2063</v>
      </c>
      <c r="D99" s="11" t="inlineStr">
        <is>
          <t>世鎧</t>
        </is>
      </c>
      <c r="E99" s="11" t="n">
        <v>1000</v>
      </c>
      <c r="F99" s="11" t="n">
        <v>35.7</v>
      </c>
      <c r="G99" s="11">
        <f>E99*F99</f>
        <v/>
      </c>
      <c r="H99" s="11" t="n">
        <v>50</v>
      </c>
      <c r="I99" s="104" t="n">
        <v>44292</v>
      </c>
      <c r="J99" s="16" t="n">
        <v>34.25</v>
      </c>
      <c r="K99" s="11">
        <f>E99*J99</f>
        <v/>
      </c>
      <c r="L99" s="17" t="n">
        <v>48</v>
      </c>
      <c r="M99" s="11" t="n">
        <v>102</v>
      </c>
      <c r="N99" s="11" t="n">
        <v>0</v>
      </c>
      <c r="O99" s="434">
        <f>IF(I99="",E99*Y99,0)</f>
        <v/>
      </c>
      <c r="P99" s="435">
        <f>IF(I99="",R99-H99,(K99-H99-SUM(L99:N99)+R99-S99-T99)-G99)+(ROUND(R99*V99,0)-ROUND(R99*(1+V99),0)*W99)</f>
        <v/>
      </c>
      <c r="Q99" s="435">
        <f>IF(I99="",(O99-G99-(O99*0.1425%*0.65)-(O99*0.3%)-S99-T99),0)</f>
        <v/>
      </c>
      <c r="R99" s="435" t="n">
        <v>2000</v>
      </c>
      <c r="S99" s="435" t="n">
        <v>10</v>
      </c>
      <c r="T99" s="435">
        <f>IF(ROUND(R99*(1+V99),0)&gt;20000,ROUND(ROUND(R99*(1+V99),0)*2%,0),0)</f>
        <v/>
      </c>
      <c r="U99" s="69">
        <f>(V99*50%)/(1+50%*V99)</f>
        <v/>
      </c>
      <c r="V99" s="69" t="n"/>
      <c r="W99" s="70" t="n">
        <v>0.11</v>
      </c>
      <c r="X99" s="436">
        <f>(P99+Q99)/G99</f>
        <v/>
      </c>
      <c r="Y99" s="16">
        <f>VLOOKUP(C99,台股行情!A:D,4,FALSE)</f>
        <v/>
      </c>
      <c r="Z99" s="437">
        <f>VLOOKUP(C99,台股行情!A:E,5,FALSE)</f>
        <v/>
      </c>
      <c r="AA99" s="438">
        <f>IF(I99="",((TODAY()-A99)*G99)/365.24,((I99-A99)*G99)/365.24)</f>
        <v/>
      </c>
      <c r="AB99" s="103" t="inlineStr">
        <is>
          <t>台股</t>
        </is>
      </c>
    </row>
    <row r="100" hidden="1" outlineLevel="1">
      <c r="A100" s="99" t="n">
        <v>44294</v>
      </c>
      <c r="B100" s="11" t="inlineStr">
        <is>
          <t>普通買進</t>
        </is>
      </c>
      <c r="C100" s="11" t="n">
        <v>2020</v>
      </c>
      <c r="D100" s="11" t="inlineStr">
        <is>
          <t>美亞</t>
        </is>
      </c>
      <c r="E100" s="11" t="n">
        <v>2000</v>
      </c>
      <c r="F100" s="11" t="n">
        <v>22.8</v>
      </c>
      <c r="G100" s="11">
        <f>E100*F100</f>
        <v/>
      </c>
      <c r="H100" s="11" t="n">
        <v>64</v>
      </c>
      <c r="I100" s="104" t="n">
        <v>44294</v>
      </c>
      <c r="J100" s="16" t="n">
        <v>23.2</v>
      </c>
      <c r="K100" s="11">
        <f>E100*J100</f>
        <v/>
      </c>
      <c r="L100" s="17" t="n">
        <v>66</v>
      </c>
      <c r="M100" s="11" t="n">
        <v>138</v>
      </c>
      <c r="N100" s="11" t="n">
        <v>0</v>
      </c>
      <c r="O100" s="434">
        <f>IF(I100="",E100*Y100,0)</f>
        <v/>
      </c>
      <c r="P100" s="435">
        <f>IF(I100="",R100-H100,(K100-H100-SUM(L100:N100)+R100-S100-T100)-G100)+(ROUND(R100*V100,0)-ROUND(R100*(1+V100),0)*W100)</f>
        <v/>
      </c>
      <c r="Q100" s="435">
        <f>IF(I100="",(O100-G100-(O100*0.1425%*0.65)-(O100*0.3%)-S100-T100),0)</f>
        <v/>
      </c>
      <c r="R100" s="435" t="n"/>
      <c r="S100" s="435" t="n">
        <v>10</v>
      </c>
      <c r="T100" s="435">
        <f>IF(ROUND(R100*(1+V100),0)&gt;20000,ROUND(ROUND(R100*(1+V100),0)*2%,0),0)</f>
        <v/>
      </c>
      <c r="U100" s="69">
        <f>(V100*50%)/(1+50%*V100)</f>
        <v/>
      </c>
      <c r="V100" s="69" t="n"/>
      <c r="W100" s="70" t="n">
        <v>0.11</v>
      </c>
      <c r="X100" s="436">
        <f>(P100+Q100)/G100</f>
        <v/>
      </c>
      <c r="Y100" s="16">
        <f>VLOOKUP(C100,台股行情!A:D,4,FALSE)</f>
        <v/>
      </c>
      <c r="Z100" s="437">
        <f>VLOOKUP(C100,台股行情!A:E,5,FALSE)</f>
        <v/>
      </c>
      <c r="AA100" s="438">
        <f>IF(I100="",((TODAY()-A100)*G100)/365.24,((I100-A100)*G100)/365.24)</f>
        <v/>
      </c>
      <c r="AB100" s="103" t="inlineStr">
        <is>
          <t>台股</t>
        </is>
      </c>
    </row>
    <row r="101" hidden="1" outlineLevel="1">
      <c r="A101" s="99" t="n">
        <v>44293</v>
      </c>
      <c r="B101" s="11" t="inlineStr">
        <is>
          <t>普通買進</t>
        </is>
      </c>
      <c r="C101" s="11" t="n">
        <v>2376</v>
      </c>
      <c r="D101" s="11" t="inlineStr">
        <is>
          <t>技嘉</t>
        </is>
      </c>
      <c r="E101" s="11" t="n">
        <v>1000</v>
      </c>
      <c r="F101" s="11" t="n">
        <v>100.5</v>
      </c>
      <c r="G101" s="11">
        <f>E101*F101</f>
        <v/>
      </c>
      <c r="H101" s="11" t="n">
        <v>143</v>
      </c>
      <c r="I101" s="104" t="n">
        <v>44299</v>
      </c>
      <c r="J101" s="16" t="n">
        <v>104.5</v>
      </c>
      <c r="K101" s="11">
        <f>E101*J101</f>
        <v/>
      </c>
      <c r="L101" s="17" t="n">
        <v>148</v>
      </c>
      <c r="M101" s="11" t="n">
        <v>313</v>
      </c>
      <c r="N101" s="11" t="n">
        <v>0</v>
      </c>
      <c r="O101" s="434">
        <f>IF(I101="",E101*Y101,0)</f>
        <v/>
      </c>
      <c r="P101" s="435">
        <f>IF(I101="",R101-H101,(K101-H101-SUM(L101:N101)+R101-S101-T101)-G101)+(ROUND(R101*V101,0)-ROUND(R101*(1+V101),0)*W101)</f>
        <v/>
      </c>
      <c r="Q101" s="435">
        <f>IF(I101="",(O101-G101-(O101*0.1425%*0.65)-(O101*0.3%)-S101-T101),0)</f>
        <v/>
      </c>
      <c r="R101" s="435" t="n"/>
      <c r="S101" s="435" t="n">
        <v>10</v>
      </c>
      <c r="T101" s="435">
        <f>IF(ROUND(R101*(1+V101),0)&gt;20000,ROUND(ROUND(R101*(1+V101),0)*2%,0),0)</f>
        <v/>
      </c>
      <c r="U101" s="69">
        <f>(V101*50%)/(1+50%*V101)</f>
        <v/>
      </c>
      <c r="V101" s="69" t="n"/>
      <c r="W101" s="70" t="n">
        <v>0.11</v>
      </c>
      <c r="X101" s="436">
        <f>(P101+Q101)/G101</f>
        <v/>
      </c>
      <c r="Y101" s="16">
        <f>VLOOKUP(C101,台股行情!A:D,4,FALSE)</f>
        <v/>
      </c>
      <c r="Z101" s="437">
        <f>VLOOKUP(C101,台股行情!A:E,5,FALSE)</f>
        <v/>
      </c>
      <c r="AA101" s="438">
        <f>IF(I101="",((TODAY()-A101)*G101)/365.24,((I101-A101)*G101)/365.24)</f>
        <v/>
      </c>
      <c r="AB101" s="103" t="inlineStr">
        <is>
          <t>台股</t>
        </is>
      </c>
    </row>
    <row r="102" hidden="1" outlineLevel="1">
      <c r="A102" s="99" t="n">
        <v>44293</v>
      </c>
      <c r="B102" s="11" t="inlineStr">
        <is>
          <t>普通買進</t>
        </is>
      </c>
      <c r="C102" s="11" t="n">
        <v>3596</v>
      </c>
      <c r="D102" s="11" t="inlineStr">
        <is>
          <t>智易</t>
        </is>
      </c>
      <c r="E102" s="11" t="n">
        <v>1000</v>
      </c>
      <c r="F102" s="11" t="n">
        <v>118.5</v>
      </c>
      <c r="G102" s="11">
        <f>E102*F102</f>
        <v/>
      </c>
      <c r="H102" s="11" t="n">
        <v>168</v>
      </c>
      <c r="I102" s="104" t="n">
        <v>44299</v>
      </c>
      <c r="J102" s="16" t="n">
        <v>126</v>
      </c>
      <c r="K102" s="11">
        <f>E102*J102</f>
        <v/>
      </c>
      <c r="L102" s="17" t="n">
        <v>179</v>
      </c>
      <c r="M102" s="11" t="n">
        <v>378</v>
      </c>
      <c r="N102" s="11" t="n">
        <v>0</v>
      </c>
      <c r="O102" s="434">
        <f>IF(I102="",E102*Y102,0)</f>
        <v/>
      </c>
      <c r="P102" s="435">
        <f>IF(I102="",R102-H102,(K102-H102-SUM(L102:N102)+R102-S102-T102)-G102)+(ROUND(R102*V102,0)-ROUND(R102*(1+V102),0)*W102)</f>
        <v/>
      </c>
      <c r="Q102" s="435">
        <f>IF(I102="",(O102-G102-(O102*0.1425%*0.65)-(O102*0.3%)-S102-T102),0)</f>
        <v/>
      </c>
      <c r="R102" s="435" t="n"/>
      <c r="S102" s="435" t="n">
        <v>10</v>
      </c>
      <c r="T102" s="435">
        <f>IF(ROUND(R102*(1+V102),0)&gt;20000,ROUND(ROUND(R102*(1+V102),0)*2%,0),0)</f>
        <v/>
      </c>
      <c r="U102" s="69">
        <f>(V102*50%)/(1+50%*V102)</f>
        <v/>
      </c>
      <c r="V102" s="69" t="n"/>
      <c r="W102" s="70" t="n">
        <v>0.11</v>
      </c>
      <c r="X102" s="436">
        <f>(P102+Q102)/G102</f>
        <v/>
      </c>
      <c r="Y102" s="16">
        <f>VLOOKUP(C102,台股行情!A:D,4,FALSE)</f>
        <v/>
      </c>
      <c r="Z102" s="437">
        <f>VLOOKUP(C102,台股行情!A:E,5,FALSE)</f>
        <v/>
      </c>
      <c r="AA102" s="438">
        <f>IF(I102="",((TODAY()-A102)*G102)/365.24,((I102-A102)*G102)/365.24)</f>
        <v/>
      </c>
      <c r="AB102" s="103" t="inlineStr">
        <is>
          <t>台股</t>
        </is>
      </c>
    </row>
    <row r="103" hidden="1" outlineLevel="1">
      <c r="A103" s="99" t="n">
        <v>44292</v>
      </c>
      <c r="B103" s="11" t="inlineStr">
        <is>
          <t>普通買進</t>
        </is>
      </c>
      <c r="C103" s="11" t="n">
        <v>2881</v>
      </c>
      <c r="D103" s="11" t="inlineStr">
        <is>
          <t>富邦金</t>
        </is>
      </c>
      <c r="E103" s="11" t="n">
        <v>1000</v>
      </c>
      <c r="F103" s="11" t="n">
        <v>57.6</v>
      </c>
      <c r="G103" s="11">
        <f>E103*F103</f>
        <v/>
      </c>
      <c r="H103" s="11" t="n">
        <v>82</v>
      </c>
      <c r="I103" s="104" t="n">
        <v>44308</v>
      </c>
      <c r="J103" s="16" t="n">
        <v>61.5</v>
      </c>
      <c r="K103" s="11">
        <f>E103*J103</f>
        <v/>
      </c>
      <c r="L103" s="17" t="n">
        <v>87</v>
      </c>
      <c r="M103" s="11" t="n">
        <v>184</v>
      </c>
      <c r="N103" s="11" t="n">
        <v>0</v>
      </c>
      <c r="O103" s="434">
        <f>IF(I103="",E103*Y103,0)</f>
        <v/>
      </c>
      <c r="P103" s="435">
        <f>IF(I103="",R103-H103,(K103-H103-SUM(L103:N103)+R103-S103-T103)-G103)+(ROUND(R103*V103,0)-ROUND(R103*(1+V103),0)*W103)</f>
        <v/>
      </c>
      <c r="Q103" s="435">
        <f>IF(I103="",(O103-G103-(O103*0.1425%*0.65)-(O103*0.3%)-S103-T103),0)</f>
        <v/>
      </c>
      <c r="R103" s="435" t="n"/>
      <c r="S103" s="435" t="n">
        <v>10</v>
      </c>
      <c r="T103" s="435">
        <f>IF(ROUND(R103*(1+V103),0)&gt;20000,ROUND(ROUND(R103*(1+V103),0)*2%,0),0)</f>
        <v/>
      </c>
      <c r="U103" s="69">
        <f>(V103*50%)/(1+50%*V103)</f>
        <v/>
      </c>
      <c r="V103" s="69" t="n"/>
      <c r="W103" s="70" t="n">
        <v>0.11</v>
      </c>
      <c r="X103" s="436">
        <f>(P103+Q103)/G103</f>
        <v/>
      </c>
      <c r="Y103" s="16">
        <f>VLOOKUP(C103,台股行情!A:D,4,FALSE)</f>
        <v/>
      </c>
      <c r="Z103" s="437">
        <f>VLOOKUP(C103,台股行情!A:E,5,FALSE)</f>
        <v/>
      </c>
      <c r="AA103" s="438">
        <f>IF(I103="",((TODAY()-A103)*G103)/365.24,((I103-A103)*G103)/365.24)</f>
        <v/>
      </c>
      <c r="AB103" s="103" t="inlineStr">
        <is>
          <t>台股</t>
        </is>
      </c>
    </row>
    <row r="104" hidden="1" outlineLevel="1">
      <c r="A104" s="99" t="n">
        <v>44299</v>
      </c>
      <c r="B104" s="11" t="inlineStr">
        <is>
          <t>普通買進</t>
        </is>
      </c>
      <c r="C104" s="11" t="n">
        <v>1440</v>
      </c>
      <c r="D104" s="11" t="inlineStr">
        <is>
          <t>南紡</t>
        </is>
      </c>
      <c r="E104" s="11" t="n">
        <v>1000</v>
      </c>
      <c r="F104" s="11" t="n">
        <v>24.65</v>
      </c>
      <c r="G104" s="11">
        <f>E104*F104</f>
        <v/>
      </c>
      <c r="H104" s="11" t="n">
        <v>35</v>
      </c>
      <c r="I104" s="104" t="n">
        <v>44308</v>
      </c>
      <c r="J104" s="16" t="n">
        <v>27.7</v>
      </c>
      <c r="K104" s="11">
        <f>E104*J104</f>
        <v/>
      </c>
      <c r="L104" s="17" t="n">
        <v>39</v>
      </c>
      <c r="M104" s="11" t="n">
        <v>83</v>
      </c>
      <c r="N104" s="11" t="n">
        <v>0</v>
      </c>
      <c r="O104" s="434">
        <f>IF(I104="",E104*Y104,0)</f>
        <v/>
      </c>
      <c r="P104" s="435">
        <f>IF(I104="",R104-H104,(K104-H104-SUM(L104:N104)+R104-S104-T104)-G104)+(ROUND(R104*V104,0)-ROUND(R104*(1+V104),0)*W104)</f>
        <v/>
      </c>
      <c r="Q104" s="435">
        <f>IF(I104="",(O104-G104-(O104*0.1425%*0.65)-(O104*0.3%)-S104-T104),0)</f>
        <v/>
      </c>
      <c r="R104" s="435" t="n"/>
      <c r="S104" s="435" t="n">
        <v>10</v>
      </c>
      <c r="T104" s="435">
        <f>IF(ROUND(R104*(1+V104),0)&gt;20000,ROUND(ROUND(R104*(1+V104),0)*2%,0),0)</f>
        <v/>
      </c>
      <c r="U104" s="69">
        <f>(V104*50%)/(1+50%*V104)</f>
        <v/>
      </c>
      <c r="V104" s="69" t="n"/>
      <c r="W104" s="70" t="n">
        <v>0.11</v>
      </c>
      <c r="X104" s="436">
        <f>(P104+Q104)/G104</f>
        <v/>
      </c>
      <c r="Y104" s="16">
        <f>VLOOKUP(C104,台股行情!A:D,4,FALSE)</f>
        <v/>
      </c>
      <c r="Z104" s="437">
        <f>VLOOKUP(C104,台股行情!A:E,5,FALSE)</f>
        <v/>
      </c>
      <c r="AA104" s="438">
        <f>IF(I104="",((TODAY()-A104)*G104)/365.24,((I104-A104)*G104)/365.24)</f>
        <v/>
      </c>
      <c r="AB104" s="103" t="inlineStr">
        <is>
          <t>台股</t>
        </is>
      </c>
    </row>
    <row r="105" hidden="1" outlineLevel="1">
      <c r="A105" s="99" t="n">
        <v>44300</v>
      </c>
      <c r="B105" s="11" t="inlineStr">
        <is>
          <t>普通買進</t>
        </is>
      </c>
      <c r="C105" s="11" t="n">
        <v>3042</v>
      </c>
      <c r="D105" s="11" t="inlineStr">
        <is>
          <t>晶技</t>
        </is>
      </c>
      <c r="E105" s="11" t="n">
        <v>1000</v>
      </c>
      <c r="F105" s="11" t="n">
        <v>109</v>
      </c>
      <c r="G105" s="11">
        <f>E105*F105</f>
        <v/>
      </c>
      <c r="H105" s="11" t="n">
        <v>155</v>
      </c>
      <c r="I105" s="104" t="n">
        <v>44308</v>
      </c>
      <c r="J105" s="16" t="n">
        <v>115.6</v>
      </c>
      <c r="K105" s="11">
        <f>E105*J105</f>
        <v/>
      </c>
      <c r="L105" s="17" t="n">
        <v>163</v>
      </c>
      <c r="M105" s="11" t="n">
        <v>345</v>
      </c>
      <c r="N105" s="11" t="n">
        <v>0</v>
      </c>
      <c r="O105" s="434">
        <f>IF(I105="",E105*Y105,0)</f>
        <v/>
      </c>
      <c r="P105" s="435">
        <f>IF(I105="",R105-H105,(K105-H105-SUM(L105:N105)+R105-S105-T105)-G105)+(ROUND(R105*V105,0)-ROUND(R105*(1+V105),0)*W105)</f>
        <v/>
      </c>
      <c r="Q105" s="435">
        <f>IF(I105="",(O105-G105-(O105*0.1425%*0.65)-(O105*0.3%)-S105-T105),0)</f>
        <v/>
      </c>
      <c r="R105" s="435" t="n"/>
      <c r="S105" s="435" t="n">
        <v>10</v>
      </c>
      <c r="T105" s="435">
        <f>IF(ROUND(R105*(1+V105),0)&gt;20000,ROUND(ROUND(R105*(1+V105),0)*2%,0),0)</f>
        <v/>
      </c>
      <c r="U105" s="69">
        <f>(V105*50%)/(1+50%*V105)</f>
        <v/>
      </c>
      <c r="V105" s="69" t="n"/>
      <c r="W105" s="70" t="n">
        <v>0.11</v>
      </c>
      <c r="X105" s="436">
        <f>(P105+Q105)/G105</f>
        <v/>
      </c>
      <c r="Y105" s="16">
        <f>VLOOKUP(C105,台股行情!A:D,4,FALSE)</f>
        <v/>
      </c>
      <c r="Z105" s="437">
        <f>VLOOKUP(C105,台股行情!A:E,5,FALSE)</f>
        <v/>
      </c>
      <c r="AA105" s="438">
        <f>IF(I105="",((TODAY()-A105)*G105)/365.24,((I105-A105)*G105)/365.24)</f>
        <v/>
      </c>
      <c r="AB105" s="103" t="inlineStr">
        <is>
          <t>台股</t>
        </is>
      </c>
    </row>
    <row r="106" hidden="1" outlineLevel="1">
      <c r="A106" s="99" t="n">
        <v>44300</v>
      </c>
      <c r="B106" s="11" t="inlineStr">
        <is>
          <t>普通買進</t>
        </is>
      </c>
      <c r="C106" s="11" t="n">
        <v>3596</v>
      </c>
      <c r="D106" s="11" t="inlineStr">
        <is>
          <t>智易</t>
        </is>
      </c>
      <c r="E106" s="11" t="n">
        <v>1000</v>
      </c>
      <c r="F106" s="11" t="n">
        <v>115.5</v>
      </c>
      <c r="G106" s="11">
        <f>E106*F106</f>
        <v/>
      </c>
      <c r="H106" s="11" t="n">
        <v>164</v>
      </c>
      <c r="I106" s="104" t="n">
        <v>44308</v>
      </c>
      <c r="J106" s="16" t="n">
        <v>114</v>
      </c>
      <c r="K106" s="11">
        <f>E106*J106</f>
        <v/>
      </c>
      <c r="L106" s="17" t="n">
        <v>162</v>
      </c>
      <c r="M106" s="11" t="n">
        <v>342</v>
      </c>
      <c r="N106" s="11" t="n">
        <v>0</v>
      </c>
      <c r="O106" s="434">
        <f>IF(I106="",E106*Y106,0)</f>
        <v/>
      </c>
      <c r="P106" s="435">
        <f>IF(I106="",R106-H106,(K106-H106-SUM(L106:N106)+R106-S106-T106)-G106)+(ROUND(R106*V106,0)-ROUND(R106*(1+V106),0)*W106)</f>
        <v/>
      </c>
      <c r="Q106" s="435">
        <f>IF(I106="",(O106-G106-(O106*0.1425%*0.65)-(O106*0.3%)-S106-T106),0)</f>
        <v/>
      </c>
      <c r="R106" s="435" t="n"/>
      <c r="S106" s="435" t="n">
        <v>10</v>
      </c>
      <c r="T106" s="435">
        <f>IF(ROUND(R106*(1+V106),0)&gt;20000,ROUND(ROUND(R106*(1+V106),0)*2%,0),0)</f>
        <v/>
      </c>
      <c r="U106" s="69">
        <f>(V106*50%)/(1+50%*V106)</f>
        <v/>
      </c>
      <c r="V106" s="69" t="n"/>
      <c r="W106" s="70" t="n">
        <v>0.11</v>
      </c>
      <c r="X106" s="436">
        <f>(P106+Q106)/G106</f>
        <v/>
      </c>
      <c r="Y106" s="16">
        <f>VLOOKUP(C106,台股行情!A:D,4,FALSE)</f>
        <v/>
      </c>
      <c r="Z106" s="437">
        <f>VLOOKUP(C106,台股行情!A:E,5,FALSE)</f>
        <v/>
      </c>
      <c r="AA106" s="438">
        <f>IF(I106="",((TODAY()-A106)*G106)/365.24,((I106-A106)*G106)/365.24)</f>
        <v/>
      </c>
      <c r="AB106" s="103" t="inlineStr">
        <is>
          <t>台股</t>
        </is>
      </c>
    </row>
    <row r="107" hidden="1" outlineLevel="1">
      <c r="A107" s="99" t="n">
        <v>44302</v>
      </c>
      <c r="B107" s="11" t="inlineStr">
        <is>
          <t>普通買進</t>
        </is>
      </c>
      <c r="C107" s="11" t="n">
        <v>2103</v>
      </c>
      <c r="D107" s="11" t="inlineStr">
        <is>
          <t>台橡</t>
        </is>
      </c>
      <c r="E107" s="11" t="n">
        <v>1000</v>
      </c>
      <c r="F107" s="11" t="n">
        <v>30.75</v>
      </c>
      <c r="G107" s="11">
        <f>E107*F107</f>
        <v/>
      </c>
      <c r="H107" s="11" t="n">
        <v>43</v>
      </c>
      <c r="I107" s="104" t="n">
        <v>44308</v>
      </c>
      <c r="J107" s="16" t="n">
        <v>32.9</v>
      </c>
      <c r="K107" s="11">
        <f>E107*J107</f>
        <v/>
      </c>
      <c r="L107" s="17" t="n">
        <v>46</v>
      </c>
      <c r="M107" s="11" t="n">
        <v>98</v>
      </c>
      <c r="N107" s="11" t="n">
        <v>0</v>
      </c>
      <c r="O107" s="434">
        <f>IF(I107="",E107*Y107,0)</f>
        <v/>
      </c>
      <c r="P107" s="435">
        <f>IF(I107="",R107-H107,(K107-H107-SUM(L107:N107)+R107-S107-T107)-G107)+(ROUND(R107*V107,0)-ROUND(R107*(1+V107),0)*W107)</f>
        <v/>
      </c>
      <c r="Q107" s="435">
        <f>IF(I107="",(O107-G107-(O107*0.1425%*0.65)-(O107*0.3%)-S107-T107),0)</f>
        <v/>
      </c>
      <c r="R107" s="435" t="n"/>
      <c r="S107" s="435" t="n">
        <v>10</v>
      </c>
      <c r="T107" s="435">
        <f>IF(ROUND(R107*(1+V107),0)&gt;20000,ROUND(ROUND(R107*(1+V107),0)*2%,0),0)</f>
        <v/>
      </c>
      <c r="U107" s="69">
        <f>(V107*50%)/(1+50%*V107)</f>
        <v/>
      </c>
      <c r="V107" s="69" t="n"/>
      <c r="W107" s="70" t="n">
        <v>0.11</v>
      </c>
      <c r="X107" s="436">
        <f>(P107+Q107)/G107</f>
        <v/>
      </c>
      <c r="Y107" s="16">
        <f>VLOOKUP(C107,台股行情!A:D,4,FALSE)</f>
        <v/>
      </c>
      <c r="Z107" s="437">
        <f>VLOOKUP(C107,台股行情!A:E,5,FALSE)</f>
        <v/>
      </c>
      <c r="AA107" s="438">
        <f>IF(I107="",((TODAY()-A107)*G107)/365.24,((I107-A107)*G107)/365.24)</f>
        <v/>
      </c>
      <c r="AB107" s="103" t="inlineStr">
        <is>
          <t>台股</t>
        </is>
      </c>
    </row>
    <row r="108" hidden="1" outlineLevel="1">
      <c r="A108" s="99" t="n">
        <v>44306</v>
      </c>
      <c r="B108" s="11" t="inlineStr">
        <is>
          <t>普通買進</t>
        </is>
      </c>
      <c r="C108" s="11" t="n">
        <v>2009</v>
      </c>
      <c r="D108" s="11" t="inlineStr">
        <is>
          <t>第一銅</t>
        </is>
      </c>
      <c r="E108" s="11" t="n">
        <v>1000</v>
      </c>
      <c r="F108" s="11" t="n">
        <v>46.25</v>
      </c>
      <c r="G108" s="11">
        <f>E108*F108</f>
        <v/>
      </c>
      <c r="H108" s="11" t="n">
        <v>65</v>
      </c>
      <c r="I108" s="104" t="n">
        <v>44308</v>
      </c>
      <c r="J108" s="16" t="n">
        <v>48.75</v>
      </c>
      <c r="K108" s="11">
        <f>E108*J108</f>
        <v/>
      </c>
      <c r="L108" s="17" t="n">
        <v>69</v>
      </c>
      <c r="M108" s="11" t="n">
        <v>146</v>
      </c>
      <c r="N108" s="11" t="n">
        <v>0</v>
      </c>
      <c r="O108" s="434">
        <f>IF(I108="",E108*Y108,0)</f>
        <v/>
      </c>
      <c r="P108" s="435">
        <f>IF(I108="",R108-H108,(K108-H108-SUM(L108:N108)+R108-S108-T108)-G108)+(ROUND(R108*V108,0)-ROUND(R108*(1+V108),0)*W108)</f>
        <v/>
      </c>
      <c r="Q108" s="435">
        <f>IF(I108="",(O108-G108-(O108*0.1425%*0.65)-(O108*0.3%)-S108-T108),0)</f>
        <v/>
      </c>
      <c r="R108" s="435" t="n"/>
      <c r="S108" s="435" t="n">
        <v>10</v>
      </c>
      <c r="T108" s="435">
        <f>IF(ROUND(R108*(1+V108),0)&gt;20000,ROUND(ROUND(R108*(1+V108),0)*2%,0),0)</f>
        <v/>
      </c>
      <c r="U108" s="69">
        <f>(V108*50%)/(1+50%*V108)</f>
        <v/>
      </c>
      <c r="V108" s="69" t="n"/>
      <c r="W108" s="70" t="n">
        <v>0.11</v>
      </c>
      <c r="X108" s="436">
        <f>(P108+Q108)/G108</f>
        <v/>
      </c>
      <c r="Y108" s="16">
        <f>VLOOKUP(C108,台股行情!A:D,4,FALSE)</f>
        <v/>
      </c>
      <c r="Z108" s="437">
        <f>VLOOKUP(C108,台股行情!A:E,5,FALSE)</f>
        <v/>
      </c>
      <c r="AA108" s="438">
        <f>IF(I108="",((TODAY()-A108)*G108)/365.24,((I108-A108)*G108)/365.24)</f>
        <v/>
      </c>
      <c r="AB108" s="103" t="inlineStr">
        <is>
          <t>台股</t>
        </is>
      </c>
    </row>
    <row r="109" hidden="1" outlineLevel="1">
      <c r="A109" s="99" t="n">
        <v>44307</v>
      </c>
      <c r="B109" s="11" t="inlineStr">
        <is>
          <t>普通買進</t>
        </is>
      </c>
      <c r="C109" s="11" t="n">
        <v>5483</v>
      </c>
      <c r="D109" s="11" t="inlineStr">
        <is>
          <t>中美晶</t>
        </is>
      </c>
      <c r="E109" s="11" t="n">
        <v>1000</v>
      </c>
      <c r="F109" s="11" t="n">
        <v>192</v>
      </c>
      <c r="G109" s="11">
        <f>E109*F109</f>
        <v/>
      </c>
      <c r="H109" s="11" t="n">
        <v>273</v>
      </c>
      <c r="I109" s="104" t="n">
        <v>44308</v>
      </c>
      <c r="J109" s="16" t="n">
        <v>197</v>
      </c>
      <c r="K109" s="11">
        <f>E109*J109</f>
        <v/>
      </c>
      <c r="L109" s="17" t="n">
        <v>280</v>
      </c>
      <c r="M109" s="11" t="n">
        <v>591</v>
      </c>
      <c r="N109" s="11" t="n">
        <v>0</v>
      </c>
      <c r="O109" s="434">
        <f>IF(I109="",E109*Y109,0)</f>
        <v/>
      </c>
      <c r="P109" s="435">
        <f>IF(I109="",R109-H109,(K109-H109-SUM(L109:N109)+R109-S109-T109)-G109)+(ROUND(R109*V109,0)-ROUND(R109*(1+V109),0)*W109)</f>
        <v/>
      </c>
      <c r="Q109" s="435">
        <f>IF(I109="",(O109-G109-(O109*0.1425%*0.65)-(O109*0.3%)-S109-T109),0)</f>
        <v/>
      </c>
      <c r="R109" s="435" t="n"/>
      <c r="S109" s="435" t="n">
        <v>10</v>
      </c>
      <c r="T109" s="435">
        <f>IF(ROUND(R109*(1+V109),0)&gt;20000,ROUND(ROUND(R109*(1+V109),0)*2%,0),0)</f>
        <v/>
      </c>
      <c r="U109" s="69">
        <f>(V109*50%)/(1+50%*V109)</f>
        <v/>
      </c>
      <c r="V109" s="69" t="n"/>
      <c r="W109" s="70" t="n">
        <v>0.11</v>
      </c>
      <c r="X109" s="436">
        <f>(P109+Q109)/G109</f>
        <v/>
      </c>
      <c r="Y109" s="16">
        <f>VLOOKUP(C109,台股行情!A:D,4,FALSE)</f>
        <v/>
      </c>
      <c r="Z109" s="437">
        <f>VLOOKUP(C109,台股行情!A:E,5,FALSE)</f>
        <v/>
      </c>
      <c r="AA109" s="438">
        <f>IF(I109="",((TODAY()-A109)*G109)/365.24,((I109-A109)*G109)/365.24)</f>
        <v/>
      </c>
      <c r="AB109" s="103" t="inlineStr">
        <is>
          <t>台股</t>
        </is>
      </c>
    </row>
    <row r="110" hidden="1" outlineLevel="1">
      <c r="A110" s="99" t="n">
        <v>44299</v>
      </c>
      <c r="B110" s="11" t="inlineStr">
        <is>
          <t>普通買進</t>
        </is>
      </c>
      <c r="C110" s="11" t="n">
        <v>1304</v>
      </c>
      <c r="D110" s="11" t="inlineStr">
        <is>
          <t>台聚</t>
        </is>
      </c>
      <c r="E110" s="11" t="n">
        <v>1000</v>
      </c>
      <c r="F110" s="11" t="n">
        <v>29.4</v>
      </c>
      <c r="G110" s="11">
        <f>E110*F110</f>
        <v/>
      </c>
      <c r="H110" s="11" t="n">
        <v>42</v>
      </c>
      <c r="I110" s="104" t="n">
        <v>44312</v>
      </c>
      <c r="J110" s="16" t="n">
        <v>37</v>
      </c>
      <c r="K110" s="11">
        <f>E110*J110</f>
        <v/>
      </c>
      <c r="L110" s="17" t="n">
        <v>52</v>
      </c>
      <c r="M110" s="11" t="n">
        <v>111</v>
      </c>
      <c r="N110" s="11" t="n">
        <v>0</v>
      </c>
      <c r="O110" s="434">
        <f>IF(I110="",E110*Y110,0)</f>
        <v/>
      </c>
      <c r="P110" s="435">
        <f>IF(I110="",R110-H110,(K110-H110-SUM(L110:N110)+R110-S110-T110)-G110)+(ROUND(R110*V110,0)-ROUND(R110*(1+V110),0)*W110)</f>
        <v/>
      </c>
      <c r="Q110" s="435">
        <f>IF(I110="",(O110-G110-(O110*0.1425%*0.65)-(O110*0.3%)-S110-T110),0)</f>
        <v/>
      </c>
      <c r="R110" s="435" t="n"/>
      <c r="S110" s="435" t="n">
        <v>10</v>
      </c>
      <c r="T110" s="435">
        <f>IF(ROUND(R110*(1+V110),0)&gt;20000,ROUND(ROUND(R110*(1+V110),0)*2%,0),0)</f>
        <v/>
      </c>
      <c r="U110" s="69">
        <f>(V110*50%)/(1+50%*V110)</f>
        <v/>
      </c>
      <c r="V110" s="69" t="n"/>
      <c r="W110" s="70" t="n">
        <v>0.11</v>
      </c>
      <c r="X110" s="436">
        <f>(P110+Q110)/G110</f>
        <v/>
      </c>
      <c r="Y110" s="16">
        <f>VLOOKUP(C110,台股行情!A:D,4,FALSE)</f>
        <v/>
      </c>
      <c r="Z110" s="437">
        <f>VLOOKUP(C110,台股行情!A:E,5,FALSE)</f>
        <v/>
      </c>
      <c r="AA110" s="438">
        <f>IF(I110="",((TODAY()-A110)*G110)/365.24,((I110-A110)*G110)/365.24)</f>
        <v/>
      </c>
      <c r="AB110" s="103" t="inlineStr">
        <is>
          <t>台股</t>
        </is>
      </c>
    </row>
    <row r="111" hidden="1" outlineLevel="1">
      <c r="A111" s="99" t="n">
        <v>44306</v>
      </c>
      <c r="B111" s="11" t="inlineStr">
        <is>
          <t>普通買進</t>
        </is>
      </c>
      <c r="C111" s="11" t="n">
        <v>1309</v>
      </c>
      <c r="D111" s="11" t="inlineStr">
        <is>
          <t>台達化</t>
        </is>
      </c>
      <c r="E111" s="11" t="n">
        <v>1000</v>
      </c>
      <c r="F111" s="11" t="n">
        <v>50.3</v>
      </c>
      <c r="G111" s="11">
        <f>E111*F111</f>
        <v/>
      </c>
      <c r="H111" s="11" t="n">
        <v>71</v>
      </c>
      <c r="I111" s="104" t="n">
        <v>44313</v>
      </c>
      <c r="J111" s="16" t="n">
        <v>47.6</v>
      </c>
      <c r="K111" s="11">
        <f>E111*J111</f>
        <v/>
      </c>
      <c r="L111" s="17" t="n">
        <v>67</v>
      </c>
      <c r="M111" s="11" t="n">
        <v>142</v>
      </c>
      <c r="N111" s="11" t="n">
        <v>0</v>
      </c>
      <c r="O111" s="434">
        <f>IF(I111="",E111*Y111,0)</f>
        <v/>
      </c>
      <c r="P111" s="435">
        <f>IF(I111="",R111-H111,(K111-H111-SUM(L111:N111)+R111-S111-T111)-G111)+(ROUND(R111*V111,0)-ROUND(R111*(1+V111),0)*W111)</f>
        <v/>
      </c>
      <c r="Q111" s="435">
        <f>IF(I111="",(O111-G111-(O111*0.1425%*0.65)-(O111*0.3%)-S111-T111),0)</f>
        <v/>
      </c>
      <c r="R111" s="435" t="n"/>
      <c r="S111" s="435" t="n">
        <v>10</v>
      </c>
      <c r="T111" s="435">
        <f>IF(ROUND(R111*(1+V111),0)&gt;20000,ROUND(ROUND(R111*(1+V111),0)*2%,0),0)</f>
        <v/>
      </c>
      <c r="U111" s="69">
        <f>(V111*50%)/(1+50%*V111)</f>
        <v/>
      </c>
      <c r="V111" s="69" t="n"/>
      <c r="W111" s="70" t="n">
        <v>0.11</v>
      </c>
      <c r="X111" s="436">
        <f>(P111+Q111)/G111</f>
        <v/>
      </c>
      <c r="Y111" s="16">
        <f>VLOOKUP(C111,台股行情!A:D,4,FALSE)</f>
        <v/>
      </c>
      <c r="Z111" s="437">
        <f>VLOOKUP(C111,台股行情!A:E,5,FALSE)</f>
        <v/>
      </c>
      <c r="AA111" s="438">
        <f>IF(I111="",((TODAY()-A111)*G111)/365.24,((I111-A111)*G111)/365.24)</f>
        <v/>
      </c>
      <c r="AB111" s="103" t="inlineStr">
        <is>
          <t>台股</t>
        </is>
      </c>
    </row>
    <row r="112" hidden="1" outlineLevel="1">
      <c r="A112" s="99" t="n">
        <v>44313</v>
      </c>
      <c r="B112" s="11" t="inlineStr">
        <is>
          <t>普通買進</t>
        </is>
      </c>
      <c r="C112" s="11" t="n">
        <v>3030</v>
      </c>
      <c r="D112" s="11" t="inlineStr">
        <is>
          <t>德律</t>
        </is>
      </c>
      <c r="E112" s="11" t="n">
        <v>1000</v>
      </c>
      <c r="F112" s="11" t="n">
        <v>68.59999999999999</v>
      </c>
      <c r="G112" s="11">
        <f>E112*F112</f>
        <v/>
      </c>
      <c r="H112" s="11" t="n">
        <v>97</v>
      </c>
      <c r="I112" s="104" t="n">
        <v>44321</v>
      </c>
      <c r="J112" s="16" t="n">
        <v>61.1</v>
      </c>
      <c r="K112" s="11">
        <f>E112*J112</f>
        <v/>
      </c>
      <c r="L112" s="17" t="n">
        <v>87</v>
      </c>
      <c r="M112" s="11" t="n">
        <v>183</v>
      </c>
      <c r="N112" s="11" t="n">
        <v>0</v>
      </c>
      <c r="O112" s="434">
        <f>IF(I112="",E112*Y112,0)</f>
        <v/>
      </c>
      <c r="P112" s="435">
        <f>IF(I112="",R112-H112,(K112-H112-SUM(L112:N112)+R112-S112-T112)-G112)+(ROUND(R112*V112,0)-ROUND(R112*(1+V112),0)*W112)</f>
        <v/>
      </c>
      <c r="Q112" s="435">
        <f>IF(I112="",(O112-G112-(O112*0.1425%*0.65)-(O112*0.3%)-S112-T112),0)</f>
        <v/>
      </c>
      <c r="R112" s="435" t="n"/>
      <c r="S112" s="435" t="n">
        <v>10</v>
      </c>
      <c r="T112" s="435">
        <f>IF(ROUND(R112*(1+V112),0)&gt;20000,ROUND(ROUND(R112*(1+V112),0)*2%,0),0)</f>
        <v/>
      </c>
      <c r="U112" s="69">
        <f>(V112*50%)/(1+50%*V112)</f>
        <v/>
      </c>
      <c r="V112" s="69" t="n"/>
      <c r="W112" s="70" t="n">
        <v>0.11</v>
      </c>
      <c r="X112" s="436">
        <f>(P112+Q112)/G112</f>
        <v/>
      </c>
      <c r="Y112" s="16">
        <f>VLOOKUP(C112,台股行情!A:D,4,FALSE)</f>
        <v/>
      </c>
      <c r="Z112" s="437">
        <f>VLOOKUP(C112,台股行情!A:E,5,FALSE)</f>
        <v/>
      </c>
      <c r="AA112" s="438">
        <f>IF(I112="",((TODAY()-A112)*G112)/365.24,((I112-A112)*G112)/365.24)</f>
        <v/>
      </c>
      <c r="AB112" s="103" t="inlineStr">
        <is>
          <t>台股</t>
        </is>
      </c>
    </row>
    <row r="113" hidden="1" outlineLevel="1">
      <c r="A113" s="99" t="n">
        <v>44299</v>
      </c>
      <c r="B113" s="11" t="inlineStr">
        <is>
          <t>普通買進</t>
        </is>
      </c>
      <c r="C113" s="11" t="n">
        <v>1304</v>
      </c>
      <c r="D113" s="11" t="inlineStr">
        <is>
          <t>台聚</t>
        </is>
      </c>
      <c r="E113" s="205" t="n">
        <v>1000</v>
      </c>
      <c r="F113" s="11" t="n">
        <v>29.4</v>
      </c>
      <c r="G113" s="11">
        <f>E113*F113</f>
        <v/>
      </c>
      <c r="H113" s="11" t="n">
        <v>41</v>
      </c>
      <c r="I113" s="104" t="n">
        <v>44323</v>
      </c>
      <c r="J113" s="16" t="n">
        <v>36.2</v>
      </c>
      <c r="K113" s="11">
        <f>E113*J113</f>
        <v/>
      </c>
      <c r="L113" s="17" t="n">
        <v>51</v>
      </c>
      <c r="M113" s="11" t="n">
        <v>108</v>
      </c>
      <c r="N113" s="11" t="n">
        <v>0</v>
      </c>
      <c r="O113" s="434">
        <f>IF(I113="",E113*Y113,0)</f>
        <v/>
      </c>
      <c r="P113" s="435">
        <f>IF(I113="",R113-H113,(K113-H113-SUM(L113:N113)+R113-S113-T113)-G113)+(ROUND(R113*V113,0)-ROUND(R113*(1+V113),0)*W113)</f>
        <v/>
      </c>
      <c r="Q113" s="435">
        <f>IF(I113="",(O113-G113-(O113*0.1425%*0.65)-(O113*0.3%)-S113-T113),0)</f>
        <v/>
      </c>
      <c r="R113" s="435" t="n"/>
      <c r="S113" s="435" t="n">
        <v>10</v>
      </c>
      <c r="T113" s="435">
        <f>IF(ROUND(R113*(1+V113),0)&gt;20000,ROUND(ROUND(R113*(1+V113),0)*2%,0),0)</f>
        <v/>
      </c>
      <c r="U113" s="69">
        <f>(V113*50%)/(1+50%*V113)</f>
        <v/>
      </c>
      <c r="V113" s="69" t="n"/>
      <c r="W113" s="70" t="n">
        <v>0.11</v>
      </c>
      <c r="X113" s="436">
        <f>(P113+Q113)/G113</f>
        <v/>
      </c>
      <c r="Y113" s="16">
        <f>VLOOKUP(C113,台股行情!A:D,4,FALSE)</f>
        <v/>
      </c>
      <c r="Z113" s="437">
        <f>VLOOKUP(C113,台股行情!A:E,5,FALSE)</f>
        <v/>
      </c>
      <c r="AA113" s="438">
        <f>IF(I113="",((TODAY()-A113)*G113)/365.24,((I113-A113)*G113)/365.24)</f>
        <v/>
      </c>
      <c r="AB113" s="103" t="inlineStr">
        <is>
          <t>台股</t>
        </is>
      </c>
    </row>
    <row r="114" hidden="1" outlineLevel="1">
      <c r="A114" s="99" t="n">
        <v>44308</v>
      </c>
      <c r="B114" s="11" t="inlineStr">
        <is>
          <t>普通買進</t>
        </is>
      </c>
      <c r="C114" s="11" t="n">
        <v>2637</v>
      </c>
      <c r="D114" s="11" t="inlineStr">
        <is>
          <t>慧洋-KY</t>
        </is>
      </c>
      <c r="E114" s="11" t="n">
        <v>1000</v>
      </c>
      <c r="F114" s="11" t="n">
        <v>53.9</v>
      </c>
      <c r="G114" s="11">
        <f>E114*F114</f>
        <v/>
      </c>
      <c r="H114" s="11" t="n">
        <v>76</v>
      </c>
      <c r="I114" s="104" t="n">
        <v>44323</v>
      </c>
      <c r="J114" s="16" t="n">
        <v>62.5</v>
      </c>
      <c r="K114" s="11">
        <f>E114*J114</f>
        <v/>
      </c>
      <c r="L114" s="17" t="n">
        <v>89</v>
      </c>
      <c r="M114" s="11" t="n">
        <v>187</v>
      </c>
      <c r="N114" s="11" t="n">
        <v>0</v>
      </c>
      <c r="O114" s="434">
        <f>IF(I114="",E114*Y114,0)</f>
        <v/>
      </c>
      <c r="P114" s="435">
        <f>IF(I114="",R114-H114,(K114-H114-SUM(L114:N114)+R114-S114-T114)-G114)+(ROUND(R114*V114,0)-ROUND(R114*(1+V114),0)*W114)</f>
        <v/>
      </c>
      <c r="Q114" s="435">
        <f>IF(I114="",(O114-G114-(O114*0.1425%*0.65)-(O114*0.3%)-S114-T114),0)</f>
        <v/>
      </c>
      <c r="R114" s="435" t="n"/>
      <c r="S114" s="435" t="n">
        <v>10</v>
      </c>
      <c r="T114" s="435">
        <f>IF(ROUND(R114*(1+V114),0)&gt;20000,ROUND(ROUND(R114*(1+V114),0)*2%,0),0)</f>
        <v/>
      </c>
      <c r="U114" s="69">
        <f>(V114*50%)/(1+50%*V114)</f>
        <v/>
      </c>
      <c r="V114" s="69" t="n"/>
      <c r="W114" s="70" t="n">
        <v>0.11</v>
      </c>
      <c r="X114" s="436">
        <f>(P114+Q114)/G114</f>
        <v/>
      </c>
      <c r="Y114" s="16">
        <f>VLOOKUP(C114,台股行情!A:D,4,FALSE)</f>
        <v/>
      </c>
      <c r="Z114" s="437">
        <f>VLOOKUP(C114,台股行情!A:E,5,FALSE)</f>
        <v/>
      </c>
      <c r="AA114" s="438">
        <f>IF(I114="",((TODAY()-A114)*G114)/365.24,((I114-A114)*G114)/365.24)</f>
        <v/>
      </c>
      <c r="AB114" s="103" t="inlineStr">
        <is>
          <t>台股</t>
        </is>
      </c>
    </row>
    <row r="115" hidden="1" outlineLevel="1">
      <c r="A115" s="99" t="n">
        <v>44299</v>
      </c>
      <c r="B115" s="11" t="inlineStr">
        <is>
          <t>普通買進</t>
        </is>
      </c>
      <c r="C115" s="11" t="n">
        <v>1440</v>
      </c>
      <c r="D115" s="11" t="inlineStr">
        <is>
          <t>南紡</t>
        </is>
      </c>
      <c r="E115" s="205" t="n">
        <v>1000</v>
      </c>
      <c r="F115" s="11" t="n">
        <v>24.65</v>
      </c>
      <c r="G115" s="11">
        <f>E115*F115</f>
        <v/>
      </c>
      <c r="H115" s="11" t="n">
        <v>35</v>
      </c>
      <c r="I115" s="104" t="n">
        <v>44330</v>
      </c>
      <c r="J115" s="16" t="n">
        <v>26.65</v>
      </c>
      <c r="K115" s="11">
        <f>E115*J115</f>
        <v/>
      </c>
      <c r="L115" s="17" t="n">
        <v>37</v>
      </c>
      <c r="M115" s="11" t="n">
        <v>79</v>
      </c>
      <c r="N115" s="11" t="n">
        <v>0</v>
      </c>
      <c r="O115" s="434">
        <f>IF(I115="",E115*Y115,0)</f>
        <v/>
      </c>
      <c r="P115" s="435">
        <f>IF(I115="",R115-H115,(K115-H115-SUM(L115:N115)+R115-S115-T115)-G115)+(ROUND(R115*V115,0)-ROUND(R115*(1+V115),0)*W115)</f>
        <v/>
      </c>
      <c r="Q115" s="435">
        <f>IF(I115="",(O115-G115-(O115*0.1425%*0.65)-(O115*0.3%)-S115-T115),0)</f>
        <v/>
      </c>
      <c r="R115" s="435" t="n"/>
      <c r="S115" s="435" t="n">
        <v>10</v>
      </c>
      <c r="T115" s="435">
        <f>IF(ROUND(R115*(1+V115),0)&gt;20000,ROUND(ROUND(R115*(1+V115),0)*2%,0),0)</f>
        <v/>
      </c>
      <c r="U115" s="69">
        <f>(V115*50%)/(1+50%*V115)</f>
        <v/>
      </c>
      <c r="V115" s="69" t="n"/>
      <c r="W115" s="70" t="n">
        <v>0.11</v>
      </c>
      <c r="X115" s="436">
        <f>(P115+Q115)/G115</f>
        <v/>
      </c>
      <c r="Y115" s="16">
        <f>VLOOKUP(C115,台股行情!A:D,4,FALSE)</f>
        <v/>
      </c>
      <c r="Z115" s="437">
        <f>VLOOKUP(C115,台股行情!A:E,5,FALSE)</f>
        <v/>
      </c>
      <c r="AA115" s="438">
        <f>IF(I115="",((TODAY()-A115)*G115)/365.24,((I115-A115)*G115)/365.24)</f>
        <v/>
      </c>
      <c r="AB115" s="103" t="inlineStr">
        <is>
          <t>台股</t>
        </is>
      </c>
    </row>
    <row r="116" hidden="1" outlineLevel="1">
      <c r="A116" s="99" t="n">
        <v>44277</v>
      </c>
      <c r="B116" s="11" t="inlineStr">
        <is>
          <t>普通買進</t>
        </is>
      </c>
      <c r="C116" s="11" t="n">
        <v>4938</v>
      </c>
      <c r="D116" s="11" t="inlineStr">
        <is>
          <t>和碩</t>
        </is>
      </c>
      <c r="E116" s="11" t="n">
        <v>1000</v>
      </c>
      <c r="F116" s="11" t="n">
        <v>73.90000000000001</v>
      </c>
      <c r="G116" s="11">
        <f>E116*F116</f>
        <v/>
      </c>
      <c r="H116" s="11" t="n">
        <v>105</v>
      </c>
      <c r="I116" s="104" t="n">
        <v>44390</v>
      </c>
      <c r="J116" s="16" t="n">
        <v>68</v>
      </c>
      <c r="K116" s="11">
        <f>E116*J116</f>
        <v/>
      </c>
      <c r="L116" s="17" t="n">
        <v>96</v>
      </c>
      <c r="M116" s="11" t="n">
        <v>204</v>
      </c>
      <c r="N116" s="11" t="n">
        <v>0</v>
      </c>
      <c r="O116" s="434">
        <f>IF(I116="",E116*Y116,0)</f>
        <v/>
      </c>
      <c r="P116" s="435">
        <f>IF(I116="",R116-H116,(K116-H116-SUM(L116:N116)+R116-S116-T116)-G116)+(ROUND(R116*V116,0)-ROUND(R116*(1+V116),0)*W116)</f>
        <v/>
      </c>
      <c r="Q116" s="435">
        <f>IF(I116="",(O116-G116-(O116*0.1425%*0.65)-(O116*0.3%)-S116-T116),0)</f>
        <v/>
      </c>
      <c r="R116" s="435" t="n">
        <v>4488</v>
      </c>
      <c r="S116" s="435" t="n">
        <v>10</v>
      </c>
      <c r="T116" s="435">
        <f>IF(ROUND(R116*(1+V116),0)&gt;20000,ROUND(ROUND(R116*(1+V116),0)*2%,0),0)</f>
        <v/>
      </c>
      <c r="U116" s="69">
        <f>(V116*50%)/(1+50%*V116)</f>
        <v/>
      </c>
      <c r="V116" s="69" t="n"/>
      <c r="W116" s="70" t="n">
        <v>0.11</v>
      </c>
      <c r="X116" s="436">
        <f>(P116+Q116)/G116</f>
        <v/>
      </c>
      <c r="Y116" s="16">
        <f>VLOOKUP(C116,台股行情!A:D,4,FALSE)</f>
        <v/>
      </c>
      <c r="Z116" s="437">
        <f>VLOOKUP(C116,台股行情!A:E,5,FALSE)</f>
        <v/>
      </c>
      <c r="AA116" s="438">
        <f>IF(I116="",((TODAY()-A116)*G116)/365.24,((I116-A116)*G116)/365.24)</f>
        <v/>
      </c>
      <c r="AB116" s="103" t="inlineStr">
        <is>
          <t>台股</t>
        </is>
      </c>
    </row>
    <row r="117" hidden="1" outlineLevel="1">
      <c r="A117" s="99" t="n">
        <v>44278</v>
      </c>
      <c r="B117" s="11" t="inlineStr">
        <is>
          <t>普通買進</t>
        </is>
      </c>
      <c r="C117" s="11" t="n">
        <v>3711</v>
      </c>
      <c r="D117" s="11" t="inlineStr">
        <is>
          <t>日月光投控</t>
        </is>
      </c>
      <c r="E117" s="11" t="n">
        <v>1000</v>
      </c>
      <c r="F117" s="11" t="n">
        <v>109.5</v>
      </c>
      <c r="G117" s="11">
        <f>E117*F117</f>
        <v/>
      </c>
      <c r="H117" s="11" t="n">
        <v>156</v>
      </c>
      <c r="I117" s="104" t="n">
        <v>44413</v>
      </c>
      <c r="J117" s="16" t="n">
        <v>133</v>
      </c>
      <c r="K117" s="11">
        <f>E117*J117</f>
        <v/>
      </c>
      <c r="L117" s="17" t="n">
        <v>189</v>
      </c>
      <c r="M117" s="11" t="n">
        <v>399</v>
      </c>
      <c r="N117" s="11" t="n">
        <v>0</v>
      </c>
      <c r="O117" s="434">
        <f>IF(I117="",E117*Y117,0)</f>
        <v/>
      </c>
      <c r="P117" s="435">
        <f>IF(I117="",R117-H117,(K117-H117-SUM(L117:N117)+R117-S117-T117)-G117)+(ROUND(R117*V117,0)-ROUND(R117*(1+V117),0)*W117)</f>
        <v/>
      </c>
      <c r="Q117" s="435">
        <f>IF(I117="",(O117-G117-(O117*0.1425%*0.65)-(O117*0.3%)-S117-T117),0)</f>
        <v/>
      </c>
      <c r="R117" s="435" t="n"/>
      <c r="S117" s="435" t="n">
        <v>10</v>
      </c>
      <c r="T117" s="435">
        <f>IF(ROUND(R117*(1+V117),0)&gt;20000,ROUND(ROUND(R117*(1+V117),0)*2%,0),0)</f>
        <v/>
      </c>
      <c r="U117" s="69">
        <f>(V117*50%)/(1+50%*V117)</f>
        <v/>
      </c>
      <c r="V117" s="69" t="n"/>
      <c r="W117" s="70" t="n">
        <v>0.11</v>
      </c>
      <c r="X117" s="436">
        <f>(P117+Q117)/G117</f>
        <v/>
      </c>
      <c r="Y117" s="16">
        <f>VLOOKUP(C117,台股行情!A:D,4,FALSE)</f>
        <v/>
      </c>
      <c r="Z117" s="437">
        <f>VLOOKUP(C117,台股行情!A:E,5,FALSE)</f>
        <v/>
      </c>
      <c r="AA117" s="438">
        <f>IF(I117="",((TODAY()-A117)*G117)/365.24,((I117-A117)*G117)/365.24)</f>
        <v/>
      </c>
      <c r="AB117" s="103" t="inlineStr">
        <is>
          <t>台股</t>
        </is>
      </c>
    </row>
    <row r="118" hidden="1" outlineLevel="1">
      <c r="A118" s="99" t="n">
        <v>44399</v>
      </c>
      <c r="B118" s="11" t="inlineStr">
        <is>
          <t>普通買進</t>
        </is>
      </c>
      <c r="C118" s="11" t="n">
        <v>2317</v>
      </c>
      <c r="D118" s="11" t="inlineStr">
        <is>
          <t>鴻海</t>
        </is>
      </c>
      <c r="E118" s="11" t="n">
        <v>1000</v>
      </c>
      <c r="F118" s="11" t="n">
        <v>111.5</v>
      </c>
      <c r="G118" s="11">
        <f>E118*F118</f>
        <v/>
      </c>
      <c r="H118" s="11" t="n">
        <v>158</v>
      </c>
      <c r="I118" s="104" t="n">
        <v>44412</v>
      </c>
      <c r="J118" s="16" t="n">
        <v>112.5</v>
      </c>
      <c r="K118" s="11">
        <f>E118*J118</f>
        <v/>
      </c>
      <c r="L118" s="17" t="n">
        <v>160</v>
      </c>
      <c r="M118" s="11" t="n">
        <v>337</v>
      </c>
      <c r="N118" s="11" t="n">
        <v>0</v>
      </c>
      <c r="O118" s="434">
        <f>IF(I118="",E118*Y118,0)</f>
        <v/>
      </c>
      <c r="P118" s="435">
        <f>IF(I118="",R118-H118,(K118-H118-SUM(L118:N118)+R118-S118-T118)-G118)+(ROUND(R118*V118,0)-ROUND(R118*(1+V118),0)*W118)</f>
        <v/>
      </c>
      <c r="Q118" s="435">
        <f>IF(I118="",(O118-G118-(O118*0.1425%*0.65)-(O118*0.3%)-S118-T118),0)</f>
        <v/>
      </c>
      <c r="R118" s="435" t="n"/>
      <c r="S118" s="435" t="n">
        <v>10</v>
      </c>
      <c r="T118" s="435">
        <f>IF(ROUND(R118*(1+V118),0)&gt;20000,ROUND(ROUND(R118*(1+V118),0)*2%,0),0)</f>
        <v/>
      </c>
      <c r="U118" s="69">
        <f>(V118*50%)/(1+50%*V118)</f>
        <v/>
      </c>
      <c r="V118" s="69" t="n"/>
      <c r="W118" s="70" t="n">
        <v>0.11</v>
      </c>
      <c r="X118" s="436">
        <f>(P118+Q118)/G118</f>
        <v/>
      </c>
      <c r="Y118" s="16">
        <f>VLOOKUP(C118,台股行情!A:D,4,FALSE)</f>
        <v/>
      </c>
      <c r="Z118" s="437">
        <f>VLOOKUP(C118,台股行情!A:E,5,FALSE)</f>
        <v/>
      </c>
      <c r="AA118" s="438">
        <f>IF(I118="",((TODAY()-A118)*G118)/365.24,((I118-A118)*G118)/365.24)</f>
        <v/>
      </c>
      <c r="AB118" s="103" t="inlineStr">
        <is>
          <t>台股</t>
        </is>
      </c>
    </row>
    <row r="119" hidden="1" outlineLevel="1">
      <c r="A119" s="99" t="n">
        <v>44308</v>
      </c>
      <c r="B119" s="11" t="inlineStr">
        <is>
          <t>普通買進</t>
        </is>
      </c>
      <c r="C119" s="11" t="n">
        <v>1905</v>
      </c>
      <c r="D119" s="11" t="inlineStr">
        <is>
          <t>華紙</t>
        </is>
      </c>
      <c r="E119" s="11" t="n">
        <v>1000</v>
      </c>
      <c r="F119" s="11" t="n">
        <v>26.4</v>
      </c>
      <c r="G119" s="11">
        <f>E119*F119</f>
        <v/>
      </c>
      <c r="H119" s="11" t="n">
        <v>37</v>
      </c>
      <c r="I119" s="104" t="n">
        <v>44439</v>
      </c>
      <c r="J119" s="16" t="n">
        <v>24.35</v>
      </c>
      <c r="K119" s="11">
        <f>E119*J119</f>
        <v/>
      </c>
      <c r="L119" s="17" t="n">
        <v>34</v>
      </c>
      <c r="M119" s="11" t="n">
        <v>73</v>
      </c>
      <c r="N119" s="11" t="n">
        <v>0</v>
      </c>
      <c r="O119" s="434">
        <f>IF(I119="",E119*Y119,0)</f>
        <v/>
      </c>
      <c r="P119" s="435">
        <f>IF(I119="",R119-H119,(K119-H119-SUM(L119:N119)+R119-S119-T119)-G119)+(ROUND(R119*V119,0)-ROUND(R119*(1+V119),0)*W119)</f>
        <v/>
      </c>
      <c r="Q119" s="435">
        <f>IF(I119="",(O119-G119-(O119*0.1425%*0.65)-(O119*0.3%)-S119-T119),0)</f>
        <v/>
      </c>
      <c r="R119" s="435" t="n"/>
      <c r="S119" s="435" t="n">
        <v>10</v>
      </c>
      <c r="T119" s="435">
        <f>IF(ROUND(R119*(1+V119),0)&gt;20000,ROUND(ROUND(R119*(1+V119),0)*2%,0),0)</f>
        <v/>
      </c>
      <c r="U119" s="69">
        <f>(V119*50%)/(1+50%*V119)</f>
        <v/>
      </c>
      <c r="V119" s="69" t="n"/>
      <c r="W119" s="70" t="n">
        <v>0.11</v>
      </c>
      <c r="X119" s="436">
        <f>(P119+Q119)/G119</f>
        <v/>
      </c>
      <c r="Y119" s="16">
        <f>VLOOKUP(C119,台股行情!A:D,4,FALSE)</f>
        <v/>
      </c>
      <c r="Z119" s="437">
        <f>VLOOKUP(C119,台股行情!A:E,5,FALSE)</f>
        <v/>
      </c>
      <c r="AA119" s="438">
        <f>IF(I119="",((TODAY()-A119)*G119)/365.24,((I119-A119)*G119)/365.24)</f>
        <v/>
      </c>
      <c r="AB119" s="103" t="inlineStr">
        <is>
          <t>台股</t>
        </is>
      </c>
    </row>
    <row r="120" hidden="1" outlineLevel="1">
      <c r="A120" s="99" t="n">
        <v>44313</v>
      </c>
      <c r="B120" s="11" t="inlineStr">
        <is>
          <t>普通買進</t>
        </is>
      </c>
      <c r="C120" s="11" t="n">
        <v>8440</v>
      </c>
      <c r="D120" s="11" t="inlineStr">
        <is>
          <t>綠電</t>
        </is>
      </c>
      <c r="E120" s="11" t="n">
        <v>1000</v>
      </c>
      <c r="F120" s="11" t="n">
        <v>22.7</v>
      </c>
      <c r="G120" s="11">
        <f>E120*F120</f>
        <v/>
      </c>
      <c r="H120" s="11" t="n">
        <v>32</v>
      </c>
      <c r="I120" s="104" t="n">
        <v>44439</v>
      </c>
      <c r="J120" s="16" t="n">
        <v>18.8</v>
      </c>
      <c r="K120" s="11">
        <f>E120*J120</f>
        <v/>
      </c>
      <c r="L120" s="17" t="n">
        <v>26</v>
      </c>
      <c r="M120" s="11" t="n">
        <v>56</v>
      </c>
      <c r="N120" s="11" t="n">
        <v>0</v>
      </c>
      <c r="O120" s="434">
        <f>IF(I120="",E120*Y120,0)</f>
        <v/>
      </c>
      <c r="P120" s="435">
        <f>IF(I120="",R120-H120,(K120-H120-SUM(L120:N120)+R120-S120-T120)-G120)+(ROUND(R120*V120,0)-ROUND(R120*(1+V120),0)*W120)</f>
        <v/>
      </c>
      <c r="Q120" s="435">
        <f>IF(I120="",(O120-G120-(O120*0.1425%*0.65)-(O120*0.3%)-S120-T120),0)</f>
        <v/>
      </c>
      <c r="R120" s="435" t="n">
        <v>600</v>
      </c>
      <c r="S120" s="435" t="n">
        <v>10</v>
      </c>
      <c r="T120" s="435">
        <f>IF(ROUND(R120*(1+V120),0)&gt;20000,ROUND(ROUND(R120*(1+V120),0)*2%,0),0)</f>
        <v/>
      </c>
      <c r="U120" s="69">
        <f>(V120*50%)/(1+50%*V120)</f>
        <v/>
      </c>
      <c r="V120" s="69" t="n"/>
      <c r="W120" s="70" t="n">
        <v>0.11</v>
      </c>
      <c r="X120" s="436">
        <f>(P120+Q120)/G120</f>
        <v/>
      </c>
      <c r="Y120" s="16">
        <f>VLOOKUP(C120,台股行情!A:D,4,FALSE)</f>
        <v/>
      </c>
      <c r="Z120" s="437">
        <f>VLOOKUP(C120,台股行情!A:E,5,FALSE)</f>
        <v/>
      </c>
      <c r="AA120" s="438">
        <f>IF(I120="",((TODAY()-A120)*G120)/365.24,((I120-A120)*G120)/365.24)</f>
        <v/>
      </c>
      <c r="AB120" s="103" t="inlineStr">
        <is>
          <t>台股</t>
        </is>
      </c>
    </row>
    <row r="121" hidden="1" outlineLevel="1">
      <c r="A121" s="99" t="n">
        <v>44308</v>
      </c>
      <c r="B121" s="11" t="inlineStr">
        <is>
          <t>普通買進</t>
        </is>
      </c>
      <c r="C121" s="11" t="n">
        <v>2409</v>
      </c>
      <c r="D121" s="11" t="inlineStr">
        <is>
          <t>友達</t>
        </is>
      </c>
      <c r="E121" s="11" t="n">
        <v>1000</v>
      </c>
      <c r="F121" s="11" t="n">
        <v>30.2</v>
      </c>
      <c r="G121" s="11">
        <f>E121*F121</f>
        <v/>
      </c>
      <c r="H121" s="11" t="n">
        <v>43</v>
      </c>
      <c r="I121" s="169" t="n">
        <v>44442</v>
      </c>
      <c r="J121" s="16" t="n">
        <v>17.35</v>
      </c>
      <c r="K121" s="11">
        <f>E121*J121</f>
        <v/>
      </c>
      <c r="L121" s="17" t="n">
        <v>24</v>
      </c>
      <c r="M121" s="11" t="n">
        <v>52</v>
      </c>
      <c r="N121" s="11" t="n">
        <v>0</v>
      </c>
      <c r="O121" s="434">
        <f>IF(I121="",E121*Y121,0)</f>
        <v/>
      </c>
      <c r="P121" s="435">
        <f>IF(I121="",R121-H121,(K121-H121-SUM(L121:N121)+R121-S121-T121)-G121)+(ROUND(R121*V121,0)-ROUND(R121*(1+V121),0)*W121)</f>
        <v/>
      </c>
      <c r="Q121" s="435">
        <f>IF(I121="",(O121-G121-(O121*0.1425%*0.65)-(O121*0.3%)-S121-T121),0)</f>
        <v/>
      </c>
      <c r="R121" s="435" t="n">
        <v>300</v>
      </c>
      <c r="S121" s="435" t="n">
        <v>10</v>
      </c>
      <c r="T121" s="435">
        <f>IF(ROUND(R121*(1+V121),0)&gt;20000,ROUND(ROUND(R121*(1+V121),0)*2%,0),0)</f>
        <v/>
      </c>
      <c r="U121" s="69">
        <f>(V121*50%)/(1+50%*V121)</f>
        <v/>
      </c>
      <c r="V121" s="69" t="n"/>
      <c r="W121" s="70" t="n">
        <v>0.11</v>
      </c>
      <c r="X121" s="436">
        <f>(P121+Q121)/G121</f>
        <v/>
      </c>
      <c r="Y121" s="16">
        <f>VLOOKUP(C121,台股行情!A:D,4,FALSE)</f>
        <v/>
      </c>
      <c r="Z121" s="437">
        <f>VLOOKUP(C121,台股行情!A:E,5,FALSE)</f>
        <v/>
      </c>
      <c r="AA121" s="438">
        <f>IF(I121="",((TODAY()-A121)*G121)/365.24,((I121-A121)*G121)/365.24)</f>
        <v/>
      </c>
      <c r="AB121" s="103" t="inlineStr">
        <is>
          <t>台股</t>
        </is>
      </c>
    </row>
    <row r="122" hidden="1" outlineLevel="1">
      <c r="A122" s="99" t="n">
        <v>44308</v>
      </c>
      <c r="B122" s="11" t="inlineStr">
        <is>
          <t>普通買進</t>
        </is>
      </c>
      <c r="C122" s="11" t="n">
        <v>3481</v>
      </c>
      <c r="D122" s="11" t="inlineStr">
        <is>
          <t>群創</t>
        </is>
      </c>
      <c r="E122" s="11" t="n">
        <v>1000</v>
      </c>
      <c r="F122" s="11" t="n">
        <v>29.35</v>
      </c>
      <c r="G122" s="11">
        <f>E122*F122</f>
        <v/>
      </c>
      <c r="H122" s="11" t="n">
        <v>41</v>
      </c>
      <c r="I122" s="169" t="n">
        <v>44442</v>
      </c>
      <c r="J122" s="16" t="n">
        <v>16.85</v>
      </c>
      <c r="K122" s="11">
        <f>E122*J122</f>
        <v/>
      </c>
      <c r="L122" s="17" t="n">
        <v>24</v>
      </c>
      <c r="M122" s="11" t="n">
        <v>50</v>
      </c>
      <c r="N122" s="11" t="n">
        <v>0</v>
      </c>
      <c r="O122" s="434">
        <f>IF(I122="",E122*Y122,0)</f>
        <v/>
      </c>
      <c r="P122" s="435">
        <f>IF(I122="",R122-H122,(K122-H122-SUM(L122:N122)+R122-S122-T122)-G122)+(ROUND(R122*V122,0)-ROUND(R122*(1+V122),0)*W122)</f>
        <v/>
      </c>
      <c r="Q122" s="435">
        <f>IF(I122="",(O122-G122-(O122*0.1425%*0.65)-(O122*0.3%)-S122-T122),0)</f>
        <v/>
      </c>
      <c r="R122" s="435" t="n">
        <v>398</v>
      </c>
      <c r="S122" s="435" t="n">
        <v>10</v>
      </c>
      <c r="T122" s="435">
        <f>IF(ROUND(R122*(1+V122),0)&gt;20000,ROUND(ROUND(R122*(1+V122),0)*2%,0),0)</f>
        <v/>
      </c>
      <c r="U122" s="69">
        <f>(V122*50%)/(1+50%*V122)</f>
        <v/>
      </c>
      <c r="V122" s="69" t="n"/>
      <c r="W122" s="70" t="n">
        <v>0.11</v>
      </c>
      <c r="X122" s="436">
        <f>(P122+Q122)/G122</f>
        <v/>
      </c>
      <c r="Y122" s="16">
        <f>VLOOKUP(C122,台股行情!A:D,4,FALSE)</f>
        <v/>
      </c>
      <c r="Z122" s="437">
        <f>VLOOKUP(C122,台股行情!A:E,5,FALSE)</f>
        <v/>
      </c>
      <c r="AA122" s="438">
        <f>IF(I122="",((TODAY()-A122)*G122)/365.24,((I122-A122)*G122)/365.24)</f>
        <v/>
      </c>
      <c r="AB122" s="103" t="inlineStr">
        <is>
          <t>台股</t>
        </is>
      </c>
    </row>
    <row r="123" hidden="1" outlineLevel="1">
      <c r="A123" s="99" t="n">
        <v>44300</v>
      </c>
      <c r="B123" s="11" t="inlineStr">
        <is>
          <t>普通買進</t>
        </is>
      </c>
      <c r="C123" s="11" t="n">
        <v>2618</v>
      </c>
      <c r="D123" s="11" t="inlineStr">
        <is>
          <t>長榮航</t>
        </is>
      </c>
      <c r="E123" s="11" t="n">
        <v>1000</v>
      </c>
      <c r="F123" s="11" t="n">
        <v>17.95</v>
      </c>
      <c r="G123" s="11">
        <f>E123*F123</f>
        <v/>
      </c>
      <c r="H123" s="11" t="n">
        <v>25</v>
      </c>
      <c r="I123" s="169" t="n">
        <v>44442</v>
      </c>
      <c r="J123" s="16" t="n">
        <v>18.45</v>
      </c>
      <c r="K123" s="11">
        <f>E123*J123</f>
        <v/>
      </c>
      <c r="L123" s="17" t="n">
        <v>26</v>
      </c>
      <c r="M123" s="11" t="n">
        <v>55</v>
      </c>
      <c r="N123" s="11" t="n">
        <v>0</v>
      </c>
      <c r="O123" s="434">
        <f>IF(I123="",E123*Y123,0)</f>
        <v/>
      </c>
      <c r="P123" s="435">
        <f>IF(I123="",R123-H123,(K123-H123-SUM(L123:N123)+R123-S123-T123)-G123)+(ROUND(R123*V123,0)-ROUND(R123*(1+V123),0)*W123)</f>
        <v/>
      </c>
      <c r="Q123" s="435">
        <f>IF(I123="",(O123-G123-(O123*0.1425%*0.65)-(O123*0.3%)-S123-T123),0)</f>
        <v/>
      </c>
      <c r="R123" s="435" t="n"/>
      <c r="S123" s="435" t="n">
        <v>10</v>
      </c>
      <c r="T123" s="435">
        <f>IF(ROUND(R123*(1+V123),0)&gt;20000,ROUND(ROUND(R123*(1+V123),0)*2%,0),0)</f>
        <v/>
      </c>
      <c r="U123" s="69">
        <f>(V123*50%)/(1+50%*V123)</f>
        <v/>
      </c>
      <c r="V123" s="69" t="n"/>
      <c r="W123" s="70" t="n">
        <v>0.11</v>
      </c>
      <c r="X123" s="436">
        <f>(P123+Q123)/G123</f>
        <v/>
      </c>
      <c r="Y123" s="16">
        <f>VLOOKUP(C123,台股行情!A:D,4,FALSE)</f>
        <v/>
      </c>
      <c r="Z123" s="437">
        <f>VLOOKUP(C123,台股行情!A:E,5,FALSE)</f>
        <v/>
      </c>
      <c r="AA123" s="438">
        <f>IF(I123="",((TODAY()-A123)*G123)/365.24,((I123-A123)*G123)/365.24)</f>
        <v/>
      </c>
      <c r="AB123" s="103" t="inlineStr">
        <is>
          <t>台股</t>
        </is>
      </c>
    </row>
    <row r="124" hidden="1" outlineLevel="1">
      <c r="A124" s="99" t="n">
        <v>44308</v>
      </c>
      <c r="B124" s="11" t="inlineStr">
        <is>
          <t>普通買進</t>
        </is>
      </c>
      <c r="C124" s="11" t="n">
        <v>2031</v>
      </c>
      <c r="D124" s="11" t="inlineStr">
        <is>
          <t>新光鋼</t>
        </is>
      </c>
      <c r="E124" s="11" t="n">
        <v>1000</v>
      </c>
      <c r="F124" s="11" t="n">
        <v>61.2</v>
      </c>
      <c r="G124" s="11">
        <f>E124*F124</f>
        <v/>
      </c>
      <c r="H124" s="11" t="n">
        <v>87</v>
      </c>
      <c r="I124" s="169" t="n">
        <v>44445</v>
      </c>
      <c r="J124" s="16" t="n">
        <v>67</v>
      </c>
      <c r="K124" s="11">
        <f>E124*J124</f>
        <v/>
      </c>
      <c r="L124" s="17" t="n">
        <v>95</v>
      </c>
      <c r="M124" s="11" t="n">
        <v>201</v>
      </c>
      <c r="N124" s="11" t="n">
        <v>0</v>
      </c>
      <c r="O124" s="434">
        <f>IF(I124="",E124*Y124,0)</f>
        <v/>
      </c>
      <c r="P124" s="435">
        <f>IF(I124="",R124-H124,(K124-H124-SUM(L124:N124)+R124-S124-T124)-G124)+(ROUND(R124*V124,0)-ROUND(R124*(1+V124),0)*W124)</f>
        <v/>
      </c>
      <c r="Q124" s="435">
        <f>IF(I124="",(O124-G124-(O124*0.1425%*0.65)-(O124*0.3%)-S124-T124),0)</f>
        <v/>
      </c>
      <c r="R124" s="435" t="n">
        <v>1920</v>
      </c>
      <c r="S124" s="435" t="n">
        <v>10</v>
      </c>
      <c r="T124" s="435">
        <f>IF(ROUND(R124*(1+V124),0)&gt;20000,ROUND(ROUND(R124*(1+V124),0)*2%,0),0)</f>
        <v/>
      </c>
      <c r="U124" s="69">
        <f>(V124*50%)/(1+50%*V124)</f>
        <v/>
      </c>
      <c r="V124" s="69" t="n"/>
      <c r="W124" s="70" t="n">
        <v>0.11</v>
      </c>
      <c r="X124" s="436">
        <f>(P124+Q124)/G124</f>
        <v/>
      </c>
      <c r="Y124" s="16">
        <f>VLOOKUP(C124,台股行情!A:D,4,FALSE)</f>
        <v/>
      </c>
      <c r="Z124" s="437">
        <f>VLOOKUP(C124,台股行情!A:E,5,FALSE)</f>
        <v/>
      </c>
      <c r="AA124" s="438">
        <f>IF(I124="",((TODAY()-A124)*G124)/365.24,((I124-A124)*G124)/365.24)</f>
        <v/>
      </c>
      <c r="AB124" s="103" t="inlineStr">
        <is>
          <t>台股</t>
        </is>
      </c>
    </row>
    <row r="125" hidden="1" outlineLevel="1">
      <c r="A125" s="99" t="n">
        <v>44390</v>
      </c>
      <c r="B125" s="11" t="inlineStr">
        <is>
          <t>普通買進</t>
        </is>
      </c>
      <c r="C125" s="11" t="n">
        <v>3029</v>
      </c>
      <c r="D125" s="11" t="inlineStr">
        <is>
          <t>零壹</t>
        </is>
      </c>
      <c r="E125" s="11" t="n">
        <v>1000</v>
      </c>
      <c r="F125" s="11" t="n">
        <v>49.5</v>
      </c>
      <c r="G125" s="11">
        <f>E125*F125</f>
        <v/>
      </c>
      <c r="H125" s="11" t="n">
        <v>70</v>
      </c>
      <c r="I125" s="169" t="n">
        <v>44456</v>
      </c>
      <c r="J125" s="16" t="n">
        <v>45.9</v>
      </c>
      <c r="K125" s="11">
        <f>E125*J125</f>
        <v/>
      </c>
      <c r="L125" s="17" t="n">
        <v>65</v>
      </c>
      <c r="M125" s="11" t="n">
        <v>137</v>
      </c>
      <c r="N125" s="11" t="n">
        <v>0</v>
      </c>
      <c r="O125" s="434">
        <f>IF(I125="",E125*Y125,0)</f>
        <v/>
      </c>
      <c r="P125" s="435">
        <f>IF(I125="",R125-H125,(K125-H125-SUM(L125:N125)+R125-S125-T125)-G125)+(ROUND(R125*V125,0)-ROUND(R125*(1+V125),0)*W125)</f>
        <v/>
      </c>
      <c r="Q125" s="435">
        <f>IF(I125="",(O125-G125-(O125*0.1425%*0.65)-(O125*0.3%)-S125-T125),0)</f>
        <v/>
      </c>
      <c r="R125" s="435" t="n">
        <v>3000</v>
      </c>
      <c r="S125" s="435" t="n">
        <v>10</v>
      </c>
      <c r="T125" s="435">
        <f>IF(ROUND(R125*(1+V125),0)&gt;20000,ROUND(ROUND(R125*(1+V125),0)*2%,0),0)</f>
        <v/>
      </c>
      <c r="U125" s="69">
        <f>(V125*50%)/(1+50%*V125)</f>
        <v/>
      </c>
      <c r="V125" s="69" t="n"/>
      <c r="W125" s="70" t="n">
        <v>0.11</v>
      </c>
      <c r="X125" s="436">
        <f>(P125+Q125)/G125</f>
        <v/>
      </c>
      <c r="Y125" s="16">
        <f>VLOOKUP(C125,台股行情!A:D,4,FALSE)</f>
        <v/>
      </c>
      <c r="Z125" s="437">
        <f>VLOOKUP(C125,台股行情!A:E,5,FALSE)</f>
        <v/>
      </c>
      <c r="AA125" s="438">
        <f>IF(I125="",((TODAY()-A125)*G125)/365.24,((I125-A125)*G125)/365.24)</f>
        <v/>
      </c>
      <c r="AB125" s="103" t="inlineStr">
        <is>
          <t>台股</t>
        </is>
      </c>
    </row>
    <row r="126" hidden="1" outlineLevel="1">
      <c r="A126" s="99" t="n">
        <v>44300</v>
      </c>
      <c r="B126" s="11" t="inlineStr">
        <is>
          <t>普通買進</t>
        </is>
      </c>
      <c r="C126" s="11" t="n">
        <v>2618</v>
      </c>
      <c r="D126" s="11" t="inlineStr">
        <is>
          <t>長榮航</t>
        </is>
      </c>
      <c r="E126" s="11" t="n">
        <v>4000</v>
      </c>
      <c r="F126" s="11" t="n">
        <v>17.95</v>
      </c>
      <c r="G126" s="11">
        <f>E126*F126</f>
        <v/>
      </c>
      <c r="H126" s="11" t="n">
        <v>122</v>
      </c>
      <c r="I126" s="169" t="n">
        <v>44503</v>
      </c>
      <c r="J126" s="16" t="n">
        <v>20.5</v>
      </c>
      <c r="K126" s="11">
        <f>E126*J126</f>
        <v/>
      </c>
      <c r="L126" s="17" t="n">
        <v>116</v>
      </c>
      <c r="M126" s="11" t="n">
        <v>246</v>
      </c>
      <c r="N126" s="11" t="n">
        <v>0</v>
      </c>
      <c r="O126" s="434">
        <f>IF(I126="",E126*Y126,0)</f>
        <v/>
      </c>
      <c r="P126" s="435">
        <f>IF(I126="",R126-H126,(K126-H126-SUM(L126:N126)+R126-S126-T126)-G126)+(ROUND(R126*V126,0)-ROUND(R126*(1+V126),0)*W126)</f>
        <v/>
      </c>
      <c r="Q126" s="435">
        <f>IF(I126="",(O126-G126-(O126*0.1425%*0.65)-(O126*0.3%)-S126-T126),0)</f>
        <v/>
      </c>
      <c r="R126" s="435" t="n"/>
      <c r="S126" s="435" t="n">
        <v>10</v>
      </c>
      <c r="T126" s="435">
        <f>IF(ROUND(R126*(1+V126),0)&gt;20000,ROUND(ROUND(R126*(1+V126),0)*2%,0),0)</f>
        <v/>
      </c>
      <c r="U126" s="69">
        <f>(V126*50%)/(1+50%*V126)</f>
        <v/>
      </c>
      <c r="V126" s="69" t="n"/>
      <c r="W126" s="70" t="n">
        <v>0.11</v>
      </c>
      <c r="X126" s="436">
        <f>(P126+Q126)/G126</f>
        <v/>
      </c>
      <c r="Y126" s="16">
        <f>VLOOKUP(C126,台股行情!A:D,4,FALSE)</f>
        <v/>
      </c>
      <c r="Z126" s="437">
        <f>VLOOKUP(C126,台股行情!A:E,5,FALSE)</f>
        <v/>
      </c>
      <c r="AA126" s="438">
        <f>IF(I126="",((TODAY()-A126)*G126)/365.24,((I126-A126)*G126)/365.24)</f>
        <v/>
      </c>
      <c r="AB126" s="103" t="inlineStr">
        <is>
          <t>台股</t>
        </is>
      </c>
    </row>
    <row r="127" hidden="1" outlineLevel="1">
      <c r="A127" s="99" t="n">
        <v>44313</v>
      </c>
      <c r="B127" s="11" t="inlineStr">
        <is>
          <t>普通買進</t>
        </is>
      </c>
      <c r="C127" s="11" t="n">
        <v>8440</v>
      </c>
      <c r="D127" s="11" t="inlineStr">
        <is>
          <t>綠電</t>
        </is>
      </c>
      <c r="E127" s="11" t="n">
        <v>1000</v>
      </c>
      <c r="F127" s="11" t="n">
        <v>22.7</v>
      </c>
      <c r="G127" s="11">
        <f>E127*F127</f>
        <v/>
      </c>
      <c r="H127" s="11" t="n">
        <v>32</v>
      </c>
      <c r="I127" s="169" t="n">
        <v>44531</v>
      </c>
      <c r="J127" s="16" t="n">
        <v>18.4</v>
      </c>
      <c r="K127" s="11">
        <f>E127*J127</f>
        <v/>
      </c>
      <c r="L127" s="17" t="n">
        <v>26</v>
      </c>
      <c r="M127" s="11" t="n">
        <v>55</v>
      </c>
      <c r="N127" s="11" t="n">
        <v>0</v>
      </c>
      <c r="O127" s="434">
        <f>IF(I127="",E127*Y127,0)</f>
        <v/>
      </c>
      <c r="P127" s="435">
        <f>IF(I127="",R127-H127,(K127-H127-SUM(L127:N127)+R127-S127-T127)-G127)+(ROUND(R127*V127,0)-ROUND(R127*(1+V127),0)*W127)</f>
        <v/>
      </c>
      <c r="Q127" s="435">
        <f>IF(I127="",(O127-G127-(O127*0.1425%*0.65)-(O127*0.3%)-S127-T127),0)</f>
        <v/>
      </c>
      <c r="R127" s="435" t="n">
        <v>600</v>
      </c>
      <c r="S127" s="435" t="n">
        <v>10</v>
      </c>
      <c r="T127" s="435">
        <f>IF(ROUND(R127*(1+V127),0)&gt;20000,ROUND(ROUND(R127*(1+V127),0)*2%,0),0)</f>
        <v/>
      </c>
      <c r="U127" s="69">
        <f>(V127*50%)/(1+50%*V127)</f>
        <v/>
      </c>
      <c r="V127" s="69" t="n"/>
      <c r="W127" s="70" t="n">
        <v>0.11</v>
      </c>
      <c r="X127" s="436">
        <f>(P127+Q127)/G127</f>
        <v/>
      </c>
      <c r="Y127" s="16">
        <f>VLOOKUP(C127,台股行情!A:D,4,FALSE)</f>
        <v/>
      </c>
      <c r="Z127" s="437">
        <f>VLOOKUP(C127,台股行情!A:E,5,FALSE)</f>
        <v/>
      </c>
      <c r="AA127" s="438">
        <f>IF(I127="",((TODAY()-A127)*G127)/365.24,((I127-A127)*G127)/365.24)</f>
        <v/>
      </c>
      <c r="AB127" s="103" t="inlineStr">
        <is>
          <t>台股</t>
        </is>
      </c>
    </row>
    <row r="128" hidden="1" outlineLevel="1">
      <c r="A128" s="99" t="n">
        <v>44445</v>
      </c>
      <c r="B128" s="11" t="inlineStr">
        <is>
          <t>普通買進</t>
        </is>
      </c>
      <c r="C128" s="11" t="n">
        <v>6196</v>
      </c>
      <c r="D128" s="11" t="inlineStr">
        <is>
          <t>帆宣</t>
        </is>
      </c>
      <c r="E128" s="11" t="n">
        <v>1000</v>
      </c>
      <c r="F128" s="11" t="n">
        <v>116</v>
      </c>
      <c r="G128" s="11">
        <f>E128*F128</f>
        <v/>
      </c>
      <c r="H128" s="11" t="n">
        <v>165</v>
      </c>
      <c r="I128" s="169" t="n">
        <v>44545</v>
      </c>
      <c r="J128" s="16" t="n">
        <v>149</v>
      </c>
      <c r="K128" s="11">
        <f>E128*J128</f>
        <v/>
      </c>
      <c r="L128" s="17" t="n">
        <v>212</v>
      </c>
      <c r="M128" s="11" t="n">
        <v>447</v>
      </c>
      <c r="N128" s="11" t="n">
        <v>0</v>
      </c>
      <c r="O128" s="434">
        <f>IF(I128="",E128*Y128,0)</f>
        <v/>
      </c>
      <c r="P128" s="435">
        <f>IF(I128="",R128-H128,(K128-H128-SUM(L128:N128)+R128-S128-T128)-G128)+(ROUND(R128*V128,0)-ROUND(R128*(1+V128),0)*W128)</f>
        <v/>
      </c>
      <c r="Q128" s="435">
        <f>IF(I128="",(O128-G128-(O128*0.1425%*0.65)-(O128*0.3%)-S128-T128),0)</f>
        <v/>
      </c>
      <c r="R128" s="435" t="n"/>
      <c r="S128" s="435" t="n">
        <v>10</v>
      </c>
      <c r="T128" s="435">
        <f>IF(ROUND(R128*(1+V128),0)&gt;20000,ROUND(ROUND(R128*(1+V128),0)*2%,0),0)</f>
        <v/>
      </c>
      <c r="U128" s="69">
        <f>(V128*50%)/(1+50%*V128)</f>
        <v/>
      </c>
      <c r="V128" s="69" t="n"/>
      <c r="W128" s="70" t="n">
        <v>0.11</v>
      </c>
      <c r="X128" s="436">
        <f>(P128+Q128)/G128</f>
        <v/>
      </c>
      <c r="Y128" s="16">
        <f>VLOOKUP(C128,台股行情!A:D,4,FALSE)</f>
        <v/>
      </c>
      <c r="Z128" s="437">
        <f>VLOOKUP(C128,台股行情!A:E,5,FALSE)</f>
        <v/>
      </c>
      <c r="AA128" s="438">
        <f>IF(I128="",((TODAY()-A128)*G128)/365.24,((I128-A128)*G128)/365.24)</f>
        <v/>
      </c>
      <c r="AB128" s="103" t="inlineStr">
        <is>
          <t>台股</t>
        </is>
      </c>
    </row>
    <row r="129" hidden="1" outlineLevel="1">
      <c r="A129" s="99" t="n">
        <v>44522</v>
      </c>
      <c r="B129" s="11" t="inlineStr">
        <is>
          <t>普通買進</t>
        </is>
      </c>
      <c r="C129" s="11" t="n">
        <v>3481</v>
      </c>
      <c r="D129" s="11" t="inlineStr">
        <is>
          <t>群創</t>
        </is>
      </c>
      <c r="E129" s="11" t="n">
        <v>1000</v>
      </c>
      <c r="F129" s="11" t="n">
        <v>19.05</v>
      </c>
      <c r="G129" s="11">
        <f>E129*F129</f>
        <v/>
      </c>
      <c r="H129" s="11" t="n">
        <v>27</v>
      </c>
      <c r="I129" s="169" t="n">
        <v>44551</v>
      </c>
      <c r="J129" s="16" t="n">
        <v>19.35</v>
      </c>
      <c r="K129" s="11">
        <f>E129*J129</f>
        <v/>
      </c>
      <c r="L129" s="17" t="n">
        <v>27</v>
      </c>
      <c r="M129" s="11" t="n">
        <v>58</v>
      </c>
      <c r="N129" s="11" t="n">
        <v>0</v>
      </c>
      <c r="O129" s="434">
        <f>IF(I129="",E129*Y129,0)</f>
        <v/>
      </c>
      <c r="P129" s="435">
        <f>IF(I129="",R129-H129,(K129-H129-SUM(L129:N129)+R129-S129-T129)-G129)+(ROUND(R129*V129,0)-ROUND(R129*(1+V129),0)*W129)</f>
        <v/>
      </c>
      <c r="Q129" s="435">
        <f>IF(I129="",(O129-G129-(O129*0.1425%*0.65)-(O129*0.3%)-S129-T129),0)</f>
        <v/>
      </c>
      <c r="R129" s="435" t="n"/>
      <c r="S129" s="435" t="n">
        <v>10</v>
      </c>
      <c r="T129" s="435">
        <f>IF(ROUND(R129*(1+V129),0)&gt;20000,ROUND(ROUND(R129*(1+V129),0)*2%,0),0)</f>
        <v/>
      </c>
      <c r="U129" s="69">
        <f>(V129*50%)/(1+50%*V129)</f>
        <v/>
      </c>
      <c r="V129" s="69" t="n"/>
      <c r="W129" s="70" t="n">
        <v>0.11</v>
      </c>
      <c r="X129" s="436">
        <f>(P129+Q129)/G129</f>
        <v/>
      </c>
      <c r="Y129" s="16">
        <f>VLOOKUP(C129,台股行情!A:D,4,FALSE)</f>
        <v/>
      </c>
      <c r="Z129" s="437">
        <f>VLOOKUP(C129,台股行情!A:E,5,FALSE)</f>
        <v/>
      </c>
      <c r="AA129" s="438">
        <f>IF(I129="",((TODAY()-A129)*G129)/365.24,((I129-A129)*G129)/365.24)</f>
        <v/>
      </c>
      <c r="AB129" s="103" t="inlineStr">
        <is>
          <t>台股</t>
        </is>
      </c>
    </row>
    <row r="130" hidden="1" outlineLevel="1">
      <c r="A130" s="99" t="n">
        <v>44293</v>
      </c>
      <c r="B130" s="11" t="inlineStr">
        <is>
          <t>普通買進</t>
        </is>
      </c>
      <c r="C130" s="11" t="n">
        <v>3023</v>
      </c>
      <c r="D130" s="11" t="inlineStr">
        <is>
          <t>信邦</t>
        </is>
      </c>
      <c r="E130" s="11" t="n">
        <v>1000</v>
      </c>
      <c r="F130" s="11" t="n">
        <v>280.5</v>
      </c>
      <c r="G130" s="11">
        <f>E130*F130</f>
        <v/>
      </c>
      <c r="H130" s="11" t="n">
        <v>399</v>
      </c>
      <c r="I130" s="169" t="n">
        <v>44554</v>
      </c>
      <c r="J130" s="16" t="n">
        <v>289.5</v>
      </c>
      <c r="K130" s="11">
        <f>E130*J130</f>
        <v/>
      </c>
      <c r="L130" s="17" t="n">
        <v>412</v>
      </c>
      <c r="M130" s="11" t="n">
        <v>868</v>
      </c>
      <c r="N130" s="11" t="n">
        <v>0</v>
      </c>
      <c r="O130" s="434">
        <f>IF(I130="",E130*Y130,0)</f>
        <v/>
      </c>
      <c r="P130" s="435">
        <f>IF(I130="",R130-H130,(K130-H130-SUM(L130:N130)+R130-S130-T130)-G130)+(ROUND(R130*V130,0)-ROUND(R130*(1+V130),0)*W130)</f>
        <v/>
      </c>
      <c r="Q130" s="435">
        <f>IF(I130="",(O130-G130-(O130*0.1425%*0.65)-(O130*0.3%)-S130-T130),0)</f>
        <v/>
      </c>
      <c r="R130" s="435" t="n">
        <v>6288</v>
      </c>
      <c r="S130" s="435" t="n">
        <v>10</v>
      </c>
      <c r="T130" s="435">
        <f>IF(ROUND(R130*(1+V130),0)&gt;20000,ROUND(ROUND(R130*(1+V130),0)*2%,0),0)</f>
        <v/>
      </c>
      <c r="U130" s="69">
        <f>(V130*50%)/(1+50%*V130)</f>
        <v/>
      </c>
      <c r="V130" s="69" t="n"/>
      <c r="W130" s="70" t="n">
        <v>0.11</v>
      </c>
      <c r="X130" s="436">
        <f>(P130+Q130)/G130</f>
        <v/>
      </c>
      <c r="Y130" s="16">
        <f>VLOOKUP(C130,台股行情!A:D,4,FALSE)</f>
        <v/>
      </c>
      <c r="Z130" s="437">
        <f>VLOOKUP(C130,台股行情!A:E,5,FALSE)</f>
        <v/>
      </c>
      <c r="AA130" s="438">
        <f>IF(I130="",((TODAY()-A130)*G130)/365.24,((I130-A130)*G130)/365.24)</f>
        <v/>
      </c>
      <c r="AB130" s="103" t="inlineStr">
        <is>
          <t>台股</t>
        </is>
      </c>
    </row>
    <row r="131" hidden="1" outlineLevel="1">
      <c r="A131" s="99" t="n">
        <v>44308</v>
      </c>
      <c r="B131" s="11" t="inlineStr">
        <is>
          <t>普通買進</t>
        </is>
      </c>
      <c r="C131" s="11" t="n">
        <v>2208</v>
      </c>
      <c r="D131" s="11" t="inlineStr">
        <is>
          <t>台船</t>
        </is>
      </c>
      <c r="E131" s="11" t="n">
        <v>2000</v>
      </c>
      <c r="F131" s="11" t="n">
        <v>29.35</v>
      </c>
      <c r="G131" s="11">
        <f>E131*F131</f>
        <v/>
      </c>
      <c r="H131" s="11" t="n">
        <v>83</v>
      </c>
      <c r="I131" s="169" t="n">
        <v>44554</v>
      </c>
      <c r="J131" s="16" t="n">
        <v>21.45</v>
      </c>
      <c r="K131" s="11">
        <f>E131*J131</f>
        <v/>
      </c>
      <c r="L131" s="17" t="n">
        <v>60</v>
      </c>
      <c r="M131" s="11" t="n">
        <v>128</v>
      </c>
      <c r="N131" s="11" t="n">
        <v>0</v>
      </c>
      <c r="O131" s="434">
        <f>IF(I131="",E131*Y131,0)</f>
        <v/>
      </c>
      <c r="P131" s="435">
        <f>IF(I131="",R131-H131,(K131-H131-SUM(L131:N131)+R131-S131-T131)-G131)+(ROUND(R131*V131,0)-ROUND(R131*(1+V131),0)*W131)</f>
        <v/>
      </c>
      <c r="Q131" s="435">
        <f>IF(I131="",(O131-G131-(O131*0.1425%*0.65)-(O131*0.3%)-S131-T131),0)</f>
        <v/>
      </c>
      <c r="R131" s="435" t="n"/>
      <c r="S131" s="435" t="n">
        <v>10</v>
      </c>
      <c r="T131" s="435">
        <f>IF(ROUND(R131*(1+V131),0)&gt;20000,ROUND(ROUND(R131*(1+V131),0)*2%,0),0)</f>
        <v/>
      </c>
      <c r="U131" s="69">
        <f>(V131*50%)/(1+50%*V131)</f>
        <v/>
      </c>
      <c r="V131" s="69" t="n"/>
      <c r="W131" s="70" t="n">
        <v>0.11</v>
      </c>
      <c r="X131" s="436">
        <f>(P131+Q131)/G131</f>
        <v/>
      </c>
      <c r="Y131" s="16">
        <f>VLOOKUP(C131,台股行情!A:D,4,FALSE)</f>
        <v/>
      </c>
      <c r="Z131" s="437">
        <f>VLOOKUP(C131,台股行情!A:E,5,FALSE)</f>
        <v/>
      </c>
      <c r="AA131" s="438">
        <f>IF(I131="",((TODAY()-A131)*G131)/365.24,((I131-A131)*G131)/365.24)</f>
        <v/>
      </c>
      <c r="AB131" s="103" t="inlineStr">
        <is>
          <t>台股</t>
        </is>
      </c>
    </row>
    <row r="132" hidden="1" outlineLevel="1">
      <c r="A132" s="99" t="n">
        <v>44522</v>
      </c>
      <c r="B132" s="11" t="inlineStr">
        <is>
          <t>普通買進</t>
        </is>
      </c>
      <c r="C132" s="11" t="n">
        <v>2409</v>
      </c>
      <c r="D132" s="11" t="inlineStr">
        <is>
          <t>友達</t>
        </is>
      </c>
      <c r="E132" s="11" t="n">
        <v>1000</v>
      </c>
      <c r="F132" s="11" t="n">
        <v>21.95</v>
      </c>
      <c r="G132" s="11">
        <f>E132*F132</f>
        <v/>
      </c>
      <c r="H132" s="11" t="n">
        <v>31</v>
      </c>
      <c r="I132" s="169" t="n">
        <v>44554</v>
      </c>
      <c r="J132" s="16" t="n">
        <v>22.35</v>
      </c>
      <c r="K132" s="11">
        <f>E132*J132</f>
        <v/>
      </c>
      <c r="L132" s="17" t="n">
        <v>31</v>
      </c>
      <c r="M132" s="11" t="n">
        <v>67</v>
      </c>
      <c r="N132" s="11" t="n">
        <v>0</v>
      </c>
      <c r="O132" s="434">
        <f>IF(I132="",E132*Y132,0)</f>
        <v/>
      </c>
      <c r="P132" s="435">
        <f>IF(I132="",R132-H132,(K132-H132-SUM(L132:N132)+R132-S132-T132)-G132)+(ROUND(R132*V132,0)-ROUND(R132*(1+V132),0)*W132)</f>
        <v/>
      </c>
      <c r="Q132" s="435">
        <f>IF(I132="",(O132-G132-(O132*0.1425%*0.65)-(O132*0.3%)-S132-T132),0)</f>
        <v/>
      </c>
      <c r="R132" s="435" t="n"/>
      <c r="S132" s="435" t="n">
        <v>10</v>
      </c>
      <c r="T132" s="435">
        <f>IF(ROUND(R132*(1+V132),0)&gt;20000,ROUND(ROUND(R132*(1+V132),0)*2%,0),0)</f>
        <v/>
      </c>
      <c r="U132" s="69">
        <f>(V132*50%)/(1+50%*V132)</f>
        <v/>
      </c>
      <c r="V132" s="69" t="n"/>
      <c r="W132" s="70" t="n">
        <v>0.11</v>
      </c>
      <c r="X132" s="436">
        <f>(P132+Q132)/G132</f>
        <v/>
      </c>
      <c r="Y132" s="16">
        <f>VLOOKUP(C132,台股行情!A:D,4,FALSE)</f>
        <v/>
      </c>
      <c r="Z132" s="437">
        <f>VLOOKUP(C132,台股行情!A:E,5,FALSE)</f>
        <v/>
      </c>
      <c r="AA132" s="438">
        <f>IF(I132="",((TODAY()-A132)*G132)/365.24,((I132-A132)*G132)/365.24)</f>
        <v/>
      </c>
      <c r="AB132" s="103" t="inlineStr">
        <is>
          <t>台股</t>
        </is>
      </c>
    </row>
    <row r="133" hidden="1" outlineLevel="1">
      <c r="A133" s="99" t="n">
        <v>44523</v>
      </c>
      <c r="B133" s="11" t="inlineStr">
        <is>
          <t>普通買進</t>
        </is>
      </c>
      <c r="C133" s="11" t="n">
        <v>2481</v>
      </c>
      <c r="D133" s="219" t="inlineStr">
        <is>
          <t>強茂</t>
        </is>
      </c>
      <c r="E133" s="11" t="n">
        <v>1000</v>
      </c>
      <c r="F133" s="11" t="n">
        <v>108</v>
      </c>
      <c r="G133" s="11">
        <f>E133*F133</f>
        <v/>
      </c>
      <c r="H133" s="11" t="n">
        <v>153</v>
      </c>
      <c r="I133" s="169" t="n">
        <v>44554</v>
      </c>
      <c r="J133" s="16" t="n">
        <v>109</v>
      </c>
      <c r="K133" s="11">
        <f>E133*J133</f>
        <v/>
      </c>
      <c r="L133" s="17" t="n">
        <v>155</v>
      </c>
      <c r="M133" s="11" t="n">
        <v>327</v>
      </c>
      <c r="N133" s="11" t="n">
        <v>0</v>
      </c>
      <c r="O133" s="434">
        <f>IF(I133="",E133*Y133,0)</f>
        <v/>
      </c>
      <c r="P133" s="435">
        <f>IF(I133="",R133-H133,(K133-H133-SUM(L133:N133)+R133-S133-T133)-G133)+(ROUND(R133*V133,0)-ROUND(R133*(1+V133),0)*W133)</f>
        <v/>
      </c>
      <c r="Q133" s="435">
        <f>IF(I133="",(O133-G133-(O133*0.1425%*0.65)-(O133*0.3%)-S133-T133),0)</f>
        <v/>
      </c>
      <c r="R133" s="435" t="n"/>
      <c r="S133" s="435" t="n">
        <v>10</v>
      </c>
      <c r="T133" s="435">
        <f>IF(ROUND(R133*(1+V133),0)&gt;20000,ROUND(ROUND(R133*(1+V133),0)*2%,0),0)</f>
        <v/>
      </c>
      <c r="U133" s="69">
        <f>(V133*50%)/(1+50%*V133)</f>
        <v/>
      </c>
      <c r="V133" s="69" t="n"/>
      <c r="W133" s="70" t="n">
        <v>0.11</v>
      </c>
      <c r="X133" s="436">
        <f>(P133+Q133)/G133</f>
        <v/>
      </c>
      <c r="Y133" s="16">
        <f>VLOOKUP(C133,台股行情!A:D,4,FALSE)</f>
        <v/>
      </c>
      <c r="Z133" s="437">
        <f>VLOOKUP(C133,台股行情!A:E,5,FALSE)</f>
        <v/>
      </c>
      <c r="AA133" s="438">
        <f>IF(I133="",((TODAY()-A133)*G133)/365.24,((I133-A133)*G133)/365.24)</f>
        <v/>
      </c>
      <c r="AB133" s="103" t="inlineStr">
        <is>
          <t>台股</t>
        </is>
      </c>
    </row>
    <row r="134" hidden="1" outlineLevel="1">
      <c r="A134" s="99" t="n">
        <v>44547</v>
      </c>
      <c r="B134" s="11" t="inlineStr">
        <is>
          <t>普通買進</t>
        </is>
      </c>
      <c r="C134" s="11" t="n">
        <v>2103</v>
      </c>
      <c r="D134" s="11" t="inlineStr">
        <is>
          <t>台橡</t>
        </is>
      </c>
      <c r="E134" s="11" t="n">
        <v>1000</v>
      </c>
      <c r="F134" s="11" t="n">
        <v>38.3</v>
      </c>
      <c r="G134" s="11">
        <f>E134*F134</f>
        <v/>
      </c>
      <c r="H134" s="11" t="n">
        <v>54</v>
      </c>
      <c r="I134" s="169" t="n">
        <v>44554</v>
      </c>
      <c r="J134" s="16" t="n">
        <v>40.95</v>
      </c>
      <c r="K134" s="11">
        <f>E134*J134</f>
        <v/>
      </c>
      <c r="L134" s="17" t="n">
        <v>58</v>
      </c>
      <c r="M134" s="11" t="n">
        <v>122</v>
      </c>
      <c r="N134" s="11" t="n">
        <v>0</v>
      </c>
      <c r="O134" s="434">
        <f>IF(I134="",E134*Y134,0)</f>
        <v/>
      </c>
      <c r="P134" s="435">
        <f>IF(I134="",R134-H134,(K134-H134-SUM(L134:N134)+R134-S134-T134)-G134)+(ROUND(R134*V134,0)-ROUND(R134*(1+V134),0)*W134)</f>
        <v/>
      </c>
      <c r="Q134" s="435">
        <f>IF(I134="",(O134-G134-(O134*0.1425%*0.65)-(O134*0.3%)-S134-T134),0)</f>
        <v/>
      </c>
      <c r="R134" s="435" t="n"/>
      <c r="S134" s="435" t="n">
        <v>10</v>
      </c>
      <c r="T134" s="435">
        <f>IF(ROUND(R134*(1+V134),0)&gt;20000,ROUND(ROUND(R134*(1+V134),0)*2%,0),0)</f>
        <v/>
      </c>
      <c r="U134" s="69">
        <f>(V134*50%)/(1+50%*V134)</f>
        <v/>
      </c>
      <c r="V134" s="69" t="n"/>
      <c r="W134" s="70" t="n">
        <v>0.11</v>
      </c>
      <c r="X134" s="436">
        <f>(P134+Q134)/G134</f>
        <v/>
      </c>
      <c r="Y134" s="16">
        <f>VLOOKUP(C134,台股行情!A:D,4,FALSE)</f>
        <v/>
      </c>
      <c r="Z134" s="437">
        <f>VLOOKUP(C134,台股行情!A:E,5,FALSE)</f>
        <v/>
      </c>
      <c r="AA134" s="438">
        <f>IF(I134="",((TODAY()-A134)*G134)/365.24,((I134-A134)*G134)/365.24)</f>
        <v/>
      </c>
      <c r="AB134" s="103" t="inlineStr">
        <is>
          <t>台股</t>
        </is>
      </c>
    </row>
    <row r="135" hidden="1" outlineLevel="1">
      <c r="A135" s="99" t="n">
        <v>44547</v>
      </c>
      <c r="B135" s="11" t="inlineStr">
        <is>
          <t>普通買進</t>
        </is>
      </c>
      <c r="C135" s="11" t="n">
        <v>3060</v>
      </c>
      <c r="D135" s="11" t="inlineStr">
        <is>
          <t>銘異</t>
        </is>
      </c>
      <c r="E135" s="11" t="n">
        <v>1000</v>
      </c>
      <c r="F135" s="11" t="n">
        <v>27.95</v>
      </c>
      <c r="G135" s="11">
        <f>E135*F135</f>
        <v/>
      </c>
      <c r="H135" s="11" t="n">
        <v>39</v>
      </c>
      <c r="I135" s="169" t="n">
        <v>44554</v>
      </c>
      <c r="J135" s="16" t="n">
        <v>26.3</v>
      </c>
      <c r="K135" s="11">
        <f>E135*J135</f>
        <v/>
      </c>
      <c r="L135" s="17" t="n">
        <v>37</v>
      </c>
      <c r="M135" s="11" t="n">
        <v>78</v>
      </c>
      <c r="N135" s="11" t="n">
        <v>0</v>
      </c>
      <c r="O135" s="434">
        <f>IF(I135="",E135*Y135,0)</f>
        <v/>
      </c>
      <c r="P135" s="435">
        <f>IF(I135="",R135-H135,(K135-H135-SUM(L135:N135)+R135-S135-T135)-G135)+(ROUND(R135*V135,0)-ROUND(R135*(1+V135),0)*W135)</f>
        <v/>
      </c>
      <c r="Q135" s="435">
        <f>IF(I135="",(O135-G135-(O135*0.1425%*0.65)-(O135*0.3%)-S135-T135),0)</f>
        <v/>
      </c>
      <c r="R135" s="435" t="n"/>
      <c r="S135" s="435" t="n">
        <v>10</v>
      </c>
      <c r="T135" s="435">
        <f>IF(ROUND(R135*(1+V135),0)&gt;20000,ROUND(ROUND(R135*(1+V135),0)*2%,0),0)</f>
        <v/>
      </c>
      <c r="U135" s="69">
        <f>(V135*50%)/(1+50%*V135)</f>
        <v/>
      </c>
      <c r="V135" s="69" t="n"/>
      <c r="W135" s="70" t="n">
        <v>0.11</v>
      </c>
      <c r="X135" s="436">
        <f>(P135+Q135)/G135</f>
        <v/>
      </c>
      <c r="Y135" s="16">
        <f>VLOOKUP(C135,台股行情!A:D,4,FALSE)</f>
        <v/>
      </c>
      <c r="Z135" s="437">
        <f>VLOOKUP(C135,台股行情!A:E,5,FALSE)</f>
        <v/>
      </c>
      <c r="AA135" s="438">
        <f>IF(I135="",((TODAY()-A135)*G135)/365.24,((I135-A135)*G135)/365.24)</f>
        <v/>
      </c>
      <c r="AB135" s="103" t="inlineStr">
        <is>
          <t>台股</t>
        </is>
      </c>
    </row>
    <row r="136">
      <c r="A136" s="99" t="n">
        <v>44285</v>
      </c>
      <c r="B136" s="11" t="inlineStr">
        <is>
          <t>普通買進</t>
        </is>
      </c>
      <c r="C136" s="11" t="n">
        <v>2344</v>
      </c>
      <c r="D136" s="11" t="inlineStr">
        <is>
          <t>華邦電</t>
        </is>
      </c>
      <c r="E136" s="11" t="n">
        <v>1000</v>
      </c>
      <c r="F136" s="11" t="n">
        <v>30.1</v>
      </c>
      <c r="G136" s="11">
        <f>E136*F136</f>
        <v/>
      </c>
      <c r="H136" s="11" t="n">
        <v>42</v>
      </c>
      <c r="I136" s="308" t="n">
        <v>44567</v>
      </c>
      <c r="J136" s="16" t="n">
        <v>30.75</v>
      </c>
      <c r="K136" s="11">
        <f>E136*J136</f>
        <v/>
      </c>
      <c r="L136" s="17" t="n">
        <v>43</v>
      </c>
      <c r="M136" s="11" t="n">
        <v>92</v>
      </c>
      <c r="N136" s="11" t="n">
        <v>0</v>
      </c>
      <c r="O136" s="434">
        <f>IF(I136="",E136*Y136,0)</f>
        <v/>
      </c>
      <c r="P136" s="435">
        <f>IF(I136="",R136-H136,(K136-H136-SUM(L136:N136)+R136-S136-T136)-G136)+(ROUND(R136*V136,0)-ROUND(R136*(1+V136),0)*W136)</f>
        <v/>
      </c>
      <c r="Q136" s="435">
        <f>IF(I136="",(O136-G136-(O136*0.1425%*0.65)-(O136*0.3%)-S136-T136),0)</f>
        <v/>
      </c>
      <c r="R136" s="435" t="n">
        <v>200</v>
      </c>
      <c r="S136" s="435" t="n">
        <v>10</v>
      </c>
      <c r="T136" s="435">
        <f>IF(ROUND(R136*(1+V136),0)&gt;20000,ROUND(ROUND(R136*(1+V136),0)*2%,0),0)</f>
        <v/>
      </c>
      <c r="U136" s="69">
        <f>(V136*50%)/(1+50%*V136)</f>
        <v/>
      </c>
      <c r="V136" s="69" t="n"/>
      <c r="W136" s="70" t="n">
        <v>0.11</v>
      </c>
      <c r="X136" s="436">
        <f>(P136+Q136)/G136</f>
        <v/>
      </c>
      <c r="Y136" s="16">
        <f>VLOOKUP(C136,台股行情!A:D,4,FALSE)</f>
        <v/>
      </c>
      <c r="Z136" s="437">
        <f>VLOOKUP(C136,台股行情!A:E,5,FALSE)</f>
        <v/>
      </c>
      <c r="AA136" s="438">
        <f>IF(I136="",((TODAY()-A136)*G136)/365.24,((I136-A136)*G136)/365.24)</f>
        <v/>
      </c>
      <c r="AB136" s="103" t="inlineStr">
        <is>
          <t>台股</t>
        </is>
      </c>
    </row>
    <row r="137" outlineLevel="1">
      <c r="A137" s="99" t="n">
        <v>44300</v>
      </c>
      <c r="B137" s="11" t="inlineStr">
        <is>
          <t>普通買進</t>
        </is>
      </c>
      <c r="C137" s="11" t="n">
        <v>2330</v>
      </c>
      <c r="D137" s="11" t="inlineStr">
        <is>
          <t>台積電</t>
        </is>
      </c>
      <c r="E137" s="11" t="n">
        <v>1000</v>
      </c>
      <c r="F137" s="11" t="n">
        <v>607</v>
      </c>
      <c r="G137" s="11">
        <f>E137*F137</f>
        <v/>
      </c>
      <c r="H137" s="11" t="n">
        <v>864</v>
      </c>
      <c r="I137" s="308" t="n">
        <v>44567</v>
      </c>
      <c r="J137" s="16" t="n">
        <v>639</v>
      </c>
      <c r="K137" s="11">
        <f>E137*J137</f>
        <v/>
      </c>
      <c r="L137" s="17" t="n">
        <v>910</v>
      </c>
      <c r="M137" s="11" t="n">
        <v>1917</v>
      </c>
      <c r="N137" s="11" t="n">
        <v>0</v>
      </c>
      <c r="O137" s="434">
        <f>IF(I137="",E137*Y137,0)</f>
        <v/>
      </c>
      <c r="P137" s="435">
        <f>IF(I137="",R137-H137,(K137-H137-SUM(L137:N137)+R137-S137-T137)-G137)+(ROUND(R137*V137,0)-ROUND(R137*(1+V137),0)*W137)</f>
        <v/>
      </c>
      <c r="Q137" s="435">
        <f>IF(I137="",(O137-G137-(O137*0.1425%*0.65)-(O137*0.3%)-S137-T137),0)</f>
        <v/>
      </c>
      <c r="R137" s="435">
        <f>2500+2750+2750</f>
        <v/>
      </c>
      <c r="S137" s="435" t="n">
        <v>30</v>
      </c>
      <c r="T137" s="435">
        <f>IF(ROUND(R137*(1+V137),0)&gt;20000,ROUND(ROUND(R137*(1+V137),0)*2%,0),0)</f>
        <v/>
      </c>
      <c r="U137" s="69">
        <f>(V137*50%)/(1+50%*V137)</f>
        <v/>
      </c>
      <c r="V137" s="69" t="n"/>
      <c r="W137" s="70" t="n">
        <v>0.11</v>
      </c>
      <c r="X137" s="436">
        <f>(P137+Q137)/G137</f>
        <v/>
      </c>
      <c r="Y137" s="16">
        <f>VLOOKUP(C137,台股行情!A:D,4,FALSE)</f>
        <v/>
      </c>
      <c r="Z137" s="437">
        <f>VLOOKUP(C137,台股行情!A:E,5,FALSE)</f>
        <v/>
      </c>
      <c r="AA137" s="438">
        <f>IF(I137="",((TODAY()-A137)*G137)/365.24,((I137-A137)*G137)/365.24)</f>
        <v/>
      </c>
      <c r="AB137" s="103" t="inlineStr">
        <is>
          <t>台股</t>
        </is>
      </c>
    </row>
    <row r="138" outlineLevel="1">
      <c r="A138" s="99" t="n">
        <v>44439</v>
      </c>
      <c r="B138" s="11" t="inlineStr">
        <is>
          <t>普通買進</t>
        </is>
      </c>
      <c r="C138" s="11" t="n">
        <v>3034</v>
      </c>
      <c r="D138" s="11" t="inlineStr">
        <is>
          <t>聯詠</t>
        </is>
      </c>
      <c r="E138" s="11" t="n">
        <v>1000</v>
      </c>
      <c r="F138" s="11" t="n">
        <v>447</v>
      </c>
      <c r="G138" s="11">
        <f>E138*F138</f>
        <v/>
      </c>
      <c r="H138" s="11" t="n">
        <v>636</v>
      </c>
      <c r="I138" s="308" t="n">
        <v>44567</v>
      </c>
      <c r="J138" s="16" t="n">
        <v>516</v>
      </c>
      <c r="K138" s="11">
        <f>E138*J138</f>
        <v/>
      </c>
      <c r="L138" s="17" t="n">
        <v>735</v>
      </c>
      <c r="M138" s="11" t="n">
        <v>1548</v>
      </c>
      <c r="N138" s="11" t="n">
        <v>0</v>
      </c>
      <c r="O138" s="434">
        <f>IF(I138="",E138*Y138,0)</f>
        <v/>
      </c>
      <c r="P138" s="435">
        <f>IF(I138="",R138-H138,(K138-H138-SUM(L138:N138)+R138-S138-T138)-G138)+(ROUND(R138*V138,0)-ROUND(R138*(1+V138),0)*W138)</f>
        <v/>
      </c>
      <c r="Q138" s="435">
        <f>IF(I138="",(O138-G138-(O138*0.1425%*0.65)-(O138*0.3%)-S138-T138),0)</f>
        <v/>
      </c>
      <c r="R138" s="435" t="n"/>
      <c r="S138" s="435" t="n">
        <v>10</v>
      </c>
      <c r="T138" s="435">
        <f>IF(ROUND(R138*(1+V138),0)&gt;20000,ROUND(ROUND(R138*(1+V138),0)*2%,0),0)</f>
        <v/>
      </c>
      <c r="U138" s="69">
        <f>(V138*50%)/(1+50%*V138)</f>
        <v/>
      </c>
      <c r="V138" s="69" t="n"/>
      <c r="W138" s="70" t="n">
        <v>0.11</v>
      </c>
      <c r="X138" s="436">
        <f>(P138+Q138)/G138</f>
        <v/>
      </c>
      <c r="Y138" s="16">
        <f>VLOOKUP(C138,台股行情!A:D,4,FALSE)</f>
        <v/>
      </c>
      <c r="Z138" s="437">
        <f>VLOOKUP(C138,台股行情!A:E,5,FALSE)</f>
        <v/>
      </c>
      <c r="AA138" s="438">
        <f>IF(I138="",((TODAY()-A138)*G138)/365.24,((I138-A138)*G138)/365.24)</f>
        <v/>
      </c>
      <c r="AB138" s="103" t="inlineStr">
        <is>
          <t>台股</t>
        </is>
      </c>
    </row>
    <row r="139" outlineLevel="1">
      <c r="A139" s="99" t="n">
        <v>44515</v>
      </c>
      <c r="B139" s="11" t="inlineStr">
        <is>
          <t>普通買進</t>
        </is>
      </c>
      <c r="C139" s="11" t="n">
        <v>1504</v>
      </c>
      <c r="D139" s="11" t="inlineStr">
        <is>
          <t>東元</t>
        </is>
      </c>
      <c r="E139" s="11" t="n">
        <v>1000</v>
      </c>
      <c r="F139" s="11" t="n">
        <v>31.65</v>
      </c>
      <c r="G139" s="11">
        <f>E139*F139</f>
        <v/>
      </c>
      <c r="H139" s="11" t="n">
        <v>45</v>
      </c>
      <c r="I139" s="308" t="n">
        <v>45006</v>
      </c>
      <c r="J139" s="16" t="n">
        <v>36.25</v>
      </c>
      <c r="K139" s="11">
        <f>E139*J139</f>
        <v/>
      </c>
      <c r="L139" s="17" t="n">
        <v>51</v>
      </c>
      <c r="M139" s="11" t="n">
        <v>108</v>
      </c>
      <c r="N139" s="11" t="n">
        <v>0</v>
      </c>
      <c r="O139" s="434">
        <f>IF(I139="",E139*Y139,0)</f>
        <v/>
      </c>
      <c r="P139" s="435">
        <f>IF(I139="",R139-H139,(K139-H139-SUM(L139:N139)+R139-S139-T139)-G139)+(ROUND(R139*V139,0)-ROUND(R139*(1+V139),0)*W139)</f>
        <v/>
      </c>
      <c r="Q139" s="435">
        <f>IF(I139="",(O139-G139-(O139*0.1425%*0.65)-(O139*0.3%)-S139-T139),0)</f>
        <v/>
      </c>
      <c r="R139" s="435" t="n">
        <v>1350</v>
      </c>
      <c r="S139" s="435" t="n">
        <v>5</v>
      </c>
      <c r="T139" s="435">
        <f>IF(ROUND(R139*(1+V139),0)&gt;20000,ROUND(ROUND(R139*(1+V139),0)*2%,0),0)</f>
        <v/>
      </c>
      <c r="U139" s="69">
        <f>(V139*50%)/(1+50%*V139)</f>
        <v/>
      </c>
      <c r="V139" s="69" t="n"/>
      <c r="W139" s="70" t="n">
        <v>0.11</v>
      </c>
      <c r="X139" s="436">
        <f>(P139+Q139)/G139</f>
        <v/>
      </c>
      <c r="Y139" s="16">
        <f>VLOOKUP(C139,台股行情!A:D,4,FALSE)</f>
        <v/>
      </c>
      <c r="Z139" s="437">
        <f>VLOOKUP(C139,台股行情!A:E,5,FALSE)</f>
        <v/>
      </c>
      <c r="AA139" s="438">
        <f>IF(I139="",((TODAY()-A139)*G139)/365.24,((I139-A139)*G139)/365.24)</f>
        <v/>
      </c>
      <c r="AB139" s="103" t="inlineStr">
        <is>
          <t>台股</t>
        </is>
      </c>
    </row>
    <row r="140" outlineLevel="1">
      <c r="A140" s="99" t="n">
        <v>44515</v>
      </c>
      <c r="B140" s="11" t="inlineStr">
        <is>
          <t>普通買進</t>
        </is>
      </c>
      <c r="C140" s="11" t="n">
        <v>1504</v>
      </c>
      <c r="D140" s="11" t="inlineStr">
        <is>
          <t>東元</t>
        </is>
      </c>
      <c r="E140" s="11" t="n">
        <v>1000</v>
      </c>
      <c r="F140" s="11" t="n">
        <v>31.65</v>
      </c>
      <c r="G140" s="11">
        <f>E140*F140</f>
        <v/>
      </c>
      <c r="H140" s="11" t="n">
        <v>45</v>
      </c>
      <c r="I140" s="308" t="n">
        <v>45009</v>
      </c>
      <c r="J140" s="16" t="n">
        <v>44</v>
      </c>
      <c r="K140" s="11">
        <f>E140*J140</f>
        <v/>
      </c>
      <c r="L140" s="17" t="n">
        <v>62</v>
      </c>
      <c r="M140" s="11" t="n">
        <v>132</v>
      </c>
      <c r="N140" s="11" t="n">
        <v>0</v>
      </c>
      <c r="O140" s="434">
        <f>IF(I140="",E140*Y140,0)</f>
        <v/>
      </c>
      <c r="P140" s="435">
        <f>IF(I140="",R140-H140,(K140-H140-SUM(L140:N140)+R140-S140-T140)-G140)+(ROUND(R140*V140,0)-ROUND(R140*(1+V140),0)*W140)</f>
        <v/>
      </c>
      <c r="Q140" s="435">
        <f>IF(I140="",(O140-G140-(O140*0.1425%*0.65)-(O140*0.3%)-S140-T140),0)</f>
        <v/>
      </c>
      <c r="R140" s="435" t="n">
        <v>1350</v>
      </c>
      <c r="S140" s="435" t="n">
        <v>5</v>
      </c>
      <c r="T140" s="435">
        <f>IF(ROUND(R140*(1+V140),0)&gt;20000,ROUND(ROUND(R140*(1+V140),0)*2%,0),0)</f>
        <v/>
      </c>
      <c r="U140" s="69">
        <f>(V140*50%)/(1+50%*V140)</f>
        <v/>
      </c>
      <c r="V140" s="69" t="n"/>
      <c r="W140" s="70" t="n">
        <v>0.11</v>
      </c>
      <c r="X140" s="436">
        <f>(P140+Q140)/G140</f>
        <v/>
      </c>
      <c r="Y140" s="16">
        <f>VLOOKUP(C140,台股行情!A:D,4,FALSE)</f>
        <v/>
      </c>
      <c r="Z140" s="437">
        <f>VLOOKUP(C140,台股行情!A:E,5,FALSE)</f>
        <v/>
      </c>
      <c r="AA140" s="438">
        <f>IF(I140="",((TODAY()-A140)*G140)/365.24,((I140-A140)*G140)/365.24)</f>
        <v/>
      </c>
      <c r="AB140" s="103" t="inlineStr">
        <is>
          <t>台股</t>
        </is>
      </c>
    </row>
    <row r="141" outlineLevel="1">
      <c r="A141" s="99" t="n">
        <v>44308</v>
      </c>
      <c r="B141" s="11" t="inlineStr">
        <is>
          <t>普通買進</t>
        </is>
      </c>
      <c r="C141" s="11" t="n">
        <v>3090</v>
      </c>
      <c r="D141" s="11" t="inlineStr">
        <is>
          <t>日電貿</t>
        </is>
      </c>
      <c r="E141" s="11" t="n">
        <v>1000</v>
      </c>
      <c r="F141" s="11" t="n">
        <v>59.2</v>
      </c>
      <c r="G141" s="11">
        <f>E141*F141</f>
        <v/>
      </c>
      <c r="H141" s="11" t="n">
        <v>84</v>
      </c>
      <c r="I141" s="308" t="n">
        <v>45104</v>
      </c>
      <c r="J141" s="16" t="n">
        <v>58.2</v>
      </c>
      <c r="K141" s="11">
        <f>E141*J141</f>
        <v/>
      </c>
      <c r="L141" s="17" t="n">
        <v>82</v>
      </c>
      <c r="M141" s="11" t="n">
        <v>174</v>
      </c>
      <c r="N141" s="11" t="n">
        <v>0</v>
      </c>
      <c r="O141" s="434">
        <f>IF(I141="",E141*Y141,0)</f>
        <v/>
      </c>
      <c r="P141" s="435">
        <f>IF(I141="",R141-H141,(K141-H141-SUM(L141:N141)+R141-S141-T141)-G141)+(ROUND(R141*V141,0)-ROUND(R141*(1+V141),0)*W141)</f>
        <v/>
      </c>
      <c r="Q141" s="435">
        <f>IF(I141="",(O141-G141-(O141*0.1425%*0.65)-(O141*0.3%)-S141-T141),0)</f>
        <v/>
      </c>
      <c r="R141" s="435">
        <f>3100+4000</f>
        <v/>
      </c>
      <c r="S141" s="435" t="n">
        <v>20</v>
      </c>
      <c r="T141" s="435">
        <f>IF(ROUND(R141*(1+V141),0)&gt;20000,ROUND(ROUND(R141*(1+V141),0)*2%,0),0)</f>
        <v/>
      </c>
      <c r="U141" s="69">
        <f>(V141*50%)/(1+50%*V141)</f>
        <v/>
      </c>
      <c r="V141" s="69" t="n"/>
      <c r="W141" s="70" t="n">
        <v>0.11</v>
      </c>
      <c r="X141" s="436">
        <f>(P141+Q141)/G141</f>
        <v/>
      </c>
      <c r="Y141" s="16">
        <f>VLOOKUP(C141,台股行情!A:D,4,FALSE)</f>
        <v/>
      </c>
      <c r="Z141" s="437">
        <f>VLOOKUP(C141,台股行情!A:E,5,FALSE)</f>
        <v/>
      </c>
      <c r="AA141" s="438">
        <f>IF(I141="",((TODAY()-A141)*G141)/365.24,((I141-A141)*G141)/365.24)</f>
        <v/>
      </c>
      <c r="AB141" s="103" t="inlineStr">
        <is>
          <t>台股</t>
        </is>
      </c>
    </row>
    <row r="142" outlineLevel="1">
      <c r="A142" s="99" t="n">
        <v>44299</v>
      </c>
      <c r="B142" s="11" t="inlineStr">
        <is>
          <t>普通買進</t>
        </is>
      </c>
      <c r="C142" s="11" t="n">
        <v>4930</v>
      </c>
      <c r="D142" s="11" t="inlineStr">
        <is>
          <t>燦星網</t>
        </is>
      </c>
      <c r="E142" s="11" t="n">
        <v>595</v>
      </c>
      <c r="F142" s="11" t="n">
        <v>35.95</v>
      </c>
      <c r="G142" s="183" t="n">
        <v>35950</v>
      </c>
      <c r="H142" s="183" t="n">
        <v>51</v>
      </c>
      <c r="I142" s="308" t="n">
        <v>45520</v>
      </c>
      <c r="J142" s="16" t="n">
        <v>31.7</v>
      </c>
      <c r="K142" s="11" t="n">
        <v>18861</v>
      </c>
      <c r="L142" s="17" t="n">
        <v>26</v>
      </c>
      <c r="M142" s="11" t="n">
        <v>56</v>
      </c>
      <c r="N142" s="11" t="n">
        <v>0</v>
      </c>
      <c r="O142" s="434">
        <f>IF(I142="",E142*Y142,0)</f>
        <v/>
      </c>
      <c r="P142" s="435">
        <f>IF(I142="",R142-H142,(K142-H142-SUM(L142:N142)+R142-S142-T142)-G142)+(ROUND(R142*V142,0)-ROUND(R142*(1+V142),0)*W142)</f>
        <v/>
      </c>
      <c r="Q142" s="435">
        <f>IF(I142="",(O142-G142-(O142*0.1425%*0.65)-(O142*0.3%)-S142-T142),0)</f>
        <v/>
      </c>
      <c r="R142" s="435">
        <f>3500+4049+2856+1190+1368</f>
        <v/>
      </c>
      <c r="S142" s="435" t="n">
        <v>50</v>
      </c>
      <c r="T142" s="435">
        <f>IF(ROUND(R142*(1+V142),0)&gt;20000,ROUND(ROUND(R142*(1+V142),0)*2%,0),0)</f>
        <v/>
      </c>
      <c r="U142" s="69">
        <f>(V142*50%)/(1+50%*V142)</f>
        <v/>
      </c>
      <c r="V142" s="69" t="n"/>
      <c r="W142" s="70" t="n">
        <v>0.11</v>
      </c>
      <c r="X142" s="436">
        <f>(P142+Q142)/G142</f>
        <v/>
      </c>
      <c r="Y142" s="16">
        <f>VLOOKUP(C142,台股行情!A:D,4,FALSE)</f>
        <v/>
      </c>
      <c r="Z142" s="437">
        <f>VLOOKUP(C142,台股行情!A:E,5,FALSE)</f>
        <v/>
      </c>
      <c r="AA142" s="438">
        <f>IF(I142="",((TODAY()-A142)*G142)/365.24,((I142-A142)*G142)/365.24)</f>
        <v/>
      </c>
      <c r="AB142" s="103" t="inlineStr">
        <is>
          <t>台股</t>
        </is>
      </c>
    </row>
    <row r="143" outlineLevel="1">
      <c r="A143" s="99" t="n">
        <v>44517</v>
      </c>
      <c r="B143" s="11" t="inlineStr">
        <is>
          <t>普通買進</t>
        </is>
      </c>
      <c r="C143" s="11" t="n">
        <v>3545</v>
      </c>
      <c r="D143" s="11" t="inlineStr">
        <is>
          <t>敦泰</t>
        </is>
      </c>
      <c r="E143" s="11" t="n">
        <v>1000</v>
      </c>
      <c r="F143" s="11" t="n">
        <v>164</v>
      </c>
      <c r="G143" s="11" t="n">
        <v>164000</v>
      </c>
      <c r="H143" s="11" t="n">
        <v>233</v>
      </c>
      <c r="I143" s="308" t="n">
        <v>46031</v>
      </c>
      <c r="J143" s="16" t="n">
        <v>52.3</v>
      </c>
      <c r="K143" s="11" t="n">
        <v>52300</v>
      </c>
      <c r="L143" s="11" t="n">
        <v>74</v>
      </c>
      <c r="M143" s="11" t="n">
        <v>156</v>
      </c>
      <c r="N143" s="11" t="n">
        <v>0</v>
      </c>
      <c r="O143" s="434" t="n">
        <v>0</v>
      </c>
      <c r="P143" s="435" t="n">
        <v>-95230.7</v>
      </c>
      <c r="Q143" s="435" t="n">
        <v>0</v>
      </c>
      <c r="R143" s="435" t="n">
        <v>19070</v>
      </c>
      <c r="S143" s="435" t="n">
        <v>40</v>
      </c>
      <c r="T143" s="435" t="n">
        <v>0</v>
      </c>
      <c r="U143" s="69" t="n">
        <v>0</v>
      </c>
      <c r="V143" s="69" t="n"/>
      <c r="W143" s="70" t="n">
        <v>0.11</v>
      </c>
      <c r="X143" s="436" t="n">
        <v>-0.5806749999999999</v>
      </c>
      <c r="Y143" s="16" t="n">
        <v>52.8</v>
      </c>
      <c r="Z143" s="437">
        <f>VLOOKUP(C143,台股行情!A:E,5,FALSE)</f>
        <v/>
      </c>
      <c r="AA143" s="438">
        <f>IF(I143="",((TODAY()-A143)*G143)/365.24,((I143-A143)*G143)/365.24)</f>
        <v/>
      </c>
      <c r="AB143" s="103" t="inlineStr">
        <is>
          <t>台股</t>
        </is>
      </c>
    </row>
    <row r="144" outlineLevel="1">
      <c r="A144" s="99" t="n">
        <v>44308</v>
      </c>
      <c r="B144" s="11" t="inlineStr">
        <is>
          <t>普通買進</t>
        </is>
      </c>
      <c r="C144" s="11" t="n">
        <v>2002</v>
      </c>
      <c r="D144" s="11">
        <f>VLOOKUP(C144,台股行情!A:B,2,FALSE)</f>
        <v/>
      </c>
      <c r="E144" s="11" t="n">
        <v>1000</v>
      </c>
      <c r="F144" s="11" t="n">
        <v>39.9</v>
      </c>
      <c r="G144" s="11">
        <f>E144*F144</f>
        <v/>
      </c>
      <c r="H144" s="11" t="n">
        <v>56</v>
      </c>
      <c r="I144" s="308" t="n">
        <v>46042</v>
      </c>
      <c r="J144" s="16" t="n">
        <v>19.25</v>
      </c>
      <c r="K144" s="11">
        <f>E144*J144</f>
        <v/>
      </c>
      <c r="L144" s="11">
        <f>ROUND(J144*E144*0.1425%,0)</f>
        <v/>
      </c>
      <c r="M144" s="11">
        <f>ROUND(J144*E144*0.3%,0)</f>
        <v/>
      </c>
      <c r="N144" s="11" t="n">
        <v>0</v>
      </c>
      <c r="O144" s="434">
        <f>IF(I144="",E144*Y144,0)</f>
        <v/>
      </c>
      <c r="P144" s="435">
        <f>IF(I144="",R144-H144,(K144-H144-SUM(L144:N144)+R144-S144-T144)-G144)+(ROUND(R144*V144,0)-ROUND(R144*(1+V144),0)*W144)</f>
        <v/>
      </c>
      <c r="Q144" s="435">
        <f>IF(I144="",(O144-G144-(O144*0.1425%*0.65)-(O144*0.3%)-S144-T144),0)</f>
        <v/>
      </c>
      <c r="R144" s="435">
        <f>300+3100+1000+350+330</f>
        <v/>
      </c>
      <c r="S144" s="435" t="n">
        <v>50</v>
      </c>
      <c r="T144" s="435">
        <f>IF(ROUND(R144*(1+V144),0)&gt;20000,ROUND(ROUND(R144*(1+V144),0)*2%,0),0)</f>
        <v/>
      </c>
      <c r="U144" s="69">
        <f>(V144*50%)/(1+50%*V144)</f>
        <v/>
      </c>
      <c r="V144" s="69" t="n"/>
      <c r="W144" s="70" t="n">
        <v>0.11</v>
      </c>
      <c r="X144" s="436">
        <f>(P144+Q144)/G144</f>
        <v/>
      </c>
      <c r="Y144" s="16">
        <f>VLOOKUP(C144,台股行情!A:D,4,FALSE)</f>
        <v/>
      </c>
      <c r="Z144" s="437">
        <f>VLOOKUP(C144,台股行情!A:E,5,FALSE)</f>
        <v/>
      </c>
      <c r="AA144" s="438">
        <f>IF(I144="",((TODAY()-A144)*G144)/365.24,((I144-A144)*G144)/365.24)</f>
        <v/>
      </c>
      <c r="AB144" s="103" t="inlineStr">
        <is>
          <t>台股</t>
        </is>
      </c>
    </row>
    <row r="145" outlineLevel="1">
      <c r="A145" s="99" t="n">
        <v>44308</v>
      </c>
      <c r="B145" s="11" t="inlineStr">
        <is>
          <t>普通買進</t>
        </is>
      </c>
      <c r="C145" s="11" t="n">
        <v>2002</v>
      </c>
      <c r="D145" s="11">
        <f>VLOOKUP(C145,台股行情!A:B,2,FALSE)</f>
        <v/>
      </c>
      <c r="E145" s="11" t="n">
        <v>2000</v>
      </c>
      <c r="F145" s="11" t="n">
        <v>39.2</v>
      </c>
      <c r="G145" s="11">
        <f>E145*F145</f>
        <v/>
      </c>
      <c r="H145" s="11" t="n">
        <v>111</v>
      </c>
      <c r="I145" s="308" t="n">
        <v>46043</v>
      </c>
      <c r="J145" s="16" t="n">
        <v>19.05</v>
      </c>
      <c r="K145" s="11">
        <f>E145*J145</f>
        <v/>
      </c>
      <c r="L145" s="11">
        <f>ROUND(J145*E145*0.1425%,0)</f>
        <v/>
      </c>
      <c r="M145" s="11">
        <f>ROUND(J145*E145*0.3%,0)</f>
        <v/>
      </c>
      <c r="N145" s="11" t="n">
        <v>0</v>
      </c>
      <c r="O145" s="434">
        <f>IF(I145="",E145*Y145,0)</f>
        <v/>
      </c>
      <c r="P145" s="435">
        <f>IF(I145="",R145-H145,(K145-H145-SUM(L145:N145)+R145-S145-T145)-G145)+(ROUND(R145*V145,0)-ROUND(R145*(1+V145),0)*W145)</f>
        <v/>
      </c>
      <c r="Q145" s="435">
        <f>IF(I145="",(O145-G145-(O145*0.1425%*0.65)-(O145*0.3%)-S145-T145),0)</f>
        <v/>
      </c>
      <c r="R145" s="435">
        <f>600+6200+2000+700+660</f>
        <v/>
      </c>
      <c r="S145" s="435" t="n">
        <v>50</v>
      </c>
      <c r="T145" s="435">
        <f>IF(ROUND(R145*(1+V145),0)&gt;20000,ROUND(ROUND(R145*(1+V145),0)*2%,0),0)</f>
        <v/>
      </c>
      <c r="U145" s="69">
        <f>(V145*50%)/(1+50%*V145)</f>
        <v/>
      </c>
      <c r="V145" s="69" t="n"/>
      <c r="W145" s="70" t="n">
        <v>0.11</v>
      </c>
      <c r="X145" s="436">
        <f>(P145+Q145)/G145</f>
        <v/>
      </c>
      <c r="Y145" s="16">
        <f>VLOOKUP(C145,台股行情!A:D,4,FALSE)</f>
        <v/>
      </c>
      <c r="Z145" s="437">
        <f>VLOOKUP(C145,台股行情!A:E,5,FALSE)</f>
        <v/>
      </c>
      <c r="AA145" s="438">
        <f>IF(I145="",((TODAY()-A145)*G145)/365.24,((I145-A145)*G145)/365.24)</f>
        <v/>
      </c>
      <c r="AB145" s="103" t="inlineStr">
        <is>
          <t>台股</t>
        </is>
      </c>
    </row>
    <row r="146" outlineLevel="1">
      <c r="A146" s="99" t="n">
        <v>44293</v>
      </c>
      <c r="B146" s="11" t="inlineStr">
        <is>
          <t>普通買進</t>
        </is>
      </c>
      <c r="C146" s="11" t="n">
        <v>8086</v>
      </c>
      <c r="D146" s="11">
        <f>VLOOKUP(C146,台股行情!A:B,2,FALSE)</f>
        <v/>
      </c>
      <c r="E146" s="11" t="n">
        <v>1000</v>
      </c>
      <c r="F146" s="11" t="n">
        <v>165.5</v>
      </c>
      <c r="G146" s="11">
        <f>E146*F146</f>
        <v/>
      </c>
      <c r="H146" s="11" t="n">
        <v>235</v>
      </c>
      <c r="I146" s="308" t="n">
        <v>46090</v>
      </c>
      <c r="J146" s="16" t="n">
        <v>118</v>
      </c>
      <c r="K146" s="11">
        <f>E146*J146</f>
        <v/>
      </c>
      <c r="L146" s="11" t="n">
        <v>168</v>
      </c>
      <c r="M146" s="11" t="n">
        <v>354</v>
      </c>
      <c r="N146" s="11" t="n">
        <v>0</v>
      </c>
      <c r="O146" s="434">
        <f>IF(I146="",E146*Y146,0)</f>
        <v/>
      </c>
      <c r="P146" s="435">
        <f>IF(I146="",R146-H146,(K146-H146-SUM(L146:N146)+R146-S146-T146)-G146)+(ROUND(R146*V146,0)-ROUND(R146*(1+V146),0)*W146)</f>
        <v/>
      </c>
      <c r="Q146" s="435">
        <f>IF(I146="",(O146-G146-(O146*0.1425%*0.65)-(O146*0.3%)-S146-T146),0)</f>
        <v/>
      </c>
      <c r="R146" s="435">
        <f>2800+2800+1000+1190</f>
        <v/>
      </c>
      <c r="S146" s="435" t="n">
        <v>40</v>
      </c>
      <c r="T146" s="435">
        <f>IF(ROUND(R146*(1+V146),0)&gt;20000,ROUND(ROUND(R146*(1+V146),0)*2%,0),0)</f>
        <v/>
      </c>
      <c r="U146" s="69">
        <f>(V146*50%)/(1+50%*V146)</f>
        <v/>
      </c>
      <c r="V146" s="69" t="n"/>
      <c r="W146" s="70" t="n">
        <v>0.11</v>
      </c>
      <c r="X146" s="436">
        <f>(P146+Q146)/G146</f>
        <v/>
      </c>
      <c r="Y146" s="16">
        <f>VLOOKUP(C146,台股行情!A:D,4,FALSE)</f>
        <v/>
      </c>
      <c r="Z146" s="437">
        <f>VLOOKUP(C146,台股行情!A:E,5,FALSE)</f>
        <v/>
      </c>
      <c r="AA146" s="438">
        <f>IF(I146="",((TODAY()-A146)*G146)/365.24,((I146-A146)*G146)/365.24)</f>
        <v/>
      </c>
      <c r="AB146" s="103" t="inlineStr">
        <is>
          <t>台股</t>
        </is>
      </c>
    </row>
    <row r="147" outlineLevel="1">
      <c r="A147" s="99" t="n">
        <v>44308</v>
      </c>
      <c r="B147" s="11" t="inlineStr">
        <is>
          <t>普通買進</t>
        </is>
      </c>
      <c r="C147" s="11" t="n">
        <v>2409</v>
      </c>
      <c r="D147" s="11">
        <f>VLOOKUP(C147,台股行情!A:B,2,FALSE)</f>
        <v/>
      </c>
      <c r="E147" s="11" t="n">
        <v>800</v>
      </c>
      <c r="F147" s="11" t="n">
        <v>30.3</v>
      </c>
      <c r="G147" s="183" t="n">
        <v>30300</v>
      </c>
      <c r="H147" s="183" t="n">
        <v>43</v>
      </c>
      <c r="I147" s="308" t="n">
        <v>46119</v>
      </c>
      <c r="J147" s="16" t="n">
        <v>16.45</v>
      </c>
      <c r="K147" s="11">
        <f>E147*J147</f>
        <v/>
      </c>
      <c r="L147" s="11" t="n">
        <v>18</v>
      </c>
      <c r="M147" s="11">
        <f>ROUND(J147*E147*0.3%,0)</f>
        <v/>
      </c>
      <c r="N147" s="11" t="n">
        <v>0</v>
      </c>
      <c r="O147" s="434">
        <f>IF(I147="",E147*Y147,0)</f>
        <v/>
      </c>
      <c r="P147" s="435">
        <f>IF(I147="",R147-H147,(K147-H147-SUM(L147:N147)+R147-S147-T147)-G147)+(ROUND(R147*V147,0)-ROUND(R147*(1+V147),0)*W147)</f>
        <v/>
      </c>
      <c r="Q147" s="435">
        <f>IF(I147="",(O147-G147-(O147*0.1425%*0.65)-(O147*0.3%)-S147-T147),0)</f>
        <v/>
      </c>
      <c r="R147" s="435">
        <f>300+1000+640+720+243</f>
        <v/>
      </c>
      <c r="S147" s="435" t="n">
        <v>50</v>
      </c>
      <c r="T147" s="435">
        <f>IF(ROUND(R147*(1+V147),0)&gt;20000,ROUND(ROUND(R147*(1+V147),0)*2%,0),0)</f>
        <v/>
      </c>
      <c r="U147" s="69">
        <f>(V147*50%)/(1+50%*V147)</f>
        <v/>
      </c>
      <c r="V147" s="69" t="n"/>
      <c r="W147" s="70" t="n">
        <v>0.11</v>
      </c>
      <c r="X147" s="436">
        <f>(P147+Q147)/G147</f>
        <v/>
      </c>
      <c r="Y147" s="16">
        <f>VLOOKUP(C147,台股行情!A:D,4,FALSE)</f>
        <v/>
      </c>
      <c r="Z147" s="437">
        <f>VLOOKUP(C147,台股行情!A:E,5,FALSE)</f>
        <v/>
      </c>
      <c r="AA147" s="438">
        <f>IF(I147="",((TODAY()-A147)*G147)/365.24,((I147-A147)*G147)/365.24)</f>
        <v/>
      </c>
      <c r="AB147" s="103" t="inlineStr">
        <is>
          <t>台股</t>
        </is>
      </c>
    </row>
    <row r="148" outlineLevel="1">
      <c r="A148" s="99" t="n">
        <v>44278</v>
      </c>
      <c r="B148" s="11" t="inlineStr">
        <is>
          <t>普通買進</t>
        </is>
      </c>
      <c r="C148" s="11" t="n">
        <v>6153</v>
      </c>
      <c r="D148" s="11">
        <f>VLOOKUP(C148,台股行情!A:B,2,FALSE)</f>
        <v/>
      </c>
      <c r="E148" s="11" t="n">
        <v>3000</v>
      </c>
      <c r="F148" s="11" t="n">
        <v>37.8</v>
      </c>
      <c r="G148" s="11">
        <f>E148*F148</f>
        <v/>
      </c>
      <c r="H148" s="11" t="n">
        <v>161</v>
      </c>
      <c r="I148" s="308" t="n">
        <v>46149</v>
      </c>
      <c r="J148" s="16" t="n">
        <v>19.05</v>
      </c>
      <c r="K148" s="11">
        <f>E148*J148</f>
        <v/>
      </c>
      <c r="L148" s="11">
        <f>ROUND(J148*E148*0.1425%,0)</f>
        <v/>
      </c>
      <c r="M148" s="11">
        <f>ROUND(J148*E148*0.3%,0)</f>
        <v/>
      </c>
      <c r="N148" s="11" t="n">
        <v>0</v>
      </c>
      <c r="O148" s="434">
        <f>IF(I148="",E148*Y148,0)</f>
        <v/>
      </c>
      <c r="P148" s="435">
        <f>IF(I148="",R148-H148,(K148-H148-SUM(L148:N148)+R148-S148-T148)-G148)+(ROUND(R148*V148,0)-ROUND(R148*(1+V148),0)*W148)</f>
        <v/>
      </c>
      <c r="Q148" s="435">
        <f>IF(I148="",(O148-G148-(O148*0.1425%*0.65)-(O148*0.3%)-S148-T148),0)</f>
        <v/>
      </c>
      <c r="R148" s="435">
        <f>1500+722</f>
        <v/>
      </c>
      <c r="S148" s="435" t="n">
        <v>20</v>
      </c>
      <c r="T148" s="435">
        <f>IF(ROUND(R148*(1+V148),0)&gt;20000,ROUND(ROUND(R148*(1+V148),0)*2%,0),0)</f>
        <v/>
      </c>
      <c r="U148" s="69">
        <f>(V148*50%)/(1+50%*V148)</f>
        <v/>
      </c>
      <c r="V148" s="69" t="n"/>
      <c r="W148" s="70" t="n">
        <v>0.11</v>
      </c>
      <c r="X148" s="436">
        <f>(P148+Q148)/G148</f>
        <v/>
      </c>
      <c r="Y148" s="16">
        <f>VLOOKUP(C148,台股行情!A:D,4,FALSE)</f>
        <v/>
      </c>
      <c r="Z148" s="437">
        <f>VLOOKUP(C148,台股行情!A:E,5,FALSE)</f>
        <v/>
      </c>
      <c r="AA148" s="438">
        <f>IF(I148="",((TODAY()-A148)*G148)/365.24,((I148-A148)*G148)/365.24)</f>
        <v/>
      </c>
      <c r="AB148" s="103" t="inlineStr">
        <is>
          <t>台股</t>
        </is>
      </c>
    </row>
    <row r="149" collapsed="1">
      <c r="A149" s="99" t="n">
        <v>44571</v>
      </c>
      <c r="B149" s="11" t="inlineStr">
        <is>
          <t>普通買進</t>
        </is>
      </c>
      <c r="C149" s="11" t="n">
        <v>2358</v>
      </c>
      <c r="D149" s="11" t="inlineStr">
        <is>
          <t>廷鑫</t>
        </is>
      </c>
      <c r="E149" s="11" t="n">
        <v>1000</v>
      </c>
      <c r="F149" s="11" t="n">
        <v>27.95</v>
      </c>
      <c r="G149" s="11">
        <f>E149*F149</f>
        <v/>
      </c>
      <c r="H149" s="11" t="n">
        <v>39</v>
      </c>
      <c r="I149" s="104" t="n">
        <v>44580</v>
      </c>
      <c r="J149" s="16" t="n">
        <v>25.15</v>
      </c>
      <c r="K149" s="11">
        <f>E149*J149</f>
        <v/>
      </c>
      <c r="L149" s="17" t="n">
        <v>35</v>
      </c>
      <c r="M149" s="11" t="n">
        <v>75</v>
      </c>
      <c r="N149" s="11" t="n">
        <v>0</v>
      </c>
      <c r="O149" s="434">
        <f>IF(I149="",E149*Y149,0)</f>
        <v/>
      </c>
      <c r="P149" s="435">
        <f>IF(I149="",R149-H149,(K149-H149-SUM(L149:N149)+R149-S149-T149)-G149)+(ROUND(R149*V149,0)-ROUND(R149*(1+V149),0)*W149)</f>
        <v/>
      </c>
      <c r="Q149" s="435">
        <f>IF(I149="",(O149-G149-(O149*0.1425%*0.65)-(O149*0.3%)-S149-T149),0)</f>
        <v/>
      </c>
      <c r="R149" s="435" t="n"/>
      <c r="S149" s="435" t="n"/>
      <c r="T149" s="435">
        <f>IF(ROUND(R149*(1+V149),0)&gt;20000,ROUND(ROUND(R149*(1+V149),0)*2%,0),0)</f>
        <v/>
      </c>
      <c r="U149" s="69">
        <f>(V149*50%)/(1+50%*V149)</f>
        <v/>
      </c>
      <c r="V149" s="69" t="n"/>
      <c r="W149" s="70" t="n">
        <v>0.11</v>
      </c>
      <c r="X149" s="436">
        <f>(P149+Q149)/G149</f>
        <v/>
      </c>
      <c r="Y149" s="16">
        <f>VLOOKUP(C149,台股行情!A:D,4,FALSE)</f>
        <v/>
      </c>
      <c r="Z149" s="437">
        <f>VLOOKUP(C149,台股行情!A:E,5,FALSE)</f>
        <v/>
      </c>
      <c r="AA149" s="438">
        <f>IF(I149="",((TODAY()-A149)*G149)/365.24,((I149-A149)*G149)/365.24)</f>
        <v/>
      </c>
      <c r="AB149" s="103" t="inlineStr">
        <is>
          <t>台股</t>
        </is>
      </c>
    </row>
    <row r="150" hidden="1" outlineLevel="1">
      <c r="A150" s="99" t="n">
        <v>44571</v>
      </c>
      <c r="B150" s="11" t="inlineStr">
        <is>
          <t>普通買進</t>
        </is>
      </c>
      <c r="C150" s="11" t="n">
        <v>2358</v>
      </c>
      <c r="D150" s="11" t="inlineStr">
        <is>
          <t>廷鑫</t>
        </is>
      </c>
      <c r="E150" s="11" t="n">
        <v>1000</v>
      </c>
      <c r="F150" s="11" t="n">
        <v>27.95</v>
      </c>
      <c r="G150" s="11">
        <f>E150*F150</f>
        <v/>
      </c>
      <c r="H150" s="11" t="n">
        <v>40</v>
      </c>
      <c r="I150" s="104" t="n">
        <v>44581</v>
      </c>
      <c r="J150" s="16" t="n">
        <v>24.75</v>
      </c>
      <c r="K150" s="11">
        <f>E150*J150</f>
        <v/>
      </c>
      <c r="L150" s="17" t="n">
        <v>35</v>
      </c>
      <c r="M150" s="11" t="n">
        <v>74</v>
      </c>
      <c r="N150" s="11" t="n">
        <v>0</v>
      </c>
      <c r="O150" s="434">
        <f>IF(I150="",E150*Y150,0)</f>
        <v/>
      </c>
      <c r="P150" s="435">
        <f>IF(I150="",R150-H150,(K150-H150-SUM(L150:N150)+R150-S150-T150)-G150)+(ROUND(R150*V150,0)-ROUND(R150*(1+V150),0)*W150)</f>
        <v/>
      </c>
      <c r="Q150" s="435">
        <f>IF(I150="",(O150-G150-(O150*0.1425%*0.65)-(O150*0.3%)-S150-T150),0)</f>
        <v/>
      </c>
      <c r="R150" s="435" t="n"/>
      <c r="S150" s="435" t="n"/>
      <c r="T150" s="435">
        <f>IF(ROUND(R150*(1+V150),0)&gt;20000,ROUND(ROUND(R150*(1+V150),0)*2%,0),0)</f>
        <v/>
      </c>
      <c r="U150" s="69">
        <f>(V150*50%)/(1+50%*V150)</f>
        <v/>
      </c>
      <c r="V150" s="69" t="n"/>
      <c r="W150" s="70" t="n">
        <v>0.11</v>
      </c>
      <c r="X150" s="436">
        <f>(P150+Q150)/G150</f>
        <v/>
      </c>
      <c r="Y150" s="16">
        <f>VLOOKUP(C150,台股行情!A:D,4,FALSE)</f>
        <v/>
      </c>
      <c r="Z150" s="437">
        <f>VLOOKUP(C150,台股行情!A:E,5,FALSE)</f>
        <v/>
      </c>
      <c r="AA150" s="438">
        <f>IF(I150="",((TODAY()-A150)*G150)/365.24,((I150-A150)*G150)/365.24)</f>
        <v/>
      </c>
      <c r="AB150" s="103" t="inlineStr">
        <is>
          <t>台股</t>
        </is>
      </c>
    </row>
    <row r="151" hidden="1" outlineLevel="1">
      <c r="A151" s="99" t="n">
        <v>44571</v>
      </c>
      <c r="B151" s="11" t="inlineStr">
        <is>
          <t>普通買進</t>
        </is>
      </c>
      <c r="C151" s="11" t="n">
        <v>4728</v>
      </c>
      <c r="D151" s="11" t="inlineStr">
        <is>
          <t>雙美</t>
        </is>
      </c>
      <c r="E151" s="11" t="n">
        <v>1000</v>
      </c>
      <c r="F151" s="11" t="n">
        <v>90.8</v>
      </c>
      <c r="G151" s="11">
        <f>E151*F151</f>
        <v/>
      </c>
      <c r="H151" s="11" t="n">
        <v>129</v>
      </c>
      <c r="I151" s="104" t="n">
        <v>44581</v>
      </c>
      <c r="J151" s="16" t="n">
        <v>90.3</v>
      </c>
      <c r="K151" s="11">
        <f>E151*J151</f>
        <v/>
      </c>
      <c r="L151" s="17" t="n">
        <v>128</v>
      </c>
      <c r="M151" s="11" t="n">
        <v>270</v>
      </c>
      <c r="N151" s="11" t="n">
        <v>0</v>
      </c>
      <c r="O151" s="434">
        <f>IF(I151="",E151*Y151,0)</f>
        <v/>
      </c>
      <c r="P151" s="435">
        <f>IF(I151="",R151-H151,(K151-H151-SUM(L151:N151)+R151-S151-T151)-G151)+(ROUND(R151*V151,0)-ROUND(R151*(1+V151),0)*W151)</f>
        <v/>
      </c>
      <c r="Q151" s="435">
        <f>IF(I151="",(O151-G151-(O151*0.1425%*0.65)-(O151*0.3%)-S151-T151),0)</f>
        <v/>
      </c>
      <c r="R151" s="435" t="n"/>
      <c r="S151" s="435" t="n"/>
      <c r="T151" s="435">
        <f>IF(ROUND(R151*(1+V151),0)&gt;20000,ROUND(ROUND(R151*(1+V151),0)*2%,0),0)</f>
        <v/>
      </c>
      <c r="U151" s="69">
        <f>(V151*50%)/(1+50%*V151)</f>
        <v/>
      </c>
      <c r="V151" s="69" t="n"/>
      <c r="W151" s="70" t="n">
        <v>0.11</v>
      </c>
      <c r="X151" s="436">
        <f>(P151+Q151)/G151</f>
        <v/>
      </c>
      <c r="Y151" s="16">
        <f>VLOOKUP(C151,台股行情!A:D,4,FALSE)</f>
        <v/>
      </c>
      <c r="Z151" s="437">
        <f>VLOOKUP(C151,台股行情!A:E,5,FALSE)</f>
        <v/>
      </c>
      <c r="AA151" s="438">
        <f>IF(I151="",((TODAY()-A151)*G151)/365.24,((I151-A151)*G151)/365.24)</f>
        <v/>
      </c>
      <c r="AB151" s="103" t="inlineStr">
        <is>
          <t>台股</t>
        </is>
      </c>
    </row>
    <row r="152" hidden="1" outlineLevel="1">
      <c r="A152" s="99" t="n">
        <v>44581</v>
      </c>
      <c r="B152" s="11" t="inlineStr">
        <is>
          <t>普通買進</t>
        </is>
      </c>
      <c r="C152" s="11" t="n">
        <v>3338</v>
      </c>
      <c r="D152" s="11" t="inlineStr">
        <is>
          <t>泰碩</t>
        </is>
      </c>
      <c r="E152" s="11" t="n">
        <v>1000</v>
      </c>
      <c r="F152" s="11" t="n">
        <v>58.8</v>
      </c>
      <c r="G152" s="11">
        <f>E152*F152</f>
        <v/>
      </c>
      <c r="H152" s="11" t="n">
        <v>83</v>
      </c>
      <c r="I152" s="104" t="n">
        <v>44616</v>
      </c>
      <c r="J152" s="16" t="n">
        <v>54.5</v>
      </c>
      <c r="K152" s="11">
        <f>E152*J152</f>
        <v/>
      </c>
      <c r="L152" s="17" t="n">
        <v>77</v>
      </c>
      <c r="M152" s="11" t="n">
        <v>163</v>
      </c>
      <c r="N152" s="11" t="n">
        <v>0</v>
      </c>
      <c r="O152" s="434">
        <f>IF(I152="",E152*Y152,0)</f>
        <v/>
      </c>
      <c r="P152" s="435">
        <f>IF(I152="",R152-H152,(K152-H152-SUM(L152:N152)+R152-S152-T152)-G152)+(ROUND(R152*V152,0)-ROUND(R152*(1+V152),0)*W152)</f>
        <v/>
      </c>
      <c r="Q152" s="435">
        <f>IF(I152="",(O152-G152-(O152*0.1425%*0.65)-(O152*0.3%)-S152-T152),0)</f>
        <v/>
      </c>
      <c r="R152" s="435" t="n"/>
      <c r="S152" s="435" t="n"/>
      <c r="T152" s="435">
        <f>IF(ROUND(R152*(1+V152),0)&gt;20000,ROUND(ROUND(R152*(1+V152),0)*2%,0),0)</f>
        <v/>
      </c>
      <c r="U152" s="69">
        <f>(V152*50%)/(1+50%*V152)</f>
        <v/>
      </c>
      <c r="V152" s="69" t="n"/>
      <c r="W152" s="70" t="n">
        <v>0.11</v>
      </c>
      <c r="X152" s="436">
        <f>(P152+Q152)/G152</f>
        <v/>
      </c>
      <c r="Y152" s="16">
        <f>VLOOKUP(C152,台股行情!A:D,4,FALSE)</f>
        <v/>
      </c>
      <c r="Z152" s="437">
        <f>VLOOKUP(C152,台股行情!A:E,5,FALSE)</f>
        <v/>
      </c>
      <c r="AA152" s="438">
        <f>IF(I152="",((TODAY()-A152)*G152)/365.24,((I152-A152)*G152)/365.24)</f>
        <v/>
      </c>
      <c r="AB152" s="103" t="inlineStr">
        <is>
          <t>台股</t>
        </is>
      </c>
    </row>
    <row r="153" hidden="1" outlineLevel="1">
      <c r="A153" s="99" t="n">
        <v>44623</v>
      </c>
      <c r="B153" s="11" t="inlineStr">
        <is>
          <t>普通買進</t>
        </is>
      </c>
      <c r="C153" s="11" t="n">
        <v>1304</v>
      </c>
      <c r="D153" s="11" t="inlineStr">
        <is>
          <t>台聚</t>
        </is>
      </c>
      <c r="E153" s="11" t="n">
        <v>2000</v>
      </c>
      <c r="F153" s="11" t="n">
        <v>31.6</v>
      </c>
      <c r="G153" s="11">
        <f>E153*F153</f>
        <v/>
      </c>
      <c r="H153" s="11" t="n">
        <v>90</v>
      </c>
      <c r="I153" s="104" t="n">
        <v>44623</v>
      </c>
      <c r="J153" s="16" t="n">
        <v>31.6</v>
      </c>
      <c r="K153" s="11">
        <f>E153*J153</f>
        <v/>
      </c>
      <c r="L153" s="17" t="n">
        <v>90</v>
      </c>
      <c r="M153" s="11" t="n">
        <v>94</v>
      </c>
      <c r="N153" s="11" t="n">
        <v>0</v>
      </c>
      <c r="O153" s="434">
        <f>IF(I153="",E153*Y153,0)</f>
        <v/>
      </c>
      <c r="P153" s="435">
        <f>IF(I153="",R153-H153,(K153-H153-SUM(L153:N153)+R153-S153-T153)-G153)+(ROUND(R153*V153,0)-ROUND(R153*(1+V153),0)*W153)</f>
        <v/>
      </c>
      <c r="Q153" s="435">
        <f>IF(I153="",(O153-G153-(O153*0.1425%*0.65)-(O153*0.3%)-S153-T153),0)</f>
        <v/>
      </c>
      <c r="R153" s="435" t="n"/>
      <c r="S153" s="435" t="n"/>
      <c r="T153" s="435">
        <f>IF(ROUND(R153*(1+V153),0)&gt;20000,ROUND(ROUND(R153*(1+V153),0)*2%,0),0)</f>
        <v/>
      </c>
      <c r="U153" s="69">
        <f>(V153*50%)/(1+50%*V153)</f>
        <v/>
      </c>
      <c r="V153" s="69" t="n"/>
      <c r="W153" s="70" t="n">
        <v>0.11</v>
      </c>
      <c r="X153" s="436">
        <f>(P153+Q153)/G153</f>
        <v/>
      </c>
      <c r="Y153" s="16">
        <f>VLOOKUP(C153,台股行情!A:D,4,FALSE)</f>
        <v/>
      </c>
      <c r="Z153" s="437">
        <f>VLOOKUP(C153,台股行情!A:E,5,FALSE)</f>
        <v/>
      </c>
      <c r="AA153" s="438">
        <f>IF(I153="",((TODAY()-A153)*G153)/365.24,((I153-A153)*G153)/365.24)</f>
        <v/>
      </c>
      <c r="AB153" s="103" t="inlineStr">
        <is>
          <t>台股</t>
        </is>
      </c>
    </row>
    <row r="154" hidden="1" outlineLevel="1">
      <c r="A154" s="99" t="n">
        <v>44623</v>
      </c>
      <c r="B154" s="11" t="inlineStr">
        <is>
          <t>普通買進</t>
        </is>
      </c>
      <c r="C154" s="11" t="n">
        <v>2211</v>
      </c>
      <c r="D154" s="11" t="inlineStr">
        <is>
          <t>長榮鋼</t>
        </is>
      </c>
      <c r="E154" s="11" t="n">
        <v>1000</v>
      </c>
      <c r="F154" s="11" t="n">
        <v>63.7</v>
      </c>
      <c r="G154" s="11">
        <f>E154*F154</f>
        <v/>
      </c>
      <c r="H154" s="11" t="n">
        <v>90</v>
      </c>
      <c r="I154" s="104" t="n">
        <v>44623</v>
      </c>
      <c r="J154" s="16" t="n">
        <v>62.5</v>
      </c>
      <c r="K154" s="11">
        <f>E154*J154</f>
        <v/>
      </c>
      <c r="L154" s="17" t="n">
        <v>89</v>
      </c>
      <c r="M154" s="11" t="n">
        <v>93</v>
      </c>
      <c r="N154" s="11" t="n">
        <v>0</v>
      </c>
      <c r="O154" s="434">
        <f>IF(I154="",E154*Y154,0)</f>
        <v/>
      </c>
      <c r="P154" s="435">
        <f>IF(I154="",R154-H154,(K154-H154-SUM(L154:N154)+R154-S154-T154)-G154)+(ROUND(R154*V154,0)-ROUND(R154*(1+V154),0)*W154)</f>
        <v/>
      </c>
      <c r="Q154" s="435">
        <f>IF(I154="",(O154-G154-(O154*0.1425%*0.65)-(O154*0.3%)-S154-T154),0)</f>
        <v/>
      </c>
      <c r="R154" s="435" t="n"/>
      <c r="S154" s="435" t="n"/>
      <c r="T154" s="435">
        <f>IF(ROUND(R154*(1+V154),0)&gt;20000,ROUND(ROUND(R154*(1+V154),0)*2%,0),0)</f>
        <v/>
      </c>
      <c r="U154" s="69">
        <f>(V154*50%)/(1+50%*V154)</f>
        <v/>
      </c>
      <c r="V154" s="69" t="n"/>
      <c r="W154" s="70" t="n">
        <v>0.11</v>
      </c>
      <c r="X154" s="436">
        <f>(P154+Q154)/G154</f>
        <v/>
      </c>
      <c r="Y154" s="16">
        <f>VLOOKUP(C154,台股行情!A:D,4,FALSE)</f>
        <v/>
      </c>
      <c r="Z154" s="437">
        <f>VLOOKUP(C154,台股行情!A:E,5,FALSE)</f>
        <v/>
      </c>
      <c r="AA154" s="438">
        <f>IF(I154="",((TODAY()-A154)*G154)/365.24,((I154-A154)*G154)/365.24)</f>
        <v/>
      </c>
      <c r="AB154" s="103" t="inlineStr">
        <is>
          <t>台股</t>
        </is>
      </c>
    </row>
    <row r="155" hidden="1" outlineLevel="1">
      <c r="A155" s="99" t="n">
        <v>44623</v>
      </c>
      <c r="B155" s="11" t="inlineStr">
        <is>
          <t>普通買進</t>
        </is>
      </c>
      <c r="C155" s="11" t="n">
        <v>3663</v>
      </c>
      <c r="D155" s="11" t="inlineStr">
        <is>
          <t>鑫科</t>
        </is>
      </c>
      <c r="E155" s="11" t="n">
        <v>2000</v>
      </c>
      <c r="F155" s="11" t="n">
        <v>34.35</v>
      </c>
      <c r="G155" s="11">
        <f>E155*F155</f>
        <v/>
      </c>
      <c r="H155" s="11" t="n">
        <v>97</v>
      </c>
      <c r="I155" s="104" t="n">
        <v>44623</v>
      </c>
      <c r="J155" s="16" t="n">
        <v>33.75</v>
      </c>
      <c r="K155" s="11">
        <f>E155*J155</f>
        <v/>
      </c>
      <c r="L155" s="17" t="n">
        <v>96</v>
      </c>
      <c r="M155" s="11" t="n">
        <v>101</v>
      </c>
      <c r="N155" s="11" t="n">
        <v>0</v>
      </c>
      <c r="O155" s="434">
        <f>IF(I155="",E155*Y155,0)</f>
        <v/>
      </c>
      <c r="P155" s="435">
        <f>IF(I155="",R155-H155,(K155-H155-SUM(L155:N155)+R155-S155-T155)-G155)+(ROUND(R155*V155,0)-ROUND(R155*(1+V155),0)*W155)</f>
        <v/>
      </c>
      <c r="Q155" s="435">
        <f>IF(I155="",(O155-G155-(O155*0.1425%*0.65)-(O155*0.3%)-S155-T155),0)</f>
        <v/>
      </c>
      <c r="R155" s="435" t="n"/>
      <c r="S155" s="435" t="n"/>
      <c r="T155" s="435">
        <f>IF(ROUND(R155*(1+V155),0)&gt;20000,ROUND(ROUND(R155*(1+V155),0)*2%,0),0)</f>
        <v/>
      </c>
      <c r="U155" s="69">
        <f>(V155*50%)/(1+50%*V155)</f>
        <v/>
      </c>
      <c r="V155" s="69" t="n"/>
      <c r="W155" s="70" t="n">
        <v>0.11</v>
      </c>
      <c r="X155" s="436">
        <f>(P155+Q155)/G155</f>
        <v/>
      </c>
      <c r="Y155" s="16">
        <f>VLOOKUP(C155,台股行情!A:D,4,FALSE)</f>
        <v/>
      </c>
      <c r="Z155" s="437">
        <f>VLOOKUP(C155,台股行情!A:E,5,FALSE)</f>
        <v/>
      </c>
      <c r="AA155" s="438">
        <f>IF(I155="",((TODAY()-A155)*G155)/365.24,((I155-A155)*G155)/365.24)</f>
        <v/>
      </c>
      <c r="AB155" s="103" t="inlineStr">
        <is>
          <t>台股</t>
        </is>
      </c>
    </row>
    <row r="156" hidden="1" outlineLevel="1">
      <c r="A156" s="99" t="n">
        <v>44601</v>
      </c>
      <c r="B156" s="11" t="inlineStr">
        <is>
          <t>普通買進</t>
        </is>
      </c>
      <c r="C156" s="11" t="n">
        <v>3017</v>
      </c>
      <c r="D156" s="11" t="inlineStr">
        <is>
          <t>奇鋐</t>
        </is>
      </c>
      <c r="E156" s="11" t="n">
        <v>1000</v>
      </c>
      <c r="F156" s="11" t="n">
        <v>105</v>
      </c>
      <c r="G156" s="11">
        <f>E156*F156</f>
        <v/>
      </c>
      <c r="H156" s="11" t="n">
        <v>149</v>
      </c>
      <c r="I156" s="104" t="n">
        <v>44624</v>
      </c>
      <c r="J156" s="16" t="n">
        <v>115</v>
      </c>
      <c r="K156" s="11">
        <f>E156*J156</f>
        <v/>
      </c>
      <c r="L156" s="17" t="n">
        <v>163</v>
      </c>
      <c r="M156" s="11" t="n">
        <v>345</v>
      </c>
      <c r="N156" s="11" t="n">
        <v>0</v>
      </c>
      <c r="O156" s="434">
        <f>IF(I156="",E156*Y156,0)</f>
        <v/>
      </c>
      <c r="P156" s="435">
        <f>IF(I156="",R156-H156,(K156-H156-SUM(L156:N156)+R156-S156-T156)-G156)+(ROUND(R156*V156,0)-ROUND(R156*(1+V156),0)*W156)</f>
        <v/>
      </c>
      <c r="Q156" s="435">
        <f>IF(I156="",(O156-G156-(O156*0.1425%*0.65)-(O156*0.3%)-S156-T156),0)</f>
        <v/>
      </c>
      <c r="R156" s="435" t="n"/>
      <c r="S156" s="435" t="n"/>
      <c r="T156" s="435">
        <f>IF(ROUND(R156*(1+V156),0)&gt;20000,ROUND(ROUND(R156*(1+V156),0)*2%,0),0)</f>
        <v/>
      </c>
      <c r="U156" s="69">
        <f>(V156*50%)/(1+50%*V156)</f>
        <v/>
      </c>
      <c r="V156" s="69" t="n"/>
      <c r="W156" s="70" t="n">
        <v>0.11</v>
      </c>
      <c r="X156" s="436">
        <f>(P156+Q156)/G156</f>
        <v/>
      </c>
      <c r="Y156" s="16">
        <f>VLOOKUP(C156,台股行情!A:D,4,FALSE)</f>
        <v/>
      </c>
      <c r="Z156" s="437">
        <f>VLOOKUP(C156,台股行情!A:E,5,FALSE)</f>
        <v/>
      </c>
      <c r="AA156" s="438">
        <f>IF(I156="",((TODAY()-A156)*G156)/365.24,((I156-A156)*G156)/365.24)</f>
        <v/>
      </c>
      <c r="AB156" s="103" t="inlineStr">
        <is>
          <t>台股</t>
        </is>
      </c>
    </row>
    <row r="157" hidden="1" outlineLevel="1">
      <c r="A157" s="99" t="n">
        <v>44567</v>
      </c>
      <c r="B157" s="11" t="inlineStr">
        <is>
          <t>普通買進</t>
        </is>
      </c>
      <c r="C157" s="11" t="n">
        <v>1474</v>
      </c>
      <c r="D157" s="11" t="inlineStr">
        <is>
          <t>弘裕</t>
        </is>
      </c>
      <c r="E157" s="11" t="n">
        <v>2000</v>
      </c>
      <c r="F157" s="11" t="n">
        <v>15.8</v>
      </c>
      <c r="G157" s="11">
        <f>E157*F157</f>
        <v/>
      </c>
      <c r="H157" s="11" t="n">
        <v>45</v>
      </c>
      <c r="I157" s="104" t="n">
        <v>44644</v>
      </c>
      <c r="J157" s="16" t="n">
        <v>15.1</v>
      </c>
      <c r="K157" s="11">
        <f>E157*J157</f>
        <v/>
      </c>
      <c r="L157" s="17" t="n">
        <v>43</v>
      </c>
      <c r="M157" s="11" t="n">
        <v>90</v>
      </c>
      <c r="N157" s="11" t="n">
        <v>0</v>
      </c>
      <c r="O157" s="434">
        <f>IF(I157="",E157*Y157,0)</f>
        <v/>
      </c>
      <c r="P157" s="435">
        <f>IF(I157="",R157-H157,(K157-H157-SUM(L157:N157)+R157-S157-T157)-G157)+(ROUND(R157*V157,0)-ROUND(R157*(1+V157),0)*W157)</f>
        <v/>
      </c>
      <c r="Q157" s="435">
        <f>IF(I157="",(O157-G157-(O157*0.1425%*0.65)-(O157*0.3%)-S157-T157),0)</f>
        <v/>
      </c>
      <c r="R157" s="435" t="n"/>
      <c r="S157" s="435" t="n"/>
      <c r="T157" s="435">
        <f>IF(ROUND(R157*(1+V157),0)&gt;20000,ROUND(ROUND(R157*(1+V157),0)*2%,0),0)</f>
        <v/>
      </c>
      <c r="U157" s="69">
        <f>(V157*50%)/(1+50%*V157)</f>
        <v/>
      </c>
      <c r="V157" s="69" t="n"/>
      <c r="W157" s="70" t="n">
        <v>0.11</v>
      </c>
      <c r="X157" s="436">
        <f>(P157+Q157)/G157</f>
        <v/>
      </c>
      <c r="Y157" s="16">
        <f>VLOOKUP(C157,台股行情!A:D,4,FALSE)</f>
        <v/>
      </c>
      <c r="Z157" s="437">
        <f>VLOOKUP(C157,台股行情!A:E,5,FALSE)</f>
        <v/>
      </c>
      <c r="AA157" s="438">
        <f>IF(I157="",((TODAY()-A157)*G157)/365.24,((I157-A157)*G157)/365.24)</f>
        <v/>
      </c>
      <c r="AB157" s="103" t="inlineStr">
        <is>
          <t>台股</t>
        </is>
      </c>
    </row>
    <row r="158" hidden="1" outlineLevel="1">
      <c r="A158" s="99" t="n">
        <v>44600</v>
      </c>
      <c r="B158" s="11" t="inlineStr">
        <is>
          <t>普通買進</t>
        </is>
      </c>
      <c r="C158" s="11" t="n">
        <v>2006</v>
      </c>
      <c r="D158" s="11" t="inlineStr">
        <is>
          <t>東和鋼鐵</t>
        </is>
      </c>
      <c r="E158" s="11" t="n">
        <v>1000</v>
      </c>
      <c r="F158" s="11" t="n">
        <v>71.90000000000001</v>
      </c>
      <c r="G158" s="11">
        <f>E158*F158</f>
        <v/>
      </c>
      <c r="H158" s="11" t="n">
        <v>102</v>
      </c>
      <c r="I158" s="104" t="n">
        <v>44624</v>
      </c>
      <c r="J158" s="16" t="n">
        <v>80.8</v>
      </c>
      <c r="K158" s="11">
        <f>E158*J158</f>
        <v/>
      </c>
      <c r="L158" s="17" t="n">
        <v>115</v>
      </c>
      <c r="M158" s="11" t="n">
        <v>242</v>
      </c>
      <c r="N158" s="11" t="n">
        <v>0</v>
      </c>
      <c r="O158" s="434">
        <f>IF(I158="",E158*Y158,0)</f>
        <v/>
      </c>
      <c r="P158" s="435">
        <f>IF(I158="",R158-H158,(K158-H158-SUM(L158:N158)+R158-S158-T158)-G158)+(ROUND(R158*V158,0)-ROUND(R158*(1+V158),0)*W158)</f>
        <v/>
      </c>
      <c r="Q158" s="435">
        <f>IF(I158="",(O158-G158-(O158*0.1425%*0.65)-(O158*0.3%)-S158-T158),0)</f>
        <v/>
      </c>
      <c r="R158" s="435" t="n"/>
      <c r="S158" s="435" t="n"/>
      <c r="T158" s="435">
        <f>IF(ROUND(R158*(1+V158),0)&gt;20000,ROUND(ROUND(R158*(1+V158),0)*2%,0),0)</f>
        <v/>
      </c>
      <c r="U158" s="69">
        <f>(V158*50%)/(1+50%*V158)</f>
        <v/>
      </c>
      <c r="V158" s="69" t="n"/>
      <c r="W158" s="70" t="n">
        <v>0.11</v>
      </c>
      <c r="X158" s="436">
        <f>(P158+Q158)/G158</f>
        <v/>
      </c>
      <c r="Y158" s="16">
        <f>VLOOKUP(C158,台股行情!A:D,4,FALSE)</f>
        <v/>
      </c>
      <c r="Z158" s="437">
        <f>VLOOKUP(C158,台股行情!A:E,5,FALSE)</f>
        <v/>
      </c>
      <c r="AA158" s="438">
        <f>IF(I158="",((TODAY()-A158)*G158)/365.24,((I158-A158)*G158)/365.24)</f>
        <v/>
      </c>
      <c r="AB158" s="103" t="inlineStr">
        <is>
          <t>台股</t>
        </is>
      </c>
    </row>
    <row r="159" hidden="1" outlineLevel="1">
      <c r="A159" s="99" t="n">
        <v>44651</v>
      </c>
      <c r="B159" s="11" t="inlineStr">
        <is>
          <t>普通買進</t>
        </is>
      </c>
      <c r="C159" s="11" t="n">
        <v>2312</v>
      </c>
      <c r="D159" s="11" t="inlineStr">
        <is>
          <t>金寶</t>
        </is>
      </c>
      <c r="E159" s="11" t="n">
        <v>1000</v>
      </c>
      <c r="F159" s="11" t="n">
        <v>17.05</v>
      </c>
      <c r="G159" s="11">
        <f>E159*F159</f>
        <v/>
      </c>
      <c r="H159" s="11" t="n">
        <v>24</v>
      </c>
      <c r="I159" s="104" t="n">
        <v>44658</v>
      </c>
      <c r="J159" s="16" t="n">
        <v>15.35</v>
      </c>
      <c r="K159" s="11">
        <f>E159*J159</f>
        <v/>
      </c>
      <c r="L159" s="17" t="n">
        <v>21</v>
      </c>
      <c r="M159" s="11" t="n">
        <v>46</v>
      </c>
      <c r="N159" s="11" t="n">
        <v>0</v>
      </c>
      <c r="O159" s="434">
        <f>IF(I159="",E159*Y159,0)</f>
        <v/>
      </c>
      <c r="P159" s="435">
        <f>IF(I159="",R159-H159,(K159-H159-SUM(L159:N159)+R159-S159-T159)-G159)+(ROUND(R159*V159,0)-ROUND(R159*(1+V159),0)*W159)</f>
        <v/>
      </c>
      <c r="Q159" s="435">
        <f>IF(I159="",(O159-G159-(O159*0.1425%*0.65)-(O159*0.3%)-S159-T159),0)</f>
        <v/>
      </c>
      <c r="R159" s="435" t="n"/>
      <c r="S159" s="435" t="n"/>
      <c r="T159" s="435">
        <f>IF(ROUND(R159*(1+V159),0)&gt;20000,ROUND(ROUND(R159*(1+V159),0)*2%,0),0)</f>
        <v/>
      </c>
      <c r="U159" s="69">
        <f>(V159*50%)/(1+50%*V159)</f>
        <v/>
      </c>
      <c r="V159" s="69" t="n"/>
      <c r="W159" s="70" t="n">
        <v>0.11</v>
      </c>
      <c r="X159" s="436">
        <f>(P159+Q159)/G159</f>
        <v/>
      </c>
      <c r="Y159" s="16">
        <f>VLOOKUP(C159,台股行情!A:D,4,FALSE)</f>
        <v/>
      </c>
      <c r="Z159" s="437">
        <f>VLOOKUP(C159,台股行情!A:E,5,FALSE)</f>
        <v/>
      </c>
      <c r="AA159" s="438">
        <f>IF(I159="",((TODAY()-A159)*G159)/365.24,((I159-A159)*G159)/365.24)</f>
        <v/>
      </c>
      <c r="AB159" s="103" t="inlineStr">
        <is>
          <t>台股</t>
        </is>
      </c>
    </row>
    <row r="160" hidden="1" outlineLevel="1">
      <c r="A160" s="99" t="n">
        <v>44651</v>
      </c>
      <c r="B160" s="11" t="inlineStr">
        <is>
          <t>普通買進</t>
        </is>
      </c>
      <c r="C160" s="11" t="n">
        <v>2312</v>
      </c>
      <c r="D160" s="11" t="inlineStr">
        <is>
          <t>金寶</t>
        </is>
      </c>
      <c r="E160" s="11" t="n">
        <v>1000</v>
      </c>
      <c r="F160" s="11" t="n">
        <v>17.05</v>
      </c>
      <c r="G160" s="11">
        <f>E160*F160</f>
        <v/>
      </c>
      <c r="H160" s="11" t="n">
        <v>24</v>
      </c>
      <c r="I160" s="104" t="n">
        <v>44662</v>
      </c>
      <c r="J160" s="16" t="n">
        <v>14.6</v>
      </c>
      <c r="K160" s="11">
        <f>E160*J160</f>
        <v/>
      </c>
      <c r="L160" s="17" t="n">
        <v>20</v>
      </c>
      <c r="M160" s="11" t="n">
        <v>43</v>
      </c>
      <c r="N160" s="11" t="n">
        <v>0</v>
      </c>
      <c r="O160" s="434">
        <f>IF(I160="",E160*Y160,0)</f>
        <v/>
      </c>
      <c r="P160" s="435">
        <f>IF(I160="",R160-H160,(K160-H160-SUM(L160:N160)+R160-S160-T160)-G160)+(ROUND(R160*V160,0)-ROUND(R160*(1+V160),0)*W160)</f>
        <v/>
      </c>
      <c r="Q160" s="435">
        <f>IF(I160="",(O160-G160-(O160*0.1425%*0.65)-(O160*0.3%)-S160-T160),0)</f>
        <v/>
      </c>
      <c r="R160" s="435" t="n"/>
      <c r="S160" s="435" t="n"/>
      <c r="T160" s="435">
        <f>IF(ROUND(R160*(1+V160),0)&gt;20000,ROUND(ROUND(R160*(1+V160),0)*2%,0),0)</f>
        <v/>
      </c>
      <c r="U160" s="69">
        <f>(V160*50%)/(1+50%*V160)</f>
        <v/>
      </c>
      <c r="V160" s="69" t="n"/>
      <c r="W160" s="70" t="n">
        <v>0.11</v>
      </c>
      <c r="X160" s="436">
        <f>(P160+Q160)/G160</f>
        <v/>
      </c>
      <c r="Y160" s="16">
        <f>VLOOKUP(C160,台股行情!A:D,4,FALSE)</f>
        <v/>
      </c>
      <c r="Z160" s="437">
        <f>VLOOKUP(C160,台股行情!A:E,5,FALSE)</f>
        <v/>
      </c>
      <c r="AA160" s="438">
        <f>IF(I160="",((TODAY()-A160)*G160)/365.24,((I160-A160)*G160)/365.24)</f>
        <v/>
      </c>
      <c r="AB160" s="103" t="inlineStr">
        <is>
          <t>台股</t>
        </is>
      </c>
    </row>
    <row r="161" hidden="1" outlineLevel="1">
      <c r="A161" s="99" t="n">
        <v>44663</v>
      </c>
      <c r="B161" s="11" t="inlineStr">
        <is>
          <t>普通買進</t>
        </is>
      </c>
      <c r="C161" s="11" t="n">
        <v>6020</v>
      </c>
      <c r="D161" s="11" t="inlineStr">
        <is>
          <t>大展證</t>
        </is>
      </c>
      <c r="E161" s="11" t="n">
        <v>1000</v>
      </c>
      <c r="F161" s="11" t="n">
        <v>23.9</v>
      </c>
      <c r="G161" s="11">
        <f>E161*F161</f>
        <v/>
      </c>
      <c r="H161" s="11" t="n">
        <v>34</v>
      </c>
      <c r="I161" s="104" t="n">
        <v>44664</v>
      </c>
      <c r="J161" s="16" t="n">
        <v>24.15</v>
      </c>
      <c r="K161" s="11">
        <f>E161*J161</f>
        <v/>
      </c>
      <c r="L161" s="17" t="n">
        <v>34</v>
      </c>
      <c r="M161" s="11" t="n">
        <v>72</v>
      </c>
      <c r="N161" s="11" t="n">
        <v>0</v>
      </c>
      <c r="O161" s="434">
        <f>IF(I161="",E161*Y161,0)</f>
        <v/>
      </c>
      <c r="P161" s="435">
        <f>IF(I161="",R161-H161,(K161-H161-SUM(L161:N161)+R161-S161-T161)-G161)+(ROUND(R161*V161,0)-ROUND(R161*(1+V161),0)*W161)</f>
        <v/>
      </c>
      <c r="Q161" s="435">
        <f>IF(I161="",(O161-G161-(O161*0.1425%*0.65)-(O161*0.3%)-S161-T161),0)</f>
        <v/>
      </c>
      <c r="R161" s="435" t="n"/>
      <c r="S161" s="435" t="n"/>
      <c r="T161" s="435">
        <f>IF(ROUND(R161*(1+V161),0)&gt;20000,ROUND(ROUND(R161*(1+V161),0)*2%,0),0)</f>
        <v/>
      </c>
      <c r="U161" s="69">
        <f>(V161*50%)/(1+50%*V161)</f>
        <v/>
      </c>
      <c r="V161" s="69" t="n"/>
      <c r="W161" s="70" t="n">
        <v>0.11</v>
      </c>
      <c r="X161" s="436">
        <f>(P161+Q161)/G161</f>
        <v/>
      </c>
      <c r="Y161" s="16">
        <f>VLOOKUP(C161,台股行情!A:D,4,FALSE)</f>
        <v/>
      </c>
      <c r="Z161" s="437">
        <f>VLOOKUP(C161,台股行情!A:E,5,FALSE)</f>
        <v/>
      </c>
      <c r="AA161" s="438">
        <f>IF(I161="",((TODAY()-A161)*G161)/365.24,((I161-A161)*G161)/365.24)</f>
        <v/>
      </c>
      <c r="AB161" s="103" t="inlineStr">
        <is>
          <t>台股</t>
        </is>
      </c>
    </row>
    <row r="162" hidden="1" outlineLevel="1">
      <c r="A162" s="99" t="n">
        <v>44658</v>
      </c>
      <c r="B162" s="11" t="inlineStr">
        <is>
          <t>普通買進</t>
        </is>
      </c>
      <c r="C162" s="11" t="n">
        <v>5468</v>
      </c>
      <c r="D162" s="11" t="inlineStr">
        <is>
          <t>凱鈺</t>
        </is>
      </c>
      <c r="E162" s="11" t="n">
        <v>1000</v>
      </c>
      <c r="F162" s="11" t="n">
        <v>29.35</v>
      </c>
      <c r="G162" s="11">
        <f>E162*F162</f>
        <v/>
      </c>
      <c r="H162" s="11" t="n">
        <v>42</v>
      </c>
      <c r="I162" s="104" t="n">
        <v>44718</v>
      </c>
      <c r="J162" s="16" t="n">
        <v>38.5</v>
      </c>
      <c r="K162" s="11">
        <f>E162*J162</f>
        <v/>
      </c>
      <c r="L162" s="17" t="n">
        <v>54</v>
      </c>
      <c r="M162" s="11" t="n">
        <v>115</v>
      </c>
      <c r="N162" s="11" t="n">
        <v>0</v>
      </c>
      <c r="O162" s="434">
        <f>IF(I162="",E162*Y162,0)</f>
        <v/>
      </c>
      <c r="P162" s="435">
        <f>IF(I162="",R162-H162,(K162-H162-SUM(L162:N162)+R162-S162-T162)-G162)+(ROUND(R162*V162,0)-ROUND(R162*(1+V162),0)*W162)</f>
        <v/>
      </c>
      <c r="Q162" s="435">
        <f>IF(I162="",(O162-G162-(O162*0.1425%*0.65)-(O162*0.3%)-S162-T162),0)</f>
        <v/>
      </c>
      <c r="R162" s="435" t="n"/>
      <c r="S162" s="435" t="n"/>
      <c r="T162" s="435">
        <f>IF(ROUND(R162*(1+V162),0)&gt;20000,ROUND(ROUND(R162*(1+V162),0)*2%,0),0)</f>
        <v/>
      </c>
      <c r="U162" s="69">
        <f>(V162*50%)/(1+50%*V162)</f>
        <v/>
      </c>
      <c r="V162" s="69" t="n"/>
      <c r="W162" s="70" t="n">
        <v>0.11</v>
      </c>
      <c r="X162" s="436">
        <f>(P162+Q162)/G162</f>
        <v/>
      </c>
      <c r="Y162" s="16">
        <f>VLOOKUP(C162,台股行情!A:D,4,FALSE)</f>
        <v/>
      </c>
      <c r="Z162" s="437">
        <f>VLOOKUP(C162,台股行情!A:E,5,FALSE)</f>
        <v/>
      </c>
      <c r="AA162" s="438">
        <f>IF(I162="",((TODAY()-A162)*G162)/365.24,((I162-A162)*G162)/365.24)</f>
        <v/>
      </c>
      <c r="AB162" s="103" t="inlineStr">
        <is>
          <t>台股</t>
        </is>
      </c>
    </row>
    <row r="163" hidden="1" outlineLevel="1">
      <c r="A163" s="99" t="n">
        <v>44658</v>
      </c>
      <c r="B163" s="11" t="inlineStr">
        <is>
          <t>普通買進</t>
        </is>
      </c>
      <c r="C163" s="11" t="n">
        <v>5468</v>
      </c>
      <c r="D163" s="11" t="inlineStr">
        <is>
          <t>凱鈺</t>
        </is>
      </c>
      <c r="E163" s="11" t="n">
        <v>1000</v>
      </c>
      <c r="F163" s="11" t="n">
        <v>29.35</v>
      </c>
      <c r="G163" s="11">
        <f>E163*F163</f>
        <v/>
      </c>
      <c r="H163" s="11" t="n">
        <v>41</v>
      </c>
      <c r="I163" s="104" t="n">
        <v>44720</v>
      </c>
      <c r="J163" s="16" t="n">
        <v>35.15</v>
      </c>
      <c r="K163" s="11">
        <f>E163*J163</f>
        <v/>
      </c>
      <c r="L163" s="17" t="n">
        <v>50</v>
      </c>
      <c r="M163" s="11" t="n">
        <v>105</v>
      </c>
      <c r="N163" s="11" t="n">
        <v>0</v>
      </c>
      <c r="O163" s="434">
        <f>IF(I163="",E163*Y163,0)</f>
        <v/>
      </c>
      <c r="P163" s="435">
        <f>IF(I163="",R163-H163,(K163-H163-SUM(L163:N163)+R163-S163-T163)-G163)+(ROUND(R163*V163,0)-ROUND(R163*(1+V163),0)*W163)</f>
        <v/>
      </c>
      <c r="Q163" s="435">
        <f>IF(I163="",(O163-G163-(O163*0.1425%*0.65)-(O163*0.3%)-S163-T163),0)</f>
        <v/>
      </c>
      <c r="R163" s="435" t="n"/>
      <c r="S163" s="435" t="n"/>
      <c r="T163" s="435">
        <f>IF(ROUND(R163*(1+V163),0)&gt;20000,ROUND(ROUND(R163*(1+V163),0)*2%,0),0)</f>
        <v/>
      </c>
      <c r="U163" s="69">
        <f>(V163*50%)/(1+50%*V163)</f>
        <v/>
      </c>
      <c r="V163" s="69" t="n"/>
      <c r="W163" s="70" t="n">
        <v>0.11</v>
      </c>
      <c r="X163" s="436">
        <f>(P163+Q163)/G163</f>
        <v/>
      </c>
      <c r="Y163" s="16">
        <f>VLOOKUP(C163,台股行情!A:D,4,FALSE)</f>
        <v/>
      </c>
      <c r="Z163" s="437">
        <f>VLOOKUP(C163,台股行情!A:E,5,FALSE)</f>
        <v/>
      </c>
      <c r="AA163" s="438">
        <f>IF(I163="",((TODAY()-A163)*G163)/365.24,((I163-A163)*G163)/365.24)</f>
        <v/>
      </c>
      <c r="AB163" s="103" t="inlineStr">
        <is>
          <t>台股</t>
        </is>
      </c>
    </row>
    <row r="164" hidden="1" outlineLevel="1">
      <c r="A164" s="99" t="n">
        <v>44650</v>
      </c>
      <c r="B164" s="11" t="inlineStr">
        <is>
          <t>普通買進</t>
        </is>
      </c>
      <c r="C164" s="11" t="n">
        <v>6176</v>
      </c>
      <c r="D164" s="11" t="inlineStr">
        <is>
          <t>瑞儀</t>
        </is>
      </c>
      <c r="E164" s="11" t="n">
        <v>1000</v>
      </c>
      <c r="F164" s="11" t="n">
        <v>104</v>
      </c>
      <c r="G164" s="11">
        <f>E164*F164</f>
        <v/>
      </c>
      <c r="H164" s="11" t="n">
        <v>148</v>
      </c>
      <c r="I164" s="104" t="n">
        <v>44718</v>
      </c>
      <c r="J164" s="16" t="n">
        <v>105.5</v>
      </c>
      <c r="K164" s="11">
        <f>E164*J164</f>
        <v/>
      </c>
      <c r="L164" s="17" t="n">
        <v>150</v>
      </c>
      <c r="M164" s="11" t="n">
        <v>316</v>
      </c>
      <c r="N164" s="11" t="n">
        <v>0</v>
      </c>
      <c r="O164" s="434">
        <f>IF(I164="",E164*Y164,0)</f>
        <v/>
      </c>
      <c r="P164" s="435">
        <f>IF(I164="",R164-H164,(K164-H164-SUM(L164:N164)+R164-S164-T164)-G164)+(ROUND(R164*V164,0)-ROUND(R164*(1+V164),0)*W164)</f>
        <v/>
      </c>
      <c r="Q164" s="435">
        <f>IF(I164="",(O164-G164-(O164*0.1425%*0.65)-(O164*0.3%)-S164-T164),0)</f>
        <v/>
      </c>
      <c r="R164" s="435" t="n"/>
      <c r="S164" s="435" t="n"/>
      <c r="T164" s="435">
        <f>IF(ROUND(R164*(1+V164),0)&gt;20000,ROUND(ROUND(R164*(1+V164),0)*2%,0),0)</f>
        <v/>
      </c>
      <c r="U164" s="69">
        <f>(V164*50%)/(1+50%*V164)</f>
        <v/>
      </c>
      <c r="V164" s="69" t="n"/>
      <c r="W164" s="70" t="n">
        <v>0.11</v>
      </c>
      <c r="X164" s="436">
        <f>(P164+Q164)/G164</f>
        <v/>
      </c>
      <c r="Y164" s="16">
        <f>VLOOKUP(C164,台股行情!A:D,4,FALSE)</f>
        <v/>
      </c>
      <c r="Z164" s="437">
        <f>VLOOKUP(C164,台股行情!A:E,5,FALSE)</f>
        <v/>
      </c>
      <c r="AA164" s="438">
        <f>IF(I164="",((TODAY()-A164)*G164)/365.24,((I164-A164)*G164)/365.24)</f>
        <v/>
      </c>
      <c r="AB164" s="103" t="inlineStr">
        <is>
          <t>台股</t>
        </is>
      </c>
    </row>
    <row r="165" hidden="1" outlineLevel="1">
      <c r="A165" s="99" t="n">
        <v>44581</v>
      </c>
      <c r="B165" s="11" t="inlineStr">
        <is>
          <t>普通買進</t>
        </is>
      </c>
      <c r="C165" s="11" t="n">
        <v>3548</v>
      </c>
      <c r="D165" s="11" t="inlineStr">
        <is>
          <t>兆利</t>
        </is>
      </c>
      <c r="E165" s="11" t="n">
        <v>1000</v>
      </c>
      <c r="F165" s="11" t="n">
        <v>74.2</v>
      </c>
      <c r="G165" s="11">
        <f>E165*F165</f>
        <v/>
      </c>
      <c r="H165" s="11" t="n">
        <v>105</v>
      </c>
      <c r="I165" s="104" t="n">
        <v>44722</v>
      </c>
      <c r="J165" s="16" t="n">
        <v>67.2</v>
      </c>
      <c r="K165" s="11">
        <f>E165*J165</f>
        <v/>
      </c>
      <c r="L165" s="17" t="n">
        <v>95</v>
      </c>
      <c r="M165" s="11" t="n">
        <v>201</v>
      </c>
      <c r="N165" s="11" t="n">
        <v>0</v>
      </c>
      <c r="O165" s="434">
        <f>IF(I165="",E165*Y165,0)</f>
        <v/>
      </c>
      <c r="P165" s="435">
        <f>IF(I165="",R165-H165,(K165-H165-SUM(L165:N165)+R165-S165-T165)-G165)+(ROUND(R165*V165,0)-ROUND(R165*(1+V165),0)*W165)</f>
        <v/>
      </c>
      <c r="Q165" s="435">
        <f>IF(I165="",(O165-G165-(O165*0.1425%*0.65)-(O165*0.3%)-S165-T165),0)</f>
        <v/>
      </c>
      <c r="R165" s="435" t="n"/>
      <c r="S165" s="435" t="n"/>
      <c r="T165" s="435">
        <f>IF(ROUND(R165*(1+V165),0)&gt;20000,ROUND(ROUND(R165*(1+V165),0)*2%,0),0)</f>
        <v/>
      </c>
      <c r="U165" s="69">
        <f>(V165*50%)/(1+50%*V165)</f>
        <v/>
      </c>
      <c r="V165" s="69" t="n"/>
      <c r="W165" s="70" t="n">
        <v>0.11</v>
      </c>
      <c r="X165" s="436">
        <f>(P165+Q165)/G165</f>
        <v/>
      </c>
      <c r="Y165" s="16">
        <f>VLOOKUP(C165,台股行情!A:D,4,FALSE)</f>
        <v/>
      </c>
      <c r="Z165" s="437">
        <f>VLOOKUP(C165,台股行情!A:E,5,FALSE)</f>
        <v/>
      </c>
      <c r="AA165" s="438">
        <f>IF(I165="",((TODAY()-A165)*G165)/365.24,((I165-A165)*G165)/365.24)</f>
        <v/>
      </c>
      <c r="AB165" s="103" t="inlineStr">
        <is>
          <t>台股</t>
        </is>
      </c>
    </row>
    <row r="166" hidden="1" outlineLevel="1">
      <c r="A166" s="99" t="n">
        <v>44565</v>
      </c>
      <c r="B166" s="11" t="inlineStr">
        <is>
          <t>普通買進</t>
        </is>
      </c>
      <c r="C166" s="11" t="n">
        <v>2368</v>
      </c>
      <c r="D166" s="11" t="inlineStr">
        <is>
          <t>金像電</t>
        </is>
      </c>
      <c r="E166" s="11" t="n">
        <v>1000</v>
      </c>
      <c r="F166" s="11" t="n">
        <v>79.7</v>
      </c>
      <c r="G166" s="11">
        <f>E166*F166</f>
        <v/>
      </c>
      <c r="H166" s="11" t="n">
        <v>113</v>
      </c>
      <c r="I166" s="104" t="n">
        <v>44726</v>
      </c>
      <c r="J166" s="16" t="n">
        <v>91.90000000000001</v>
      </c>
      <c r="K166" s="11">
        <f>E166*J166</f>
        <v/>
      </c>
      <c r="L166" s="17" t="n">
        <v>130</v>
      </c>
      <c r="M166" s="11" t="n">
        <v>275</v>
      </c>
      <c r="N166" s="11" t="n">
        <v>0</v>
      </c>
      <c r="O166" s="434">
        <f>IF(I166="",E166*Y166,0)</f>
        <v/>
      </c>
      <c r="P166" s="435">
        <f>IF(I166="",R166-H166,(K166-H166-SUM(L166:N166)+R166-S166-T166)-G166)+(ROUND(R166*V166,0)-ROUND(R166*(1+V166),0)*W166)</f>
        <v/>
      </c>
      <c r="Q166" s="435">
        <f>IF(I166="",(O166-G166-(O166*0.1425%*0.65)-(O166*0.3%)-S166-T166),0)</f>
        <v/>
      </c>
      <c r="R166" s="435" t="n"/>
      <c r="S166" s="435" t="n"/>
      <c r="T166" s="435">
        <f>IF(ROUND(R166*(1+V166),0)&gt;20000,ROUND(ROUND(R166*(1+V166),0)*2%,0),0)</f>
        <v/>
      </c>
      <c r="U166" s="69">
        <f>(V166*50%)/(1+50%*V166)</f>
        <v/>
      </c>
      <c r="V166" s="69" t="n"/>
      <c r="W166" s="70" t="n">
        <v>0.11</v>
      </c>
      <c r="X166" s="436">
        <f>(P166+Q166)/G166</f>
        <v/>
      </c>
      <c r="Y166" s="16">
        <f>VLOOKUP(C166,台股行情!A:D,4,FALSE)</f>
        <v/>
      </c>
      <c r="Z166" s="437">
        <f>VLOOKUP(C166,台股行情!A:E,5,FALSE)</f>
        <v/>
      </c>
      <c r="AA166" s="438">
        <f>IF(I166="",((TODAY()-A166)*G166)/365.24,((I166-A166)*G166)/365.24)</f>
        <v/>
      </c>
      <c r="AB166" s="103" t="inlineStr">
        <is>
          <t>台股</t>
        </is>
      </c>
    </row>
    <row r="167" hidden="1" outlineLevel="1">
      <c r="A167" s="99" t="n">
        <v>44650</v>
      </c>
      <c r="B167" s="11" t="inlineStr">
        <is>
          <t>普通買進</t>
        </is>
      </c>
      <c r="C167" s="11" t="n">
        <v>6123</v>
      </c>
      <c r="D167" s="11" t="inlineStr">
        <is>
          <t>上奇</t>
        </is>
      </c>
      <c r="E167" s="11" t="n">
        <v>1000</v>
      </c>
      <c r="F167" s="11" t="n">
        <v>54.5</v>
      </c>
      <c r="G167" s="11">
        <f>E167*F167</f>
        <v/>
      </c>
      <c r="H167" s="11" t="n">
        <v>77</v>
      </c>
      <c r="I167" s="104" t="n">
        <v>44749</v>
      </c>
      <c r="J167" s="16" t="n">
        <v>50.7</v>
      </c>
      <c r="K167" s="11">
        <f>E167*J167</f>
        <v/>
      </c>
      <c r="L167" s="17" t="n">
        <v>72</v>
      </c>
      <c r="M167" s="11" t="n">
        <v>152</v>
      </c>
      <c r="N167" s="11" t="n">
        <v>0</v>
      </c>
      <c r="O167" s="434">
        <f>IF(I167="",E167*Y167,0)</f>
        <v/>
      </c>
      <c r="P167" s="435">
        <f>IF(I167="",R167-H167,(K167-H167-SUM(L167:N167)+R167-S167-T167)-G167)+(ROUND(R167*V167,0)-ROUND(R167*(1+V167),0)*W167)</f>
        <v/>
      </c>
      <c r="Q167" s="435">
        <f>IF(I167="",(O167-G167-(O167*0.1425%*0.65)-(O167*0.3%)-S167-T167),0)</f>
        <v/>
      </c>
      <c r="R167" s="435" t="n">
        <v>3000</v>
      </c>
      <c r="S167" s="435" t="n">
        <v>10</v>
      </c>
      <c r="T167" s="435">
        <f>IF(ROUND(R167*(1+V167),0)&gt;20000,ROUND(ROUND(R167*(1+V167),0)*2%,0),0)</f>
        <v/>
      </c>
      <c r="U167" s="69">
        <f>(V167*50%)/(1+50%*V167)</f>
        <v/>
      </c>
      <c r="V167" s="69" t="n"/>
      <c r="W167" s="70" t="n">
        <v>0.11</v>
      </c>
      <c r="X167" s="436">
        <f>(P167+Q167)/G167</f>
        <v/>
      </c>
      <c r="Y167" s="16">
        <f>VLOOKUP(C167,台股行情!A:D,4,FALSE)</f>
        <v/>
      </c>
      <c r="Z167" s="437">
        <f>VLOOKUP(C167,台股行情!A:E,5,FALSE)</f>
        <v/>
      </c>
      <c r="AA167" s="438">
        <f>IF(I167="",((TODAY()-A167)*G167)/365.24,((I167-A167)*G167)/365.24)</f>
        <v/>
      </c>
      <c r="AB167" s="103" t="inlineStr">
        <is>
          <t>台股</t>
        </is>
      </c>
    </row>
    <row r="168" hidden="1" outlineLevel="1">
      <c r="A168" s="99" t="n">
        <v>44601</v>
      </c>
      <c r="B168" s="11" t="inlineStr">
        <is>
          <t>普通買進</t>
        </is>
      </c>
      <c r="C168" s="11" t="n">
        <v>2233</v>
      </c>
      <c r="D168" s="11" t="inlineStr">
        <is>
          <t>宇隆</t>
        </is>
      </c>
      <c r="E168" s="11" t="n">
        <v>1000</v>
      </c>
      <c r="F168" s="11" t="n">
        <v>118</v>
      </c>
      <c r="G168" s="11">
        <f>E168*F168</f>
        <v/>
      </c>
      <c r="H168" s="11" t="n">
        <v>168</v>
      </c>
      <c r="I168" s="308" t="n">
        <v>45273</v>
      </c>
      <c r="J168" s="16" t="n">
        <v>138</v>
      </c>
      <c r="K168" s="11">
        <f>E168*J168</f>
        <v/>
      </c>
      <c r="L168" s="17" t="n">
        <v>196</v>
      </c>
      <c r="M168" s="11" t="n">
        <v>414</v>
      </c>
      <c r="N168" s="11" t="n">
        <v>0</v>
      </c>
      <c r="O168" s="434">
        <f>IF(I168="",E168*Y168,0)</f>
        <v/>
      </c>
      <c r="P168" s="435">
        <f>IF(I168="",R168-H168,(K168-H168-SUM(L168:N168)+R168-S168-T168)-G168)+(ROUND(R168*V168,0)-ROUND(R168*(1+V168),0)*W168)</f>
        <v/>
      </c>
      <c r="Q168" s="435">
        <f>IF(I168="",(O168-G168-(O168*0.1425%*0.65)-(O168*0.3%)-S168-T168),0)</f>
        <v/>
      </c>
      <c r="R168" s="435">
        <f>5400+6000</f>
        <v/>
      </c>
      <c r="S168" s="435" t="n">
        <v>20</v>
      </c>
      <c r="T168" s="435">
        <f>IF(ROUND(R168*(1+V168),0)&gt;20000,ROUND(ROUND(R168*(1+V168),0)*2%,0),0)</f>
        <v/>
      </c>
      <c r="U168" s="69">
        <f>(V168*50%)/(1+50%*V168)</f>
        <v/>
      </c>
      <c r="V168" s="69" t="n"/>
      <c r="W168" s="70" t="n">
        <v>0.11</v>
      </c>
      <c r="X168" s="436">
        <f>(P168+Q168)/G168</f>
        <v/>
      </c>
      <c r="Y168" s="16">
        <f>VLOOKUP(C168,台股行情!A:D,4,FALSE)</f>
        <v/>
      </c>
      <c r="Z168" s="437">
        <f>VLOOKUP(C168,台股行情!A:E,5,FALSE)</f>
        <v/>
      </c>
      <c r="AA168" s="438">
        <f>IF(I168="",((TODAY()-A168)*G168)/365.24,((I168-A168)*G168)/365.24)</f>
        <v/>
      </c>
      <c r="AB168" s="103" t="inlineStr">
        <is>
          <t>台股</t>
        </is>
      </c>
    </row>
    <row r="169" hidden="1" outlineLevel="1">
      <c r="A169" s="99" t="n">
        <v>44603</v>
      </c>
      <c r="B169" s="11" t="inlineStr">
        <is>
          <t>普通買進</t>
        </is>
      </c>
      <c r="C169" s="11" t="n">
        <v>8299</v>
      </c>
      <c r="D169" s="11" t="inlineStr">
        <is>
          <t>群聯</t>
        </is>
      </c>
      <c r="E169" s="11" t="n">
        <v>1000</v>
      </c>
      <c r="F169" s="11" t="n">
        <v>503</v>
      </c>
      <c r="G169" s="11">
        <f>E169*F169</f>
        <v/>
      </c>
      <c r="H169" s="11" t="n">
        <v>716</v>
      </c>
      <c r="I169" s="308" t="n">
        <v>45384</v>
      </c>
      <c r="J169" s="16" t="n">
        <v>720</v>
      </c>
      <c r="K169" s="11">
        <f>E169*J169</f>
        <v/>
      </c>
      <c r="L169" s="17" t="n">
        <v>1026</v>
      </c>
      <c r="M169" s="11" t="n">
        <v>2160</v>
      </c>
      <c r="N169" s="11" t="n">
        <v>0</v>
      </c>
      <c r="O169" s="434">
        <f>IF(I169="",E169*Y169,0)</f>
        <v/>
      </c>
      <c r="P169" s="435">
        <f>IF(I169="",R169-H169,(K169-H169-SUM(L169:N169)+R169-S169-T169)-G169)+(ROUND(R169*V169,0)-ROUND(R169*(1+V169),0)*W169)</f>
        <v/>
      </c>
      <c r="Q169" s="435">
        <f>IF(I169="",(O169-G169-(O169*0.1425%*0.65)-(O169*0.3%)-S169-T169),0)</f>
        <v/>
      </c>
      <c r="R169" s="435">
        <f>13000+10277+4450+4424</f>
        <v/>
      </c>
      <c r="S169" s="435" t="n">
        <v>30</v>
      </c>
      <c r="T169" s="435">
        <f>IF(ROUND(R169*(1+V169),0)&gt;20000,ROUND(ROUND(R169*(1+V169),0)*2%,0),0)</f>
        <v/>
      </c>
      <c r="U169" s="69">
        <f>(V169*50%)/(1+50%*V169)</f>
        <v/>
      </c>
      <c r="V169" s="69" t="n"/>
      <c r="W169" s="70" t="n">
        <v>0.11</v>
      </c>
      <c r="X169" s="436">
        <f>(P169+Q169)/G169</f>
        <v/>
      </c>
      <c r="Y169" s="16">
        <f>VLOOKUP(C169,台股行情!A:D,4,FALSE)</f>
        <v/>
      </c>
      <c r="Z169" s="437">
        <f>VLOOKUP(C169,台股行情!A:E,5,FALSE)</f>
        <v/>
      </c>
      <c r="AA169" s="438">
        <f>IF(I169="",((TODAY()-A169)*G169)/365.24,((I169-A169)*G169)/365.24)</f>
        <v/>
      </c>
      <c r="AB169" s="103" t="inlineStr">
        <is>
          <t>台股</t>
        </is>
      </c>
    </row>
    <row r="170" hidden="1" outlineLevel="1">
      <c r="A170" s="99" t="n">
        <v>44658</v>
      </c>
      <c r="B170" s="11" t="inlineStr">
        <is>
          <t>普通買進</t>
        </is>
      </c>
      <c r="C170" s="11" t="n">
        <v>2892</v>
      </c>
      <c r="D170" s="11" t="inlineStr">
        <is>
          <t>第一金</t>
        </is>
      </c>
      <c r="E170" s="11" t="n">
        <v>1050</v>
      </c>
      <c r="F170" s="11" t="n">
        <v>29.75</v>
      </c>
      <c r="G170" s="11" t="n">
        <v>29750</v>
      </c>
      <c r="H170" s="11" t="n">
        <v>42</v>
      </c>
      <c r="I170" s="308" t="n">
        <v>45436</v>
      </c>
      <c r="J170" s="16" t="n">
        <v>28.25</v>
      </c>
      <c r="K170" s="489">
        <f>E170*J170</f>
        <v/>
      </c>
      <c r="L170" s="17" t="n">
        <v>42</v>
      </c>
      <c r="M170" s="11" t="n">
        <v>84</v>
      </c>
      <c r="N170" s="11" t="n">
        <v>0</v>
      </c>
      <c r="O170" s="434">
        <f>IF(I170="",E170*Y170,0)</f>
        <v/>
      </c>
      <c r="P170" s="435">
        <f>IF(I170="",R170-H170,(K170-H170-SUM(L170:N170)+R170-S170-T170)-G170)+(ROUND(R170*V170,0)-ROUND(R170*(1+V170),0)*W170)</f>
        <v/>
      </c>
      <c r="Q170" s="435">
        <f>IF(I170="",(O170-G170-(O170*0.1425%*0.65)-(O170*0.3%)-S170-T170),0)</f>
        <v/>
      </c>
      <c r="R170" s="435" t="n">
        <v>816</v>
      </c>
      <c r="S170" s="435" t="n">
        <v>10</v>
      </c>
      <c r="T170" s="435">
        <f>IF(ROUND(R170*(1+V170),0)&gt;20000,ROUND(ROUND(R170*(1+V170),0)*2%,0),0)</f>
        <v/>
      </c>
      <c r="U170" s="69">
        <f>(V170*50%)/(1+50%*V170)</f>
        <v/>
      </c>
      <c r="V170" s="69" t="n"/>
      <c r="W170" s="70" t="n">
        <v>0.11</v>
      </c>
      <c r="X170" s="436">
        <f>(P170+Q170)/G170</f>
        <v/>
      </c>
      <c r="Y170" s="16">
        <f>VLOOKUP(C170,台股行情!A:D,4,FALSE)</f>
        <v/>
      </c>
      <c r="Z170" s="437">
        <f>VLOOKUP(C170,台股行情!A:E,5,FALSE)</f>
        <v/>
      </c>
      <c r="AA170" s="438">
        <f>IF(I170="",((TODAY()-A170)*G170)/365.24,((I170-A170)*G170)/365.24)</f>
        <v/>
      </c>
      <c r="AB170" s="103" t="inlineStr">
        <is>
          <t>台股</t>
        </is>
      </c>
    </row>
    <row r="171" hidden="1" outlineLevel="1">
      <c r="A171" s="99" t="n">
        <v>44658</v>
      </c>
      <c r="B171" s="11" t="inlineStr">
        <is>
          <t>普通買進</t>
        </is>
      </c>
      <c r="C171" s="11" t="n">
        <v>5880</v>
      </c>
      <c r="D171" s="11">
        <f>VLOOKUP(C171,台股行情!A:B,2,FALSE)</f>
        <v/>
      </c>
      <c r="E171" s="242" t="n">
        <v>1000</v>
      </c>
      <c r="F171" s="11" t="n">
        <v>30.8</v>
      </c>
      <c r="G171" s="11">
        <f>E171*F171</f>
        <v/>
      </c>
      <c r="H171" s="11" t="n">
        <v>43</v>
      </c>
      <c r="I171" s="308" t="n">
        <v>45520</v>
      </c>
      <c r="J171" s="16" t="n">
        <v>25.85</v>
      </c>
      <c r="K171" s="11" t="n">
        <v>27826</v>
      </c>
      <c r="L171" s="17" t="n">
        <v>38</v>
      </c>
      <c r="M171" s="11" t="n">
        <v>83</v>
      </c>
      <c r="N171" s="11" t="n">
        <v>0</v>
      </c>
      <c r="O171" s="434">
        <f>IF(I171="",E171*Y171,0)</f>
        <v/>
      </c>
      <c r="P171" s="435">
        <f>IF(I171="",R171-H171,(K171-H171-SUM(L171:N171)+R171-S171-T171)-G171)+(ROUND(R171*V171,0)-ROUND(R171*(1+V171),0)*W171)</f>
        <v/>
      </c>
      <c r="Q171" s="435">
        <f>IF(I171="",(O171-G171-(O171*0.1425%*0.65)-(O171*0.3%)-S171-T171),0)</f>
        <v/>
      </c>
      <c r="R171" s="435">
        <f>515+702+947</f>
        <v/>
      </c>
      <c r="S171" s="435" t="n">
        <v>20</v>
      </c>
      <c r="T171" s="435">
        <f>IF(ROUND(R171*(1+V171),0)&gt;20000,ROUND(ROUND(R171*(1+V171),0)*2%,0),0)</f>
        <v/>
      </c>
      <c r="U171" s="69">
        <f>(V171*50%)/(1+50%*V171)</f>
        <v/>
      </c>
      <c r="V171" s="69" t="n"/>
      <c r="W171" s="70" t="n">
        <v>0.11</v>
      </c>
      <c r="X171" s="436">
        <f>(P171+Q171)/G171</f>
        <v/>
      </c>
      <c r="Y171" s="16">
        <f>VLOOKUP(C171,台股行情!A:D,4,FALSE)</f>
        <v/>
      </c>
      <c r="Z171" s="437">
        <f>VLOOKUP(C171,台股行情!A:E,5,FALSE)</f>
        <v/>
      </c>
      <c r="AA171" s="438">
        <f>IF(I171="",((TODAY()-A171)*G171)/365.24,((I171-A171)*G171)/365.24)</f>
        <v/>
      </c>
      <c r="AB171" s="103" t="inlineStr">
        <is>
          <t>台股</t>
        </is>
      </c>
    </row>
    <row r="172" hidden="1" outlineLevel="1">
      <c r="A172" s="99" t="n">
        <v>44658</v>
      </c>
      <c r="B172" s="11" t="inlineStr">
        <is>
          <t>普通買進</t>
        </is>
      </c>
      <c r="C172" s="11" t="n">
        <v>6020</v>
      </c>
      <c r="D172" s="11" t="inlineStr">
        <is>
          <t>大展證</t>
        </is>
      </c>
      <c r="E172" s="11" t="n">
        <v>1000</v>
      </c>
      <c r="F172" s="11" t="n">
        <v>21.15</v>
      </c>
      <c r="G172" s="11">
        <f>E172*F172</f>
        <v/>
      </c>
      <c r="H172" s="11" t="n">
        <v>43</v>
      </c>
      <c r="I172" s="308" t="n">
        <v>45541</v>
      </c>
      <c r="J172" s="16" t="n">
        <v>19.05</v>
      </c>
      <c r="K172" s="11">
        <f>E172*J172</f>
        <v/>
      </c>
      <c r="L172" s="17" t="n">
        <v>27</v>
      </c>
      <c r="M172" s="11" t="n">
        <v>27</v>
      </c>
      <c r="N172" s="11" t="n">
        <v>0</v>
      </c>
      <c r="O172" s="434">
        <f>IF(I172="",E172*Y172,0)</f>
        <v/>
      </c>
      <c r="P172" s="435">
        <f>IF(I172="",R172-H172,(K172-H172-SUM(L172:N172)+R172-S172-T172)-G172)+(ROUND(R172*V172,0)-ROUND(R172*(1+V172),0)*W172)</f>
        <v/>
      </c>
      <c r="Q172" s="435">
        <f>IF(I172="",(O172-G172-(O172*0.1425%*0.65)-(O172*0.3%)-S172-T172),0)</f>
        <v/>
      </c>
      <c r="R172" s="435" t="n">
        <v>899</v>
      </c>
      <c r="S172" s="435" t="n">
        <v>10</v>
      </c>
      <c r="T172" s="435">
        <f>IF(ROUND(R172*(1+V172),0)&gt;20000,ROUND(ROUND(R172*(1+V172),0)*2%,0),0)</f>
        <v/>
      </c>
      <c r="U172" s="69">
        <f>(V172*50%)/(1+50%*V172)</f>
        <v/>
      </c>
      <c r="V172" s="69" t="n"/>
      <c r="W172" s="70" t="n">
        <v>0.11</v>
      </c>
      <c r="X172" s="436">
        <f>(P172+Q172)/G172</f>
        <v/>
      </c>
      <c r="Y172" s="16">
        <f>VLOOKUP(C172,台股行情!A:D,4,FALSE)</f>
        <v/>
      </c>
      <c r="Z172" s="437">
        <f>VLOOKUP(C172,台股行情!A:E,5,FALSE)</f>
        <v/>
      </c>
      <c r="AA172" s="438">
        <f>IF(I172="",((TODAY()-A172)*G172)/365.24,((I172-A172)*G172)/365.24)</f>
        <v/>
      </c>
      <c r="AB172" s="103" t="inlineStr">
        <is>
          <t>台股</t>
        </is>
      </c>
    </row>
    <row r="173" hidden="1" outlineLevel="1">
      <c r="A173" s="99" t="n">
        <v>44622</v>
      </c>
      <c r="B173" s="11" t="inlineStr">
        <is>
          <t>普通買進</t>
        </is>
      </c>
      <c r="C173" s="11" t="n">
        <v>2015</v>
      </c>
      <c r="D173" s="11">
        <f>VLOOKUP(C173,台股行情!A:B,2,FALSE)</f>
        <v/>
      </c>
      <c r="E173" s="11" t="n">
        <v>1000</v>
      </c>
      <c r="F173" s="11" t="n">
        <v>88.40000000000001</v>
      </c>
      <c r="G173" s="11">
        <f>E173*F173</f>
        <v/>
      </c>
      <c r="H173" s="11" t="n">
        <v>125</v>
      </c>
      <c r="I173" s="308" t="n">
        <v>46136</v>
      </c>
      <c r="J173" s="16" t="n">
        <v>60.9</v>
      </c>
      <c r="K173" s="11">
        <f>E173*J173</f>
        <v/>
      </c>
      <c r="L173" s="11" t="n">
        <v>86</v>
      </c>
      <c r="M173" s="11" t="n">
        <v>182</v>
      </c>
      <c r="N173" s="11" t="n">
        <v>0</v>
      </c>
      <c r="O173" s="434">
        <f>IF(I173="",E173*Y173,0)</f>
        <v/>
      </c>
      <c r="P173" s="435">
        <f>IF(I173="",R173-H173,(K173-H173-SUM(L173:N173)+R173-S173-T173)-G173)+(ROUND(R173*V173,0)-ROUND(R173*(1+V173),0)*W173)</f>
        <v/>
      </c>
      <c r="Q173" s="435">
        <f>IF(I173="",(O173-G173-(O173*0.1425%*0.65)-(O173*0.3%)-S173-T173),0)</f>
        <v/>
      </c>
      <c r="R173" s="435">
        <f>5000+4000+3500+3500+3300</f>
        <v/>
      </c>
      <c r="S173" s="435" t="n">
        <v>50</v>
      </c>
      <c r="T173" s="435">
        <f>IF(ROUND(R173*(1+V173),0)&gt;20000,ROUND(ROUND(R173*(1+V173),0)*2%,0),0)</f>
        <v/>
      </c>
      <c r="U173" s="69">
        <f>(V173*50%)/(1+50%*V173)</f>
        <v/>
      </c>
      <c r="V173" s="69" t="n"/>
      <c r="W173" s="70" t="n">
        <v>0.11</v>
      </c>
      <c r="X173" s="436">
        <f>(P173+Q173)/G173</f>
        <v/>
      </c>
      <c r="Y173" s="16">
        <f>VLOOKUP(C173,台股行情!A:D,4,FALSE)</f>
        <v/>
      </c>
      <c r="Z173" s="437">
        <f>VLOOKUP(C173,台股行情!A:E,5,FALSE)</f>
        <v/>
      </c>
      <c r="AA173" s="438">
        <f>IF(I173="",((TODAY()-A173)*G173)/365.24,((I173-A173)*G173)/365.24)</f>
        <v/>
      </c>
      <c r="AB173" s="103" t="inlineStr">
        <is>
          <t>台股</t>
        </is>
      </c>
    </row>
    <row r="174" collapsed="1">
      <c r="A174" s="99" t="n">
        <v>45009</v>
      </c>
      <c r="B174" s="11" t="inlineStr">
        <is>
          <t>普通買進</t>
        </is>
      </c>
      <c r="C174" s="11" t="n">
        <v>4995</v>
      </c>
      <c r="D174" s="189" t="inlineStr">
        <is>
          <t>晶達</t>
        </is>
      </c>
      <c r="E174" s="11" t="n">
        <v>1000</v>
      </c>
      <c r="F174" s="11" t="n">
        <v>55.1</v>
      </c>
      <c r="G174" s="11" t="n">
        <v>55100</v>
      </c>
      <c r="H174" s="11" t="n">
        <v>78</v>
      </c>
      <c r="I174" s="104" t="n">
        <v>45028</v>
      </c>
      <c r="J174" s="16" t="n">
        <v>52.1</v>
      </c>
      <c r="K174" s="11" t="n">
        <v>52100</v>
      </c>
      <c r="L174" s="17" t="n">
        <v>74</v>
      </c>
      <c r="M174" s="11" t="n">
        <v>156</v>
      </c>
      <c r="N174" s="11" t="n">
        <v>0</v>
      </c>
      <c r="O174" s="434" t="n">
        <v>0</v>
      </c>
      <c r="P174" s="435">
        <f>IF(I174="",R174-H174,(K174-H174-SUM(L174:N174)+R174-S174-T174)-G174)+(ROUND(R174*V174,0)-ROUND(R174*(1+V174),0)*W174)</f>
        <v/>
      </c>
      <c r="Q174" s="435" t="n">
        <v>0</v>
      </c>
      <c r="R174" s="435" t="n"/>
      <c r="S174" s="435" t="n"/>
      <c r="T174" s="435" t="n"/>
      <c r="U174" s="69">
        <f>(V174*50%)/(1+50%*V174)</f>
        <v/>
      </c>
      <c r="V174" s="69" t="n"/>
      <c r="W174" s="70" t="n">
        <v>-0.89</v>
      </c>
      <c r="X174" s="436">
        <f>(P174+Q174)/G174</f>
        <v/>
      </c>
      <c r="Y174" s="16">
        <f>VLOOKUP(C174,台股行情!A:D,4,FALSE)</f>
        <v/>
      </c>
      <c r="Z174" s="437">
        <f>VLOOKUP(C174,台股行情!A:E,5,FALSE)</f>
        <v/>
      </c>
      <c r="AA174" s="438">
        <f>IF(I174="",((TODAY()-A174)*G174)/365.24,((I174-A174)*G174)/365.24)</f>
        <v/>
      </c>
      <c r="AB174" s="103" t="inlineStr">
        <is>
          <t>台股</t>
        </is>
      </c>
    </row>
    <row r="175" hidden="1" outlineLevel="1">
      <c r="A175" s="99" t="n">
        <v>45103</v>
      </c>
      <c r="B175" s="11" t="n"/>
      <c r="C175" s="11" t="n">
        <v>5426</v>
      </c>
      <c r="D175" s="189" t="inlineStr">
        <is>
          <t>振發</t>
        </is>
      </c>
      <c r="E175" s="11" t="n">
        <v>1000</v>
      </c>
      <c r="F175" s="11" t="n">
        <v>15.7</v>
      </c>
      <c r="G175" s="11">
        <f>E175*F175</f>
        <v/>
      </c>
      <c r="H175" s="11" t="n">
        <v>22</v>
      </c>
      <c r="I175" s="104" t="n">
        <v>45117</v>
      </c>
      <c r="J175" s="16" t="n">
        <v>16.65</v>
      </c>
      <c r="K175" s="11">
        <f>E175*J175</f>
        <v/>
      </c>
      <c r="L175" s="17" t="n">
        <v>23</v>
      </c>
      <c r="M175" s="11" t="n">
        <v>49</v>
      </c>
      <c r="N175" s="11" t="n">
        <v>0</v>
      </c>
      <c r="O175" s="434">
        <f>IF(I175="",E175*Y175,0)</f>
        <v/>
      </c>
      <c r="P175" s="435">
        <f>IF(I175="",R175-H175,(K175-H175-SUM(L175:N175)+R175-S175-T175)-G175)+(ROUND(R175*V175,0)-ROUND(R175*(1+V175),0)*W175)</f>
        <v/>
      </c>
      <c r="Q175" s="435">
        <f>IF(I175="",(O175-G175-(O175*0.1425%*0.65)-(O175*0.3%)-S175-T175),0)</f>
        <v/>
      </c>
      <c r="R175" s="435" t="n"/>
      <c r="S175" s="435" t="n"/>
      <c r="T175" s="435" t="n"/>
      <c r="U175" s="69">
        <f>(V175*50%)/(1+50%*V175)</f>
        <v/>
      </c>
      <c r="V175" s="69" t="n"/>
      <c r="W175" s="70" t="n">
        <v>0.11</v>
      </c>
      <c r="X175" s="436">
        <f>(P175+Q175)/G175</f>
        <v/>
      </c>
      <c r="Y175" s="16">
        <f>VLOOKUP(C175,台股行情!A:D,4,FALSE)</f>
        <v/>
      </c>
      <c r="Z175" s="437">
        <f>VLOOKUP(C175,台股行情!A:E,5,FALSE)</f>
        <v/>
      </c>
      <c r="AA175" s="438">
        <f>IF(I175="",((TODAY()-A175)*G175)/365.24,((I175-A175)*G175)/365.24)</f>
        <v/>
      </c>
      <c r="AB175" s="103" t="inlineStr">
        <is>
          <t>台股</t>
        </is>
      </c>
    </row>
    <row r="176" hidden="1" outlineLevel="1">
      <c r="A176" s="99" t="n">
        <v>45103</v>
      </c>
      <c r="B176" s="11" t="n"/>
      <c r="C176" s="11" t="n">
        <v>5426</v>
      </c>
      <c r="D176" s="189" t="inlineStr">
        <is>
          <t>振發</t>
        </is>
      </c>
      <c r="E176" s="11" t="n">
        <v>1000</v>
      </c>
      <c r="F176" s="11" t="n">
        <v>15.7</v>
      </c>
      <c r="G176" s="11">
        <f>E176*F176</f>
        <v/>
      </c>
      <c r="H176" s="11" t="n">
        <v>22</v>
      </c>
      <c r="I176" s="104" t="n">
        <v>45117</v>
      </c>
      <c r="J176" s="16" t="n">
        <v>16.5</v>
      </c>
      <c r="K176" s="11">
        <f>E176*J176</f>
        <v/>
      </c>
      <c r="L176" s="17" t="n">
        <v>23</v>
      </c>
      <c r="M176" s="11" t="n">
        <v>49</v>
      </c>
      <c r="N176" s="11" t="n">
        <v>0</v>
      </c>
      <c r="O176" s="434">
        <f>IF(I176="",E176*Y176,0)</f>
        <v/>
      </c>
      <c r="P176" s="435">
        <f>IF(I176="",R176-H176,(K176-H176-SUM(L176:N176)+R176-S176-T176)-G176)+(ROUND(R176*V176,0)-ROUND(R176*(1+V176),0)*W176)</f>
        <v/>
      </c>
      <c r="Q176" s="435">
        <f>IF(I176="",(O176-G176-(O176*0.1425%*0.65)-(O176*0.3%)-S176-T176),0)</f>
        <v/>
      </c>
      <c r="R176" s="435" t="n"/>
      <c r="S176" s="435" t="n"/>
      <c r="T176" s="435" t="n"/>
      <c r="U176" s="69">
        <f>(V176*50%)/(1+50%*V176)</f>
        <v/>
      </c>
      <c r="V176" s="69" t="n"/>
      <c r="W176" s="70" t="n">
        <v>0.11</v>
      </c>
      <c r="X176" s="436">
        <f>(P176+Q176)/G176</f>
        <v/>
      </c>
      <c r="Y176" s="16">
        <f>VLOOKUP(C176,台股行情!A:D,4,FALSE)</f>
        <v/>
      </c>
      <c r="Z176" s="437">
        <f>VLOOKUP(C176,台股行情!A:E,5,FALSE)</f>
        <v/>
      </c>
      <c r="AA176" s="438">
        <f>IF(I176="",((TODAY()-A176)*G176)/365.24,((I176-A176)*G176)/365.24)</f>
        <v/>
      </c>
      <c r="AB176" s="103" t="inlineStr">
        <is>
          <t>台股</t>
        </is>
      </c>
    </row>
    <row r="177" hidden="1" outlineLevel="1">
      <c r="A177" s="99" t="n">
        <v>45103</v>
      </c>
      <c r="B177" s="11" t="n"/>
      <c r="C177" s="11" t="n">
        <v>5426</v>
      </c>
      <c r="D177" s="189" t="inlineStr">
        <is>
          <t>振發</t>
        </is>
      </c>
      <c r="E177" s="11" t="n">
        <v>1000</v>
      </c>
      <c r="F177" s="11" t="n">
        <v>15.7</v>
      </c>
      <c r="G177" s="11">
        <f>E177*F177</f>
        <v/>
      </c>
      <c r="H177" s="11" t="n">
        <v>23</v>
      </c>
      <c r="I177" s="104" t="n">
        <v>45118</v>
      </c>
      <c r="J177" s="16" t="n">
        <v>16.15</v>
      </c>
      <c r="K177" s="11">
        <f>E177*J177</f>
        <v/>
      </c>
      <c r="L177" s="17" t="n">
        <v>23</v>
      </c>
      <c r="M177" s="11" t="n">
        <v>48</v>
      </c>
      <c r="N177" s="11" t="n">
        <v>0</v>
      </c>
      <c r="O177" s="434">
        <f>IF(I177="",E177*Y177,0)</f>
        <v/>
      </c>
      <c r="P177" s="435">
        <f>IF(I177="",R177-H177,(K177-H177-SUM(L177:N177)+R177-S177-T177)-G177)+(ROUND(R177*V177,0)-ROUND(R177*(1+V177),0)*W177)</f>
        <v/>
      </c>
      <c r="Q177" s="435">
        <f>IF(I177="",(O177-G177-(O177*0.1425%*0.65)-(O177*0.3%)-S177-T177),0)</f>
        <v/>
      </c>
      <c r="R177" s="435" t="n"/>
      <c r="S177" s="435" t="n"/>
      <c r="T177" s="435" t="n"/>
      <c r="U177" s="69">
        <f>(V177*50%)/(1+50%*V177)</f>
        <v/>
      </c>
      <c r="V177" s="69" t="n"/>
      <c r="W177" s="70" t="n">
        <v>0.11</v>
      </c>
      <c r="X177" s="436">
        <f>(P177+Q177)/G177</f>
        <v/>
      </c>
      <c r="Y177" s="16">
        <f>VLOOKUP(C177,台股行情!A:D,4,FALSE)</f>
        <v/>
      </c>
      <c r="Z177" s="437">
        <f>VLOOKUP(C177,台股行情!A:E,5,FALSE)</f>
        <v/>
      </c>
      <c r="AA177" s="438">
        <f>IF(I177="",((TODAY()-A177)*G177)/365.24,((I177-A177)*G177)/365.24)</f>
        <v/>
      </c>
      <c r="AB177" s="103" t="inlineStr">
        <is>
          <t>台股</t>
        </is>
      </c>
    </row>
    <row r="178" hidden="1" outlineLevel="1">
      <c r="A178" s="99" t="n">
        <v>45103</v>
      </c>
      <c r="B178" s="11" t="n"/>
      <c r="C178" s="11" t="n">
        <v>6695</v>
      </c>
      <c r="D178" s="189" t="inlineStr">
        <is>
          <t>芯鼎</t>
        </is>
      </c>
      <c r="E178" s="11" t="n">
        <v>1000</v>
      </c>
      <c r="F178" s="11" t="n">
        <v>46.8</v>
      </c>
      <c r="G178" s="11">
        <f>E178*F178</f>
        <v/>
      </c>
      <c r="H178" s="11" t="n">
        <v>66</v>
      </c>
      <c r="I178" s="104" t="n">
        <v>45113</v>
      </c>
      <c r="J178" s="16" t="n">
        <v>44.75</v>
      </c>
      <c r="K178" s="11">
        <f>E178*J178</f>
        <v/>
      </c>
      <c r="L178" s="17" t="n">
        <v>63</v>
      </c>
      <c r="M178" s="11" t="n">
        <v>134</v>
      </c>
      <c r="N178" s="11" t="n">
        <v>0</v>
      </c>
      <c r="O178" s="434">
        <f>IF(I178="",E178*Y178,0)</f>
        <v/>
      </c>
      <c r="P178" s="435">
        <f>IF(I178="",R178-H178,(K178-H178-SUM(L178:N178)+R178-S178-T178)-G178)+(ROUND(R178*V178,0)-ROUND(R178*(1+V178),0)*W178)</f>
        <v/>
      </c>
      <c r="Q178" s="435">
        <f>IF(I178="",(O178-G178-(O178*0.1425%*0.65)-(O178*0.3%)-S178-T178),0)</f>
        <v/>
      </c>
      <c r="R178" s="435" t="n"/>
      <c r="S178" s="435" t="n"/>
      <c r="T178" s="435" t="n"/>
      <c r="U178" s="69">
        <f>(V178*50%)/(1+50%*V178)</f>
        <v/>
      </c>
      <c r="V178" s="69" t="n"/>
      <c r="W178" s="70" t="n">
        <v>0.11</v>
      </c>
      <c r="X178" s="436">
        <f>(P178+Q178)/G178</f>
        <v/>
      </c>
      <c r="Y178" s="16">
        <f>VLOOKUP(C178,台股行情!A:D,4,FALSE)</f>
        <v/>
      </c>
      <c r="Z178" s="437">
        <f>VLOOKUP(C178,台股行情!A:E,5,FALSE)</f>
        <v/>
      </c>
      <c r="AA178" s="438">
        <f>IF(I178="",((TODAY()-A178)*G178)/365.24,((I178-A178)*G178)/365.24)</f>
        <v/>
      </c>
      <c r="AB178" s="103" t="inlineStr">
        <is>
          <t>台股</t>
        </is>
      </c>
    </row>
    <row r="179" hidden="1" outlineLevel="1">
      <c r="A179" s="99" t="n">
        <v>45138</v>
      </c>
      <c r="B179" s="11" t="n"/>
      <c r="C179" s="11" t="n">
        <v>9927</v>
      </c>
      <c r="D179" s="189" t="inlineStr">
        <is>
          <t>泰銘</t>
        </is>
      </c>
      <c r="E179" s="11" t="n">
        <v>1000</v>
      </c>
      <c r="F179" s="11" t="n">
        <v>54</v>
      </c>
      <c r="G179" s="11">
        <f>E179*F179</f>
        <v/>
      </c>
      <c r="H179" s="203" t="n">
        <v>76</v>
      </c>
      <c r="I179" s="202" t="n">
        <v>45145</v>
      </c>
      <c r="J179" s="16" t="n">
        <v>56</v>
      </c>
      <c r="K179" s="11">
        <f>E179*J179</f>
        <v/>
      </c>
      <c r="L179" s="17" t="n">
        <v>79</v>
      </c>
      <c r="M179" s="11" t="n">
        <v>168</v>
      </c>
      <c r="N179" s="11" t="n">
        <v>0</v>
      </c>
      <c r="O179" s="434">
        <f>IF(I179="",E179*Y179,0)</f>
        <v/>
      </c>
      <c r="P179" s="435">
        <f>IF(I179="",R179-H179,(K179-H179-SUM(L179:N179)+R179-S179-T179)-G179)+(ROUND(R179*V179,0)-ROUND(R179*(1+V179),0)*W179)</f>
        <v/>
      </c>
      <c r="Q179" s="435">
        <f>IF(I179="",(O179-G179-(O179*0.1425%*0.65)-(O179*0.3%)-S179-T179),0)</f>
        <v/>
      </c>
      <c r="R179" s="435" t="n"/>
      <c r="S179" s="435" t="n"/>
      <c r="T179" s="435" t="n"/>
      <c r="U179" s="69">
        <f>(V179*50%)/(1+50%*V179)</f>
        <v/>
      </c>
      <c r="V179" s="69" t="n"/>
      <c r="W179" s="70" t="n">
        <v>0.11</v>
      </c>
      <c r="X179" s="436">
        <f>(P179+Q179)/G179</f>
        <v/>
      </c>
      <c r="Y179" s="16">
        <f>VLOOKUP(C179,台股行情!A:D,4,FALSE)</f>
        <v/>
      </c>
      <c r="Z179" s="437">
        <f>VLOOKUP(C179,台股行情!A:E,5,FALSE)</f>
        <v/>
      </c>
      <c r="AA179" s="438">
        <f>IF(I179="",((TODAY()-A179)*G179)/365.24,((I179-A179)*G179)/365.24)</f>
        <v/>
      </c>
      <c r="AB179" s="103" t="inlineStr">
        <is>
          <t>台股</t>
        </is>
      </c>
    </row>
    <row r="180" hidden="1" outlineLevel="1">
      <c r="A180" s="99" t="n">
        <v>45103</v>
      </c>
      <c r="B180" s="11" t="inlineStr">
        <is>
          <t>普通買進</t>
        </is>
      </c>
      <c r="C180" s="11" t="n">
        <v>1515</v>
      </c>
      <c r="D180" s="189" t="inlineStr">
        <is>
          <t>力山</t>
        </is>
      </c>
      <c r="E180" s="11" t="n">
        <v>1000</v>
      </c>
      <c r="F180" s="11" t="n">
        <v>37</v>
      </c>
      <c r="G180" s="11">
        <f>E180*F180</f>
        <v/>
      </c>
      <c r="H180" s="203" t="n">
        <v>52</v>
      </c>
      <c r="I180" s="202" t="n">
        <v>45142</v>
      </c>
      <c r="J180" s="16" t="n">
        <v>37.2</v>
      </c>
      <c r="K180" s="11">
        <f>E180*J180</f>
        <v/>
      </c>
      <c r="L180" s="17" t="n">
        <v>53</v>
      </c>
      <c r="M180" s="11" t="n">
        <v>111</v>
      </c>
      <c r="N180" s="11" t="n">
        <v>0</v>
      </c>
      <c r="O180" s="434">
        <f>IF(I180="",E180*Y180,0)</f>
        <v/>
      </c>
      <c r="P180" s="435">
        <f>IF(I180="",R180-H180,(K180-H180-SUM(L180:N180)+R180-S180-T180)-G180)+(ROUND(R180*V180,0)-ROUND(R180*(1+V180),0)*W180)</f>
        <v/>
      </c>
      <c r="Q180" s="435">
        <f>IF(I180="",(O180-G180-(O180*0.1425%*0.65)-(O180*0.3%)-S180-T180),0)</f>
        <v/>
      </c>
      <c r="R180" s="435" t="n"/>
      <c r="S180" s="435" t="n"/>
      <c r="T180" s="435" t="n"/>
      <c r="U180" s="69">
        <f>(V180*50%)/(1+50%*V180)</f>
        <v/>
      </c>
      <c r="V180" s="69" t="n"/>
      <c r="W180" s="70" t="n">
        <v>0.11</v>
      </c>
      <c r="X180" s="436">
        <f>(P180+Q180)/G180</f>
        <v/>
      </c>
      <c r="Y180" s="16">
        <f>VLOOKUP(C180,台股行情!A:D,4,FALSE)</f>
        <v/>
      </c>
      <c r="Z180" s="437">
        <f>VLOOKUP(C180,台股行情!A:E,5,FALSE)</f>
        <v/>
      </c>
      <c r="AA180" s="438">
        <f>IF(I180="",((TODAY()-A180)*G180)/365.24,((I180-A180)*G180)/365.24)</f>
        <v/>
      </c>
      <c r="AB180" s="103" t="inlineStr">
        <is>
          <t>台股</t>
        </is>
      </c>
    </row>
    <row r="181" hidden="1" outlineLevel="1">
      <c r="A181" s="99" t="n">
        <v>45103</v>
      </c>
      <c r="B181" s="11" t="inlineStr">
        <is>
          <t>普通買進</t>
        </is>
      </c>
      <c r="C181" s="11" t="n">
        <v>1515</v>
      </c>
      <c r="D181" s="189" t="inlineStr">
        <is>
          <t>力山</t>
        </is>
      </c>
      <c r="E181" s="11" t="n">
        <v>1000</v>
      </c>
      <c r="F181" s="11" t="n">
        <v>37</v>
      </c>
      <c r="G181" s="11">
        <f>E181*F181</f>
        <v/>
      </c>
      <c r="H181" s="11" t="n">
        <v>53</v>
      </c>
      <c r="I181" s="204" t="n">
        <v>45152</v>
      </c>
      <c r="J181" s="16" t="n">
        <v>37.3</v>
      </c>
      <c r="K181" s="11">
        <f>E181*J181</f>
        <v/>
      </c>
      <c r="L181" s="17" t="n">
        <v>53</v>
      </c>
      <c r="M181" s="11" t="n">
        <v>111</v>
      </c>
      <c r="N181" s="11" t="n">
        <v>0</v>
      </c>
      <c r="O181" s="434">
        <f>IF(I181="",E181*Y181,0)</f>
        <v/>
      </c>
      <c r="P181" s="435">
        <f>IF(I181="",R181-H181,(K181-H181-SUM(L181:N181)+R181-S181-T181)-G181)+(ROUND(R181*V181,0)-ROUND(R181*(1+V181),0)*W181)</f>
        <v/>
      </c>
      <c r="Q181" s="435">
        <f>IF(I181="",(O181-G181-(O181*0.1425%*0.65)-(O181*0.3%)-S181-T181),0)</f>
        <v/>
      </c>
      <c r="R181" s="435" t="n"/>
      <c r="S181" s="435" t="n"/>
      <c r="T181" s="435" t="n"/>
      <c r="U181" s="69">
        <f>(V181*50%)/(1+50%*V181)</f>
        <v/>
      </c>
      <c r="V181" s="69" t="n"/>
      <c r="W181" s="70" t="n">
        <v>0.11</v>
      </c>
      <c r="X181" s="436">
        <f>(P181+Q181)/G181</f>
        <v/>
      </c>
      <c r="Y181" s="16">
        <f>VLOOKUP(C181,台股行情!A:D,4,FALSE)</f>
        <v/>
      </c>
      <c r="Z181" s="437">
        <f>VLOOKUP(C181,台股行情!A:E,5,FALSE)</f>
        <v/>
      </c>
      <c r="AA181" s="438">
        <f>IF(I181="",((TODAY()-A181)*G181)/365.24,((I181-A181)*G181)/365.24)</f>
        <v/>
      </c>
      <c r="AB181" s="103" t="inlineStr">
        <is>
          <t>台股</t>
        </is>
      </c>
    </row>
    <row r="182" hidden="1" outlineLevel="1">
      <c r="A182" s="99" t="n">
        <v>45287</v>
      </c>
      <c r="B182" s="11" t="n"/>
      <c r="C182" s="11" t="n">
        <v>2832</v>
      </c>
      <c r="D182" s="189" t="inlineStr">
        <is>
          <t>台產</t>
        </is>
      </c>
      <c r="E182" s="11" t="n">
        <v>2000</v>
      </c>
      <c r="F182" s="11" t="n">
        <v>26.85</v>
      </c>
      <c r="G182" s="11">
        <f>E182*F182</f>
        <v/>
      </c>
      <c r="H182" s="11" t="n">
        <v>76</v>
      </c>
      <c r="I182" s="327" t="n">
        <v>45313</v>
      </c>
      <c r="J182" s="16" t="n">
        <v>25.3</v>
      </c>
      <c r="K182" s="11">
        <f>E182*J182</f>
        <v/>
      </c>
      <c r="L182" s="17" t="n">
        <v>72</v>
      </c>
      <c r="M182" s="11" t="n">
        <v>151</v>
      </c>
      <c r="N182" s="11" t="n">
        <v>0</v>
      </c>
      <c r="O182" s="434">
        <f>IF(I182="",E182*Y182,0)</f>
        <v/>
      </c>
      <c r="P182" s="435">
        <f>IF(I182="",R182-H182,(K182-H182-SUM(L182:N182)+R182-S182-T182)-G182)+(ROUND(R182*V182,0)-ROUND(R182*(1+V182),0)*W182)</f>
        <v/>
      </c>
      <c r="Q182" s="435">
        <f>IF(I182="",(O182-G182-(O182*0.1425%*0.65)-(O182*0.3%)-S182-T182),0)</f>
        <v/>
      </c>
      <c r="R182" s="435" t="n"/>
      <c r="S182" s="435" t="n"/>
      <c r="T182" s="435" t="n"/>
      <c r="U182" s="69">
        <f>(V182*50%)/(1+50%*V182)</f>
        <v/>
      </c>
      <c r="V182" s="69" t="n"/>
      <c r="W182" s="70" t="n">
        <v>0.11</v>
      </c>
      <c r="X182" s="436">
        <f>(P182+Q182)/G182</f>
        <v/>
      </c>
      <c r="Y182" s="16">
        <f>VLOOKUP(C182,台股行情!A:D,4,FALSE)</f>
        <v/>
      </c>
      <c r="Z182" s="437">
        <f>VLOOKUP(C182,台股行情!A:E,5,FALSE)</f>
        <v/>
      </c>
      <c r="AA182" s="438">
        <f>IF(I182="",((TODAY()-A182)*G182)/365.24,((I182-A182)*G182)/365.24)</f>
        <v/>
      </c>
      <c r="AB182" s="103" t="inlineStr">
        <is>
          <t>台股</t>
        </is>
      </c>
    </row>
    <row r="183" hidden="1" outlineLevel="1">
      <c r="A183" s="99" t="n">
        <v>45273</v>
      </c>
      <c r="B183" s="11" t="n"/>
      <c r="C183" s="11" t="n">
        <v>1519</v>
      </c>
      <c r="D183" s="189" t="inlineStr">
        <is>
          <t>華城</t>
        </is>
      </c>
      <c r="E183" s="11" t="n">
        <v>1000</v>
      </c>
      <c r="F183" s="11" t="n">
        <v>362</v>
      </c>
      <c r="G183" s="11">
        <f>E183*F183</f>
        <v/>
      </c>
      <c r="H183" s="11" t="n">
        <v>515</v>
      </c>
      <c r="I183" s="327" t="n">
        <v>45320</v>
      </c>
      <c r="J183" s="16" t="n">
        <v>394</v>
      </c>
      <c r="K183" s="11">
        <f>E183*J183</f>
        <v/>
      </c>
      <c r="L183" s="17" t="n">
        <v>561</v>
      </c>
      <c r="M183" s="11" t="n">
        <v>1182</v>
      </c>
      <c r="N183" s="11" t="n">
        <v>0</v>
      </c>
      <c r="O183" s="434">
        <f>IF(I183="",E183*Y183,0)</f>
        <v/>
      </c>
      <c r="P183" s="435">
        <f>IF(I183="",R183-H183,(K183-H183-SUM(L183:N183)+R183-S183-T183)-G183)+(ROUND(R183*V183,0)-ROUND(R183*(1+V183),0)*W183)</f>
        <v/>
      </c>
      <c r="Q183" s="435">
        <f>IF(I183="",(O183-G183-(O183*0.1425%*0.65)-(O183*0.3%)-S183-T183),0)</f>
        <v/>
      </c>
      <c r="R183" s="435" t="n"/>
      <c r="S183" s="435" t="n"/>
      <c r="T183" s="435" t="n"/>
      <c r="U183" s="69">
        <f>(V183*50%)/(1+50%*V183)</f>
        <v/>
      </c>
      <c r="V183" s="69" t="n"/>
      <c r="W183" s="70" t="n">
        <v>0.11</v>
      </c>
      <c r="X183" s="436">
        <f>(P183+Q183)/G183</f>
        <v/>
      </c>
      <c r="Y183" s="16">
        <f>VLOOKUP(C183,台股行情!A:D,4,FALSE)</f>
        <v/>
      </c>
      <c r="Z183" s="437">
        <f>VLOOKUP(C183,台股行情!A:E,5,FALSE)</f>
        <v/>
      </c>
      <c r="AA183" s="438">
        <f>IF(I183="",((TODAY()-A183)*G183)/365.24,((I183-A183)*G183)/365.24)</f>
        <v/>
      </c>
      <c r="AB183" s="103" t="inlineStr">
        <is>
          <t>台股</t>
        </is>
      </c>
    </row>
    <row r="184" hidden="1" outlineLevel="1">
      <c r="A184" s="99" t="n">
        <v>45125</v>
      </c>
      <c r="B184" s="11" t="n"/>
      <c r="C184" s="11" t="n">
        <v>2610</v>
      </c>
      <c r="D184" s="189" t="inlineStr">
        <is>
          <t>華航</t>
        </is>
      </c>
      <c r="E184" s="11" t="n">
        <v>1000</v>
      </c>
      <c r="F184" s="11" t="n">
        <v>24.95</v>
      </c>
      <c r="G184" s="11">
        <f>E184*F184</f>
        <v/>
      </c>
      <c r="H184" s="11" t="n">
        <v>35</v>
      </c>
      <c r="I184" s="308" t="n">
        <v>45540</v>
      </c>
      <c r="J184" s="16" t="n">
        <v>20.35</v>
      </c>
      <c r="K184" s="11">
        <f>E184*J184</f>
        <v/>
      </c>
      <c r="L184" s="17" t="n">
        <v>28</v>
      </c>
      <c r="M184" s="11" t="n">
        <v>61</v>
      </c>
      <c r="N184" s="11" t="n">
        <v>0</v>
      </c>
      <c r="O184" s="434">
        <f>IF(I184="",E184*Y184,0)</f>
        <v/>
      </c>
      <c r="P184" s="435">
        <f>IF(I184="",R184-H184,(K184-H184-SUM(L184:N184)+R184-S184-T184)-G184)+(ROUND(R184*V184,0)-ROUND(R184*(1+V184),0)*W184)</f>
        <v/>
      </c>
      <c r="Q184" s="435">
        <f>IF(I184="",(O184-G184-(O184*0.1425%*0.65)-(O184*0.3%)-S184-T184),0)</f>
        <v/>
      </c>
      <c r="R184" s="435" t="n">
        <v>690</v>
      </c>
      <c r="S184" s="435" t="n">
        <v>10</v>
      </c>
      <c r="T184" s="435" t="n"/>
      <c r="U184" s="69">
        <f>(V184*50%)/(1+50%*V184)</f>
        <v/>
      </c>
      <c r="V184" s="69" t="n"/>
      <c r="W184" s="70" t="n">
        <v>0.11</v>
      </c>
      <c r="X184" s="436">
        <f>(P184+Q184)/G184</f>
        <v/>
      </c>
      <c r="Y184" s="16">
        <f>VLOOKUP(C184,台股行情!A:D,4,FALSE)</f>
        <v/>
      </c>
      <c r="Z184" s="437">
        <f>VLOOKUP(C184,台股行情!A:E,5,FALSE)</f>
        <v/>
      </c>
      <c r="AA184" s="438">
        <f>IF(I184="",((TODAY()-A184)*G184)/365.24,((I184-A184)*G184)/365.24)</f>
        <v/>
      </c>
      <c r="AB184" s="103" t="inlineStr">
        <is>
          <t>台股</t>
        </is>
      </c>
    </row>
    <row r="185" hidden="1" outlineLevel="1">
      <c r="A185" s="99" t="n">
        <v>45125</v>
      </c>
      <c r="B185" s="11" t="inlineStr">
        <is>
          <t>普通買進</t>
        </is>
      </c>
      <c r="C185" s="11" t="n">
        <v>2618</v>
      </c>
      <c r="D185" s="189">
        <f>VLOOKUP(C185,台股行情!A:B,2,FALSE)</f>
        <v/>
      </c>
      <c r="E185" s="11" t="n">
        <v>1000</v>
      </c>
      <c r="F185" s="11" t="n">
        <v>37.1</v>
      </c>
      <c r="G185" s="11">
        <f>E185*F185</f>
        <v/>
      </c>
      <c r="H185" s="11" t="n">
        <v>52</v>
      </c>
      <c r="I185" s="308" t="n">
        <v>45566</v>
      </c>
      <c r="J185" s="16" t="n">
        <v>37.15</v>
      </c>
      <c r="K185" s="11">
        <f>E185*J185</f>
        <v/>
      </c>
      <c r="L185" s="17" t="n">
        <v>52</v>
      </c>
      <c r="M185" s="11" t="n">
        <v>111</v>
      </c>
      <c r="N185" s="11" t="n">
        <v>0</v>
      </c>
      <c r="O185" s="434">
        <f>IF(I185="",E185*Y185,0)</f>
        <v/>
      </c>
      <c r="P185" s="435">
        <f>IF(I185="",R185-H185,(K185-H185-SUM(L185:N185)+R185-S185-T185)-G185)+(ROUND(R185*V185,0)-ROUND(R185*(1+V185),0)*W185)</f>
        <v/>
      </c>
      <c r="Q185" s="435">
        <f>IF(I185="",(O185-G185-(O185*0.1425%*0.65)-(O185*0.3%)-S185-T185),0)</f>
        <v/>
      </c>
      <c r="R185" s="435" t="n">
        <v>1800</v>
      </c>
      <c r="S185" s="435" t="n">
        <v>10</v>
      </c>
      <c r="T185" s="435" t="n"/>
      <c r="U185" s="69">
        <f>(V185*50%)/(1+50%*V185)</f>
        <v/>
      </c>
      <c r="V185" s="69" t="n"/>
      <c r="W185" s="70" t="n">
        <v>0.11</v>
      </c>
      <c r="X185" s="436">
        <f>(P185+Q185)/G185</f>
        <v/>
      </c>
      <c r="Y185" s="16">
        <f>VLOOKUP(C185,台股行情!A:D,4,FALSE)</f>
        <v/>
      </c>
      <c r="Z185" s="437">
        <f>VLOOKUP(C185,台股行情!A:E,5,FALSE)</f>
        <v/>
      </c>
      <c r="AA185" s="438">
        <f>IF(I185="",((TODAY()-A185)*G185)/365.24,((I185-A185)*G185)/365.24)</f>
        <v/>
      </c>
      <c r="AB185" s="103" t="inlineStr">
        <is>
          <t>台股</t>
        </is>
      </c>
    </row>
    <row r="186" hidden="1" outlineLevel="1">
      <c r="A186" s="99" t="n">
        <v>45140</v>
      </c>
      <c r="B186" s="11" t="n"/>
      <c r="C186" s="11" t="n">
        <v>929</v>
      </c>
      <c r="D186" s="189">
        <f>VLOOKUP(C186,台股行情!A:B,2,FALSE)</f>
        <v/>
      </c>
      <c r="E186" s="11" t="n">
        <v>3000</v>
      </c>
      <c r="F186" s="11" t="n">
        <v>16.48</v>
      </c>
      <c r="G186" s="11">
        <f>E186*F186</f>
        <v/>
      </c>
      <c r="H186" s="11" t="n">
        <v>70</v>
      </c>
      <c r="I186" s="308" t="n">
        <v>45664</v>
      </c>
      <c r="J186" s="16" t="n">
        <v>18.33</v>
      </c>
      <c r="K186" s="11">
        <f>E186*J186</f>
        <v/>
      </c>
      <c r="L186" s="17" t="n">
        <v>26</v>
      </c>
      <c r="M186" s="11" t="n">
        <v>19</v>
      </c>
      <c r="N186" s="11" t="n">
        <v>0</v>
      </c>
      <c r="O186" s="434">
        <f>IF(I186="",E186*Y186,0)</f>
        <v/>
      </c>
      <c r="P186" s="435">
        <f>IF(I186="",R186-H186,(K186-H186-SUM(L186:N186)+R186-S186-T186)-G186)+(ROUND(R186*V186,0)-ROUND(R186*(1+V186),0)*W186)</f>
        <v/>
      </c>
      <c r="Q186" s="435">
        <f>IF(I186="",(O186-G186-(O186*0.1425%*0.65)-(O186*0.3%)-S186-T186),0)</f>
        <v/>
      </c>
      <c r="R186" s="435">
        <f>330+330+330+330+330</f>
        <v/>
      </c>
      <c r="S186" s="435" t="n">
        <v>10</v>
      </c>
      <c r="T186" s="435" t="n"/>
      <c r="U186" s="69">
        <f>(V186*50%)/(1+50%*V186)</f>
        <v/>
      </c>
      <c r="V186" s="69" t="n"/>
      <c r="W186" s="70" t="n">
        <v>0.11</v>
      </c>
      <c r="X186" s="436">
        <f>(P186+Q186)/G186</f>
        <v/>
      </c>
      <c r="Y186" s="16">
        <f>VLOOKUP(C186,台股行情!A:D,4,FALSE)</f>
        <v/>
      </c>
      <c r="Z186" s="437">
        <f>VLOOKUP(C186,台股行情!A:E,5,FALSE)</f>
        <v/>
      </c>
      <c r="AA186" s="438">
        <f>IF(I186="",((TODAY()-A186)*G186)/365.24,((I186-A186)*G186)/365.24)</f>
        <v/>
      </c>
      <c r="AB186" s="103" t="inlineStr">
        <is>
          <t>台股 ETF</t>
        </is>
      </c>
    </row>
    <row r="187" hidden="1" outlineLevel="1">
      <c r="A187" s="99" t="n">
        <v>45176</v>
      </c>
      <c r="B187" s="11" t="n"/>
      <c r="C187" s="11" t="n">
        <v>929</v>
      </c>
      <c r="D187" s="189">
        <f>VLOOKUP(C187,台股行情!A:B,2,FALSE)</f>
        <v/>
      </c>
      <c r="E187" s="11" t="n">
        <v>1000</v>
      </c>
      <c r="F187" s="11" t="n">
        <v>17.75</v>
      </c>
      <c r="G187" s="11">
        <f>E187*F187</f>
        <v/>
      </c>
      <c r="H187" s="11" t="n">
        <v>25</v>
      </c>
      <c r="I187" s="308" t="n">
        <v>45664</v>
      </c>
      <c r="J187" s="16" t="n">
        <v>18.33</v>
      </c>
      <c r="K187" s="11">
        <f>E187*J187</f>
        <v/>
      </c>
      <c r="L187" s="17" t="n">
        <v>26</v>
      </c>
      <c r="M187" s="11" t="n">
        <v>19</v>
      </c>
      <c r="N187" s="11" t="n">
        <v>0</v>
      </c>
      <c r="O187" s="434">
        <f>IF(I187="",E187*Y187,0)</f>
        <v/>
      </c>
      <c r="P187" s="435">
        <f>IF(I187="",R187-H187,(K187-H187-SUM(L187:N187)+R187-S187-T187)-G187)+(ROUND(R187*V187,0)-ROUND(R187*(1+V187),0)*W187)</f>
        <v/>
      </c>
      <c r="Q187" s="435">
        <f>IF(I187="",(O187-G187-(O187*0.1425%*0.65)-(O187*0.3%)-S187-T187),0)</f>
        <v/>
      </c>
      <c r="R187" s="435">
        <f>110+110+110+110</f>
        <v/>
      </c>
      <c r="S187" s="435" t="n">
        <v>10</v>
      </c>
      <c r="T187" s="435" t="n"/>
      <c r="U187" s="69">
        <f>(V187*50%)/(1+50%*V187)</f>
        <v/>
      </c>
      <c r="V187" s="69" t="n"/>
      <c r="W187" s="70" t="n">
        <v>0.11</v>
      </c>
      <c r="X187" s="436">
        <f>(P187+Q187)/G187</f>
        <v/>
      </c>
      <c r="Y187" s="16">
        <f>VLOOKUP(C187,台股行情!A:D,4,FALSE)</f>
        <v/>
      </c>
      <c r="Z187" s="437">
        <f>VLOOKUP(C187,台股行情!A:E,5,FALSE)</f>
        <v/>
      </c>
      <c r="AA187" s="438">
        <f>IF(I187="",((TODAY()-A187)*G187)/365.24,((I187-A187)*G187)/365.24)</f>
        <v/>
      </c>
      <c r="AB187" s="103" t="inlineStr">
        <is>
          <t>台股 ETF</t>
        </is>
      </c>
    </row>
    <row r="188" hidden="1" outlineLevel="1">
      <c r="A188" s="99" t="n">
        <v>45205</v>
      </c>
      <c r="B188" s="11" t="n"/>
      <c r="C188" s="11" t="n">
        <v>929</v>
      </c>
      <c r="D188" s="189">
        <f>VLOOKUP(C188,台股行情!A:B,2,FALSE)</f>
        <v/>
      </c>
      <c r="E188" s="11" t="n">
        <v>1000</v>
      </c>
      <c r="F188" s="11" t="n">
        <v>17.52</v>
      </c>
      <c r="G188" s="11">
        <f>E188*F188</f>
        <v/>
      </c>
      <c r="H188" s="11" t="n">
        <v>24</v>
      </c>
      <c r="I188" s="308" t="n">
        <v>45664</v>
      </c>
      <c r="J188" s="16" t="n">
        <v>18.33</v>
      </c>
      <c r="K188" s="11">
        <f>E188*J188</f>
        <v/>
      </c>
      <c r="L188" s="17" t="n">
        <v>26</v>
      </c>
      <c r="M188" s="11" t="n">
        <v>18</v>
      </c>
      <c r="N188" s="11" t="n">
        <v>0</v>
      </c>
      <c r="O188" s="434">
        <f>IF(I188="",E188*Y188,0)</f>
        <v/>
      </c>
      <c r="P188" s="435">
        <f>IF(I188="",R188-H188,(K188-H188-SUM(L188:N188)+R188-S188-T188)-G188)+(ROUND(R188*V188,0)-ROUND(R188*(1+V188),0)*W188)</f>
        <v/>
      </c>
      <c r="Q188" s="435">
        <f>IF(I188="",(O188-G188-(O188*0.1425%*0.65)-(O188*0.3%)-S188-T188),0)</f>
        <v/>
      </c>
      <c r="R188" s="435">
        <f>110+110+110</f>
        <v/>
      </c>
      <c r="S188" s="435" t="n">
        <v>10</v>
      </c>
      <c r="T188" s="435" t="n"/>
      <c r="U188" s="69">
        <f>(V188*50%)/(1+50%*V188)</f>
        <v/>
      </c>
      <c r="V188" s="69" t="n"/>
      <c r="W188" s="70" t="n">
        <v>0.11</v>
      </c>
      <c r="X188" s="436">
        <f>(P188+Q188)/G188</f>
        <v/>
      </c>
      <c r="Y188" s="16">
        <f>VLOOKUP(C188,台股行情!A:D,4,FALSE)</f>
        <v/>
      </c>
      <c r="Z188" s="437">
        <f>VLOOKUP(C188,台股行情!A:E,5,FALSE)</f>
        <v/>
      </c>
      <c r="AA188" s="438">
        <f>IF(I188="",((TODAY()-A188)*G188)/365.24,((I188-A188)*G188)/365.24)</f>
        <v/>
      </c>
      <c r="AB188" s="103" t="inlineStr">
        <is>
          <t>台股 ETF</t>
        </is>
      </c>
    </row>
    <row r="189" hidden="1" outlineLevel="1">
      <c r="A189" s="99" t="n">
        <v>45287</v>
      </c>
      <c r="B189" s="11" t="n"/>
      <c r="C189" s="11" t="n">
        <v>929</v>
      </c>
      <c r="D189" s="189">
        <f>VLOOKUP(C189,台股行情!A:B,2,FALSE)</f>
        <v/>
      </c>
      <c r="E189" s="11" t="n">
        <v>2000</v>
      </c>
      <c r="F189" s="11" t="n">
        <v>19.24</v>
      </c>
      <c r="G189" s="11">
        <f>E189*F189</f>
        <v/>
      </c>
      <c r="H189" s="11" t="n">
        <v>54</v>
      </c>
      <c r="I189" s="308" t="n">
        <v>45664</v>
      </c>
      <c r="J189" s="16" t="n">
        <v>18.33</v>
      </c>
      <c r="K189" s="11">
        <f>E189*J189</f>
        <v/>
      </c>
      <c r="L189" s="17" t="n">
        <v>26</v>
      </c>
      <c r="M189" s="11" t="n">
        <v>18</v>
      </c>
      <c r="N189" s="11" t="n">
        <v>0</v>
      </c>
      <c r="O189" s="434">
        <f>IF(I189="",E189*Y189,0)</f>
        <v/>
      </c>
      <c r="P189" s="435">
        <f>IF(I189="",R189-H189,(K189-H189-SUM(L189:N189)+R189-S189-T189)-G189)+(ROUND(R189*V189,0)-ROUND(R189*(1+V189),0)*W189)</f>
        <v/>
      </c>
      <c r="Q189" s="435">
        <f>IF(I189="",(O189-G189-(O189*0.1425%*0.65)-(O189*0.3%)-S189-T189),0)</f>
        <v/>
      </c>
      <c r="R189" s="435">
        <f>110+110+110+910+910+1040+1040+1600</f>
        <v/>
      </c>
      <c r="S189" s="435" t="n">
        <v>30</v>
      </c>
      <c r="T189" s="435" t="n"/>
      <c r="U189" s="69">
        <f>(V189*50%)/(1+50%*V189)</f>
        <v/>
      </c>
      <c r="V189" s="69" t="n"/>
      <c r="W189" s="70" t="n">
        <v>0.11</v>
      </c>
      <c r="X189" s="436">
        <f>(P189+Q189)/G189</f>
        <v/>
      </c>
      <c r="Y189" s="16">
        <f>VLOOKUP(C189,台股行情!A:D,4,FALSE)</f>
        <v/>
      </c>
      <c r="Z189" s="437">
        <f>VLOOKUP(C189,台股行情!A:E,5,FALSE)</f>
        <v/>
      </c>
      <c r="AA189" s="438">
        <f>IF(I189="",((TODAY()-A189)*G189)/365.24,((I189-A189)*G189)/365.24)</f>
        <v/>
      </c>
      <c r="AB189" s="103" t="inlineStr">
        <is>
          <t>台股 ETF</t>
        </is>
      </c>
    </row>
    <row r="190" hidden="1" outlineLevel="1">
      <c r="A190" s="99" t="n">
        <v>45104</v>
      </c>
      <c r="B190" s="11" t="n"/>
      <c r="C190" s="11" t="n">
        <v>3038</v>
      </c>
      <c r="D190" s="189">
        <f>VLOOKUP(C190,台股行情!A:B,2,FALSE)</f>
        <v/>
      </c>
      <c r="E190" s="11" t="n">
        <v>1000</v>
      </c>
      <c r="F190" s="11" t="n">
        <v>42.75</v>
      </c>
      <c r="G190" s="11">
        <f>E190*F190</f>
        <v/>
      </c>
      <c r="H190" s="11" t="n">
        <v>60</v>
      </c>
      <c r="I190" s="308" t="n">
        <v>45882</v>
      </c>
      <c r="J190" s="16" t="n">
        <v>22.3</v>
      </c>
      <c r="K190" s="11">
        <f>E190*J190</f>
        <v/>
      </c>
      <c r="L190" s="11" t="n">
        <v>31</v>
      </c>
      <c r="M190" s="11" t="n">
        <v>66</v>
      </c>
      <c r="N190" s="11" t="n">
        <v>0</v>
      </c>
      <c r="O190" s="434">
        <f>IF(I190="",E190*Y190,0)</f>
        <v/>
      </c>
      <c r="P190" s="435">
        <f>IF(I190="",R190-H190,(K190-H190-SUM(L190:N190)+R190-S190-T190)-G190)+(ROUND(R190*V190,0)-ROUND(R190*(1+V190),0)*W190)</f>
        <v/>
      </c>
      <c r="Q190" s="435">
        <f>IF(I190="",(O190-G190-(O190*0.1425%*0.65)-(O190*0.3%)-S190-T190),0)</f>
        <v/>
      </c>
      <c r="R190" s="435">
        <f>1600+1600+1500</f>
        <v/>
      </c>
      <c r="S190" s="435" t="n">
        <v>30</v>
      </c>
      <c r="T190" s="435" t="n"/>
      <c r="U190" s="69">
        <f>(V190*50%)/(1+50%*V190)</f>
        <v/>
      </c>
      <c r="V190" s="69" t="n"/>
      <c r="W190" s="70" t="n">
        <v>0.11</v>
      </c>
      <c r="X190" s="436">
        <f>(P190+Q190)/G190</f>
        <v/>
      </c>
      <c r="Y190" s="16">
        <f>VLOOKUP(C190,台股行情!A:D,4,FALSE)</f>
        <v/>
      </c>
      <c r="Z190" s="437">
        <f>VLOOKUP(C190,台股行情!A:E,5,FALSE)</f>
        <v/>
      </c>
      <c r="AA190" s="438">
        <f>IF(I190="",((TODAY()-A190)*G190)/365.24,((I190-A190)*G190)/365.24)</f>
        <v/>
      </c>
      <c r="AB190" s="103" t="inlineStr">
        <is>
          <t>台股</t>
        </is>
      </c>
    </row>
    <row r="191" collapsed="1">
      <c r="A191" s="99" t="n">
        <v>45349</v>
      </c>
      <c r="B191" s="11" t="n"/>
      <c r="C191" s="11" t="n">
        <v>3163</v>
      </c>
      <c r="D191" s="189">
        <f>VLOOKUP(C191,台股行情!A:B,2,FALSE)</f>
        <v/>
      </c>
      <c r="E191" s="11" t="n">
        <v>1000</v>
      </c>
      <c r="F191" s="11" t="n">
        <v>105.5</v>
      </c>
      <c r="G191" s="11">
        <f>E191*F191</f>
        <v/>
      </c>
      <c r="H191" s="11" t="n">
        <v>150</v>
      </c>
      <c r="I191" s="104" t="n">
        <v>45366</v>
      </c>
      <c r="J191" s="16" t="n">
        <v>106</v>
      </c>
      <c r="K191" s="11">
        <f>E191*J191</f>
        <v/>
      </c>
      <c r="L191" s="17" t="n">
        <v>151</v>
      </c>
      <c r="M191" s="11" t="n">
        <v>318</v>
      </c>
      <c r="N191" s="11" t="n">
        <v>0</v>
      </c>
      <c r="O191" s="434">
        <f>IF(I191="",E191*Y191,0)</f>
        <v/>
      </c>
      <c r="P191" s="435">
        <f>IF(I191="",R191-H191,(K191-H191-SUM(L191:N191)+R191-S191-T191)-G191)+(ROUND(R191*V191,0)-ROUND(R191*(1+V191),0)*W191)</f>
        <v/>
      </c>
      <c r="Q191" s="435">
        <f>IF(I191="",(O191-G191-(O191*0.1425%*0.65)-(O191*0.3%)-S191-T191),0)</f>
        <v/>
      </c>
      <c r="R191" s="435" t="n"/>
      <c r="S191" s="435" t="n"/>
      <c r="T191" s="435" t="n"/>
      <c r="U191" s="69">
        <f>(V191*50%)/(1+50%*V191)</f>
        <v/>
      </c>
      <c r="V191" s="69" t="n"/>
      <c r="W191" s="70" t="n">
        <v>0.11</v>
      </c>
      <c r="X191" s="436">
        <f>(P191+Q191)/G191</f>
        <v/>
      </c>
      <c r="Y191" s="16">
        <f>VLOOKUP(C191,台股行情!A:D,4,FALSE)</f>
        <v/>
      </c>
      <c r="Z191" s="437">
        <f>VLOOKUP(C191,台股行情!A:E,5,FALSE)</f>
        <v/>
      </c>
      <c r="AA191" s="438">
        <f>IF(I191="",((TODAY()-A191)*G191)/365.24,((I191-A191)*G191)/365.24)</f>
        <v/>
      </c>
      <c r="AB191" s="103" t="inlineStr">
        <is>
          <t>台股</t>
        </is>
      </c>
    </row>
    <row r="192" hidden="1" outlineLevel="1">
      <c r="A192" s="99" t="n">
        <v>45359</v>
      </c>
      <c r="B192" s="11" t="n"/>
      <c r="C192" s="11" t="n">
        <v>6176</v>
      </c>
      <c r="D192" s="189">
        <f>VLOOKUP(C192,台股行情!A:B,2,FALSE)</f>
        <v/>
      </c>
      <c r="E192" s="11" t="n">
        <v>1000</v>
      </c>
      <c r="F192" s="11" t="n">
        <v>168.5</v>
      </c>
      <c r="G192" s="11">
        <f>E192*F192</f>
        <v/>
      </c>
      <c r="H192" s="11" t="n">
        <v>240</v>
      </c>
      <c r="I192" s="104" t="n">
        <v>45366</v>
      </c>
      <c r="J192" s="16" t="n">
        <v>173</v>
      </c>
      <c r="K192" s="11">
        <f>E192*J192</f>
        <v/>
      </c>
      <c r="L192" s="17" t="n">
        <v>246</v>
      </c>
      <c r="M192" s="11" t="n">
        <v>519</v>
      </c>
      <c r="N192" s="11" t="n">
        <v>0</v>
      </c>
      <c r="O192" s="434">
        <f>IF(I192="",E192*Y192,0)</f>
        <v/>
      </c>
      <c r="P192" s="435">
        <f>IF(I192="",R192-H192,(K192-H192-SUM(L192:N192)+R192-S192-T192)-G192)+(ROUND(R192*V192,0)-ROUND(R192*(1+V192),0)*W192)</f>
        <v/>
      </c>
      <c r="Q192" s="435">
        <f>IF(I192="",(O192-G192-(O192*0.1425%*0.65)-(O192*0.3%)-S192-T192),0)</f>
        <v/>
      </c>
      <c r="R192" s="435" t="n"/>
      <c r="S192" s="435" t="n"/>
      <c r="T192" s="435" t="n"/>
      <c r="U192" s="69">
        <f>(V192*50%)/(1+50%*V192)</f>
        <v/>
      </c>
      <c r="V192" s="69" t="n"/>
      <c r="W192" s="70" t="n">
        <v>0.11</v>
      </c>
      <c r="X192" s="436">
        <f>(P192+Q192)/G192</f>
        <v/>
      </c>
      <c r="Y192" s="16">
        <f>VLOOKUP(C192,台股行情!A:D,4,FALSE)</f>
        <v/>
      </c>
      <c r="Z192" s="437">
        <f>VLOOKUP(C192,台股行情!A:E,5,FALSE)</f>
        <v/>
      </c>
      <c r="AA192" s="438">
        <f>IF(I192="",((TODAY()-A192)*G192)/365.24,((I192-A192)*G192)/365.24)</f>
        <v/>
      </c>
      <c r="AB192" s="103" t="inlineStr">
        <is>
          <t>台股</t>
        </is>
      </c>
    </row>
    <row r="193" hidden="1" outlineLevel="1">
      <c r="A193" s="99" t="n">
        <v>45362</v>
      </c>
      <c r="B193" s="11" t="n"/>
      <c r="C193" s="11" t="n">
        <v>3171</v>
      </c>
      <c r="D193" s="189">
        <f>VLOOKUP(C193,台股行情!A:B,2,FALSE)</f>
        <v/>
      </c>
      <c r="E193" s="11" t="n">
        <v>1000</v>
      </c>
      <c r="F193" s="11" t="n">
        <v>31.95</v>
      </c>
      <c r="G193" s="11">
        <f>E193*F193</f>
        <v/>
      </c>
      <c r="H193" s="11" t="n">
        <v>45</v>
      </c>
      <c r="I193" s="104" t="n">
        <v>45380</v>
      </c>
      <c r="J193" s="16" t="n">
        <v>30.4</v>
      </c>
      <c r="K193" s="11">
        <f>E193*J193</f>
        <v/>
      </c>
      <c r="L193" s="17" t="n">
        <v>43</v>
      </c>
      <c r="M193" s="11" t="n">
        <v>91</v>
      </c>
      <c r="N193" s="11" t="n">
        <v>0</v>
      </c>
      <c r="O193" s="434">
        <f>IF(I193="",E193*Y193,0)</f>
        <v/>
      </c>
      <c r="P193" s="435">
        <f>IF(I193="",R193-H193,(K193-H193-SUM(L193:N193)+R193-S193-T193)-G193)+(ROUND(R193*V193,0)-ROUND(R193*(1+V193),0)*W193)</f>
        <v/>
      </c>
      <c r="Q193" s="435">
        <f>IF(I193="",(O193-G193-(O193*0.1425%*0.65)-(O193*0.3%)-S193-T193),0)</f>
        <v/>
      </c>
      <c r="R193" s="435" t="n"/>
      <c r="S193" s="435" t="n"/>
      <c r="T193" s="435" t="n"/>
      <c r="U193" s="69">
        <f>(V193*50%)/(1+50%*V193)</f>
        <v/>
      </c>
      <c r="V193" s="69" t="n"/>
      <c r="W193" s="70" t="n">
        <v>0.11</v>
      </c>
      <c r="X193" s="436">
        <f>(P193+Q193)/G193</f>
        <v/>
      </c>
      <c r="Y193" s="16">
        <f>VLOOKUP(C193,台股行情!A:D,4,FALSE)</f>
        <v/>
      </c>
      <c r="Z193" s="437">
        <f>VLOOKUP(C193,台股行情!A:E,5,FALSE)</f>
        <v/>
      </c>
      <c r="AA193" s="438">
        <f>IF(I193="",((TODAY()-A193)*G193)/365.24,((I193-A193)*G193)/365.24)</f>
        <v/>
      </c>
      <c r="AB193" s="103" t="inlineStr">
        <is>
          <t>台股</t>
        </is>
      </c>
    </row>
    <row r="194" hidden="1" outlineLevel="1">
      <c r="A194" s="99" t="n">
        <v>45359</v>
      </c>
      <c r="B194" s="11" t="n"/>
      <c r="C194" s="11" t="n">
        <v>6596</v>
      </c>
      <c r="D194" s="189">
        <f>VLOOKUP(C194,台股行情!A:B,2,FALSE)</f>
        <v/>
      </c>
      <c r="E194" s="11" t="n">
        <v>1000</v>
      </c>
      <c r="F194" s="11" t="n">
        <v>60</v>
      </c>
      <c r="G194" s="11">
        <f>E194*F194</f>
        <v/>
      </c>
      <c r="H194" s="11" t="n">
        <v>85</v>
      </c>
      <c r="I194" s="104" t="n">
        <v>45393</v>
      </c>
      <c r="J194" s="16" t="n">
        <v>71</v>
      </c>
      <c r="K194" s="11">
        <f>E194*J194</f>
        <v/>
      </c>
      <c r="L194" s="17" t="n">
        <v>101</v>
      </c>
      <c r="M194" s="11" t="n">
        <v>213</v>
      </c>
      <c r="N194" s="11" t="n">
        <v>0</v>
      </c>
      <c r="O194" s="434">
        <f>IF(I194="",E194*Y194,0)</f>
        <v/>
      </c>
      <c r="P194" s="435">
        <f>IF(I194="",R194-H194,(K194-H194-SUM(L194:N194)+R194-S194-T194)-G194)+(ROUND(R194*V194,0)-ROUND(R194*(1+V194),0)*W194)</f>
        <v/>
      </c>
      <c r="Q194" s="435">
        <f>IF(I194="",(O194-G194-(O194*0.1425%*0.65)-(O194*0.3%)-S194-T194),0)</f>
        <v/>
      </c>
      <c r="R194" s="435" t="n">
        <v>5300</v>
      </c>
      <c r="S194" s="435" t="n">
        <v>10</v>
      </c>
      <c r="T194" s="435" t="n"/>
      <c r="U194" s="69">
        <f>(V194*50%)/(1+50%*V194)</f>
        <v/>
      </c>
      <c r="V194" s="69" t="n"/>
      <c r="W194" s="70" t="n">
        <v>0.11</v>
      </c>
      <c r="X194" s="436">
        <f>(P194+Q194)/G194</f>
        <v/>
      </c>
      <c r="Y194" s="16">
        <f>VLOOKUP(C194,台股行情!A:D,4,FALSE)</f>
        <v/>
      </c>
      <c r="Z194" s="437">
        <f>VLOOKUP(C194,台股行情!A:E,5,FALSE)</f>
        <v/>
      </c>
      <c r="AA194" s="438">
        <f>IF(I194="",((TODAY()-A194)*G194)/365.24,((I194-A194)*G194)/365.24)</f>
        <v/>
      </c>
      <c r="AB194" s="103" t="inlineStr">
        <is>
          <t>台股</t>
        </is>
      </c>
    </row>
    <row r="195" hidden="1" outlineLevel="1">
      <c r="A195" s="99" t="n">
        <v>45390</v>
      </c>
      <c r="B195" s="11" t="n"/>
      <c r="C195" s="11" t="n">
        <v>6899</v>
      </c>
      <c r="D195" s="189">
        <f>VLOOKUP(C195,台股行情!A:B,2,FALSE)</f>
        <v/>
      </c>
      <c r="E195" s="11" t="n">
        <v>1000</v>
      </c>
      <c r="F195" s="11" t="n">
        <v>50</v>
      </c>
      <c r="G195" s="11">
        <f>E195*F195</f>
        <v/>
      </c>
      <c r="H195" s="11" t="n">
        <v>50</v>
      </c>
      <c r="I195" s="104" t="n">
        <v>45393</v>
      </c>
      <c r="J195" s="16" t="n">
        <v>67.3</v>
      </c>
      <c r="K195" s="11">
        <f>E195*J195</f>
        <v/>
      </c>
      <c r="L195" s="17" t="n">
        <v>95</v>
      </c>
      <c r="M195" s="11" t="n">
        <v>201</v>
      </c>
      <c r="N195" s="11" t="n">
        <v>0</v>
      </c>
      <c r="O195" s="434">
        <f>IF(I195="",E195*Y195,0)</f>
        <v/>
      </c>
      <c r="P195" s="435">
        <f>IF(I195="",R195-H195,(K195-H195-SUM(L195:N195)+R195-S195-T195)-G195)+(ROUND(R195*V195,0)-ROUND(R195*(1+V195),0)*W195)</f>
        <v/>
      </c>
      <c r="Q195" s="435">
        <f>IF(I195="",(O195-G195-(O195*0.1425%*0.65)-(O195*0.3%)-S195-T195),0)</f>
        <v/>
      </c>
      <c r="R195" s="435" t="n"/>
      <c r="S195" s="435" t="n"/>
      <c r="T195" s="435" t="n"/>
      <c r="U195" s="69">
        <f>(V195*50%)/(1+50%*V195)</f>
        <v/>
      </c>
      <c r="V195" s="69" t="n"/>
      <c r="W195" s="70" t="n">
        <v>0.11</v>
      </c>
      <c r="X195" s="436">
        <f>(P195+Q195)/G195</f>
        <v/>
      </c>
      <c r="Y195" s="16">
        <f>VLOOKUP(C195,台股行情!A:D,4,FALSE)</f>
        <v/>
      </c>
      <c r="Z195" s="437">
        <f>VLOOKUP(C195,台股行情!A:E,5,FALSE)</f>
        <v/>
      </c>
      <c r="AA195" s="438">
        <f>IF(I195="",((TODAY()-A195)*G195)/365.24,((I195-A195)*G195)/365.24)</f>
        <v/>
      </c>
      <c r="AB195" s="103" t="inlineStr">
        <is>
          <t>台股</t>
        </is>
      </c>
    </row>
    <row r="196" hidden="1" outlineLevel="1">
      <c r="A196" s="99" t="n">
        <v>45383</v>
      </c>
      <c r="B196" s="11" t="n"/>
      <c r="C196" s="11" t="n">
        <v>1784</v>
      </c>
      <c r="D196" s="189">
        <f>VLOOKUP(C196,台股行情!A:B,2,FALSE)</f>
        <v/>
      </c>
      <c r="E196" s="11" t="n">
        <v>1000</v>
      </c>
      <c r="F196" s="11" t="n">
        <v>62.8</v>
      </c>
      <c r="G196" s="11">
        <f>E196*F196</f>
        <v/>
      </c>
      <c r="H196" s="11" t="n">
        <v>89</v>
      </c>
      <c r="I196" s="104" t="n">
        <v>45418</v>
      </c>
      <c r="J196" s="16" t="n">
        <v>67</v>
      </c>
      <c r="K196" s="11">
        <f>E196*J196</f>
        <v/>
      </c>
      <c r="L196" s="17" t="n">
        <v>95</v>
      </c>
      <c r="M196" s="11" t="n">
        <v>201</v>
      </c>
      <c r="N196" s="11" t="n">
        <v>0</v>
      </c>
      <c r="O196" s="434">
        <f>IF(I196="",E196*Y196,0)</f>
        <v/>
      </c>
      <c r="P196" s="435">
        <f>IF(I196="",R196-H196,(K196-H196-SUM(L196:N196)+R196-S196-T196)-G196)+(ROUND(R196*V196,0)-ROUND(R196*(1+V196),0)*W196)</f>
        <v/>
      </c>
      <c r="Q196" s="435">
        <f>IF(I196="",(O196-G196-(O196*0.1425%*0.65)-(O196*0.3%)-S196-T196),0)</f>
        <v/>
      </c>
      <c r="R196" s="435" t="n"/>
      <c r="S196" s="435" t="n"/>
      <c r="T196" s="435" t="n"/>
      <c r="U196" s="69">
        <f>(V196*50%)/(1+50%*V196)</f>
        <v/>
      </c>
      <c r="V196" s="69" t="n"/>
      <c r="W196" s="70" t="n">
        <v>0.11</v>
      </c>
      <c r="X196" s="436">
        <f>(P196+Q196)/G196</f>
        <v/>
      </c>
      <c r="Y196" s="16">
        <f>VLOOKUP(C196,台股行情!A:D,4,FALSE)</f>
        <v/>
      </c>
      <c r="Z196" s="437">
        <f>VLOOKUP(C196,台股行情!A:E,5,FALSE)</f>
        <v/>
      </c>
      <c r="AA196" s="438">
        <f>IF(I196="",((TODAY()-A196)*G196)/365.24,((I196-A196)*G196)/365.24)</f>
        <v/>
      </c>
      <c r="AB196" s="103" t="inlineStr">
        <is>
          <t>台股</t>
        </is>
      </c>
    </row>
    <row r="197" hidden="1" outlineLevel="1">
      <c r="A197" s="99" t="n">
        <v>45383</v>
      </c>
      <c r="B197" s="11" t="n"/>
      <c r="C197" s="11" t="n">
        <v>4175</v>
      </c>
      <c r="D197" s="189">
        <f>VLOOKUP(C197,台股行情!A:B,2,FALSE)</f>
        <v/>
      </c>
      <c r="E197" s="11" t="n">
        <v>1000</v>
      </c>
      <c r="F197" s="11" t="n">
        <v>79.40000000000001</v>
      </c>
      <c r="G197" s="11">
        <f>E197*F197</f>
        <v/>
      </c>
      <c r="H197" s="11" t="n">
        <v>113</v>
      </c>
      <c r="I197" s="104" t="n">
        <v>45418</v>
      </c>
      <c r="J197" s="16" t="n">
        <v>76.8</v>
      </c>
      <c r="K197" s="11">
        <f>E197*J197</f>
        <v/>
      </c>
      <c r="L197" s="17" t="n">
        <v>109</v>
      </c>
      <c r="M197" s="11" t="n">
        <v>230</v>
      </c>
      <c r="N197" s="11" t="n">
        <v>0</v>
      </c>
      <c r="O197" s="434">
        <f>IF(I197="",E197*Y197,0)</f>
        <v/>
      </c>
      <c r="P197" s="435">
        <f>IF(I197="",R197-H197,(K197-H197-SUM(L197:N197)+R197-S197-T197)-G197)+(ROUND(R197*V197,0)-ROUND(R197*(1+V197),0)*W197)</f>
        <v/>
      </c>
      <c r="Q197" s="435">
        <f>IF(I197="",(O197-G197-(O197*0.1425%*0.65)-(O197*0.3%)-S197-T197),0)</f>
        <v/>
      </c>
      <c r="R197" s="435" t="n"/>
      <c r="S197" s="435" t="n"/>
      <c r="T197" s="435" t="n"/>
      <c r="U197" s="69">
        <f>(V197*50%)/(1+50%*V197)</f>
        <v/>
      </c>
      <c r="V197" s="69" t="n"/>
      <c r="W197" s="70" t="n">
        <v>0.11</v>
      </c>
      <c r="X197" s="436">
        <f>(P197+Q197)/G197</f>
        <v/>
      </c>
      <c r="Y197" s="16">
        <f>VLOOKUP(C197,台股行情!A:D,4,FALSE)</f>
        <v/>
      </c>
      <c r="Z197" s="437">
        <f>VLOOKUP(C197,台股行情!A:E,5,FALSE)</f>
        <v/>
      </c>
      <c r="AA197" s="438">
        <f>IF(I197="",((TODAY()-A197)*G197)/365.24,((I197-A197)*G197)/365.24)</f>
        <v/>
      </c>
      <c r="AB197" s="103" t="inlineStr">
        <is>
          <t>台股</t>
        </is>
      </c>
    </row>
    <row r="198" hidden="1" outlineLevel="1">
      <c r="A198" s="99" t="n">
        <v>45383</v>
      </c>
      <c r="B198" s="11" t="n"/>
      <c r="C198" s="11" t="n">
        <v>6263</v>
      </c>
      <c r="D198" s="189">
        <f>VLOOKUP(C198,台股行情!A:B,2,FALSE)</f>
        <v/>
      </c>
      <c r="E198" s="11" t="n">
        <v>1000</v>
      </c>
      <c r="F198" s="11" t="n">
        <v>157</v>
      </c>
      <c r="G198" s="11">
        <f>E198*F198</f>
        <v/>
      </c>
      <c r="H198" s="11" t="n">
        <v>223</v>
      </c>
      <c r="I198" s="104" t="n">
        <v>45420</v>
      </c>
      <c r="J198" s="16" t="n">
        <v>159</v>
      </c>
      <c r="K198" s="11">
        <f>E198*J198</f>
        <v/>
      </c>
      <c r="L198" s="17" t="n">
        <v>226</v>
      </c>
      <c r="M198" s="11" t="n">
        <v>47</v>
      </c>
      <c r="N198" s="11" t="n">
        <v>0</v>
      </c>
      <c r="O198" s="434">
        <f>IF(I198="",E198*Y198,0)</f>
        <v/>
      </c>
      <c r="P198" s="435">
        <f>IF(I198="",R198-H198,(K198-H198-SUM(L198:N198)+R198-S198-T198)-G198)+(ROUND(R198*V198,0)-ROUND(R198*(1+V198),0)*W198)</f>
        <v/>
      </c>
      <c r="Q198" s="435">
        <f>IF(I198="",(O198-G198-(O198*0.1425%*0.65)-(O198*0.3%)-S198-T198),0)</f>
        <v/>
      </c>
      <c r="R198" s="435" t="n"/>
      <c r="S198" s="435" t="n"/>
      <c r="T198" s="435" t="n"/>
      <c r="U198" s="69">
        <f>(V198*50%)/(1+50%*V198)</f>
        <v/>
      </c>
      <c r="V198" s="69" t="n"/>
      <c r="W198" s="70" t="n">
        <v>0.11</v>
      </c>
      <c r="X198" s="436">
        <f>(P198+Q198)/G198</f>
        <v/>
      </c>
      <c r="Y198" s="16">
        <f>VLOOKUP(C198,台股行情!A:D,4,FALSE)</f>
        <v/>
      </c>
      <c r="Z198" s="437">
        <f>VLOOKUP(C198,台股行情!A:E,5,FALSE)</f>
        <v/>
      </c>
      <c r="AA198" s="438">
        <f>IF(I198="",((TODAY()-A198)*G198)/365.24,((I198-A198)*G198)/365.24)</f>
        <v/>
      </c>
      <c r="AB198" s="103" t="inlineStr">
        <is>
          <t>台股</t>
        </is>
      </c>
    </row>
    <row r="199" hidden="1" outlineLevel="1">
      <c r="A199" s="99" t="n">
        <v>45455</v>
      </c>
      <c r="B199" s="11" t="n"/>
      <c r="C199" s="11" t="n">
        <v>4588</v>
      </c>
      <c r="D199" s="189">
        <f>VLOOKUP(C199,台股行情!A:B,2,FALSE)</f>
        <v/>
      </c>
      <c r="E199" s="11" t="n">
        <v>1000</v>
      </c>
      <c r="F199" s="11" t="n">
        <v>110.5</v>
      </c>
      <c r="G199" s="11">
        <f>E199*F199</f>
        <v/>
      </c>
      <c r="H199" s="11" t="n">
        <v>157</v>
      </c>
      <c r="I199" s="104" t="n">
        <v>45461</v>
      </c>
      <c r="J199" s="16" t="n">
        <v>115</v>
      </c>
      <c r="K199" s="11">
        <f>E199*J199</f>
        <v/>
      </c>
      <c r="L199" s="17" t="n">
        <v>163</v>
      </c>
      <c r="M199" s="11" t="n">
        <v>345</v>
      </c>
      <c r="N199" s="11" t="n">
        <v>0</v>
      </c>
      <c r="O199" s="434">
        <f>IF(I199="",E199*Y199,0)</f>
        <v/>
      </c>
      <c r="P199" s="435">
        <f>IF(I199="",R199-H199,(K199-H199-SUM(L199:N199)+R199-S199-T199)-G199)+(ROUND(R199*V199,0)-ROUND(R199*(1+V199),0)*W199)</f>
        <v/>
      </c>
      <c r="Q199" s="435">
        <f>IF(I199="",(O199-G199-(O199*0.1425%*0.65)-(O199*0.3%)-S199-T199),0)</f>
        <v/>
      </c>
      <c r="R199" s="435" t="n"/>
      <c r="S199" s="435" t="n"/>
      <c r="T199" s="435" t="n"/>
      <c r="U199" s="69">
        <f>(V199*50%)/(1+50%*V199)</f>
        <v/>
      </c>
      <c r="V199" s="69" t="n"/>
      <c r="W199" s="70" t="n">
        <v>0.11</v>
      </c>
      <c r="X199" s="436">
        <f>(P199+Q199)/G199</f>
        <v/>
      </c>
      <c r="Y199" s="16">
        <f>VLOOKUP(C199,台股行情!A:D,4,FALSE)</f>
        <v/>
      </c>
      <c r="Z199" s="437">
        <f>VLOOKUP(C199,台股行情!A:E,5,FALSE)</f>
        <v/>
      </c>
      <c r="AA199" s="438">
        <f>IF(I199="",((TODAY()-A199)*G199)/365.24,((I199-A199)*G199)/365.24)</f>
        <v/>
      </c>
      <c r="AB199" s="103" t="inlineStr">
        <is>
          <t>台股</t>
        </is>
      </c>
    </row>
    <row r="200" hidden="1" outlineLevel="1">
      <c r="A200" s="99" t="n">
        <v>45464</v>
      </c>
      <c r="B200" s="11" t="n"/>
      <c r="C200" s="11" t="n">
        <v>6651</v>
      </c>
      <c r="D200" s="189">
        <f>VLOOKUP(C200,台股行情!A:B,2,FALSE)</f>
        <v/>
      </c>
      <c r="E200" s="11" t="n">
        <v>1000</v>
      </c>
      <c r="F200" s="11" t="n">
        <v>76.8</v>
      </c>
      <c r="G200" s="11">
        <f>E200*F200</f>
        <v/>
      </c>
      <c r="H200" s="11" t="n">
        <v>109</v>
      </c>
      <c r="I200" s="104" t="n">
        <v>45471</v>
      </c>
      <c r="J200" s="16" t="n">
        <v>72.5</v>
      </c>
      <c r="K200" s="11">
        <f>E200*J200</f>
        <v/>
      </c>
      <c r="L200" s="17" t="n">
        <v>103</v>
      </c>
      <c r="M200" s="11" t="n">
        <v>271</v>
      </c>
      <c r="N200" s="11" t="n">
        <v>0</v>
      </c>
      <c r="O200" s="434">
        <f>IF(I200="",E200*Y200,0)</f>
        <v/>
      </c>
      <c r="P200" s="435">
        <f>IF(I200="",R200-H200,(K200-H200-SUM(L200:N200)+R200-S200-T200)-G200)+(ROUND(R200*V200,0)-ROUND(R200*(1+V200),0)*W200)</f>
        <v/>
      </c>
      <c r="Q200" s="435">
        <f>IF(I200="",(O200-G200-(O200*0.1425%*0.65)-(O200*0.3%)-S200-T200),0)</f>
        <v/>
      </c>
      <c r="R200" s="435" t="n">
        <v>4000</v>
      </c>
      <c r="S200" s="435" t="n">
        <v>10</v>
      </c>
      <c r="T200" s="435" t="n"/>
      <c r="U200" s="69">
        <f>(V200*50%)/(1+50%*V200)</f>
        <v/>
      </c>
      <c r="V200" s="69" t="n"/>
      <c r="W200" s="70" t="n">
        <v>0.11</v>
      </c>
      <c r="X200" s="436">
        <f>(P200+Q200)/G200</f>
        <v/>
      </c>
      <c r="Y200" s="16">
        <f>VLOOKUP(C200,台股行情!A:D,4,FALSE)</f>
        <v/>
      </c>
      <c r="Z200" s="437">
        <f>VLOOKUP(C200,台股行情!A:E,5,FALSE)</f>
        <v/>
      </c>
      <c r="AA200" s="438">
        <f>IF(I200="",((TODAY()-A200)*G200)/365.24,((I200-A200)*G200)/365.24)</f>
        <v/>
      </c>
      <c r="AB200" s="103" t="inlineStr">
        <is>
          <t>台股</t>
        </is>
      </c>
    </row>
    <row r="201" hidden="1" outlineLevel="1">
      <c r="A201" s="99" t="n">
        <v>45469</v>
      </c>
      <c r="B201" s="11" t="n"/>
      <c r="C201" s="11" t="n">
        <v>1473</v>
      </c>
      <c r="D201" s="189">
        <f>VLOOKUP(C201,台股行情!A:B,2,FALSE)</f>
        <v/>
      </c>
      <c r="E201" s="11" t="n">
        <v>1000</v>
      </c>
      <c r="F201" s="11" t="n">
        <v>48.75</v>
      </c>
      <c r="G201" s="11">
        <f>E201*F201</f>
        <v/>
      </c>
      <c r="H201" s="11" t="n">
        <v>69</v>
      </c>
      <c r="I201" s="104" t="n">
        <v>45474</v>
      </c>
      <c r="J201" s="16" t="n">
        <v>44.5</v>
      </c>
      <c r="K201" s="11">
        <f>E201*J201</f>
        <v/>
      </c>
      <c r="L201" s="17" t="n">
        <v>62</v>
      </c>
      <c r="M201" s="11" t="n">
        <v>132</v>
      </c>
      <c r="N201" s="11" t="n">
        <v>0</v>
      </c>
      <c r="O201" s="434">
        <f>IF(I201="",E201*Y201,0)</f>
        <v/>
      </c>
      <c r="P201" s="435">
        <f>IF(I201="",R201-H201,(K201-H201-SUM(L201:N201)+R201-S201-T201)-G201)+(ROUND(R201*V201,0)-ROUND(R201*(1+V201),0)*W201)</f>
        <v/>
      </c>
      <c r="Q201" s="435">
        <f>IF(I201="",(O201-G201-(O201*0.1425%*0.65)-(O201*0.3%)-S201-T201),0)</f>
        <v/>
      </c>
      <c r="R201" s="435" t="n">
        <v>1200</v>
      </c>
      <c r="S201" s="435" t="n">
        <v>10</v>
      </c>
      <c r="T201" s="435" t="n"/>
      <c r="U201" s="69">
        <f>(V201*50%)/(1+50%*V201)</f>
        <v/>
      </c>
      <c r="V201" s="69" t="n"/>
      <c r="W201" s="70" t="n">
        <v>0.11</v>
      </c>
      <c r="X201" s="436">
        <f>(P201+Q201)/G201</f>
        <v/>
      </c>
      <c r="Y201" s="16">
        <f>VLOOKUP(C201,台股行情!A:D,4,FALSE)</f>
        <v/>
      </c>
      <c r="Z201" s="437">
        <f>VLOOKUP(C201,台股行情!A:E,5,FALSE)</f>
        <v/>
      </c>
      <c r="AA201" s="438">
        <f>IF(I201="",((TODAY()-A201)*G201)/365.24,((I201-A201)*G201)/365.24)</f>
        <v/>
      </c>
      <c r="AB201" s="103" t="inlineStr">
        <is>
          <t>台股</t>
        </is>
      </c>
    </row>
    <row r="202" hidden="1" outlineLevel="1">
      <c r="A202" s="99" t="n">
        <v>45455</v>
      </c>
      <c r="B202" s="11" t="n"/>
      <c r="C202" s="11" t="n">
        <v>6589</v>
      </c>
      <c r="D202" s="189">
        <f>VLOOKUP(C202,台股行情!A:B,2,FALSE)</f>
        <v/>
      </c>
      <c r="E202" s="11" t="n">
        <v>1000</v>
      </c>
      <c r="F202" s="11" t="n">
        <v>87.09999999999999</v>
      </c>
      <c r="G202" s="11">
        <f>E202*F202</f>
        <v/>
      </c>
      <c r="H202" s="11" t="n">
        <v>124</v>
      </c>
      <c r="I202" s="228" t="n">
        <v>45482</v>
      </c>
      <c r="J202" s="16" t="n">
        <v>90.2</v>
      </c>
      <c r="K202" s="11">
        <f>E202*J202</f>
        <v/>
      </c>
      <c r="L202" s="17" t="n">
        <v>128</v>
      </c>
      <c r="M202" s="11" t="n">
        <v>270</v>
      </c>
      <c r="N202" s="11" t="n">
        <v>0</v>
      </c>
      <c r="O202" s="434">
        <f>IF(I202="",E202*Y202,0)</f>
        <v/>
      </c>
      <c r="P202" s="435">
        <f>IF(I202="",R202-H202,(K202-H202-SUM(L202:N202)+R202-S202-T202)-G202)+(ROUND(R202*V202,0)-ROUND(R202*(1+V202),0)*W202)</f>
        <v/>
      </c>
      <c r="Q202" s="435">
        <f>IF(I202="",(O202-G202-(O202*0.1425%*0.65)-(O202*0.3%)-S202-T202),0)</f>
        <v/>
      </c>
      <c r="R202" s="435" t="n"/>
      <c r="S202" s="435" t="n"/>
      <c r="T202" s="435" t="n"/>
      <c r="U202" s="69">
        <f>(V202*50%)/(1+50%*V202)</f>
        <v/>
      </c>
      <c r="V202" s="69" t="n"/>
      <c r="W202" s="70" t="n">
        <v>0.11</v>
      </c>
      <c r="X202" s="436">
        <f>(P202+Q202)/G202</f>
        <v/>
      </c>
      <c r="Y202" s="16">
        <f>VLOOKUP(C202,台股行情!A:D,4,FALSE)</f>
        <v/>
      </c>
      <c r="Z202" s="437">
        <f>VLOOKUP(C202,台股行情!A:E,5,FALSE)</f>
        <v/>
      </c>
      <c r="AA202" s="438">
        <f>IF(I202="",((TODAY()-A202)*G202)/365.24,((I202-A202)*G202)/365.24)</f>
        <v/>
      </c>
      <c r="AB202" s="103" t="inlineStr">
        <is>
          <t>台股</t>
        </is>
      </c>
    </row>
    <row r="203" hidden="1" outlineLevel="1">
      <c r="A203" s="99" t="n">
        <v>45455</v>
      </c>
      <c r="B203" s="11" t="n"/>
      <c r="C203" s="11" t="n">
        <v>1325</v>
      </c>
      <c r="D203" s="189">
        <f>VLOOKUP(C203,台股行情!A:B,2,FALSE)</f>
        <v/>
      </c>
      <c r="E203" s="11" t="n">
        <v>2000</v>
      </c>
      <c r="F203" s="11" t="n">
        <v>30.6</v>
      </c>
      <c r="G203" s="11">
        <f>E203*F203</f>
        <v/>
      </c>
      <c r="H203" s="11" t="n">
        <v>87</v>
      </c>
      <c r="I203" s="228" t="n">
        <v>45482</v>
      </c>
      <c r="J203" s="16" t="n">
        <v>32.1</v>
      </c>
      <c r="K203" s="11">
        <f>E203*J203</f>
        <v/>
      </c>
      <c r="L203" s="17" t="n">
        <v>91</v>
      </c>
      <c r="M203" s="11" t="n">
        <v>192</v>
      </c>
      <c r="N203" s="11" t="n">
        <v>0</v>
      </c>
      <c r="O203" s="434">
        <f>IF(I203="",E203*Y203,0)</f>
        <v/>
      </c>
      <c r="P203" s="435">
        <f>IF(I203="",R203-H203,(K203-H203-SUM(L203:N203)+R203-S203-T203)-G203)+(ROUND(R203*V203,0)-ROUND(R203*(1+V203),0)*W203)</f>
        <v/>
      </c>
      <c r="Q203" s="435">
        <f>IF(I203="",(O203-G203-(O203*0.1425%*0.65)-(O203*0.3%)-S203-T203),0)</f>
        <v/>
      </c>
      <c r="R203" s="435" t="n"/>
      <c r="S203" s="435" t="n"/>
      <c r="T203" s="435" t="n"/>
      <c r="U203" s="69">
        <f>(V203*50%)/(1+50%*V203)</f>
        <v/>
      </c>
      <c r="V203" s="69" t="n"/>
      <c r="W203" s="70" t="n">
        <v>0.11</v>
      </c>
      <c r="X203" s="436">
        <f>(P203+Q203)/G203</f>
        <v/>
      </c>
      <c r="Y203" s="16">
        <f>VLOOKUP(C203,台股行情!A:D,4,FALSE)</f>
        <v/>
      </c>
      <c r="Z203" s="437">
        <f>VLOOKUP(C203,台股行情!A:E,5,FALSE)</f>
        <v/>
      </c>
      <c r="AA203" s="438">
        <f>IF(I203="",((TODAY()-A203)*G203)/365.24,((I203-A203)*G203)/365.24)</f>
        <v/>
      </c>
      <c r="AB203" s="103" t="inlineStr">
        <is>
          <t>台股</t>
        </is>
      </c>
    </row>
    <row r="204" hidden="1" outlineLevel="1">
      <c r="A204" s="99" t="n">
        <v>45463</v>
      </c>
      <c r="B204" s="11" t="n"/>
      <c r="C204" s="11" t="n">
        <v>2316</v>
      </c>
      <c r="D204" s="189">
        <f>VLOOKUP(C204,台股行情!A:B,2,FALSE)</f>
        <v/>
      </c>
      <c r="E204" s="11" t="n">
        <v>1000</v>
      </c>
      <c r="F204" s="11" t="n">
        <v>54.8</v>
      </c>
      <c r="G204" s="11">
        <f>E204*F204</f>
        <v/>
      </c>
      <c r="H204" s="11" t="n">
        <v>78</v>
      </c>
      <c r="I204" s="104" t="n">
        <v>45488</v>
      </c>
      <c r="J204" s="16" t="n">
        <v>53.9</v>
      </c>
      <c r="K204" s="11">
        <f>E204*J204</f>
        <v/>
      </c>
      <c r="L204" s="17" t="n">
        <v>76</v>
      </c>
      <c r="M204" s="11" t="n">
        <v>161</v>
      </c>
      <c r="N204" s="11" t="n">
        <v>0</v>
      </c>
      <c r="O204" s="434">
        <f>IF(I204="",E204*Y204,0)</f>
        <v/>
      </c>
      <c r="P204" s="435">
        <f>IF(I204="",R204-H204,(K204-H204-SUM(L204:N204)+R204-S204-T204)-G204)+(ROUND(R204*V204,0)-ROUND(R204*(1+V204),0)*W204)</f>
        <v/>
      </c>
      <c r="Q204" s="435">
        <f>IF(I204="",(O204-G204-(O204*0.1425%*0.65)-(O204*0.3%)-S204-T204),0)</f>
        <v/>
      </c>
      <c r="R204" s="435" t="n">
        <v>500</v>
      </c>
      <c r="S204" s="435" t="n">
        <v>10</v>
      </c>
      <c r="T204" s="435" t="n"/>
      <c r="U204" s="69">
        <f>(V204*50%)/(1+50%*V204)</f>
        <v/>
      </c>
      <c r="V204" s="69" t="n"/>
      <c r="W204" s="70" t="n">
        <v>0.11</v>
      </c>
      <c r="X204" s="436">
        <f>(P204+Q204)/G204</f>
        <v/>
      </c>
      <c r="Y204" s="16">
        <f>VLOOKUP(C204,台股行情!A:D,4,FALSE)</f>
        <v/>
      </c>
      <c r="Z204" s="437">
        <f>VLOOKUP(C204,台股行情!A:E,5,FALSE)</f>
        <v/>
      </c>
      <c r="AA204" s="438">
        <f>IF(I204="",((TODAY()-A204)*G204)/365.24,((I204-A204)*G204)/365.24)</f>
        <v/>
      </c>
      <c r="AB204" s="103" t="inlineStr">
        <is>
          <t>台股</t>
        </is>
      </c>
    </row>
    <row r="205" hidden="1" outlineLevel="1">
      <c r="A205" s="99" t="n">
        <v>45482</v>
      </c>
      <c r="B205" s="11" t="n"/>
      <c r="C205" s="11" t="n">
        <v>9905</v>
      </c>
      <c r="D205" s="189">
        <f>VLOOKUP(C205,台股行情!A:B,2,FALSE)</f>
        <v/>
      </c>
      <c r="E205" s="11" t="n">
        <v>2000</v>
      </c>
      <c r="F205" s="11" t="n">
        <v>24.55</v>
      </c>
      <c r="G205" s="11">
        <f>E205*F205</f>
        <v/>
      </c>
      <c r="H205" s="11" t="n">
        <v>69</v>
      </c>
      <c r="I205" s="104" t="n">
        <v>45490</v>
      </c>
      <c r="J205" s="16" t="n">
        <v>24</v>
      </c>
      <c r="K205" s="11">
        <f>E205*J205</f>
        <v/>
      </c>
      <c r="L205" s="17" t="n">
        <v>68</v>
      </c>
      <c r="M205" s="11" t="n">
        <v>144</v>
      </c>
      <c r="N205" s="11" t="n">
        <v>0</v>
      </c>
      <c r="O205" s="434">
        <f>IF(I205="",E205*Y205,0)</f>
        <v/>
      </c>
      <c r="P205" s="435">
        <f>IF(I205="",R205-H205,(K205-H205-SUM(L205:N205)+R205-S205-T205)-G205)+(ROUND(R205*V205,0)-ROUND(R205*(1+V205),0)*W205)</f>
        <v/>
      </c>
      <c r="Q205" s="435">
        <f>IF(I205="",(O205-G205-(O205*0.1425%*0.65)-(O205*0.3%)-S205-T205),0)</f>
        <v/>
      </c>
      <c r="R205" s="435" t="n">
        <v>2200</v>
      </c>
      <c r="S205" s="435" t="n">
        <v>10</v>
      </c>
      <c r="T205" s="435" t="n"/>
      <c r="U205" s="69">
        <f>(V205*50%)/(1+50%*V205)</f>
        <v/>
      </c>
      <c r="V205" s="69" t="n"/>
      <c r="W205" s="70" t="n">
        <v>0.11</v>
      </c>
      <c r="X205" s="436">
        <f>(P205+Q205)/G205</f>
        <v/>
      </c>
      <c r="Y205" s="16">
        <f>VLOOKUP(C205,台股行情!A:D,4,FALSE)</f>
        <v/>
      </c>
      <c r="Z205" s="437">
        <f>VLOOKUP(C205,台股行情!A:E,5,FALSE)</f>
        <v/>
      </c>
      <c r="AA205" s="438">
        <f>IF(I205="",((TODAY()-A205)*G205)/365.24,((I205-A205)*G205)/365.24)</f>
        <v/>
      </c>
      <c r="AB205" s="103" t="inlineStr">
        <is>
          <t>台股</t>
        </is>
      </c>
    </row>
    <row r="206" hidden="1" outlineLevel="1">
      <c r="A206" s="99" t="n">
        <v>45484</v>
      </c>
      <c r="B206" s="11" t="n"/>
      <c r="C206" s="11" t="n">
        <v>2392</v>
      </c>
      <c r="D206" s="189">
        <f>VLOOKUP(C206,台股行情!A:B,2,FALSE)</f>
        <v/>
      </c>
      <c r="E206" s="11" t="n">
        <v>1000</v>
      </c>
      <c r="F206" s="11" t="n">
        <v>91.5</v>
      </c>
      <c r="G206" s="11">
        <f>E206*F206</f>
        <v/>
      </c>
      <c r="H206" s="11" t="n">
        <v>130</v>
      </c>
      <c r="I206" s="104" t="n">
        <v>45490</v>
      </c>
      <c r="J206" s="16" t="n">
        <v>83.7</v>
      </c>
      <c r="K206" s="11">
        <f>E206*J206</f>
        <v/>
      </c>
      <c r="L206" s="17" t="n">
        <v>119</v>
      </c>
      <c r="M206" s="11" t="n">
        <v>251</v>
      </c>
      <c r="N206" s="11" t="n">
        <v>0</v>
      </c>
      <c r="O206" s="434">
        <f>IF(I206="",E206*Y206,0)</f>
        <v/>
      </c>
      <c r="P206" s="435">
        <f>IF(I206="",R206-H206,(K206-H206-SUM(L206:N206)+R206-S206-T206)-G206)+(ROUND(R206*V206,0)-ROUND(R206*(1+V206),0)*W206)</f>
        <v/>
      </c>
      <c r="Q206" s="435">
        <f>IF(I206="",(O206-G206-(O206*0.1425%*0.65)-(O206*0.3%)-S206-T206),0)</f>
        <v/>
      </c>
      <c r="R206" s="435" t="n"/>
      <c r="S206" s="435" t="n"/>
      <c r="T206" s="435" t="n"/>
      <c r="U206" s="69">
        <f>(V206*50%)/(1+50%*V206)</f>
        <v/>
      </c>
      <c r="V206" s="69" t="n"/>
      <c r="W206" s="70" t="n">
        <v>0.11</v>
      </c>
      <c r="X206" s="436">
        <f>(P206+Q206)/G206</f>
        <v/>
      </c>
      <c r="Y206" s="16">
        <f>VLOOKUP(C206,台股行情!A:D,4,FALSE)</f>
        <v/>
      </c>
      <c r="Z206" s="437">
        <f>VLOOKUP(C206,台股行情!A:E,5,FALSE)</f>
        <v/>
      </c>
      <c r="AA206" s="438">
        <f>IF(I206="",((TODAY()-A206)*G206)/365.24,((I206-A206)*G206)/365.24)</f>
        <v/>
      </c>
      <c r="AB206" s="103" t="inlineStr">
        <is>
          <t>台股</t>
        </is>
      </c>
    </row>
    <row r="207" hidden="1" outlineLevel="1">
      <c r="A207" s="99" t="n">
        <v>45485</v>
      </c>
      <c r="B207" s="11" t="n"/>
      <c r="C207" s="11" t="n">
        <v>6689</v>
      </c>
      <c r="D207" s="189">
        <f>VLOOKUP(C207,台股行情!A:B,2,FALSE)</f>
        <v/>
      </c>
      <c r="E207" s="11" t="n">
        <v>1000</v>
      </c>
      <c r="F207" s="11" t="n">
        <v>121.5</v>
      </c>
      <c r="G207" s="11">
        <f>E207*F207</f>
        <v/>
      </c>
      <c r="H207" s="11" t="n">
        <v>173</v>
      </c>
      <c r="I207" s="104" t="n">
        <v>45506</v>
      </c>
      <c r="J207" s="16" t="n">
        <v>108.5</v>
      </c>
      <c r="K207" s="11">
        <f>E207*J207</f>
        <v/>
      </c>
      <c r="L207" s="488" t="n">
        <v>154</v>
      </c>
      <c r="M207" s="489" t="n">
        <v>325</v>
      </c>
      <c r="N207" s="11" t="n">
        <v>0</v>
      </c>
      <c r="O207" s="434">
        <f>IF(I207="",E207*Y207,0)</f>
        <v/>
      </c>
      <c r="P207" s="435">
        <f>IF(I207="",R207-H207,(K207-H207-SUM(L207:N207)+R207-S207-T207)-G207)+(ROUND(R207*V207,0)-ROUND(R207*(1+V207),0)*W207)</f>
        <v/>
      </c>
      <c r="Q207" s="435">
        <f>IF(I207="",(O207-G207-(O207*0.1425%*0.65)-(O207*0.3%)-S207-T207),0)</f>
        <v/>
      </c>
      <c r="R207" s="435" t="n">
        <v>2000</v>
      </c>
      <c r="S207" s="435" t="n">
        <v>10</v>
      </c>
      <c r="T207" s="435" t="n"/>
      <c r="U207" s="69">
        <f>(V207*50%)/(1+50%*V207)</f>
        <v/>
      </c>
      <c r="V207" s="69" t="n"/>
      <c r="W207" s="70" t="n">
        <v>0.11</v>
      </c>
      <c r="X207" s="436">
        <f>(P207+Q207)/G207</f>
        <v/>
      </c>
      <c r="Y207" s="16">
        <f>VLOOKUP(C207,台股行情!A:D,4,FALSE)</f>
        <v/>
      </c>
      <c r="Z207" s="437">
        <f>VLOOKUP(C207,台股行情!A:E,5,FALSE)</f>
        <v/>
      </c>
      <c r="AA207" s="438">
        <f>IF(I207="",((TODAY()-A207)*G207)/365.24,((I207-A207)*G207)/365.24)</f>
        <v/>
      </c>
      <c r="AB207" s="103" t="inlineStr">
        <is>
          <t>台股</t>
        </is>
      </c>
    </row>
    <row r="208" hidden="1" outlineLevel="1">
      <c r="A208" s="99" t="n">
        <v>45482</v>
      </c>
      <c r="B208" s="11" t="n"/>
      <c r="C208" s="11" t="n">
        <v>2459</v>
      </c>
      <c r="D208" s="189">
        <f>VLOOKUP(C208,台股行情!A:B,2,FALSE)</f>
        <v/>
      </c>
      <c r="E208" s="11" t="n">
        <v>1000</v>
      </c>
      <c r="F208" s="11" t="n">
        <v>77</v>
      </c>
      <c r="G208" s="11">
        <f>E208*F208</f>
        <v/>
      </c>
      <c r="H208" s="11" t="n">
        <v>109</v>
      </c>
      <c r="I208" s="104" t="n">
        <v>45519</v>
      </c>
      <c r="J208" s="16" t="n">
        <v>72</v>
      </c>
      <c r="K208" s="11">
        <f>E208*J208</f>
        <v/>
      </c>
      <c r="L208" s="488" t="n">
        <v>102</v>
      </c>
      <c r="M208" s="489" t="n">
        <v>216</v>
      </c>
      <c r="N208" s="11" t="n">
        <v>0</v>
      </c>
      <c r="O208" s="434">
        <f>IF(I208="",E208*Y208,0)</f>
        <v/>
      </c>
      <c r="P208" s="435">
        <f>IF(I208="",R208-H208,(K208-H208-SUM(L208:N208)+R208-S208-T208)-G208)+(ROUND(R208*V208,0)-ROUND(R208*(1+V208),0)*W208)</f>
        <v/>
      </c>
      <c r="Q208" s="435">
        <f>IF(I208="",(O208-G208-(O208*0.1425%*0.65)-(O208*0.3%)-S208-T208),0)</f>
        <v/>
      </c>
      <c r="R208" s="435" t="n">
        <v>4000</v>
      </c>
      <c r="S208" s="435" t="n">
        <v>10</v>
      </c>
      <c r="T208" s="435" t="n"/>
      <c r="U208" s="69">
        <f>(V208*50%)/(1+50%*V208)</f>
        <v/>
      </c>
      <c r="V208" s="69" t="n"/>
      <c r="W208" s="70" t="n">
        <v>0.11</v>
      </c>
      <c r="X208" s="436">
        <f>(P208+Q208)/G208</f>
        <v/>
      </c>
      <c r="Y208" s="16">
        <f>VLOOKUP(C208,台股行情!A:D,4,FALSE)</f>
        <v/>
      </c>
      <c r="Z208" s="437">
        <f>VLOOKUP(C208,台股行情!A:E,5,FALSE)</f>
        <v/>
      </c>
      <c r="AA208" s="438">
        <f>IF(I208="",((TODAY()-A208)*G208)/365.24,((I208-A208)*G208)/365.24)</f>
        <v/>
      </c>
      <c r="AB208" s="103" t="inlineStr">
        <is>
          <t>台股</t>
        </is>
      </c>
    </row>
    <row r="209" hidden="1" outlineLevel="1">
      <c r="A209" s="99" t="n">
        <v>45485</v>
      </c>
      <c r="B209" s="11" t="n"/>
      <c r="C209" s="11" t="n">
        <v>1316</v>
      </c>
      <c r="D209" s="189">
        <f>VLOOKUP(C209,台股行情!A:B,2,FALSE)</f>
        <v/>
      </c>
      <c r="E209" s="11" t="n">
        <v>1000</v>
      </c>
      <c r="F209" s="11" t="n">
        <v>21.6</v>
      </c>
      <c r="G209" s="11">
        <f>E209*F209</f>
        <v/>
      </c>
      <c r="H209" s="11" t="n">
        <v>30</v>
      </c>
      <c r="I209" s="104" t="n">
        <v>45530</v>
      </c>
      <c r="J209" s="16" t="n">
        <v>19.85</v>
      </c>
      <c r="K209" s="11">
        <f>E209*J209</f>
        <v/>
      </c>
      <c r="L209" s="17" t="n">
        <v>28</v>
      </c>
      <c r="M209" s="11" t="n">
        <v>59</v>
      </c>
      <c r="N209" s="11" t="n">
        <v>0</v>
      </c>
      <c r="O209" s="434">
        <f>IF(I209="",E209*Y209,0)</f>
        <v/>
      </c>
      <c r="P209" s="435">
        <f>IF(I209="",R209-H209,(K209-H209-SUM(L209:N209)+R209-S209-T209)-G209)+(ROUND(R209*V209,0)-ROUND(R209*(1+V209),0)*W209)</f>
        <v/>
      </c>
      <c r="Q209" s="435">
        <f>IF(I209="",(O209-G209-(O209*0.1425%*0.65)-(O209*0.3%)-S209-T209),0)</f>
        <v/>
      </c>
      <c r="R209" s="435" t="n"/>
      <c r="S209" s="435" t="n"/>
      <c r="T209" s="435" t="n"/>
      <c r="U209" s="69">
        <f>(V209*50%)/(1+50%*V209)</f>
        <v/>
      </c>
      <c r="V209" s="69" t="n"/>
      <c r="W209" s="70" t="n">
        <v>0.11</v>
      </c>
      <c r="X209" s="436">
        <f>(P209+Q209)/G209</f>
        <v/>
      </c>
      <c r="Y209" s="16">
        <f>VLOOKUP(C209,台股行情!A:D,4,FALSE)</f>
        <v/>
      </c>
      <c r="Z209" s="437">
        <f>VLOOKUP(C209,台股行情!A:E,5,FALSE)</f>
        <v/>
      </c>
      <c r="AA209" s="438">
        <f>IF(I209="",((TODAY()-A209)*G209)/365.24,((I209-A209)*G209)/365.24)</f>
        <v/>
      </c>
      <c r="AB209" s="103" t="inlineStr">
        <is>
          <t>台股</t>
        </is>
      </c>
    </row>
    <row r="210" hidden="1" outlineLevel="1">
      <c r="A210" s="99" t="n">
        <v>45490</v>
      </c>
      <c r="B210" s="11" t="n"/>
      <c r="C210" s="11" t="n">
        <v>5263</v>
      </c>
      <c r="D210" s="189">
        <f>VLOOKUP(C210,台股行情!A:B,2,FALSE)</f>
        <v/>
      </c>
      <c r="E210" s="11" t="n">
        <v>1000</v>
      </c>
      <c r="F210" s="11" t="n">
        <v>186</v>
      </c>
      <c r="G210" s="11">
        <f>E210*F210</f>
        <v/>
      </c>
      <c r="H210" s="11" t="n">
        <v>265</v>
      </c>
      <c r="I210" s="104" t="n">
        <v>45534</v>
      </c>
      <c r="J210" s="16" t="n">
        <v>176.5</v>
      </c>
      <c r="K210" s="11">
        <f>E210*J210</f>
        <v/>
      </c>
      <c r="L210" s="17" t="n">
        <v>251</v>
      </c>
      <c r="M210" s="11" t="n">
        <v>529</v>
      </c>
      <c r="N210" s="11" t="n">
        <v>0</v>
      </c>
      <c r="O210" s="434">
        <f>IF(I210="",E210*Y210,0)</f>
        <v/>
      </c>
      <c r="P210" s="435">
        <f>IF(I210="",R210-H210,(K210-H210-SUM(L210:N210)+R210-S210-T210)-G210)+(ROUND(R210*V210,0)-ROUND(R210*(1+V210),0)*W210)</f>
        <v/>
      </c>
      <c r="Q210" s="435">
        <f>IF(I210="",(O210-G210-(O210*0.1425%*0.65)-(O210*0.3%)-S210-T210),0)</f>
        <v/>
      </c>
      <c r="R210" s="435" t="n"/>
      <c r="S210" s="435" t="n"/>
      <c r="T210" s="435" t="n"/>
      <c r="U210" s="69">
        <f>(V210*50%)/(1+50%*V210)</f>
        <v/>
      </c>
      <c r="V210" s="69" t="n"/>
      <c r="W210" s="70" t="n">
        <v>0.11</v>
      </c>
      <c r="X210" s="436">
        <f>(P210+Q210)/G210</f>
        <v/>
      </c>
      <c r="Y210" s="16">
        <f>VLOOKUP(C210,台股行情!A:D,4,FALSE)</f>
        <v/>
      </c>
      <c r="Z210" s="437">
        <f>VLOOKUP(C210,台股行情!A:E,5,FALSE)</f>
        <v/>
      </c>
      <c r="AA210" s="438">
        <f>IF(I210="",((TODAY()-A210)*G210)/365.24,((I210-A210)*G210)/365.24)</f>
        <v/>
      </c>
      <c r="AB210" s="103" t="inlineStr">
        <is>
          <t>台股</t>
        </is>
      </c>
    </row>
    <row r="211" hidden="1" outlineLevel="1">
      <c r="A211" s="99" t="n">
        <v>45455</v>
      </c>
      <c r="B211" s="11" t="n"/>
      <c r="C211" s="11" t="n">
        <v>3374</v>
      </c>
      <c r="D211" s="189">
        <f>VLOOKUP(C211,台股行情!A:B,2,FALSE)</f>
        <v/>
      </c>
      <c r="E211" s="11" t="n">
        <v>1000</v>
      </c>
      <c r="F211" s="11" t="n">
        <v>146.5</v>
      </c>
      <c r="G211" s="11">
        <f>E211*F211</f>
        <v/>
      </c>
      <c r="H211" s="11" t="n">
        <v>208</v>
      </c>
      <c r="I211" s="104" t="n">
        <v>45540</v>
      </c>
      <c r="J211" s="16" t="n">
        <v>233.5</v>
      </c>
      <c r="K211" s="11">
        <f>E211*J211</f>
        <v/>
      </c>
      <c r="L211" s="17" t="n">
        <v>332</v>
      </c>
      <c r="M211" s="11" t="n">
        <v>700</v>
      </c>
      <c r="N211" s="11" t="n">
        <v>0</v>
      </c>
      <c r="O211" s="434">
        <f>IF(I211="",E211*Y211,0)</f>
        <v/>
      </c>
      <c r="P211" s="435">
        <f>IF(I211="",R211-H211,(K211-H211-SUM(L211:N211)+R211-S211-T211)-G211)+(ROUND(R211*V211,0)-ROUND(R211*(1+V211),0)*W211)</f>
        <v/>
      </c>
      <c r="Q211" s="435">
        <f>IF(I211="",(O211-G211-(O211*0.1425%*0.65)-(O211*0.3%)-S211-T211),0)</f>
        <v/>
      </c>
      <c r="R211" s="435" t="n">
        <v>2000</v>
      </c>
      <c r="S211" s="435" t="n">
        <v>10</v>
      </c>
      <c r="T211" s="435" t="n"/>
      <c r="U211" s="69">
        <f>(V211*50%)/(1+50%*V211)</f>
        <v/>
      </c>
      <c r="V211" s="69" t="n"/>
      <c r="W211" s="70" t="n">
        <v>0.11</v>
      </c>
      <c r="X211" s="436">
        <f>(P211+Q211)/G211</f>
        <v/>
      </c>
      <c r="Y211" s="16">
        <f>VLOOKUP(C211,台股行情!A:D,4,FALSE)</f>
        <v/>
      </c>
      <c r="Z211" s="437">
        <f>VLOOKUP(C211,台股行情!A:E,5,FALSE)</f>
        <v/>
      </c>
      <c r="AA211" s="438">
        <f>IF(I211="",((TODAY()-A211)*G211)/365.24,((I211-A211)*G211)/365.24)</f>
        <v/>
      </c>
      <c r="AB211" s="103" t="inlineStr">
        <is>
          <t>台股</t>
        </is>
      </c>
    </row>
    <row r="212" hidden="1" outlineLevel="1">
      <c r="A212" s="99" t="n">
        <v>45484</v>
      </c>
      <c r="B212" s="11" t="n"/>
      <c r="C212" s="11" t="n">
        <v>3284</v>
      </c>
      <c r="D212" s="189" t="inlineStr">
        <is>
          <t>太普高</t>
        </is>
      </c>
      <c r="E212" s="11" t="n">
        <v>2000</v>
      </c>
      <c r="F212" s="11" t="n">
        <v>45.3</v>
      </c>
      <c r="G212" s="11">
        <f>E212*F212</f>
        <v/>
      </c>
      <c r="H212" s="11" t="n">
        <v>129</v>
      </c>
      <c r="I212" s="104" t="n">
        <v>45544</v>
      </c>
      <c r="J212" s="16" t="n">
        <v>51.1</v>
      </c>
      <c r="K212" s="11">
        <f>E212*J212</f>
        <v/>
      </c>
      <c r="L212" s="17" t="n">
        <v>145</v>
      </c>
      <c r="M212" s="11" t="n">
        <v>306</v>
      </c>
      <c r="N212" s="11" t="n">
        <v>0</v>
      </c>
      <c r="O212" s="434">
        <f>IF(I212="",E212*Y212,0)</f>
        <v/>
      </c>
      <c r="P212" s="435">
        <f>IF(I212="",R212-H212,(K212-H212-SUM(L212:N212)+R212-S212-T212)-G212)+(ROUND(R212*V212,0)-ROUND(R212*(1+V212),0)*W212)</f>
        <v/>
      </c>
      <c r="Q212" s="435">
        <f>IF(I212="",(O212-G212-(O212*0.1425%*0.65)-(O212*0.3%)-S212-T212),0)</f>
        <v/>
      </c>
      <c r="R212" s="435">
        <f>400+2948</f>
        <v/>
      </c>
      <c r="S212" s="435" t="n">
        <v>10</v>
      </c>
      <c r="T212" s="435" t="n"/>
      <c r="U212" s="69">
        <f>(V212*50%)/(1+50%*V212)</f>
        <v/>
      </c>
      <c r="V212" s="69" t="n"/>
      <c r="W212" s="70" t="n">
        <v>0.11</v>
      </c>
      <c r="X212" s="436">
        <f>(P212+Q212)/G212</f>
        <v/>
      </c>
      <c r="Y212" s="16">
        <f>VLOOKUP(C212,台股行情!A:D,4,FALSE)</f>
        <v/>
      </c>
      <c r="Z212" s="437">
        <f>VLOOKUP(C212,台股行情!A:E,5,FALSE)</f>
        <v/>
      </c>
      <c r="AA212" s="438">
        <f>IF(I212="",((TODAY()-A212)*G212)/365.24,((I212-A212)*G212)/365.24)</f>
        <v/>
      </c>
      <c r="AB212" s="103" t="inlineStr">
        <is>
          <t>台股</t>
        </is>
      </c>
    </row>
    <row r="213" hidden="1" outlineLevel="1">
      <c r="A213" s="99" t="n">
        <v>45499</v>
      </c>
      <c r="B213" s="11" t="n"/>
      <c r="C213" s="11" t="n">
        <v>5209</v>
      </c>
      <c r="D213" s="189">
        <f>VLOOKUP(C213,台股行情!A:B,2,FALSE)</f>
        <v/>
      </c>
      <c r="E213" s="11" t="n">
        <v>1000</v>
      </c>
      <c r="F213" s="11" t="n">
        <v>184</v>
      </c>
      <c r="G213" s="11">
        <f>E213*F213</f>
        <v/>
      </c>
      <c r="H213" s="11" t="n">
        <v>262</v>
      </c>
      <c r="I213" s="104" t="n">
        <v>45499</v>
      </c>
      <c r="J213" s="16" t="n">
        <v>183</v>
      </c>
      <c r="K213" s="11">
        <f>E213*J213</f>
        <v/>
      </c>
      <c r="L213" s="17" t="n">
        <v>260</v>
      </c>
      <c r="M213" s="11" t="n">
        <v>274</v>
      </c>
      <c r="N213" s="11" t="n">
        <v>0</v>
      </c>
      <c r="O213" s="434">
        <f>IF(I213="",E213*Y213,0)</f>
        <v/>
      </c>
      <c r="P213" s="435">
        <f>IF(I213="",R213-H213,(K213-H213-SUM(L213:N213)+R213-S213-T213)-G213)+(ROUND(R213*V213,0)-ROUND(R213*(1+V213),0)*W213)</f>
        <v/>
      </c>
      <c r="Q213" s="435">
        <f>IF(I213="",(O213-G213-(O213*0.1425%*0.65)-(O213*0.3%)-S213-T213),0)</f>
        <v/>
      </c>
      <c r="R213" s="435" t="n"/>
      <c r="S213" s="435" t="n"/>
      <c r="T213" s="435" t="n"/>
      <c r="U213" s="69">
        <f>(V213*50%)/(1+50%*V213)</f>
        <v/>
      </c>
      <c r="V213" s="69" t="n"/>
      <c r="W213" s="70" t="n">
        <v>0.11</v>
      </c>
      <c r="X213" s="436">
        <f>(P213+Q213)/G213</f>
        <v/>
      </c>
      <c r="Y213" s="16">
        <f>VLOOKUP(C213,台股行情!A:D,4,FALSE)</f>
        <v/>
      </c>
      <c r="Z213" s="437">
        <f>VLOOKUP(C213,台股行情!A:E,5,FALSE)</f>
        <v/>
      </c>
      <c r="AA213" s="438">
        <f>IF(I213="",((TODAY()-A213)*G213)/365.24,((I213-A213)*G213)/365.24)</f>
        <v/>
      </c>
      <c r="AB213" s="103" t="inlineStr">
        <is>
          <t>台股</t>
        </is>
      </c>
    </row>
    <row r="214" hidden="1" outlineLevel="1">
      <c r="A214" s="99" t="n">
        <v>45499</v>
      </c>
      <c r="B214" s="11" t="n"/>
      <c r="C214" s="11" t="n">
        <v>1721</v>
      </c>
      <c r="D214" s="189">
        <f>VLOOKUP(C214,台股行情!A:B,2,FALSE)</f>
        <v/>
      </c>
      <c r="E214" s="11" t="n">
        <v>1000</v>
      </c>
      <c r="F214" s="11" t="n">
        <v>25.2</v>
      </c>
      <c r="G214" s="11">
        <f>E214*F214</f>
        <v/>
      </c>
      <c r="H214" s="11" t="n">
        <v>35</v>
      </c>
      <c r="I214" s="104" t="n">
        <v>45607</v>
      </c>
      <c r="J214" s="16" t="n">
        <v>19.6</v>
      </c>
      <c r="K214" s="11">
        <f>E214*J214</f>
        <v/>
      </c>
      <c r="L214" s="17" t="n">
        <v>27</v>
      </c>
      <c r="M214" s="11" t="n">
        <v>58</v>
      </c>
      <c r="N214" s="11" t="n">
        <v>0</v>
      </c>
      <c r="O214" s="434">
        <f>IF(I214="",E214*Y214,0)</f>
        <v/>
      </c>
      <c r="P214" s="435">
        <f>IF(I214="",R214-H214,(K214-H214-SUM(L214:N214)+R214-S214-T214)-G214)+(ROUND(R214*V214,0)-ROUND(R214*(1+V214),0)*W214)</f>
        <v/>
      </c>
      <c r="Q214" s="435">
        <f>IF(I214="",(O214-G214-(O214*0.1425%*0.65)-(O214*0.3%)-S214-T214),0)</f>
        <v/>
      </c>
      <c r="R214" s="435" t="n"/>
      <c r="S214" s="435" t="n"/>
      <c r="T214" s="435" t="n"/>
      <c r="U214" s="69">
        <f>(V214*50%)/(1+50%*V214)</f>
        <v/>
      </c>
      <c r="V214" s="69" t="n"/>
      <c r="W214" s="70" t="n">
        <v>0.11</v>
      </c>
      <c r="X214" s="436">
        <f>(P214+Q214)/G214</f>
        <v/>
      </c>
      <c r="Y214" s="16">
        <f>VLOOKUP(C214,台股行情!A:D,4,FALSE)</f>
        <v/>
      </c>
      <c r="Z214" s="437">
        <f>VLOOKUP(C214,台股行情!A:E,5,FALSE)</f>
        <v/>
      </c>
      <c r="AA214" s="438">
        <f>IF(I214="",((TODAY()-A214)*G214)/365.24,((I214-A214)*G214)/365.24)</f>
        <v/>
      </c>
      <c r="AB214" s="103" t="inlineStr">
        <is>
          <t>台股</t>
        </is>
      </c>
    </row>
    <row r="215" hidden="1" outlineLevel="1">
      <c r="A215" s="99" t="n">
        <v>45499</v>
      </c>
      <c r="B215" s="11" t="n"/>
      <c r="C215" s="11" t="n">
        <v>2436</v>
      </c>
      <c r="D215" s="189">
        <f>VLOOKUP(C215,台股行情!A:B,2,FALSE)</f>
        <v/>
      </c>
      <c r="E215" s="11" t="n">
        <v>1000</v>
      </c>
      <c r="F215" s="11" t="n">
        <v>67.09999999999999</v>
      </c>
      <c r="G215" s="11">
        <f>E215*F215</f>
        <v/>
      </c>
      <c r="H215" s="11" t="n">
        <v>95</v>
      </c>
      <c r="I215" s="104" t="n">
        <v>45607</v>
      </c>
      <c r="J215" s="16" t="n">
        <v>53.8</v>
      </c>
      <c r="K215" s="11">
        <f>E215*J215</f>
        <v/>
      </c>
      <c r="L215" s="17" t="n">
        <v>76</v>
      </c>
      <c r="M215" s="11" t="n">
        <v>161</v>
      </c>
      <c r="N215" s="11" t="n">
        <v>0</v>
      </c>
      <c r="O215" s="434">
        <f>IF(I215="",E215*Y215,0)</f>
        <v/>
      </c>
      <c r="P215" s="435">
        <f>IF(I215="",R215-H215,(K215-H215-SUM(L215:N215)+R215-S215-T215)-G215)+(ROUND(R215*V215,0)-ROUND(R215*(1+V215),0)*W215)</f>
        <v/>
      </c>
      <c r="Q215" s="435">
        <f>IF(I215="",(O215-G215-(O215*0.1425%*0.65)-(O215*0.3%)-S215-T215),0)</f>
        <v/>
      </c>
      <c r="R215" s="435" t="n"/>
      <c r="S215" s="435" t="n"/>
      <c r="T215" s="435" t="n"/>
      <c r="U215" s="69">
        <f>(V215*50%)/(1+50%*V215)</f>
        <v/>
      </c>
      <c r="V215" s="69" t="n"/>
      <c r="W215" s="70" t="n">
        <v>0.11</v>
      </c>
      <c r="X215" s="436">
        <f>(P215+Q215)/G215</f>
        <v/>
      </c>
      <c r="Y215" s="16">
        <f>VLOOKUP(C215,台股行情!A:D,4,FALSE)</f>
        <v/>
      </c>
      <c r="Z215" s="437">
        <f>VLOOKUP(C215,台股行情!A:E,5,FALSE)</f>
        <v/>
      </c>
      <c r="AA215" s="438">
        <f>IF(I215="",((TODAY()-A215)*G215)/365.24,((I215-A215)*G215)/365.24)</f>
        <v/>
      </c>
      <c r="AB215" s="103" t="inlineStr">
        <is>
          <t>台股</t>
        </is>
      </c>
    </row>
    <row r="216" hidden="1" outlineLevel="1">
      <c r="A216" s="99" t="n">
        <v>45383</v>
      </c>
      <c r="B216" s="11" t="n"/>
      <c r="C216" s="11" t="n">
        <v>1522</v>
      </c>
      <c r="D216" s="189">
        <f>VLOOKUP(C216,台股行情!A:B,2,FALSE)</f>
        <v/>
      </c>
      <c r="E216" s="11" t="n">
        <v>1000</v>
      </c>
      <c r="F216" s="11" t="n">
        <v>59.5</v>
      </c>
      <c r="G216" s="11">
        <f>E216*F216</f>
        <v/>
      </c>
      <c r="H216" s="11" t="n">
        <v>85</v>
      </c>
      <c r="I216" s="104" t="n">
        <v>45481</v>
      </c>
      <c r="J216" s="16" t="n">
        <v>68.2</v>
      </c>
      <c r="K216" s="11">
        <f>E216*J216</f>
        <v/>
      </c>
      <c r="L216" s="11" t="n">
        <v>97</v>
      </c>
      <c r="M216" s="11" t="n">
        <v>204</v>
      </c>
      <c r="N216" s="11" t="n">
        <v>0</v>
      </c>
      <c r="O216" s="434">
        <f>IF(I216="",E216*Y216,0)</f>
        <v/>
      </c>
      <c r="P216" s="435">
        <f>IF(I216="",R216-H216,(K216-H216-SUM(L216:N216)+R216-S216-T216)-G216)+(ROUND(R216*V216,0)-ROUND(R216*(1+V216),0)*W216)</f>
        <v/>
      </c>
      <c r="Q216" s="435">
        <f>IF(I216="",(O216-G216-(O216*0.1425%*0.65)-(O216*0.3%)-S216-T216),0)</f>
        <v/>
      </c>
      <c r="R216" s="435" t="n"/>
      <c r="S216" s="435" t="n"/>
      <c r="T216" s="435" t="n"/>
      <c r="U216" s="69">
        <f>(V216*50%)/(1+50%*V216)</f>
        <v/>
      </c>
      <c r="V216" s="69" t="n"/>
      <c r="W216" s="70" t="n">
        <v>0.11</v>
      </c>
      <c r="X216" s="436">
        <f>(P216+Q216)/G216</f>
        <v/>
      </c>
      <c r="Y216" s="16">
        <f>VLOOKUP(C216,台股行情!A:D,4,FALSE)</f>
        <v/>
      </c>
      <c r="Z216" s="437">
        <f>VLOOKUP(C216,台股行情!A:E,5,FALSE)</f>
        <v/>
      </c>
      <c r="AA216" s="438">
        <f>IF(I216="",((TODAY()-A216)*G216)/365.24,((I216-A216)*G216)/365.24)</f>
        <v/>
      </c>
      <c r="AB216" s="103" t="inlineStr">
        <is>
          <t>台股</t>
        </is>
      </c>
    </row>
    <row r="217">
      <c r="A217" s="329" t="n">
        <v>45631</v>
      </c>
      <c r="B217" s="11" t="n"/>
      <c r="C217" s="11" t="n">
        <v>7722</v>
      </c>
      <c r="D217" s="189">
        <f>VLOOKUP(C217,台股行情!A:B,2,FALSE)</f>
        <v/>
      </c>
      <c r="E217" s="11" t="n">
        <v>1000</v>
      </c>
      <c r="F217" s="11" t="n">
        <v>508</v>
      </c>
      <c r="G217" s="11">
        <f>E217*F217</f>
        <v/>
      </c>
      <c r="H217" s="11" t="n">
        <v>70</v>
      </c>
      <c r="I217" s="328" t="n">
        <v>45663</v>
      </c>
      <c r="J217" s="16" t="n">
        <v>512</v>
      </c>
      <c r="K217" s="11">
        <f>E217*J217</f>
        <v/>
      </c>
      <c r="L217" s="17" t="n">
        <v>729</v>
      </c>
      <c r="M217" s="11" t="n">
        <v>1536</v>
      </c>
      <c r="N217" s="11" t="n">
        <v>1</v>
      </c>
      <c r="O217" s="434">
        <f>IF(I217="",E217*Y217,0)</f>
        <v/>
      </c>
      <c r="P217" s="435">
        <f>IF(I217="",R217-H217,(K217-H217-SUM(L217:N217)+R217-S217-T217)-G217)+(ROUND(R217*V217,0)-ROUND(R217*(1+V217),0)*W217)</f>
        <v/>
      </c>
      <c r="Q217" s="435">
        <f>IF(I217="",(O217-G217-(O217*0.1425%*0.65)-(O217*0.3%)-S217-T217),0)</f>
        <v/>
      </c>
      <c r="R217" s="435" t="n"/>
      <c r="S217" s="435" t="n"/>
      <c r="T217" s="435" t="n"/>
      <c r="U217" s="69">
        <f>(V217*50%)/(1+50%*V217)</f>
        <v/>
      </c>
      <c r="V217" s="69" t="n"/>
      <c r="W217" s="70" t="n">
        <v>0.11</v>
      </c>
      <c r="X217" s="436">
        <f>(P217+Q217)/G217</f>
        <v/>
      </c>
      <c r="Y217" s="16">
        <f>VLOOKUP(C217,台股行情!A:D,4,FALSE)</f>
        <v/>
      </c>
      <c r="Z217" s="437">
        <f>VLOOKUP(C217,台股行情!A:E,5,FALSE)</f>
        <v/>
      </c>
      <c r="AA217" s="438">
        <f>IF(I217="",((TODAY()-A217)*G217)/365.24,((I217-A217)*G217)/365.24)</f>
        <v/>
      </c>
      <c r="AB217" s="103" t="inlineStr">
        <is>
          <t>台股</t>
        </is>
      </c>
    </row>
    <row r="218" outlineLevel="1">
      <c r="A218" s="99" t="n">
        <v>45469</v>
      </c>
      <c r="B218" s="11" t="n"/>
      <c r="C218" s="11" t="n">
        <v>5209</v>
      </c>
      <c r="D218" s="189">
        <f>VLOOKUP(C218,台股行情!A:B,2,FALSE)</f>
        <v/>
      </c>
      <c r="E218" s="11" t="n">
        <v>1000</v>
      </c>
      <c r="F218" s="11" t="n">
        <v>200</v>
      </c>
      <c r="G218" s="11">
        <f>E218*F218</f>
        <v/>
      </c>
      <c r="H218" s="11" t="n">
        <v>285</v>
      </c>
      <c r="I218" s="328" t="n">
        <v>45663</v>
      </c>
      <c r="J218" s="16" t="n">
        <v>173</v>
      </c>
      <c r="K218" s="11">
        <f>E218*J218</f>
        <v/>
      </c>
      <c r="L218" s="17" t="n">
        <v>246</v>
      </c>
      <c r="M218" s="11" t="n">
        <v>519</v>
      </c>
      <c r="N218" s="11" t="n">
        <v>0</v>
      </c>
      <c r="O218" s="434">
        <f>IF(I218="",E218*Y218,0)</f>
        <v/>
      </c>
      <c r="P218" s="435">
        <f>IF(I218="",R218-H218,(K218-H218-SUM(L218:N218)+R218-S218-T218)-G218)+(ROUND(R218*V218,0)-ROUND(R218*(1+V218),0)*W218)</f>
        <v/>
      </c>
      <c r="Q218" s="435">
        <f>IF(I218="",(O218-G218-(O218*0.1425%*0.65)-(O218*0.3%)-S218-T218),0)</f>
        <v/>
      </c>
      <c r="R218" s="435" t="n">
        <v>10511</v>
      </c>
      <c r="S218" s="435" t="n">
        <v>10</v>
      </c>
      <c r="T218" s="435" t="n"/>
      <c r="U218" s="69">
        <f>(V218*50%)/(1+50%*V218)</f>
        <v/>
      </c>
      <c r="V218" s="69" t="n"/>
      <c r="W218" s="70" t="n">
        <v>0.11</v>
      </c>
      <c r="X218" s="436">
        <f>(P218+Q218)/G218</f>
        <v/>
      </c>
      <c r="Y218" s="16">
        <f>VLOOKUP(C218,台股行情!A:D,4,FALSE)</f>
        <v/>
      </c>
      <c r="Z218" s="437">
        <f>VLOOKUP(C218,台股行情!A:E,5,FALSE)</f>
        <v/>
      </c>
      <c r="AA218" s="438">
        <f>IF(I218="",((TODAY()-A218)*G218)/365.24,((I218-A218)*G218)/365.24)</f>
        <v/>
      </c>
      <c r="AB218" s="103" t="inlineStr">
        <is>
          <t>台股</t>
        </is>
      </c>
    </row>
    <row r="219" outlineLevel="1">
      <c r="A219" s="99" t="n">
        <v>45338</v>
      </c>
      <c r="B219" s="11" t="n"/>
      <c r="C219" s="11" t="n">
        <v>929</v>
      </c>
      <c r="D219" s="189">
        <f>VLOOKUP(C219,台股行情!A:B,2,FALSE)</f>
        <v/>
      </c>
      <c r="E219" s="11" t="n">
        <v>1000</v>
      </c>
      <c r="F219" s="11" t="n">
        <v>18.95</v>
      </c>
      <c r="G219" s="11">
        <f>E219*F219</f>
        <v/>
      </c>
      <c r="H219" s="11" t="n">
        <v>27</v>
      </c>
      <c r="I219" s="328" t="n">
        <v>45664</v>
      </c>
      <c r="J219" s="16" t="n">
        <v>18.33</v>
      </c>
      <c r="K219" s="11">
        <f>E219*J219</f>
        <v/>
      </c>
      <c r="L219" s="17" t="n">
        <v>26</v>
      </c>
      <c r="M219" s="11" t="n">
        <v>18</v>
      </c>
      <c r="N219" s="11" t="n">
        <v>0</v>
      </c>
      <c r="O219" s="434">
        <f>IF(I219="",E219*Y219,0)</f>
        <v/>
      </c>
      <c r="P219" s="435">
        <f>IF(I219="",R219-H219,(K219-H219-SUM(L219:N219)+R219-S219-T219)-G219)+(ROUND(R219*V219,0)-ROUND(R219*(1+V219),0)*W219)</f>
        <v/>
      </c>
      <c r="Q219" s="435">
        <f>IF(I219="",(O219-G219-(O219*0.1425%*0.65)-(O219*0.3%)-S219-T219),0)</f>
        <v/>
      </c>
      <c r="R219" s="435">
        <f>1600+1600+1440+1440+1280+1120+880+400</f>
        <v/>
      </c>
      <c r="S219" s="435" t="n">
        <v>50</v>
      </c>
      <c r="T219" s="435" t="n"/>
      <c r="U219" s="69">
        <f>(V219*50%)/(1+50%*V219)</f>
        <v/>
      </c>
      <c r="V219" s="69" t="n"/>
      <c r="W219" s="70" t="n">
        <v>0.11</v>
      </c>
      <c r="X219" s="436">
        <f>(P219+Q219)/G219</f>
        <v/>
      </c>
      <c r="Y219" s="16">
        <f>VLOOKUP(C219,台股行情!A:D,4,FALSE)</f>
        <v/>
      </c>
      <c r="Z219" s="437">
        <f>VLOOKUP(C219,台股行情!A:E,5,FALSE)</f>
        <v/>
      </c>
      <c r="AA219" s="438">
        <f>IF(I219="",((TODAY()-A219)*G219)/365.24,((I219-A219)*G219)/365.24)</f>
        <v/>
      </c>
      <c r="AB219" s="103" t="inlineStr">
        <is>
          <t>台股 ETF</t>
        </is>
      </c>
    </row>
    <row r="220" outlineLevel="1">
      <c r="A220" s="99" t="n">
        <v>45468</v>
      </c>
      <c r="B220" s="11" t="n"/>
      <c r="C220" s="11" t="n">
        <v>2850</v>
      </c>
      <c r="D220" s="189">
        <f>VLOOKUP(C220,台股行情!A:B,2,FALSE)</f>
        <v/>
      </c>
      <c r="E220" s="11" t="n">
        <v>1000</v>
      </c>
      <c r="F220" s="11" t="n">
        <v>101</v>
      </c>
      <c r="G220" s="11">
        <f>E220*F220</f>
        <v/>
      </c>
      <c r="H220" s="11" t="n">
        <v>143</v>
      </c>
      <c r="I220" s="308" t="n">
        <v>45696</v>
      </c>
      <c r="J220" s="16" t="n">
        <v>102.5</v>
      </c>
      <c r="K220" s="11">
        <f>E220*J220</f>
        <v/>
      </c>
      <c r="L220" s="17" t="n">
        <v>146</v>
      </c>
      <c r="M220" s="11" t="n">
        <v>307</v>
      </c>
      <c r="N220" s="11" t="n">
        <v>0</v>
      </c>
      <c r="O220" s="434">
        <f>IF(I220="",E220*Y220,0)</f>
        <v/>
      </c>
      <c r="P220" s="435">
        <f>IF(I220="",R220-H220,(K220-H220-SUM(L220:N220)+R220-S220-T220)-G220)+(ROUND(R220*V220,0)-ROUND(R220*(1+V220),0)*W220)</f>
        <v/>
      </c>
      <c r="Q220" s="435">
        <f>IF(I220="",(O220-G220-(O220*0.1425%*0.65)-(O220*0.3%)-S220-T220),0)</f>
        <v/>
      </c>
      <c r="R220" s="435" t="n"/>
      <c r="S220" s="435" t="n"/>
      <c r="T220" s="435" t="n"/>
      <c r="U220" s="69">
        <f>(V220*50%)/(1+50%*V220)</f>
        <v/>
      </c>
      <c r="V220" s="69" t="n"/>
      <c r="W220" s="70" t="n">
        <v>0.11</v>
      </c>
      <c r="X220" s="436">
        <f>(P220+Q220)/G220</f>
        <v/>
      </c>
      <c r="Y220" s="16">
        <f>VLOOKUP(C220,台股行情!A:D,4,FALSE)</f>
        <v/>
      </c>
      <c r="Z220" s="437">
        <f>VLOOKUP(C220,台股行情!A:E,5,FALSE)</f>
        <v/>
      </c>
      <c r="AA220" s="438">
        <f>IF(I220="",((TODAY()-A220)*G220)/365.24,((I220-A220)*G220)/365.24)</f>
        <v/>
      </c>
      <c r="AB220" s="103" t="inlineStr">
        <is>
          <t>台股</t>
        </is>
      </c>
    </row>
    <row r="221" outlineLevel="1">
      <c r="A221" s="99" t="n">
        <v>45499</v>
      </c>
      <c r="B221" s="11" t="n"/>
      <c r="C221" s="11" t="n">
        <v>2615</v>
      </c>
      <c r="D221" s="189">
        <f>VLOOKUP(C221,台股行情!A:B,2,FALSE)</f>
        <v/>
      </c>
      <c r="E221" s="11" t="n">
        <v>1000</v>
      </c>
      <c r="F221" s="11" t="n">
        <v>100.5</v>
      </c>
      <c r="G221" s="11">
        <f>E221*F221</f>
        <v/>
      </c>
      <c r="H221" s="11" t="n">
        <v>143</v>
      </c>
      <c r="I221" s="308" t="n">
        <v>45721</v>
      </c>
      <c r="J221" s="16" t="n">
        <v>84.59999999999999</v>
      </c>
      <c r="K221" s="11">
        <f>E221*J221</f>
        <v/>
      </c>
      <c r="L221" s="11" t="n">
        <v>120</v>
      </c>
      <c r="M221" s="11" t="n">
        <v>253</v>
      </c>
      <c r="N221" s="11" t="n">
        <v>0</v>
      </c>
      <c r="O221" s="434">
        <f>IF(I221="",E221*Y221,0)</f>
        <v/>
      </c>
      <c r="P221" s="435">
        <f>IF(I221="",R221-H221,(K221-H221-SUM(L221:N221)+R221-S221-T221)-G221)+(ROUND(R221*V221,0)-ROUND(R221*(1+V221),0)*W221)</f>
        <v/>
      </c>
      <c r="Q221" s="435">
        <f>IF(I221="",(O221-G221-(O221*0.1425%*0.65)-(O221*0.3%)-S221-T221),0)</f>
        <v/>
      </c>
      <c r="R221" s="435" t="n"/>
      <c r="S221" s="435" t="n"/>
      <c r="T221" s="435" t="n"/>
      <c r="U221" s="69">
        <f>(V221*50%)/(1+50%*V221)</f>
        <v/>
      </c>
      <c r="V221" s="69" t="n"/>
      <c r="W221" s="70" t="n">
        <v>0.11</v>
      </c>
      <c r="X221" s="436">
        <f>(P221+Q221)/G221</f>
        <v/>
      </c>
      <c r="Y221" s="16">
        <f>VLOOKUP(C221,台股行情!A:D,4,FALSE)</f>
        <v/>
      </c>
      <c r="Z221" s="437">
        <f>VLOOKUP(C221,台股行情!A:E,5,FALSE)</f>
        <v/>
      </c>
      <c r="AA221" s="438">
        <f>IF(I221="",((TODAY()-A221)*G221)/365.24,((I221-A221)*G221)/365.24)</f>
        <v/>
      </c>
      <c r="AB221" s="103" t="inlineStr">
        <is>
          <t>台股</t>
        </is>
      </c>
    </row>
    <row r="222" outlineLevel="1">
      <c r="A222" s="99" t="n">
        <v>45469</v>
      </c>
      <c r="B222" s="11" t="n"/>
      <c r="C222" s="11" t="n">
        <v>2603</v>
      </c>
      <c r="D222" s="189">
        <f>VLOOKUP(C222,台股行情!A:B,2,FALSE)</f>
        <v/>
      </c>
      <c r="E222" s="11" t="n">
        <v>1000</v>
      </c>
      <c r="F222" s="11" t="n">
        <v>201</v>
      </c>
      <c r="G222" s="11">
        <f>E222*F222</f>
        <v/>
      </c>
      <c r="H222" s="11" t="n">
        <v>286</v>
      </c>
      <c r="I222" s="308" t="n">
        <v>45868</v>
      </c>
      <c r="J222" s="16" t="n">
        <v>200</v>
      </c>
      <c r="K222" s="11">
        <f>E222*J222</f>
        <v/>
      </c>
      <c r="L222" s="11" t="n">
        <v>285</v>
      </c>
      <c r="M222" s="11" t="n">
        <v>600</v>
      </c>
      <c r="N222" s="11" t="n">
        <v>0</v>
      </c>
      <c r="O222" s="434">
        <f>IF(I222="",E222*Y222,0)</f>
        <v/>
      </c>
      <c r="P222" s="435">
        <f>IF(I222="",R222-H222,(K222-H222-SUM(L222:N222)+R222-S222-T222)-G222)+(ROUND(R222*V222,0)-ROUND(R222*(1+V222),0)*W222)</f>
        <v/>
      </c>
      <c r="Q222" s="435">
        <f>IF(I222="",(O222-G222-(O222*0.1425%*0.65)-(O222*0.3%)-S222-T222),0)</f>
        <v/>
      </c>
      <c r="R222" s="435">
        <f>9965+32500</f>
        <v/>
      </c>
      <c r="S222" s="435" t="n">
        <v>20</v>
      </c>
      <c r="T222" s="435" t="n"/>
      <c r="U222" s="69">
        <f>(V222*50%)/(1+50%*V222)</f>
        <v/>
      </c>
      <c r="V222" s="69" t="n"/>
      <c r="W222" s="70" t="n">
        <v>0.11</v>
      </c>
      <c r="X222" s="436">
        <f>(P222+Q222)/G222</f>
        <v/>
      </c>
      <c r="Y222" s="16">
        <f>VLOOKUP(C222,台股行情!A:D,4,FALSE)</f>
        <v/>
      </c>
      <c r="Z222" s="437">
        <f>VLOOKUP(C222,台股行情!A:E,5,FALSE)</f>
        <v/>
      </c>
      <c r="AA222" s="438">
        <f>IF(I222="",((TODAY()-A222)*G222)/365.24,((I222-A222)*G222)/365.24)</f>
        <v/>
      </c>
      <c r="AB222" s="103" t="inlineStr">
        <is>
          <t>台股</t>
        </is>
      </c>
    </row>
    <row r="223" outlineLevel="1">
      <c r="A223" s="99" t="n">
        <v>45463</v>
      </c>
      <c r="B223" s="11" t="n"/>
      <c r="C223" s="11" t="n">
        <v>2382</v>
      </c>
      <c r="D223" s="189">
        <f>VLOOKUP(C223,台股行情!A:B,2,FALSE)</f>
        <v/>
      </c>
      <c r="E223" s="11" t="n">
        <v>1000</v>
      </c>
      <c r="F223" s="11" t="n">
        <v>320</v>
      </c>
      <c r="G223" s="11">
        <f>E223*F223</f>
        <v/>
      </c>
      <c r="H223" s="11" t="n">
        <v>456</v>
      </c>
      <c r="I223" s="308" t="n">
        <v>46090</v>
      </c>
      <c r="J223" s="16" t="n">
        <v>275</v>
      </c>
      <c r="K223" s="11">
        <f>E223*J223</f>
        <v/>
      </c>
      <c r="L223" s="11" t="n">
        <v>391</v>
      </c>
      <c r="M223" s="11" t="n">
        <v>825</v>
      </c>
      <c r="N223" s="11" t="n">
        <v>0</v>
      </c>
      <c r="O223" s="434">
        <f>IF(I223="",E223*Y223,0)</f>
        <v/>
      </c>
      <c r="P223" s="435">
        <f>IF(I223="",R223-H223,(K223-H223-SUM(L223:N223)+R223-S223-T223)-G223)+(ROUND(R223*V223,0)-ROUND(R223*(1+V223),0)*W223)</f>
        <v/>
      </c>
      <c r="Q223" s="435">
        <f>IF(I223="",(O223-G223-(O223*0.1425%*0.65)-(O223*0.3%)-S223-T223),0)</f>
        <v/>
      </c>
      <c r="R223" s="435" t="n">
        <v>13000</v>
      </c>
      <c r="S223" s="435" t="n">
        <v>10</v>
      </c>
      <c r="T223" s="435" t="n"/>
      <c r="U223" s="69">
        <f>(V223*50%)/(1+50%*V223)</f>
        <v/>
      </c>
      <c r="V223" s="69" t="n"/>
      <c r="W223" s="70" t="n">
        <v>0.11</v>
      </c>
      <c r="X223" s="436">
        <f>(P223+Q223)/G223</f>
        <v/>
      </c>
      <c r="Y223" s="16">
        <f>VLOOKUP(C223,台股行情!A:D,4,FALSE)</f>
        <v/>
      </c>
      <c r="Z223" s="437">
        <f>VLOOKUP(C223,台股行情!A:E,5,FALSE)</f>
        <v/>
      </c>
      <c r="AA223" s="438">
        <f>IF(I223="",((TODAY()-A223)*G223)/365.24,((I223-A223)*G223)/365.24)</f>
        <v/>
      </c>
      <c r="AB223" s="103" t="inlineStr">
        <is>
          <t>台股</t>
        </is>
      </c>
    </row>
    <row r="224" outlineLevel="1">
      <c r="A224" s="99" t="n">
        <v>45482</v>
      </c>
      <c r="B224" s="11" t="n"/>
      <c r="C224" s="11" t="n">
        <v>3050</v>
      </c>
      <c r="D224" s="189">
        <f>VLOOKUP(C224,台股行情!A:B,2,FALSE)</f>
        <v/>
      </c>
      <c r="E224" s="11" t="n">
        <v>3000</v>
      </c>
      <c r="F224" s="11" t="n">
        <v>28.7</v>
      </c>
      <c r="G224" s="11">
        <f>E224*F224</f>
        <v/>
      </c>
      <c r="H224" s="11" t="n">
        <v>122</v>
      </c>
      <c r="I224" s="308" t="n">
        <v>46133</v>
      </c>
      <c r="J224" s="16" t="n">
        <v>13.2</v>
      </c>
      <c r="K224" s="11">
        <f>E224*J224</f>
        <v/>
      </c>
      <c r="L224" s="11">
        <f>ROUND(J224*E224*0.1425%,0)</f>
        <v/>
      </c>
      <c r="M224" s="11" t="n">
        <v>118</v>
      </c>
      <c r="N224" s="11" t="n">
        <v>0</v>
      </c>
      <c r="O224" s="434">
        <f>IF(I224="",E224*Y224,0)</f>
        <v/>
      </c>
      <c r="P224" s="435">
        <f>IF(I224="",R224-H224,(K224-H224-SUM(L224:N224)+R224-S224-T224)-G224)+(ROUND(R224*V224,0)-ROUND(R224*(1+V224),0)*W224)</f>
        <v/>
      </c>
      <c r="Q224" s="435">
        <f>IF(I224="",(O224-G224-(O224*0.1425%*0.65)-(O224*0.3%)-S224-T224),0)</f>
        <v/>
      </c>
      <c r="R224" s="435">
        <f>1500+1500</f>
        <v/>
      </c>
      <c r="S224" s="435" t="n">
        <v>20</v>
      </c>
      <c r="T224" s="435">
        <f>IF(ROUND(R224*(1+V224),0)&gt;20000,ROUND(ROUND(R224*(1+V224),0)*2%,0),0)</f>
        <v/>
      </c>
      <c r="U224" s="69">
        <f>(V224*50%)/(1+50%*V224)</f>
        <v/>
      </c>
      <c r="V224" s="69" t="n"/>
      <c r="W224" s="70" t="n">
        <v>0.11</v>
      </c>
      <c r="X224" s="436">
        <f>(P224+Q224)/G224</f>
        <v/>
      </c>
      <c r="Y224" s="16">
        <f>VLOOKUP(C224,台股行情!A:D,4,FALSE)</f>
        <v/>
      </c>
      <c r="Z224" s="437">
        <f>VLOOKUP(C224,台股行情!A:E,5,FALSE)</f>
        <v/>
      </c>
      <c r="AA224" s="438">
        <f>IF(I224="",((TODAY()-A224)*G224)/365.24,((I224-A224)*G224)/365.24)</f>
        <v/>
      </c>
      <c r="AB224" s="103" t="inlineStr">
        <is>
          <t>台股</t>
        </is>
      </c>
    </row>
    <row r="225" outlineLevel="1">
      <c r="A225" s="99" t="n">
        <v>45341</v>
      </c>
      <c r="B225" s="11" t="n"/>
      <c r="C225" s="11" t="n">
        <v>4909</v>
      </c>
      <c r="D225" s="189">
        <f>VLOOKUP(C225,台股行情!A:B,2,FALSE)</f>
        <v/>
      </c>
      <c r="E225" s="11" t="n">
        <v>1000</v>
      </c>
      <c r="F225" s="11" t="n">
        <v>52.2</v>
      </c>
      <c r="G225" s="11">
        <f>E225*F225</f>
        <v/>
      </c>
      <c r="H225" s="11" t="n">
        <v>74</v>
      </c>
      <c r="I225" s="308" t="n">
        <v>46134</v>
      </c>
      <c r="J225" s="16" t="n">
        <v>64.09999999999999</v>
      </c>
      <c r="K225" s="11">
        <f>E225*J225</f>
        <v/>
      </c>
      <c r="L225" s="11">
        <f>ROUND(J225*E225*0.1425%,0)</f>
        <v/>
      </c>
      <c r="M225" s="11">
        <f>ROUND(J225*E225*0.3%,0)</f>
        <v/>
      </c>
      <c r="N225" s="11" t="n">
        <v>0</v>
      </c>
      <c r="O225" s="434">
        <f>IF(I225="",E225*Y225,0)</f>
        <v/>
      </c>
      <c r="P225" s="435">
        <f>IF(I225="",R225-H225,(K225-H225-SUM(L225:N225)+R225-S225-T225)-G225)+(ROUND(R225*V225,0)-ROUND(R225*(1+V225),0)*W225)</f>
        <v/>
      </c>
      <c r="Q225" s="435">
        <f>IF(I225="",(O225-G225-(O225*0.1425%*0.65)-(O225*0.3%)-S225-T225),0)</f>
        <v/>
      </c>
      <c r="R225" s="435">
        <f>500+6000</f>
        <v/>
      </c>
      <c r="S225" s="435" t="n">
        <v>20</v>
      </c>
      <c r="T225" s="435">
        <f>IF(ROUND(R225*(1+V225),0)&gt;20000,ROUND(ROUND(R225*(1+V225),0)*2%,0),0)</f>
        <v/>
      </c>
      <c r="U225" s="69">
        <f>(V225*50%)/(1+50%*V225)</f>
        <v/>
      </c>
      <c r="V225" s="69" t="n"/>
      <c r="W225" s="70" t="n">
        <v>0.11</v>
      </c>
      <c r="X225" s="436">
        <f>(P225+Q225)/G225</f>
        <v/>
      </c>
      <c r="Y225" s="16">
        <f>VLOOKUP(C225,台股行情!A:D,4,FALSE)</f>
        <v/>
      </c>
      <c r="Z225" s="437">
        <f>VLOOKUP(C225,台股行情!A:E,5,FALSE)</f>
        <v/>
      </c>
      <c r="AA225" s="438">
        <f>IF(I225="",((TODAY()-A225)*G225)/365.24,((I225-A225)*G225)/365.24)</f>
        <v/>
      </c>
      <c r="AB225" s="103" t="inlineStr">
        <is>
          <t>台股</t>
        </is>
      </c>
    </row>
    <row r="226" collapsed="1">
      <c r="A226" s="99" t="n">
        <v>45695</v>
      </c>
      <c r="B226" s="11" t="n"/>
      <c r="C226" s="11" t="n">
        <v>6438</v>
      </c>
      <c r="D226" s="189" t="inlineStr">
        <is>
          <t>迅得</t>
        </is>
      </c>
      <c r="E226" s="11" t="n">
        <v>1000</v>
      </c>
      <c r="F226" s="11" t="n">
        <v>248.5</v>
      </c>
      <c r="G226" s="11" t="n">
        <v>248500</v>
      </c>
      <c r="H226" s="11" t="n">
        <v>354</v>
      </c>
      <c r="I226" s="104" t="n">
        <v>45702</v>
      </c>
      <c r="J226" s="16" t="n">
        <v>216.5</v>
      </c>
      <c r="K226" s="11" t="n">
        <v>216500</v>
      </c>
      <c r="L226" s="11" t="n">
        <v>308</v>
      </c>
      <c r="M226" s="11" t="n">
        <v>649</v>
      </c>
      <c r="N226" s="11" t="n">
        <v>0</v>
      </c>
      <c r="O226" s="434" t="n">
        <v>0</v>
      </c>
      <c r="P226" s="435" t="n">
        <v>-33311</v>
      </c>
      <c r="Q226" s="435" t="n">
        <v>0</v>
      </c>
      <c r="R226" s="435" t="n"/>
      <c r="S226" s="435" t="n"/>
      <c r="T226" s="435" t="n"/>
      <c r="U226" s="69" t="n">
        <v>0</v>
      </c>
      <c r="V226" s="69" t="n"/>
      <c r="W226" s="70" t="n">
        <v>0.11</v>
      </c>
      <c r="X226" s="436" t="n">
        <v>-0.1340482897384306</v>
      </c>
      <c r="Y226" s="16">
        <f>VLOOKUP(C226,台股行情!A:D,4,FALSE)</f>
        <v/>
      </c>
      <c r="Z226" s="437">
        <f>VLOOKUP(C226,台股行情!A:E,5,FALSE)</f>
        <v/>
      </c>
      <c r="AA226" s="438">
        <f>IF(I226="",((TODAY()-A226)*G226)/365.24,((I226-A226)*G226)/365.24)</f>
        <v/>
      </c>
      <c r="AB226" s="103" t="inlineStr">
        <is>
          <t>台股</t>
        </is>
      </c>
    </row>
    <row r="227" hidden="1" outlineLevel="1">
      <c r="A227" s="99" t="n">
        <v>45696</v>
      </c>
      <c r="B227" s="11" t="n"/>
      <c r="C227" s="11" t="n">
        <v>6245</v>
      </c>
      <c r="D227" s="189" t="inlineStr">
        <is>
          <t>立端</t>
        </is>
      </c>
      <c r="E227" s="11" t="n">
        <v>1000</v>
      </c>
      <c r="F227" s="11" t="n">
        <v>114</v>
      </c>
      <c r="G227" s="11" t="n">
        <v>114000</v>
      </c>
      <c r="H227" s="11" t="n">
        <v>162</v>
      </c>
      <c r="I227" s="104" t="n">
        <v>45705</v>
      </c>
      <c r="J227" s="16" t="n">
        <v>108.5</v>
      </c>
      <c r="K227" s="11" t="n">
        <v>108500</v>
      </c>
      <c r="L227" s="11" t="n">
        <v>154</v>
      </c>
      <c r="M227" s="11" t="n">
        <v>325</v>
      </c>
      <c r="N227" s="11" t="n">
        <v>0</v>
      </c>
      <c r="O227" s="434" t="n">
        <v>0</v>
      </c>
      <c r="P227" s="435" t="n">
        <v>-6141</v>
      </c>
      <c r="Q227" s="435" t="n">
        <v>0</v>
      </c>
      <c r="R227" s="435" t="n"/>
      <c r="S227" s="435" t="n"/>
      <c r="T227" s="435" t="n"/>
      <c r="U227" s="69" t="n">
        <v>0</v>
      </c>
      <c r="V227" s="69" t="n"/>
      <c r="W227" s="70" t="n">
        <v>0.11</v>
      </c>
      <c r="X227" s="436" t="n">
        <v>-0.05386842105263158</v>
      </c>
      <c r="Y227" s="16">
        <f>VLOOKUP(C227,台股行情!A:D,4,FALSE)</f>
        <v/>
      </c>
      <c r="Z227" s="437">
        <f>VLOOKUP(C227,台股行情!A:E,5,FALSE)</f>
        <v/>
      </c>
      <c r="AA227" s="438">
        <f>IF(I227="",((TODAY()-A227)*G227)/365.24,((I227-A227)*G227)/365.24)</f>
        <v/>
      </c>
      <c r="AB227" s="103" t="inlineStr">
        <is>
          <t>台股</t>
        </is>
      </c>
    </row>
    <row r="228" hidden="1" outlineLevel="1">
      <c r="A228" s="99" t="n">
        <v>45707</v>
      </c>
      <c r="B228" s="11" t="n"/>
      <c r="C228" s="11" t="n">
        <v>2377</v>
      </c>
      <c r="D228" s="189" t="inlineStr">
        <is>
          <t>微星</t>
        </is>
      </c>
      <c r="E228" s="11" t="n">
        <v>1000</v>
      </c>
      <c r="F228" s="11" t="n">
        <v>202.5</v>
      </c>
      <c r="G228" s="11" t="n">
        <v>202500</v>
      </c>
      <c r="H228" s="11" t="n">
        <v>288</v>
      </c>
      <c r="I228" s="104" t="n">
        <v>45713</v>
      </c>
      <c r="J228" s="16" t="n">
        <v>195</v>
      </c>
      <c r="K228" s="11" t="n">
        <v>195000</v>
      </c>
      <c r="L228" s="11" t="n">
        <v>277</v>
      </c>
      <c r="M228" s="11" t="n">
        <v>585</v>
      </c>
      <c r="N228" s="11" t="n">
        <v>0</v>
      </c>
      <c r="O228" s="434" t="n">
        <v>0</v>
      </c>
      <c r="P228" s="435" t="n">
        <v>-8650</v>
      </c>
      <c r="Q228" s="435" t="n">
        <v>0</v>
      </c>
      <c r="R228" s="435" t="n"/>
      <c r="S228" s="435" t="n"/>
      <c r="T228" s="435" t="n"/>
      <c r="U228" s="69" t="n">
        <v>0</v>
      </c>
      <c r="V228" s="69" t="n"/>
      <c r="W228" s="70" t="n">
        <v>0.11</v>
      </c>
      <c r="X228" s="436" t="n">
        <v>-0.04271604938271605</v>
      </c>
      <c r="Y228" s="16">
        <f>VLOOKUP(C228,台股行情!A:D,4,FALSE)</f>
        <v/>
      </c>
      <c r="Z228" s="437">
        <f>VLOOKUP(C228,台股行情!A:E,5,FALSE)</f>
        <v/>
      </c>
      <c r="AA228" s="438">
        <f>IF(I228="",((TODAY()-A228)*G228)/365.24,((I228-A228)*G228)/365.24)</f>
        <v/>
      </c>
      <c r="AB228" s="103" t="inlineStr">
        <is>
          <t>台股</t>
        </is>
      </c>
    </row>
    <row r="229" hidden="1" outlineLevel="1">
      <c r="A229" s="99" t="n">
        <v>45702</v>
      </c>
      <c r="B229" s="11" t="n"/>
      <c r="C229" s="11" t="n">
        <v>2301</v>
      </c>
      <c r="D229" s="189" t="inlineStr">
        <is>
          <t>光寶科</t>
        </is>
      </c>
      <c r="E229" s="11" t="n">
        <v>1000</v>
      </c>
      <c r="F229" s="11" t="n">
        <v>110</v>
      </c>
      <c r="G229" s="11" t="n">
        <v>110000</v>
      </c>
      <c r="H229" s="11" t="n">
        <v>156</v>
      </c>
      <c r="I229" s="104" t="n">
        <v>45715</v>
      </c>
      <c r="J229" s="16" t="n">
        <v>110</v>
      </c>
      <c r="K229" s="11" t="n">
        <v>110000</v>
      </c>
      <c r="L229" s="11" t="n">
        <v>156</v>
      </c>
      <c r="M229" s="11" t="n">
        <v>330</v>
      </c>
      <c r="N229" s="11" t="n">
        <v>0</v>
      </c>
      <c r="O229" s="434" t="n">
        <v>0</v>
      </c>
      <c r="P229" s="435" t="n">
        <v>-642</v>
      </c>
      <c r="Q229" s="435" t="n">
        <v>0</v>
      </c>
      <c r="R229" s="435" t="n"/>
      <c r="S229" s="435" t="n"/>
      <c r="T229" s="435" t="n"/>
      <c r="U229" s="69" t="n">
        <v>0</v>
      </c>
      <c r="V229" s="69" t="n"/>
      <c r="W229" s="70" t="n">
        <v>0.11</v>
      </c>
      <c r="X229" s="436" t="n">
        <v>-0.005836363636363636</v>
      </c>
      <c r="Y229" s="16">
        <f>VLOOKUP(C229,台股行情!A:D,4,FALSE)</f>
        <v/>
      </c>
      <c r="Z229" s="437">
        <f>VLOOKUP(C229,台股行情!A:E,5,FALSE)</f>
        <v/>
      </c>
      <c r="AA229" s="438">
        <f>IF(I229="",((TODAY()-A229)*G229)/365.24,((I229-A229)*G229)/365.24)</f>
        <v/>
      </c>
      <c r="AB229" s="103" t="inlineStr">
        <is>
          <t>台股</t>
        </is>
      </c>
    </row>
    <row r="230" hidden="1" outlineLevel="1">
      <c r="A230" s="99" t="n">
        <v>45696</v>
      </c>
      <c r="B230" s="11" t="n"/>
      <c r="C230" s="11" t="n">
        <v>6206</v>
      </c>
      <c r="D230" s="189" t="inlineStr">
        <is>
          <t>元大上證50</t>
        </is>
      </c>
      <c r="E230" s="11" t="n">
        <v>1000</v>
      </c>
      <c r="F230" s="11" t="n">
        <v>117</v>
      </c>
      <c r="G230" s="11" t="n">
        <v>117000</v>
      </c>
      <c r="H230" s="11" t="n">
        <v>166</v>
      </c>
      <c r="I230" s="104" t="n">
        <v>45715</v>
      </c>
      <c r="J230" s="16" t="n">
        <v>162.5</v>
      </c>
      <c r="K230" s="11" t="n">
        <v>162500</v>
      </c>
      <c r="L230" s="11" t="n">
        <v>231</v>
      </c>
      <c r="M230" s="11" t="n">
        <v>487</v>
      </c>
      <c r="N230" s="11" t="n">
        <v>0</v>
      </c>
      <c r="O230" s="434" t="n">
        <v>0</v>
      </c>
      <c r="P230" s="435" t="n">
        <v>44616</v>
      </c>
      <c r="Q230" s="435" t="n">
        <v>0</v>
      </c>
      <c r="R230" s="435" t="n"/>
      <c r="S230" s="435" t="n"/>
      <c r="T230" s="435" t="n"/>
      <c r="U230" s="69" t="n">
        <v>0</v>
      </c>
      <c r="V230" s="69" t="n"/>
      <c r="W230" s="70" t="n">
        <v>0.11</v>
      </c>
      <c r="X230" s="436" t="n">
        <v>0.3813333333333334</v>
      </c>
      <c r="Y230" s="16">
        <f>VLOOKUP(C230,台股行情!A:D,4,FALSE)</f>
        <v/>
      </c>
      <c r="Z230" s="437">
        <f>VLOOKUP(C230,台股行情!A:E,5,FALSE)</f>
        <v/>
      </c>
      <c r="AA230" s="438">
        <f>IF(I230="",((TODAY()-A230)*G230)/365.24,((I230-A230)*G230)/365.24)</f>
        <v/>
      </c>
      <c r="AB230" s="103" t="inlineStr">
        <is>
          <t>台股</t>
        </is>
      </c>
    </row>
    <row r="231" hidden="1" outlineLevel="1">
      <c r="A231" s="99" t="n">
        <v>45702</v>
      </c>
      <c r="B231" s="11" t="n"/>
      <c r="C231" s="11" t="n">
        <v>1605</v>
      </c>
      <c r="D231" s="189" t="inlineStr">
        <is>
          <t>華新</t>
        </is>
      </c>
      <c r="E231" s="11" t="n">
        <v>1000</v>
      </c>
      <c r="F231" s="11" t="n">
        <v>26.85</v>
      </c>
      <c r="G231" s="11" t="n">
        <v>26850</v>
      </c>
      <c r="H231" s="11" t="n">
        <v>38</v>
      </c>
      <c r="I231" s="104" t="n">
        <v>45720</v>
      </c>
      <c r="J231" s="16" t="n">
        <v>27.6</v>
      </c>
      <c r="K231" s="11" t="n">
        <v>27600</v>
      </c>
      <c r="L231" s="11" t="n">
        <v>39</v>
      </c>
      <c r="M231" s="11" t="n">
        <v>83</v>
      </c>
      <c r="N231" s="11" t="n">
        <v>0</v>
      </c>
      <c r="O231" s="434" t="n">
        <v>0</v>
      </c>
      <c r="P231" s="435" t="n">
        <v>590</v>
      </c>
      <c r="Q231" s="435" t="n">
        <v>0</v>
      </c>
      <c r="R231" s="435" t="n"/>
      <c r="S231" s="435" t="n"/>
      <c r="T231" s="435" t="n"/>
      <c r="U231" s="69" t="n">
        <v>0</v>
      </c>
      <c r="V231" s="69" t="n"/>
      <c r="W231" s="70" t="n">
        <v>0.11</v>
      </c>
      <c r="X231" s="436" t="n">
        <v>0.02197392923649907</v>
      </c>
      <c r="Y231" s="16">
        <f>VLOOKUP(C231,台股行情!A:D,4,FALSE)</f>
        <v/>
      </c>
      <c r="Z231" s="437">
        <f>VLOOKUP(C231,台股行情!A:E,5,FALSE)</f>
        <v/>
      </c>
      <c r="AA231" s="438">
        <f>IF(I231="",((TODAY()-A231)*G231)/365.24,((I231-A231)*G231)/365.24)</f>
        <v/>
      </c>
      <c r="AB231" s="103" t="inlineStr">
        <is>
          <t>台股</t>
        </is>
      </c>
    </row>
    <row r="232" hidden="1" outlineLevel="1">
      <c r="A232" s="99" t="n">
        <v>45702</v>
      </c>
      <c r="B232" s="11" t="n"/>
      <c r="C232" s="11" t="n">
        <v>1605</v>
      </c>
      <c r="D232" s="189" t="inlineStr">
        <is>
          <t>華新</t>
        </is>
      </c>
      <c r="E232" s="11" t="n">
        <v>1000</v>
      </c>
      <c r="F232" s="11" t="n">
        <v>26.75</v>
      </c>
      <c r="G232" s="11" t="n">
        <v>26750</v>
      </c>
      <c r="H232" s="11" t="n">
        <v>38</v>
      </c>
      <c r="I232" s="104" t="n">
        <v>45720</v>
      </c>
      <c r="J232" s="16" t="n">
        <v>27.6</v>
      </c>
      <c r="K232" s="11" t="n">
        <v>27600</v>
      </c>
      <c r="L232" s="11" t="n">
        <v>39</v>
      </c>
      <c r="M232" s="11" t="n">
        <v>82</v>
      </c>
      <c r="N232" s="11" t="n">
        <v>0</v>
      </c>
      <c r="O232" s="434" t="n">
        <v>0</v>
      </c>
      <c r="P232" s="435" t="n">
        <v>691</v>
      </c>
      <c r="Q232" s="435" t="n">
        <v>0</v>
      </c>
      <c r="R232" s="435" t="n"/>
      <c r="S232" s="435" t="n"/>
      <c r="T232" s="435" t="n"/>
      <c r="U232" s="69" t="n">
        <v>0</v>
      </c>
      <c r="V232" s="69" t="n"/>
      <c r="W232" s="70" t="n">
        <v>0.11</v>
      </c>
      <c r="X232" s="436" t="n">
        <v>0.02583177570093458</v>
      </c>
      <c r="Y232" s="16">
        <f>VLOOKUP(C232,台股行情!A:D,4,FALSE)</f>
        <v/>
      </c>
      <c r="Z232" s="437">
        <f>VLOOKUP(C232,台股行情!A:E,5,FALSE)</f>
        <v/>
      </c>
      <c r="AA232" s="438">
        <f>IF(I232="",((TODAY()-A232)*G232)/365.24,((I232-A232)*G232)/365.24)</f>
        <v/>
      </c>
      <c r="AB232" s="103" t="inlineStr">
        <is>
          <t>台股</t>
        </is>
      </c>
    </row>
    <row r="233" hidden="1" outlineLevel="1">
      <c r="A233" s="99" t="n">
        <v>45706</v>
      </c>
      <c r="B233" s="11" t="n"/>
      <c r="C233" s="11" t="n">
        <v>1536</v>
      </c>
      <c r="D233" s="189" t="inlineStr">
        <is>
          <t>和大</t>
        </is>
      </c>
      <c r="E233" s="11" t="n">
        <v>1000</v>
      </c>
      <c r="F233" s="11" t="n">
        <v>81.40000000000001</v>
      </c>
      <c r="G233" s="11" t="n">
        <v>81400</v>
      </c>
      <c r="H233" s="11" t="n">
        <v>115</v>
      </c>
      <c r="I233" s="104" t="n">
        <v>45720</v>
      </c>
      <c r="J233" s="16" t="n">
        <v>77.90000000000001</v>
      </c>
      <c r="K233" s="11" t="n">
        <v>77900</v>
      </c>
      <c r="L233" s="11" t="n">
        <v>111</v>
      </c>
      <c r="M233" s="11" t="n">
        <v>233</v>
      </c>
      <c r="N233" s="11" t="n">
        <v>0</v>
      </c>
      <c r="O233" s="434" t="n">
        <v>0</v>
      </c>
      <c r="P233" s="435" t="n">
        <v>-3959</v>
      </c>
      <c r="Q233" s="435" t="n">
        <v>0</v>
      </c>
      <c r="R233" s="435" t="n"/>
      <c r="S233" s="435" t="n"/>
      <c r="T233" s="435" t="n"/>
      <c r="U233" s="69" t="n">
        <v>0</v>
      </c>
      <c r="V233" s="69" t="n"/>
      <c r="W233" s="70" t="n">
        <v>0.11</v>
      </c>
      <c r="X233" s="436" t="n">
        <v>-0.04863636363636364</v>
      </c>
      <c r="Y233" s="16">
        <f>VLOOKUP(C233,台股行情!A:D,4,FALSE)</f>
        <v/>
      </c>
      <c r="Z233" s="437">
        <f>VLOOKUP(C233,台股行情!A:E,5,FALSE)</f>
        <v/>
      </c>
      <c r="AA233" s="438">
        <f>IF(I233="",((TODAY()-A233)*G233)/365.24,((I233-A233)*G233)/365.24)</f>
        <v/>
      </c>
      <c r="AB233" s="103" t="inlineStr">
        <is>
          <t>台股</t>
        </is>
      </c>
    </row>
    <row r="234" hidden="1" outlineLevel="1">
      <c r="A234" s="99" t="n">
        <v>45702</v>
      </c>
      <c r="B234" s="11" t="n"/>
      <c r="C234" s="11" t="n">
        <v>2884</v>
      </c>
      <c r="D234" s="189" t="inlineStr">
        <is>
          <t>玉山金</t>
        </is>
      </c>
      <c r="E234" s="11" t="n">
        <v>2000</v>
      </c>
      <c r="F234" s="11" t="n">
        <v>29.1</v>
      </c>
      <c r="G234" s="11" t="n">
        <v>58200</v>
      </c>
      <c r="H234" s="11" t="n">
        <v>82</v>
      </c>
      <c r="I234" s="104" t="n">
        <v>45721</v>
      </c>
      <c r="J234" s="16" t="n">
        <v>29.15</v>
      </c>
      <c r="K234" s="11" t="n">
        <v>58300</v>
      </c>
      <c r="L234" s="11" t="n">
        <v>83</v>
      </c>
      <c r="M234" s="11" t="n">
        <v>174</v>
      </c>
      <c r="N234" s="11" t="n">
        <v>0</v>
      </c>
      <c r="O234" s="434" t="n">
        <v>0</v>
      </c>
      <c r="P234" s="435" t="n">
        <v>-239</v>
      </c>
      <c r="Q234" s="435" t="n">
        <v>0</v>
      </c>
      <c r="R234" s="435" t="n"/>
      <c r="S234" s="435" t="n"/>
      <c r="T234" s="435" t="n"/>
      <c r="U234" s="69" t="n">
        <v>0</v>
      </c>
      <c r="V234" s="69" t="n"/>
      <c r="W234" s="70" t="n">
        <v>0.11</v>
      </c>
      <c r="X234" s="436" t="n">
        <v>-0.004106529209621993</v>
      </c>
      <c r="Y234" s="16">
        <f>VLOOKUP(C234,台股行情!A:D,4,FALSE)</f>
        <v/>
      </c>
      <c r="Z234" s="437">
        <f>VLOOKUP(C234,台股行情!A:E,5,FALSE)</f>
        <v/>
      </c>
      <c r="AA234" s="438">
        <f>IF(I234="",((TODAY()-A234)*G234)/365.24,((I234-A234)*G234)/365.24)</f>
        <v/>
      </c>
      <c r="AB234" s="103" t="inlineStr">
        <is>
          <t>台股</t>
        </is>
      </c>
    </row>
    <row r="235" hidden="1" outlineLevel="1">
      <c r="A235" s="99" t="n">
        <v>45722</v>
      </c>
      <c r="B235" s="11" t="n"/>
      <c r="C235" s="11" t="n">
        <v>6104</v>
      </c>
      <c r="D235" s="189" t="inlineStr">
        <is>
          <t>創惟</t>
        </is>
      </c>
      <c r="E235" s="11" t="n">
        <v>1000</v>
      </c>
      <c r="F235" s="11" t="n">
        <v>177.5</v>
      </c>
      <c r="G235" s="11" t="n">
        <v>177500</v>
      </c>
      <c r="H235" s="11" t="n">
        <v>252</v>
      </c>
      <c r="I235" s="104" t="n">
        <v>45726</v>
      </c>
      <c r="J235" s="16" t="n">
        <v>160.5</v>
      </c>
      <c r="K235" s="11" t="n">
        <v>160500</v>
      </c>
      <c r="L235" s="11" t="n">
        <v>228</v>
      </c>
      <c r="M235" s="11" t="n">
        <v>481</v>
      </c>
      <c r="N235" s="11" t="n">
        <v>0</v>
      </c>
      <c r="O235" s="434" t="n">
        <v>0</v>
      </c>
      <c r="P235" s="435" t="n">
        <v>-17961</v>
      </c>
      <c r="Q235" s="435" t="n">
        <v>0</v>
      </c>
      <c r="R235" s="435" t="n"/>
      <c r="S235" s="435" t="n"/>
      <c r="T235" s="435" t="n"/>
      <c r="U235" s="69" t="n">
        <v>0</v>
      </c>
      <c r="V235" s="69" t="n"/>
      <c r="W235" s="70" t="n">
        <v>0.11</v>
      </c>
      <c r="X235" s="436" t="n">
        <v>-0.1011887323943662</v>
      </c>
      <c r="Y235" s="16">
        <f>VLOOKUP(C235,台股行情!A:D,4,FALSE)</f>
        <v/>
      </c>
      <c r="Z235" s="437">
        <f>VLOOKUP(C235,台股行情!A:E,5,FALSE)</f>
        <v/>
      </c>
      <c r="AA235" s="438">
        <f>IF(I235="",((TODAY()-A235)*G235)/365.24,((I235-A235)*G235)/365.24)</f>
        <v/>
      </c>
      <c r="AB235" s="103" t="inlineStr">
        <is>
          <t>台股</t>
        </is>
      </c>
    </row>
    <row r="236" hidden="1" outlineLevel="1">
      <c r="A236" s="99" t="n">
        <v>45702</v>
      </c>
      <c r="B236" s="11" t="n"/>
      <c r="C236" s="11" t="n">
        <v>2606</v>
      </c>
      <c r="D236" s="189" t="inlineStr">
        <is>
          <t>裕民</t>
        </is>
      </c>
      <c r="E236" s="11" t="n">
        <v>1000</v>
      </c>
      <c r="F236" s="11" t="n">
        <v>69.5</v>
      </c>
      <c r="G236" s="11" t="n">
        <v>69500</v>
      </c>
      <c r="H236" s="11" t="n">
        <v>99</v>
      </c>
      <c r="I236" s="104" t="n">
        <v>45728</v>
      </c>
      <c r="J236" s="16" t="n">
        <v>71.3</v>
      </c>
      <c r="K236" s="11" t="n">
        <v>71300</v>
      </c>
      <c r="L236" s="11" t="n">
        <v>101</v>
      </c>
      <c r="M236" s="11" t="n">
        <v>213</v>
      </c>
      <c r="N236" s="11" t="n">
        <v>0</v>
      </c>
      <c r="O236" s="434" t="n">
        <v>0</v>
      </c>
      <c r="P236" s="435" t="n">
        <v>1387</v>
      </c>
      <c r="Q236" s="435" t="n">
        <v>0</v>
      </c>
      <c r="R236" s="435" t="n"/>
      <c r="S236" s="435" t="n"/>
      <c r="T236" s="435" t="n"/>
      <c r="U236" s="69" t="n">
        <v>0</v>
      </c>
      <c r="V236" s="69" t="n"/>
      <c r="W236" s="70" t="n">
        <v>0.11</v>
      </c>
      <c r="X236" s="436" t="n">
        <v>0.0199568345323741</v>
      </c>
      <c r="Y236" s="16">
        <f>VLOOKUP(C236,台股行情!A:D,4,FALSE)</f>
        <v/>
      </c>
      <c r="Z236" s="437">
        <f>VLOOKUP(C236,台股行情!A:E,5,FALSE)</f>
        <v/>
      </c>
      <c r="AA236" s="438">
        <f>IF(I236="",((TODAY()-A236)*G236)/365.24,((I236-A236)*G236)/365.24)</f>
        <v/>
      </c>
      <c r="AB236" s="103" t="inlineStr">
        <is>
          <t>台股</t>
        </is>
      </c>
    </row>
    <row r="237" hidden="1" outlineLevel="1">
      <c r="A237" s="99" t="n">
        <v>45713</v>
      </c>
      <c r="B237" s="11" t="n"/>
      <c r="C237" s="11" t="n">
        <v>2637</v>
      </c>
      <c r="D237" s="189" t="inlineStr">
        <is>
          <t>慧洋-KY</t>
        </is>
      </c>
      <c r="E237" s="11" t="n">
        <v>1000</v>
      </c>
      <c r="F237" s="11" t="n">
        <v>84.40000000000001</v>
      </c>
      <c r="G237" s="11" t="n">
        <v>84400</v>
      </c>
      <c r="H237" s="11" t="n">
        <v>120</v>
      </c>
      <c r="I237" s="104" t="n">
        <v>45728</v>
      </c>
      <c r="J237" s="16" t="n">
        <v>82.8</v>
      </c>
      <c r="K237" s="11" t="n">
        <v>82800</v>
      </c>
      <c r="L237" s="11" t="n">
        <v>117</v>
      </c>
      <c r="M237" s="11" t="n">
        <v>248</v>
      </c>
      <c r="N237" s="11" t="n">
        <v>0</v>
      </c>
      <c r="O237" s="434" t="n">
        <v>0</v>
      </c>
      <c r="P237" s="435" t="n">
        <v>-2085</v>
      </c>
      <c r="Q237" s="435" t="n">
        <v>0</v>
      </c>
      <c r="R237" s="435" t="n"/>
      <c r="S237" s="435" t="n"/>
      <c r="T237" s="435" t="n"/>
      <c r="U237" s="69" t="n">
        <v>0</v>
      </c>
      <c r="V237" s="69" t="n"/>
      <c r="W237" s="70" t="n">
        <v>0.11</v>
      </c>
      <c r="X237" s="436" t="n">
        <v>-0.02470379146919431</v>
      </c>
      <c r="Y237" s="16">
        <f>VLOOKUP(C237,台股行情!A:D,4,FALSE)</f>
        <v/>
      </c>
      <c r="Z237" s="437">
        <f>VLOOKUP(C237,台股行情!A:E,5,FALSE)</f>
        <v/>
      </c>
      <c r="AA237" s="438">
        <f>IF(I237="",((TODAY()-A237)*G237)/365.24,((I237-A237)*G237)/365.24)</f>
        <v/>
      </c>
      <c r="AB237" s="103" t="inlineStr">
        <is>
          <t>台股</t>
        </is>
      </c>
    </row>
    <row r="238" hidden="1" outlineLevel="1">
      <c r="A238" s="99" t="n">
        <v>45722</v>
      </c>
      <c r="B238" s="11" t="n"/>
      <c r="C238" s="11" t="n">
        <v>2014</v>
      </c>
      <c r="D238" s="189" t="inlineStr">
        <is>
          <t>中鴻</t>
        </is>
      </c>
      <c r="E238" s="11" t="n">
        <v>2000</v>
      </c>
      <c r="F238" s="11" t="n">
        <v>24.9</v>
      </c>
      <c r="G238" s="11" t="n">
        <v>49800</v>
      </c>
      <c r="H238" s="11" t="n">
        <v>70</v>
      </c>
      <c r="I238" s="104" t="n">
        <v>45729</v>
      </c>
      <c r="J238" s="16" t="n">
        <v>24.2</v>
      </c>
      <c r="K238" s="11" t="n">
        <v>48400</v>
      </c>
      <c r="L238" s="11" t="n">
        <v>68</v>
      </c>
      <c r="M238" s="11" t="n">
        <v>145</v>
      </c>
      <c r="N238" s="11" t="n">
        <v>0</v>
      </c>
      <c r="O238" s="434" t="n">
        <v>0</v>
      </c>
      <c r="P238" s="435" t="n">
        <v>-1683</v>
      </c>
      <c r="Q238" s="435" t="n">
        <v>0</v>
      </c>
      <c r="R238" s="435" t="n"/>
      <c r="S238" s="435" t="n"/>
      <c r="T238" s="435" t="n"/>
      <c r="U238" s="69" t="n">
        <v>0</v>
      </c>
      <c r="V238" s="69" t="n"/>
      <c r="W238" s="70" t="n">
        <v>0.11</v>
      </c>
      <c r="X238" s="436" t="n">
        <v>-0.03379518072289157</v>
      </c>
      <c r="Y238" s="16">
        <f>VLOOKUP(C238,台股行情!A:D,4,FALSE)</f>
        <v/>
      </c>
      <c r="Z238" s="437">
        <f>VLOOKUP(C238,台股行情!A:E,5,FALSE)</f>
        <v/>
      </c>
      <c r="AA238" s="438">
        <f>IF(I238="",((TODAY()-A238)*G238)/365.24,((I238-A238)*G238)/365.24)</f>
        <v/>
      </c>
      <c r="AB238" s="103" t="inlineStr">
        <is>
          <t>台股</t>
        </is>
      </c>
    </row>
    <row r="239" hidden="1" outlineLevel="1">
      <c r="A239" s="99" t="n">
        <v>45713</v>
      </c>
      <c r="B239" s="11" t="n"/>
      <c r="C239" s="11" t="n">
        <v>9958</v>
      </c>
      <c r="D239" s="189" t="inlineStr">
        <is>
          <t>世紀鋼</t>
        </is>
      </c>
      <c r="E239" s="11" t="n">
        <v>1000</v>
      </c>
      <c r="F239" s="11" t="n">
        <v>187</v>
      </c>
      <c r="G239" s="11" t="n">
        <v>187000</v>
      </c>
      <c r="H239" s="11" t="n">
        <v>266</v>
      </c>
      <c r="I239" s="104" t="n">
        <v>45742</v>
      </c>
      <c r="J239" s="16" t="n">
        <v>184.5</v>
      </c>
      <c r="K239" s="11" t="n">
        <v>184500</v>
      </c>
      <c r="L239" s="11" t="n">
        <v>262</v>
      </c>
      <c r="M239" s="11" t="n">
        <v>553</v>
      </c>
      <c r="N239" s="11" t="n">
        <v>0</v>
      </c>
      <c r="O239" s="434" t="n">
        <v>0</v>
      </c>
      <c r="P239" s="435" t="n">
        <v>-3581</v>
      </c>
      <c r="Q239" s="435" t="n">
        <v>0</v>
      </c>
      <c r="R239" s="435" t="n"/>
      <c r="S239" s="435" t="n"/>
      <c r="T239" s="435" t="n"/>
      <c r="U239" s="69" t="n">
        <v>0</v>
      </c>
      <c r="V239" s="69" t="n"/>
      <c r="W239" s="70" t="n">
        <v>0.11</v>
      </c>
      <c r="X239" s="436" t="n">
        <v>-0.01914973262032086</v>
      </c>
      <c r="Y239" s="16">
        <f>VLOOKUP(C239,台股行情!A:D,4,FALSE)</f>
        <v/>
      </c>
      <c r="Z239" s="437">
        <f>VLOOKUP(C239,台股行情!A:E,5,FALSE)</f>
        <v/>
      </c>
      <c r="AA239" s="438">
        <f>IF(I239="",((TODAY()-A239)*G239)/365.24,((I239-A239)*G239)/365.24)</f>
        <v/>
      </c>
      <c r="AB239" s="103" t="inlineStr">
        <is>
          <t>台股</t>
        </is>
      </c>
    </row>
    <row r="240" hidden="1" outlineLevel="1">
      <c r="A240" s="99" t="n">
        <v>45835</v>
      </c>
      <c r="B240" s="11" t="n"/>
      <c r="C240" s="11" t="n">
        <v>3265</v>
      </c>
      <c r="D240" s="189" t="inlineStr">
        <is>
          <t>台星科</t>
        </is>
      </c>
      <c r="E240" s="11" t="n">
        <v>1000</v>
      </c>
      <c r="F240" s="11" t="n">
        <v>100.5</v>
      </c>
      <c r="G240" s="11" t="n">
        <v>100500</v>
      </c>
      <c r="H240" s="11" t="n">
        <v>143</v>
      </c>
      <c r="I240" s="104" t="n">
        <v>45855</v>
      </c>
      <c r="J240" s="16" t="n">
        <v>102.5</v>
      </c>
      <c r="K240" s="11" t="n">
        <v>102500</v>
      </c>
      <c r="L240" s="11" t="n">
        <v>146</v>
      </c>
      <c r="M240" s="11" t="n">
        <v>307</v>
      </c>
      <c r="N240" s="11" t="n">
        <v>0</v>
      </c>
      <c r="O240" s="434" t="n">
        <v>0</v>
      </c>
      <c r="P240" s="435" t="n">
        <v>5488</v>
      </c>
      <c r="Q240" s="435" t="n">
        <v>0</v>
      </c>
      <c r="R240" s="435" t="n">
        <v>4600</v>
      </c>
      <c r="S240" s="435" t="n">
        <v>10</v>
      </c>
      <c r="T240" s="435" t="n"/>
      <c r="U240" s="69" t="n">
        <v>0</v>
      </c>
      <c r="V240" s="69" t="n"/>
      <c r="W240" s="70" t="n">
        <v>0.11</v>
      </c>
      <c r="X240" s="436" t="n">
        <v>0.05460696517412935</v>
      </c>
      <c r="Y240" s="16">
        <f>VLOOKUP(C240,台股行情!A:D,4,FALSE)</f>
        <v/>
      </c>
      <c r="Z240" s="437">
        <f>VLOOKUP(C240,台股行情!A:E,5,FALSE)</f>
        <v/>
      </c>
      <c r="AA240" s="438">
        <f>IF(I240="",((TODAY()-A240)*G240)/365.24,((I240-A240)*G240)/365.24)</f>
        <v/>
      </c>
      <c r="AB240" s="103" t="inlineStr">
        <is>
          <t>台股</t>
        </is>
      </c>
    </row>
    <row r="241" hidden="1" outlineLevel="1">
      <c r="A241" s="99" t="n">
        <v>45835</v>
      </c>
      <c r="B241" s="11" t="n"/>
      <c r="C241" s="11" t="n">
        <v>2317</v>
      </c>
      <c r="D241" s="189" t="inlineStr">
        <is>
          <t>鴻海</t>
        </is>
      </c>
      <c r="E241" s="11" t="n">
        <v>1000</v>
      </c>
      <c r="F241" s="11" t="n">
        <v>164.5</v>
      </c>
      <c r="G241" s="11" t="n">
        <v>164500</v>
      </c>
      <c r="H241" s="11" t="n">
        <v>234</v>
      </c>
      <c r="I241" s="104" t="n">
        <v>228482</v>
      </c>
      <c r="J241" s="16" t="n">
        <v>165.5</v>
      </c>
      <c r="K241" s="11" t="n">
        <v>165500</v>
      </c>
      <c r="L241" s="11" t="n">
        <v>235</v>
      </c>
      <c r="M241" s="11" t="n">
        <v>496</v>
      </c>
      <c r="N241" s="11" t="n">
        <v>0</v>
      </c>
      <c r="O241" s="434" t="n">
        <v>0</v>
      </c>
      <c r="P241" s="435" t="n">
        <v>5187</v>
      </c>
      <c r="Q241" s="435" t="n">
        <v>0</v>
      </c>
      <c r="R241" s="435" t="n">
        <v>5800</v>
      </c>
      <c r="S241" s="435" t="n">
        <v>10</v>
      </c>
      <c r="T241" s="435" t="n"/>
      <c r="U241" s="69" t="n">
        <v>0</v>
      </c>
      <c r="V241" s="69" t="n"/>
      <c r="W241" s="70" t="n">
        <v>0.11</v>
      </c>
      <c r="X241" s="436" t="n">
        <v>0.03153191489361702</v>
      </c>
      <c r="Y241" s="16">
        <f>VLOOKUP(C241,台股行情!A:D,4,FALSE)</f>
        <v/>
      </c>
      <c r="Z241" s="437">
        <f>VLOOKUP(C241,台股行情!A:E,5,FALSE)</f>
        <v/>
      </c>
      <c r="AA241" s="438">
        <f>IF(I241="",((TODAY()-A241)*G241)/365.24,((I241-A241)*G241)/365.24)</f>
        <v/>
      </c>
      <c r="AB241" s="103" t="inlineStr">
        <is>
          <t>台股</t>
        </is>
      </c>
    </row>
    <row r="242" hidden="1" outlineLevel="1">
      <c r="A242" s="99" t="n">
        <v>45835</v>
      </c>
      <c r="B242" s="11" t="n"/>
      <c r="C242" s="11" t="n">
        <v>9935</v>
      </c>
      <c r="D242" s="189" t="inlineStr">
        <is>
          <t>慶豐富</t>
        </is>
      </c>
      <c r="E242" s="11" t="n">
        <v>2000</v>
      </c>
      <c r="F242" s="11" t="n">
        <v>23.95</v>
      </c>
      <c r="G242" s="11" t="n">
        <v>47900</v>
      </c>
      <c r="H242" s="11" t="n">
        <v>68</v>
      </c>
      <c r="I242" s="104" t="n">
        <v>45862</v>
      </c>
      <c r="J242" s="16" t="n">
        <v>20.75</v>
      </c>
      <c r="K242" s="11" t="n">
        <v>41500</v>
      </c>
      <c r="L242" s="11" t="n">
        <v>59</v>
      </c>
      <c r="M242" s="11" t="n">
        <v>124</v>
      </c>
      <c r="N242" s="11" t="n">
        <v>0</v>
      </c>
      <c r="O242" s="434" t="n">
        <v>0</v>
      </c>
      <c r="P242" s="435" t="n">
        <v>-3457</v>
      </c>
      <c r="Q242" s="435" t="n">
        <v>0</v>
      </c>
      <c r="R242" s="435" t="n">
        <v>3600</v>
      </c>
      <c r="S242" s="435" t="n">
        <v>10</v>
      </c>
      <c r="T242" s="435" t="n"/>
      <c r="U242" s="69" t="n">
        <v>0</v>
      </c>
      <c r="V242" s="69" t="n"/>
      <c r="W242" s="70" t="n">
        <v>0.11</v>
      </c>
      <c r="X242" s="436" t="n">
        <v>-0.07217118997912317</v>
      </c>
      <c r="Y242" s="16">
        <f>VLOOKUP(C242,台股行情!A:D,4,FALSE)</f>
        <v/>
      </c>
      <c r="Z242" s="437">
        <f>VLOOKUP(C242,台股行情!A:E,5,FALSE)</f>
        <v/>
      </c>
      <c r="AA242" s="438">
        <f>IF(I242="",((TODAY()-A242)*G242)/365.24,((I242-A242)*G242)/365.24)</f>
        <v/>
      </c>
      <c r="AB242" s="103" t="inlineStr">
        <is>
          <t>台股</t>
        </is>
      </c>
    </row>
    <row r="243" hidden="1" outlineLevel="1">
      <c r="A243" s="99" t="n">
        <v>45747</v>
      </c>
      <c r="B243" s="11" t="n"/>
      <c r="C243" s="11" t="n">
        <v>3661</v>
      </c>
      <c r="D243" s="189" t="inlineStr">
        <is>
          <t>世芯-KY</t>
        </is>
      </c>
      <c r="E243" s="11" t="n">
        <v>10</v>
      </c>
      <c r="F243" s="11" t="n">
        <v>2840</v>
      </c>
      <c r="G243" s="11" t="n">
        <v>28400</v>
      </c>
      <c r="H243" s="11" t="n">
        <v>40</v>
      </c>
      <c r="I243" s="104" t="n">
        <v>45863</v>
      </c>
      <c r="J243" s="16" t="n">
        <v>3945</v>
      </c>
      <c r="K243" s="11" t="n">
        <v>39450</v>
      </c>
      <c r="L243" s="11" t="n">
        <v>56</v>
      </c>
      <c r="M243" s="11" t="n">
        <v>118</v>
      </c>
      <c r="N243" s="11" t="n">
        <v>0</v>
      </c>
      <c r="O243" s="434" t="n">
        <v>0</v>
      </c>
      <c r="P243" s="435" t="n">
        <v>10836</v>
      </c>
      <c r="Q243" s="435" t="n">
        <v>0</v>
      </c>
      <c r="R243" s="435" t="n"/>
      <c r="S243" s="435" t="n"/>
      <c r="T243" s="435" t="n"/>
      <c r="U243" s="69" t="n">
        <v>0</v>
      </c>
      <c r="V243" s="69" t="n"/>
      <c r="W243" s="70" t="n">
        <v>0.11</v>
      </c>
      <c r="X243" s="436" t="n">
        <v>0.3815492957746479</v>
      </c>
      <c r="Y243" s="16">
        <f>VLOOKUP(C243,台股行情!A:D,4,FALSE)</f>
        <v/>
      </c>
      <c r="Z243" s="437">
        <f>VLOOKUP(C243,台股行情!A:E,5,FALSE)</f>
        <v/>
      </c>
      <c r="AA243" s="438">
        <f>IF(I243="",((TODAY()-A243)*G243)/365.24,((I243-A243)*G243)/365.24)</f>
        <v/>
      </c>
      <c r="AB243" s="103" t="inlineStr">
        <is>
          <t>台股</t>
        </is>
      </c>
    </row>
    <row r="244" hidden="1" outlineLevel="1">
      <c r="A244" s="99" t="n">
        <v>45849</v>
      </c>
      <c r="B244" s="11" t="n"/>
      <c r="C244" s="11" t="n">
        <v>2355</v>
      </c>
      <c r="D244" s="189" t="inlineStr">
        <is>
          <t>敬鵬</t>
        </is>
      </c>
      <c r="E244" s="11" t="n">
        <v>2000</v>
      </c>
      <c r="F244" s="11" t="n">
        <v>32.35</v>
      </c>
      <c r="G244" s="11" t="n">
        <v>64700</v>
      </c>
      <c r="H244" s="11" t="n">
        <v>92</v>
      </c>
      <c r="I244" s="104" t="n">
        <v>45866</v>
      </c>
      <c r="J244" s="16" t="n">
        <v>32.95</v>
      </c>
      <c r="K244" s="11" t="n">
        <v>65900</v>
      </c>
      <c r="L244" s="11" t="n">
        <v>93</v>
      </c>
      <c r="M244" s="11" t="n">
        <v>197</v>
      </c>
      <c r="N244" s="11" t="n">
        <v>0</v>
      </c>
      <c r="O244" s="434" t="n">
        <v>0</v>
      </c>
      <c r="P244" s="435" t="n">
        <v>4101</v>
      </c>
      <c r="Q244" s="435" t="n">
        <v>0</v>
      </c>
      <c r="R244" s="435" t="n">
        <v>3700</v>
      </c>
      <c r="S244" s="435" t="n">
        <v>10</v>
      </c>
      <c r="T244" s="435" t="n"/>
      <c r="U244" s="69" t="n">
        <v>0</v>
      </c>
      <c r="V244" s="69" t="n"/>
      <c r="W244" s="70" t="n">
        <v>0.11</v>
      </c>
      <c r="X244" s="436" t="n">
        <v>0.06338485316846985</v>
      </c>
      <c r="Y244" s="16">
        <f>VLOOKUP(C244,台股行情!A:D,4,FALSE)</f>
        <v/>
      </c>
      <c r="Z244" s="437">
        <f>VLOOKUP(C244,台股行情!A:E,5,FALSE)</f>
        <v/>
      </c>
      <c r="AA244" s="438">
        <f>IF(I244="",((TODAY()-A244)*G244)/365.24,((I244-A244)*G244)/365.24)</f>
        <v/>
      </c>
      <c r="AB244" s="103" t="inlineStr">
        <is>
          <t>台股</t>
        </is>
      </c>
    </row>
    <row r="245" hidden="1" outlineLevel="1">
      <c r="A245" s="99" t="n">
        <v>45849</v>
      </c>
      <c r="B245" s="11" t="n"/>
      <c r="C245" s="11" t="n">
        <v>2634</v>
      </c>
      <c r="D245" s="189" t="inlineStr">
        <is>
          <t>漢翔</t>
        </is>
      </c>
      <c r="E245" s="11" t="n">
        <v>2000</v>
      </c>
      <c r="F245" s="11" t="n">
        <v>42.1</v>
      </c>
      <c r="G245" s="11" t="n">
        <v>84200</v>
      </c>
      <c r="H245" s="11" t="n">
        <v>119</v>
      </c>
      <c r="I245" s="104" t="n">
        <v>45866</v>
      </c>
      <c r="J245" s="16" t="n">
        <v>42.35</v>
      </c>
      <c r="K245" s="11" t="n">
        <v>84700</v>
      </c>
      <c r="L245" s="11" t="n">
        <v>120</v>
      </c>
      <c r="M245" s="11" t="n">
        <v>254</v>
      </c>
      <c r="N245" s="11" t="n">
        <v>0</v>
      </c>
      <c r="O245" s="434" t="n">
        <v>0</v>
      </c>
      <c r="P245" s="435" t="n">
        <v>7</v>
      </c>
      <c r="Q245" s="435" t="n">
        <v>0</v>
      </c>
      <c r="R245" s="435" t="n"/>
      <c r="S245" s="435" t="n"/>
      <c r="T245" s="435" t="n"/>
      <c r="U245" s="69" t="n">
        <v>0</v>
      </c>
      <c r="V245" s="69" t="n"/>
      <c r="W245" s="70" t="n">
        <v>0.11</v>
      </c>
      <c r="X245" s="436" t="n">
        <v>8.31353919239905e-05</v>
      </c>
      <c r="Y245" s="16">
        <f>VLOOKUP(C245,台股行情!A:D,4,FALSE)</f>
        <v/>
      </c>
      <c r="Z245" s="437">
        <f>VLOOKUP(C245,台股行情!A:E,5,FALSE)</f>
        <v/>
      </c>
      <c r="AA245" s="438">
        <f>IF(I245="",((TODAY()-A245)*G245)/365.24,((I245-A245)*G245)/365.24)</f>
        <v/>
      </c>
      <c r="AB245" s="103" t="inlineStr">
        <is>
          <t>台股</t>
        </is>
      </c>
    </row>
    <row r="246" hidden="1" outlineLevel="1">
      <c r="A246" s="99" t="n">
        <v>45695</v>
      </c>
      <c r="B246" s="11" t="n"/>
      <c r="C246" s="11" t="n">
        <v>3661</v>
      </c>
      <c r="D246" s="189" t="inlineStr">
        <is>
          <t>世芯-KY</t>
        </is>
      </c>
      <c r="E246" s="11" t="n">
        <v>10</v>
      </c>
      <c r="F246" s="11" t="n">
        <v>3455</v>
      </c>
      <c r="G246" s="11" t="n">
        <v>34550</v>
      </c>
      <c r="H246" s="11" t="n">
        <v>49</v>
      </c>
      <c r="I246" s="104" t="n">
        <v>45869</v>
      </c>
      <c r="J246" s="16" t="n">
        <v>3870</v>
      </c>
      <c r="K246" s="11" t="n">
        <v>38700</v>
      </c>
      <c r="L246" s="11" t="n">
        <v>55</v>
      </c>
      <c r="M246" s="11" t="n">
        <v>116</v>
      </c>
      <c r="N246" s="11" t="n">
        <v>0</v>
      </c>
      <c r="O246" s="434" t="n">
        <v>0</v>
      </c>
      <c r="P246" s="435" t="n">
        <v>3930</v>
      </c>
      <c r="Q246" s="435" t="n">
        <v>0</v>
      </c>
      <c r="R246" s="435" t="n"/>
      <c r="S246" s="435" t="n"/>
      <c r="T246" s="435" t="n"/>
      <c r="U246" s="69" t="n">
        <v>0</v>
      </c>
      <c r="V246" s="69" t="n"/>
      <c r="W246" s="70" t="n">
        <v>0.11</v>
      </c>
      <c r="X246" s="436" t="n">
        <v>0.1137481910274964</v>
      </c>
      <c r="Y246" s="16">
        <f>VLOOKUP(C246,台股行情!A:D,4,FALSE)</f>
        <v/>
      </c>
      <c r="Z246" s="437">
        <f>VLOOKUP(C246,台股行情!A:E,5,FALSE)</f>
        <v/>
      </c>
      <c r="AA246" s="438">
        <f>IF(I246="",((TODAY()-A246)*G246)/365.24,((I246-A246)*G246)/365.24)</f>
        <v/>
      </c>
      <c r="AB246" s="103" t="inlineStr">
        <is>
          <t>台股</t>
        </is>
      </c>
    </row>
    <row r="247" hidden="1" outlineLevel="1">
      <c r="A247" s="99" t="n">
        <v>45868</v>
      </c>
      <c r="B247" s="11" t="n"/>
      <c r="C247" s="11" t="n">
        <v>3661</v>
      </c>
      <c r="D247" s="189" t="inlineStr">
        <is>
          <t>世芯-KY</t>
        </is>
      </c>
      <c r="E247" s="11" t="n">
        <v>10</v>
      </c>
      <c r="F247" s="11" t="n">
        <v>3760</v>
      </c>
      <c r="G247" s="11" t="n">
        <v>37600</v>
      </c>
      <c r="H247" s="11" t="n">
        <v>53</v>
      </c>
      <c r="I247" s="104" t="n">
        <v>45869</v>
      </c>
      <c r="J247" s="16" t="n">
        <v>3870</v>
      </c>
      <c r="K247" s="11" t="n">
        <v>38700</v>
      </c>
      <c r="L247" s="11" t="n">
        <v>55</v>
      </c>
      <c r="M247" s="11" t="n">
        <v>116</v>
      </c>
      <c r="N247" s="11" t="n">
        <v>0</v>
      </c>
      <c r="O247" s="434" t="n">
        <v>0</v>
      </c>
      <c r="P247" s="435" t="n">
        <v>876</v>
      </c>
      <c r="Q247" s="435" t="n">
        <v>0</v>
      </c>
      <c r="R247" s="435" t="n"/>
      <c r="S247" s="435" t="n"/>
      <c r="T247" s="435" t="n"/>
      <c r="U247" s="69" t="n">
        <v>0</v>
      </c>
      <c r="V247" s="69" t="n"/>
      <c r="W247" s="70" t="n">
        <v>0.11</v>
      </c>
      <c r="X247" s="436" t="n">
        <v>0.02329787234042553</v>
      </c>
      <c r="Y247" s="16">
        <f>VLOOKUP(C247,台股行情!A:D,4,FALSE)</f>
        <v/>
      </c>
      <c r="Z247" s="437">
        <f>VLOOKUP(C247,台股行情!A:E,5,FALSE)</f>
        <v/>
      </c>
      <c r="AA247" s="438">
        <f>IF(I247="",((TODAY()-A247)*G247)/365.24,((I247-A247)*G247)/365.24)</f>
        <v/>
      </c>
      <c r="AB247" s="103" t="inlineStr">
        <is>
          <t>台股</t>
        </is>
      </c>
    </row>
    <row r="248" hidden="1" outlineLevel="1">
      <c r="A248" s="99" t="n">
        <v>45695</v>
      </c>
      <c r="B248" s="11" t="n"/>
      <c r="C248" s="11" t="n">
        <v>3661</v>
      </c>
      <c r="D248" s="189" t="inlineStr">
        <is>
          <t>世芯-KY</t>
        </is>
      </c>
      <c r="E248" s="11" t="n">
        <v>10</v>
      </c>
      <c r="F248" s="11" t="n">
        <v>3455</v>
      </c>
      <c r="G248" s="11" t="n">
        <v>34550</v>
      </c>
      <c r="H248" s="11" t="n">
        <v>49</v>
      </c>
      <c r="I248" s="104" t="n">
        <v>45881</v>
      </c>
      <c r="J248" s="16" t="n">
        <v>4055</v>
      </c>
      <c r="K248" s="11" t="n">
        <v>40550</v>
      </c>
      <c r="L248" s="11" t="n">
        <v>57</v>
      </c>
      <c r="M248" s="11" t="n">
        <v>121</v>
      </c>
      <c r="N248" s="11" t="n">
        <v>0</v>
      </c>
      <c r="O248" s="434" t="n">
        <v>0</v>
      </c>
      <c r="P248" s="435" t="n">
        <v>5773</v>
      </c>
      <c r="Q248" s="435" t="n">
        <v>0</v>
      </c>
      <c r="R248" s="435" t="n"/>
      <c r="S248" s="435" t="n"/>
      <c r="T248" s="435" t="n"/>
      <c r="U248" s="69" t="n">
        <v>0</v>
      </c>
      <c r="V248" s="69" t="n"/>
      <c r="W248" s="70" t="n">
        <v>0.11</v>
      </c>
      <c r="X248" s="436" t="n">
        <v>0.1670911722141823</v>
      </c>
      <c r="Y248" s="16">
        <f>VLOOKUP(C248,台股行情!A:D,4,FALSE)</f>
        <v/>
      </c>
      <c r="Z248" s="437">
        <f>VLOOKUP(C248,台股行情!A:E,5,FALSE)</f>
        <v/>
      </c>
      <c r="AA248" s="438">
        <f>IF(I248="",((TODAY()-A248)*G248)/365.24,((I248-A248)*G248)/365.24)</f>
        <v/>
      </c>
      <c r="AB248" s="103" t="inlineStr">
        <is>
          <t>台股</t>
        </is>
      </c>
    </row>
    <row r="249" hidden="1" outlineLevel="1">
      <c r="A249" s="99" t="n">
        <v>45695</v>
      </c>
      <c r="B249" s="11" t="n"/>
      <c r="C249" s="11" t="n">
        <v>3661</v>
      </c>
      <c r="D249" s="189" t="inlineStr">
        <is>
          <t>世芯-KY</t>
        </is>
      </c>
      <c r="E249" s="11" t="n">
        <v>20</v>
      </c>
      <c r="F249" s="11" t="n">
        <v>3455</v>
      </c>
      <c r="G249" s="11" t="n">
        <v>69100</v>
      </c>
      <c r="H249" s="11" t="n">
        <v>98</v>
      </c>
      <c r="I249" s="104" t="n">
        <v>45898</v>
      </c>
      <c r="J249" s="16" t="n">
        <v>4120</v>
      </c>
      <c r="K249" s="11" t="n">
        <v>82400</v>
      </c>
      <c r="L249" s="11" t="n">
        <v>117</v>
      </c>
      <c r="M249" s="11" t="n">
        <v>247</v>
      </c>
      <c r="N249" s="11" t="n">
        <v>0</v>
      </c>
      <c r="O249" s="434" t="n">
        <v>0</v>
      </c>
      <c r="P249" s="435" t="n">
        <v>12838</v>
      </c>
      <c r="Q249" s="435" t="n">
        <v>0</v>
      </c>
      <c r="R249" s="435" t="n"/>
      <c r="S249" s="435" t="n"/>
      <c r="T249" s="435" t="n"/>
      <c r="U249" s="69" t="n">
        <v>0</v>
      </c>
      <c r="V249" s="69" t="n"/>
      <c r="W249" s="70" t="n">
        <v>0.11</v>
      </c>
      <c r="X249" s="436" t="n">
        <v>0.1857887120115774</v>
      </c>
      <c r="Y249" s="16">
        <f>VLOOKUP(C249,台股行情!A:D,4,FALSE)</f>
        <v/>
      </c>
      <c r="Z249" s="437">
        <f>VLOOKUP(C249,台股行情!A:E,5,FALSE)</f>
        <v/>
      </c>
      <c r="AA249" s="438">
        <f>IF(I249="",((TODAY()-A249)*G249)/365.24,((I249-A249)*G249)/365.24)</f>
        <v/>
      </c>
      <c r="AB249" s="103" t="inlineStr">
        <is>
          <t>台股</t>
        </is>
      </c>
    </row>
    <row r="250" hidden="1" outlineLevel="1">
      <c r="A250" s="99" t="n">
        <v>45695</v>
      </c>
      <c r="B250" s="11" t="n"/>
      <c r="C250" s="11" t="n">
        <v>3661</v>
      </c>
      <c r="D250" s="189" t="inlineStr">
        <is>
          <t>世芯-KY</t>
        </is>
      </c>
      <c r="E250" s="11" t="n">
        <v>20</v>
      </c>
      <c r="F250" s="11" t="n">
        <v>3455</v>
      </c>
      <c r="G250" s="11" t="n">
        <v>69100</v>
      </c>
      <c r="H250" s="11" t="n">
        <v>98</v>
      </c>
      <c r="I250" s="104" t="n">
        <v>45909</v>
      </c>
      <c r="J250" s="16" t="n">
        <v>3930</v>
      </c>
      <c r="K250" s="11" t="n">
        <v>78600</v>
      </c>
      <c r="L250" s="11" t="n">
        <v>112</v>
      </c>
      <c r="M250" s="11" t="n">
        <v>235</v>
      </c>
      <c r="N250" s="11" t="n">
        <v>0</v>
      </c>
      <c r="O250" s="434" t="n">
        <v>0</v>
      </c>
      <c r="P250" s="435" t="n">
        <v>9055</v>
      </c>
      <c r="Q250" s="435" t="n">
        <v>0</v>
      </c>
      <c r="R250" s="435" t="n"/>
      <c r="S250" s="435" t="n"/>
      <c r="T250" s="435" t="n"/>
      <c r="U250" s="69" t="n">
        <v>0</v>
      </c>
      <c r="V250" s="69" t="n"/>
      <c r="W250" s="70" t="n">
        <v>0.11</v>
      </c>
      <c r="X250" s="436" t="n">
        <v>0.1310419681620839</v>
      </c>
      <c r="Y250" s="16">
        <f>VLOOKUP(C250,台股行情!A:D,4,FALSE)</f>
        <v/>
      </c>
      <c r="Z250" s="437">
        <f>VLOOKUP(C250,台股行情!A:E,5,FALSE)</f>
        <v/>
      </c>
      <c r="AA250" s="438">
        <f>IF(I250="",((TODAY()-A250)*G250)/365.24,((I250-A250)*G250)/365.24)</f>
        <v/>
      </c>
      <c r="AB250" s="103" t="inlineStr">
        <is>
          <t>台股</t>
        </is>
      </c>
    </row>
    <row r="251" hidden="1" outlineLevel="1">
      <c r="A251" s="99" t="n">
        <v>45695</v>
      </c>
      <c r="B251" s="11" t="n"/>
      <c r="C251" s="11" t="n">
        <v>3661</v>
      </c>
      <c r="D251" s="189" t="inlineStr">
        <is>
          <t>世芯-KY</t>
        </is>
      </c>
      <c r="E251" s="11" t="n">
        <v>10</v>
      </c>
      <c r="F251" s="11" t="n">
        <v>3455</v>
      </c>
      <c r="G251" s="11" t="n">
        <v>34550</v>
      </c>
      <c r="H251" s="11" t="n">
        <v>49</v>
      </c>
      <c r="I251" s="104" t="n">
        <v>45909</v>
      </c>
      <c r="J251" s="16" t="n">
        <v>3975</v>
      </c>
      <c r="K251" s="11" t="n">
        <v>39750</v>
      </c>
      <c r="L251" s="11" t="n">
        <v>56</v>
      </c>
      <c r="M251" s="11" t="n">
        <v>119</v>
      </c>
      <c r="N251" s="11" t="n">
        <v>0</v>
      </c>
      <c r="O251" s="434" t="n">
        <v>0</v>
      </c>
      <c r="P251" s="435" t="n">
        <v>4976</v>
      </c>
      <c r="Q251" s="435" t="n">
        <v>0</v>
      </c>
      <c r="R251" s="435" t="n"/>
      <c r="S251" s="435" t="n"/>
      <c r="T251" s="435" t="n"/>
      <c r="U251" s="69" t="n">
        <v>0</v>
      </c>
      <c r="V251" s="69" t="n"/>
      <c r="W251" s="70" t="n">
        <v>0.11</v>
      </c>
      <c r="X251" s="436" t="n">
        <v>0.1440231548480463</v>
      </c>
      <c r="Y251" s="16">
        <f>VLOOKUP(C251,台股行情!A:D,4,FALSE)</f>
        <v/>
      </c>
      <c r="Z251" s="437">
        <f>VLOOKUP(C251,台股行情!A:E,5,FALSE)</f>
        <v/>
      </c>
      <c r="AA251" s="438">
        <f>IF(I251="",((TODAY()-A251)*G251)/365.24,((I251-A251)*G251)/365.24)</f>
        <v/>
      </c>
      <c r="AB251" s="103" t="inlineStr">
        <is>
          <t>台股</t>
        </is>
      </c>
    </row>
    <row r="252" hidden="1" outlineLevel="1">
      <c r="A252" s="99" t="n">
        <v>45917</v>
      </c>
      <c r="B252" s="11" t="n"/>
      <c r="C252" s="11" t="n">
        <v>2542</v>
      </c>
      <c r="D252" s="189" t="inlineStr">
        <is>
          <t>興富發</t>
        </is>
      </c>
      <c r="E252" s="11" t="n">
        <v>2000</v>
      </c>
      <c r="F252" s="11" t="n">
        <v>46.2</v>
      </c>
      <c r="G252" s="11" t="n">
        <v>92400</v>
      </c>
      <c r="H252" s="11" t="n">
        <v>131</v>
      </c>
      <c r="I252" s="104" t="n">
        <v>45923</v>
      </c>
      <c r="J252" s="16" t="n">
        <v>44.8</v>
      </c>
      <c r="K252" s="11" t="n">
        <v>89600</v>
      </c>
      <c r="L252" s="11" t="n">
        <v>127</v>
      </c>
      <c r="M252" s="11" t="n">
        <v>268</v>
      </c>
      <c r="N252" s="11" t="n">
        <v>0</v>
      </c>
      <c r="O252" s="434" t="n">
        <v>0</v>
      </c>
      <c r="P252" s="435" t="n">
        <v>-3326</v>
      </c>
      <c r="Q252" s="435" t="n">
        <v>0</v>
      </c>
      <c r="R252" s="435" t="n"/>
      <c r="S252" s="435" t="n"/>
      <c r="T252" s="435" t="n"/>
      <c r="U252" s="69" t="n">
        <v>0</v>
      </c>
      <c r="V252" s="69" t="n"/>
      <c r="W252" s="70" t="n">
        <v>0.11</v>
      </c>
      <c r="X252" s="436" t="n">
        <v>-0.035995670995671</v>
      </c>
      <c r="Y252" s="16">
        <f>VLOOKUP(C252,台股行情!A:D,4,FALSE)</f>
        <v/>
      </c>
      <c r="Z252" s="437">
        <f>VLOOKUP(C252,台股行情!A:E,5,FALSE)</f>
        <v/>
      </c>
      <c r="AA252" s="438">
        <f>IF(I252="",((TODAY()-A252)*G252)/365.24,((I252-A252)*G252)/365.24)</f>
        <v/>
      </c>
      <c r="AB252" s="103" t="inlineStr">
        <is>
          <t>台股</t>
        </is>
      </c>
    </row>
    <row r="253" hidden="1" outlineLevel="1">
      <c r="A253" s="99" t="n">
        <v>45889</v>
      </c>
      <c r="B253" s="11" t="n"/>
      <c r="C253" s="11" t="n">
        <v>3661</v>
      </c>
      <c r="D253" s="189" t="inlineStr">
        <is>
          <t>世芯-KY</t>
        </is>
      </c>
      <c r="E253" s="11" t="n">
        <v>10</v>
      </c>
      <c r="F253" s="11" t="n">
        <v>3800</v>
      </c>
      <c r="G253" s="11" t="n">
        <v>38000</v>
      </c>
      <c r="H253" s="11" t="n">
        <v>54</v>
      </c>
      <c r="I253" s="104" t="n">
        <v>45939</v>
      </c>
      <c r="J253" s="16" t="n">
        <v>3485</v>
      </c>
      <c r="K253" s="11" t="n">
        <v>34850</v>
      </c>
      <c r="L253" s="11" t="n">
        <v>49</v>
      </c>
      <c r="M253" s="11" t="n">
        <v>104</v>
      </c>
      <c r="N253" s="11" t="n">
        <v>0</v>
      </c>
      <c r="O253" s="434" t="n">
        <v>0</v>
      </c>
      <c r="P253" s="435" t="n">
        <v>-3357</v>
      </c>
      <c r="Q253" s="435" t="n">
        <v>0</v>
      </c>
      <c r="R253" s="435" t="n"/>
      <c r="S253" s="435" t="n"/>
      <c r="T253" s="435" t="n"/>
      <c r="U253" s="69" t="n">
        <v>0</v>
      </c>
      <c r="V253" s="69" t="n"/>
      <c r="W253" s="70" t="n">
        <v>0.11</v>
      </c>
      <c r="X253" s="436" t="n">
        <v>-0.08834210526315789</v>
      </c>
      <c r="Y253" s="16">
        <f>VLOOKUP(C253,台股行情!A:D,4,FALSE)</f>
        <v/>
      </c>
      <c r="Z253" s="437">
        <f>VLOOKUP(C253,台股行情!A:E,5,FALSE)</f>
        <v/>
      </c>
      <c r="AA253" s="438">
        <f>IF(I253="",((TODAY()-A253)*G253)/365.24,((I253-A253)*G253)/365.24)</f>
        <v/>
      </c>
      <c r="AB253" s="103" t="inlineStr">
        <is>
          <t>台股</t>
        </is>
      </c>
    </row>
    <row r="254" hidden="1" outlineLevel="1">
      <c r="A254" s="99" t="n">
        <v>45924</v>
      </c>
      <c r="B254" s="11" t="n"/>
      <c r="C254" s="11" t="n">
        <v>3661</v>
      </c>
      <c r="D254" s="189" t="inlineStr">
        <is>
          <t>世芯-KY</t>
        </is>
      </c>
      <c r="E254" s="11" t="n">
        <v>20</v>
      </c>
      <c r="F254" s="11" t="n">
        <v>3415</v>
      </c>
      <c r="G254" s="11" t="n">
        <v>68300</v>
      </c>
      <c r="H254" s="11" t="n">
        <v>97</v>
      </c>
      <c r="I254" s="104" t="n">
        <v>45968</v>
      </c>
      <c r="J254" s="16" t="n">
        <v>3610</v>
      </c>
      <c r="K254" s="11" t="n">
        <v>72200</v>
      </c>
      <c r="L254" s="11" t="n">
        <v>102</v>
      </c>
      <c r="M254" s="11" t="n">
        <v>216</v>
      </c>
      <c r="N254" s="11" t="n">
        <v>0</v>
      </c>
      <c r="O254" s="434" t="n">
        <v>0</v>
      </c>
      <c r="P254" s="435" t="n">
        <v>3485</v>
      </c>
      <c r="Q254" s="435" t="n">
        <v>0</v>
      </c>
      <c r="R254" s="435" t="n"/>
      <c r="S254" s="435" t="n"/>
      <c r="T254" s="435" t="n"/>
      <c r="U254" s="69" t="n">
        <v>0</v>
      </c>
      <c r="V254" s="69" t="n"/>
      <c r="W254" s="70" t="n">
        <v>0.11</v>
      </c>
      <c r="X254" s="436" t="n">
        <v>0.05102489019033675</v>
      </c>
      <c r="Y254" s="16">
        <f>VLOOKUP(C254,台股行情!A:D,4,FALSE)</f>
        <v/>
      </c>
      <c r="Z254" s="437">
        <f>VLOOKUP(C254,台股行情!A:E,5,FALSE)</f>
        <v/>
      </c>
      <c r="AA254" s="438">
        <f>IF(I254="",((TODAY()-A254)*G254)/365.24,((I254-A254)*G254)/365.24)</f>
        <v/>
      </c>
      <c r="AB254" s="103" t="inlineStr">
        <is>
          <t>台股</t>
        </is>
      </c>
    </row>
    <row r="255" hidden="1" outlineLevel="1">
      <c r="A255" s="99" t="n">
        <v>45695</v>
      </c>
      <c r="B255" s="11" t="n"/>
      <c r="C255" s="11" t="n">
        <v>3661</v>
      </c>
      <c r="D255" s="189" t="inlineStr">
        <is>
          <t>世芯-KY</t>
        </is>
      </c>
      <c r="E255" s="11" t="n">
        <v>10</v>
      </c>
      <c r="F255" s="11" t="n">
        <v>3455</v>
      </c>
      <c r="G255" s="11" t="n">
        <v>34550</v>
      </c>
      <c r="H255" s="11" t="n">
        <v>49</v>
      </c>
      <c r="I255" s="104" t="n">
        <v>45972</v>
      </c>
      <c r="J255" s="16" t="n">
        <v>3680</v>
      </c>
      <c r="K255" s="11" t="n">
        <v>36800</v>
      </c>
      <c r="L255" s="11" t="n">
        <v>52</v>
      </c>
      <c r="M255" s="11" t="n">
        <v>110</v>
      </c>
      <c r="N255" s="11" t="n">
        <v>0</v>
      </c>
      <c r="O255" s="434" t="n">
        <v>0</v>
      </c>
      <c r="P255" s="435" t="n">
        <v>2039</v>
      </c>
      <c r="Q255" s="435" t="n">
        <v>0</v>
      </c>
      <c r="R255" s="435" t="n"/>
      <c r="S255" s="435" t="n"/>
      <c r="T255" s="435" t="n"/>
      <c r="U255" s="69" t="n">
        <v>0</v>
      </c>
      <c r="V255" s="69" t="n"/>
      <c r="W255" s="70" t="n">
        <v>0.11</v>
      </c>
      <c r="X255" s="436" t="n">
        <v>0.05901591895803183</v>
      </c>
      <c r="Y255" s="16">
        <f>VLOOKUP(C255,台股行情!A:D,4,FALSE)</f>
        <v/>
      </c>
      <c r="Z255" s="437">
        <f>VLOOKUP(C255,台股行情!A:E,5,FALSE)</f>
        <v/>
      </c>
      <c r="AA255" s="438">
        <f>IF(I255="",((TODAY()-A255)*G255)/365.24,((I255-A255)*G255)/365.24)</f>
        <v/>
      </c>
      <c r="AB255" s="103" t="inlineStr">
        <is>
          <t>台股</t>
        </is>
      </c>
    </row>
    <row r="256" hidden="1" outlineLevel="1">
      <c r="A256" s="99" t="n">
        <v>45944</v>
      </c>
      <c r="B256" s="11" t="n"/>
      <c r="C256" s="11" t="n">
        <v>3661</v>
      </c>
      <c r="D256" s="189" t="inlineStr">
        <is>
          <t>世芯-KY</t>
        </is>
      </c>
      <c r="E256" s="11" t="n">
        <v>10</v>
      </c>
      <c r="F256" s="11" t="n">
        <v>3170</v>
      </c>
      <c r="G256" s="11" t="n">
        <v>31700</v>
      </c>
      <c r="H256" s="11" t="n">
        <v>45</v>
      </c>
      <c r="I256" s="104" t="n">
        <v>45978</v>
      </c>
      <c r="J256" s="16" t="n">
        <v>3615</v>
      </c>
      <c r="K256" s="11" t="n">
        <v>36150</v>
      </c>
      <c r="L256" s="11" t="n">
        <v>51</v>
      </c>
      <c r="M256" s="11" t="n">
        <v>108</v>
      </c>
      <c r="N256" s="11" t="n">
        <v>0</v>
      </c>
      <c r="O256" s="434" t="n">
        <v>0</v>
      </c>
      <c r="P256" s="435" t="n">
        <v>4246</v>
      </c>
      <c r="Q256" s="435" t="n">
        <v>0</v>
      </c>
      <c r="R256" s="435" t="n"/>
      <c r="S256" s="435" t="n"/>
      <c r="T256" s="435" t="n"/>
      <c r="U256" s="69" t="n">
        <v>0</v>
      </c>
      <c r="V256" s="69" t="n"/>
      <c r="W256" s="70" t="n">
        <v>0.11</v>
      </c>
      <c r="X256" s="436" t="n">
        <v>0.1339432176656151</v>
      </c>
      <c r="Y256" s="16">
        <f>VLOOKUP(C256,台股行情!A:D,4,FALSE)</f>
        <v/>
      </c>
      <c r="Z256" s="437">
        <f>VLOOKUP(C256,台股行情!A:E,5,FALSE)</f>
        <v/>
      </c>
      <c r="AA256" s="438">
        <f>IF(I256="",((TODAY()-A256)*G256)/365.24,((I256-A256)*G256)/365.24)</f>
        <v/>
      </c>
      <c r="AB256" s="103" t="inlineStr">
        <is>
          <t>台股</t>
        </is>
      </c>
    </row>
    <row r="257" hidden="1" outlineLevel="1">
      <c r="A257" s="99" t="n">
        <v>45695</v>
      </c>
      <c r="B257" s="11" t="n"/>
      <c r="C257" s="11" t="n">
        <v>3661</v>
      </c>
      <c r="D257" s="189" t="inlineStr">
        <is>
          <t>世芯-KY</t>
        </is>
      </c>
      <c r="E257" s="11" t="n">
        <v>20</v>
      </c>
      <c r="F257" s="11" t="n">
        <v>3455</v>
      </c>
      <c r="G257" s="11" t="n">
        <v>69100</v>
      </c>
      <c r="H257" s="11" t="n">
        <v>100</v>
      </c>
      <c r="I257" s="104" t="n">
        <v>46001</v>
      </c>
      <c r="J257" s="16" t="n">
        <v>3360</v>
      </c>
      <c r="K257" s="11" t="n">
        <v>67200</v>
      </c>
      <c r="L257" s="11" t="n">
        <v>96</v>
      </c>
      <c r="M257" s="11" t="n">
        <v>202</v>
      </c>
      <c r="N257" s="11" t="n">
        <v>0</v>
      </c>
      <c r="O257" s="434" t="n">
        <v>0</v>
      </c>
      <c r="P257" s="435" t="n">
        <v>-25.82999999999998</v>
      </c>
      <c r="Q257" s="435" t="n">
        <v>0</v>
      </c>
      <c r="R257" s="435" t="n">
        <v>2553</v>
      </c>
      <c r="S257" s="435" t="n"/>
      <c r="T257" s="435" t="n"/>
      <c r="U257" s="69" t="n">
        <v>0</v>
      </c>
      <c r="V257" s="69" t="n"/>
      <c r="W257" s="70" t="n">
        <v>0.11</v>
      </c>
      <c r="X257" s="436" t="n">
        <v>-0.0003738060781476119</v>
      </c>
      <c r="Y257" s="16">
        <f>VLOOKUP(C257,台股行情!A:D,4,FALSE)</f>
        <v/>
      </c>
      <c r="Z257" s="437">
        <f>VLOOKUP(C257,台股行情!A:E,5,FALSE)</f>
        <v/>
      </c>
      <c r="AA257" s="438">
        <f>IF(I257="",((TODAY()-A257)*G257)/365.24,((I257-A257)*G257)/365.24)</f>
        <v/>
      </c>
      <c r="AB257" s="103" t="inlineStr">
        <is>
          <t>台股</t>
        </is>
      </c>
    </row>
    <row r="258" hidden="1" outlineLevel="1">
      <c r="A258" s="99" t="n">
        <v>45666</v>
      </c>
      <c r="B258" s="11" t="n"/>
      <c r="C258" s="11" t="n">
        <v>926</v>
      </c>
      <c r="D258" s="189" t="inlineStr">
        <is>
          <t>凱基全球菁英55</t>
        </is>
      </c>
      <c r="E258" s="11" t="n">
        <v>4000</v>
      </c>
      <c r="F258" s="11" t="n">
        <v>22.11</v>
      </c>
      <c r="G258" s="11" t="n">
        <v>88440</v>
      </c>
      <c r="H258" s="11" t="n">
        <v>126</v>
      </c>
      <c r="I258" s="104" t="n">
        <v>46003</v>
      </c>
      <c r="J258" s="16" t="n">
        <v>24.66</v>
      </c>
      <c r="K258" s="11" t="n">
        <v>98640</v>
      </c>
      <c r="L258" s="11" t="n">
        <v>140</v>
      </c>
      <c r="M258" s="11" t="n">
        <v>98</v>
      </c>
      <c r="N258" s="11" t="n">
        <v>0</v>
      </c>
      <c r="O258" s="434" t="n">
        <v>0</v>
      </c>
      <c r="P258" s="435" t="n">
        <v>9836</v>
      </c>
      <c r="Q258" s="435" t="n">
        <v>0</v>
      </c>
      <c r="R258" s="435" t="n"/>
      <c r="S258" s="435" t="n"/>
      <c r="T258" s="435" t="n"/>
      <c r="U258" s="69" t="n">
        <v>0</v>
      </c>
      <c r="V258" s="69" t="n"/>
      <c r="W258" s="70" t="n">
        <v>0.11</v>
      </c>
      <c r="X258" s="436" t="n">
        <v>0.111216644052465</v>
      </c>
      <c r="Y258" s="16">
        <f>VLOOKUP(C258,台股行情!A:D,4,FALSE)</f>
        <v/>
      </c>
      <c r="Z258" s="437">
        <f>VLOOKUP(C258,台股行情!A:E,5,FALSE)</f>
        <v/>
      </c>
      <c r="AA258" s="438">
        <f>IF(I258="",((TODAY()-A258)*G258)/365.24,((I258-A258)*G258)/365.24)</f>
        <v/>
      </c>
      <c r="AB258" s="103" t="inlineStr">
        <is>
          <t>台股 ETF</t>
        </is>
      </c>
    </row>
    <row r="259">
      <c r="A259" s="99" t="n">
        <v>45915</v>
      </c>
      <c r="B259" s="11" t="n"/>
      <c r="C259" s="11" t="n">
        <v>3661</v>
      </c>
      <c r="D259" s="189" t="inlineStr">
        <is>
          <t>世芯-KY</t>
        </is>
      </c>
      <c r="E259" s="11" t="n">
        <v>10</v>
      </c>
      <c r="F259" s="11" t="n">
        <v>3740</v>
      </c>
      <c r="G259" s="11" t="n">
        <v>37400</v>
      </c>
      <c r="H259" s="11" t="n">
        <v>53</v>
      </c>
      <c r="I259" s="308" t="n">
        <v>46024</v>
      </c>
      <c r="J259" s="16" t="n">
        <v>3655</v>
      </c>
      <c r="K259" s="11" t="n">
        <v>36550</v>
      </c>
      <c r="L259" s="11" t="n">
        <v>52</v>
      </c>
      <c r="M259" s="11" t="n">
        <v>109</v>
      </c>
      <c r="N259" s="11" t="n">
        <v>0</v>
      </c>
      <c r="O259" s="434" t="n">
        <v>0</v>
      </c>
      <c r="P259" s="435" t="n">
        <v>-1064</v>
      </c>
      <c r="Q259" s="435" t="n">
        <v>0</v>
      </c>
      <c r="R259" s="435" t="n"/>
      <c r="S259" s="435" t="n"/>
      <c r="T259" s="435" t="n"/>
      <c r="U259" s="69" t="n">
        <v>0</v>
      </c>
      <c r="V259" s="69" t="n"/>
      <c r="W259" s="70" t="n">
        <v>0.11</v>
      </c>
      <c r="X259" s="436" t="n">
        <v>-0.02844919786096257</v>
      </c>
      <c r="Y259" s="16">
        <f>VLOOKUP(C259,台股行情!A:D,4,FALSE)</f>
        <v/>
      </c>
      <c r="Z259" s="437">
        <f>VLOOKUP(C259,台股行情!A:E,5,FALSE)</f>
        <v/>
      </c>
      <c r="AA259" s="438">
        <f>IF(I259="",((TODAY()-A259)*G259)/365.24,((I259-A259)*G259)/365.24)</f>
        <v/>
      </c>
      <c r="AB259" s="103" t="inlineStr">
        <is>
          <t>台股</t>
        </is>
      </c>
    </row>
    <row r="260" outlineLevel="1">
      <c r="A260" s="99" t="n">
        <v>45925</v>
      </c>
      <c r="B260" s="11" t="n"/>
      <c r="C260" s="11" t="n">
        <v>770</v>
      </c>
      <c r="D260" s="189">
        <f>VLOOKUP(C260,台股行情!A:B,2,FALSE)</f>
        <v/>
      </c>
      <c r="E260" s="11" t="n">
        <v>185</v>
      </c>
      <c r="F260" s="11" t="n">
        <v>53.8</v>
      </c>
      <c r="G260" s="11">
        <f>E260*F260</f>
        <v/>
      </c>
      <c r="H260" s="11" t="n">
        <v>1</v>
      </c>
      <c r="I260" s="308" t="n">
        <v>46090</v>
      </c>
      <c r="J260" s="16" t="n">
        <v>50.2</v>
      </c>
      <c r="K260" s="11">
        <f>E260*J260</f>
        <v/>
      </c>
      <c r="L260" s="11">
        <f>ROUND(J260*E260*0.1425%,0)</f>
        <v/>
      </c>
      <c r="M260" s="11">
        <f>ROUND(J260*E260*0.3%,0)</f>
        <v/>
      </c>
      <c r="N260" s="11" t="n">
        <v>0</v>
      </c>
      <c r="O260" s="434">
        <f>IF(I260="",E260*Y260,0)</f>
        <v/>
      </c>
      <c r="P260" s="435">
        <f>IF(I260="",R260-H260,(K260-H260-SUM(L260:N260)+R260-S260-T260)-G260)+(ROUND(R260*V260,0)-ROUND(R260*(1+V260),0)*W260)</f>
        <v/>
      </c>
      <c r="Q260" s="435">
        <f>IF(I260="",(O260-G260-(O260*0.1425%*0.65)-(O260*0.3%)-S260-T260),0)</f>
        <v/>
      </c>
      <c r="R260" s="435" t="n">
        <v>777</v>
      </c>
      <c r="S260" s="435" t="n"/>
      <c r="T260" s="435" t="n"/>
      <c r="U260" s="69">
        <f>(V260*50%)/(1+50%*V260)</f>
        <v/>
      </c>
      <c r="V260" s="69" t="n"/>
      <c r="W260" s="70" t="n">
        <v>0.11</v>
      </c>
      <c r="X260" s="436">
        <f>(P260+Q260)/G260</f>
        <v/>
      </c>
      <c r="Y260" s="16">
        <f>VLOOKUP(C260,台股行情!A:D,4,FALSE)</f>
        <v/>
      </c>
      <c r="Z260" s="437">
        <f>VLOOKUP(C260,台股行情!A:E,5,FALSE)</f>
        <v/>
      </c>
      <c r="AA260" s="438">
        <f>IF(I260="",((TODAY()-A260)*G260)/365.24,((I260-A260)*G260)/365.24)</f>
        <v/>
      </c>
      <c r="AB260" s="103" t="inlineStr">
        <is>
          <t>台股 ETF</t>
        </is>
      </c>
    </row>
    <row r="261" outlineLevel="1">
      <c r="A261" s="99" t="n">
        <v>45937</v>
      </c>
      <c r="B261" s="11" t="n"/>
      <c r="C261" s="11" t="n">
        <v>770</v>
      </c>
      <c r="D261" s="189">
        <f>VLOOKUP(C261,台股行情!A:B,2,FALSE)</f>
        <v/>
      </c>
      <c r="E261" s="11" t="n">
        <v>181</v>
      </c>
      <c r="F261" s="11" t="n">
        <v>54.96</v>
      </c>
      <c r="G261" s="11" t="n">
        <v>9947</v>
      </c>
      <c r="H261" s="11" t="n">
        <v>1</v>
      </c>
      <c r="I261" s="308" t="n">
        <v>46090</v>
      </c>
      <c r="J261" s="16" t="n">
        <v>50.2</v>
      </c>
      <c r="K261" s="11">
        <f>E261*J261</f>
        <v/>
      </c>
      <c r="L261" s="11">
        <f>ROUND(J261*E261*0.1425%,0)</f>
        <v/>
      </c>
      <c r="M261" s="11">
        <f>ROUND(J261*E261*0.3%,0)</f>
        <v/>
      </c>
      <c r="N261" s="11" t="n">
        <v>0</v>
      </c>
      <c r="O261" s="434">
        <f>IF(I261="",E261*Y261,0)</f>
        <v/>
      </c>
      <c r="P261" s="435">
        <f>IF(I261="",R261-H261,(K261-H261-SUM(L261:N261)+R261-S261-T261)-G261)+(ROUND(R261*V261,0)-ROUND(R261*(1+V261),0)*W261)</f>
        <v/>
      </c>
      <c r="Q261" s="435">
        <f>IF(I261="",(O261-G261-(O261*0.1425%*0.65)-(O261*0.3%)-S261-T261),0)</f>
        <v/>
      </c>
      <c r="R261" s="435" t="n">
        <v>760.2</v>
      </c>
      <c r="S261" s="435" t="n"/>
      <c r="T261" s="435" t="n"/>
      <c r="U261" s="69">
        <f>(V261*50%)/(1+50%*V261)</f>
        <v/>
      </c>
      <c r="V261" s="69" t="n"/>
      <c r="W261" s="70" t="n">
        <v>0.11</v>
      </c>
      <c r="X261" s="436">
        <f>(P261+Q261)/G261</f>
        <v/>
      </c>
      <c r="Y261" s="16">
        <f>VLOOKUP(C261,台股行情!A:D,4,FALSE)</f>
        <v/>
      </c>
      <c r="Z261" s="437">
        <f>VLOOKUP(C261,台股行情!A:E,5,FALSE)</f>
        <v/>
      </c>
      <c r="AA261" s="438">
        <f>IF(I261="",((TODAY()-A261)*G261)/365.24,((I261-A261)*G261)/365.24)</f>
        <v/>
      </c>
      <c r="AB261" s="103" t="inlineStr">
        <is>
          <t>台股 ETF</t>
        </is>
      </c>
    </row>
    <row r="262" outlineLevel="1">
      <c r="A262" s="99" t="n">
        <v>45945</v>
      </c>
      <c r="B262" s="11" t="n"/>
      <c r="C262" s="11" t="n">
        <v>770</v>
      </c>
      <c r="D262" s="189">
        <f>VLOOKUP(C262,台股行情!A:B,2,FALSE)</f>
        <v/>
      </c>
      <c r="E262" s="11" t="n">
        <v>182</v>
      </c>
      <c r="F262" s="11" t="n">
        <v>54.88</v>
      </c>
      <c r="G262" s="11" t="n">
        <v>9988</v>
      </c>
      <c r="H262" s="11" t="n">
        <v>1</v>
      </c>
      <c r="I262" s="308" t="n">
        <v>46090</v>
      </c>
      <c r="J262" s="16" t="n">
        <v>50.2</v>
      </c>
      <c r="K262" s="11">
        <f>E262*J262</f>
        <v/>
      </c>
      <c r="L262" s="11">
        <f>ROUND(J262*E262*0.1425%,0)</f>
        <v/>
      </c>
      <c r="M262" s="11">
        <f>ROUND(J262*E262*0.3%,0)</f>
        <v/>
      </c>
      <c r="N262" s="11" t="n">
        <v>0</v>
      </c>
      <c r="O262" s="434">
        <f>IF(I262="",E262*Y262,0)</f>
        <v/>
      </c>
      <c r="P262" s="435">
        <f>IF(I262="",R262-H262,(K262-H262-SUM(L262:N262)+R262-S262-T262)-G262)+(ROUND(R262*V262,0)-ROUND(R262*(1+V262),0)*W262)</f>
        <v/>
      </c>
      <c r="Q262" s="435">
        <f>IF(I262="",(O262-G262-(O262*0.1425%*0.65)-(O262*0.3%)-S262-T262),0)</f>
        <v/>
      </c>
      <c r="R262" s="435" t="n">
        <v>764.4</v>
      </c>
      <c r="S262" s="435" t="n"/>
      <c r="T262" s="435" t="n"/>
      <c r="U262" s="69">
        <f>(V262*50%)/(1+50%*V262)</f>
        <v/>
      </c>
      <c r="V262" s="69" t="n"/>
      <c r="W262" s="70" t="n">
        <v>0.11</v>
      </c>
      <c r="X262" s="436">
        <f>(P262+Q262)/G262</f>
        <v/>
      </c>
      <c r="Y262" s="16">
        <f>VLOOKUP(C262,台股行情!A:D,4,FALSE)</f>
        <v/>
      </c>
      <c r="Z262" s="437">
        <f>VLOOKUP(C262,台股行情!A:E,5,FALSE)</f>
        <v/>
      </c>
      <c r="AA262" s="438">
        <f>IF(I262="",((TODAY()-A262)*G262)/365.24,((I262-A262)*G262)/365.24)</f>
        <v/>
      </c>
      <c r="AB262" s="103" t="inlineStr">
        <is>
          <t>台股 ETF</t>
        </is>
      </c>
    </row>
    <row r="263" outlineLevel="1">
      <c r="A263" s="99" t="n">
        <v>45957</v>
      </c>
      <c r="B263" s="11" t="n"/>
      <c r="C263" s="11" t="n">
        <v>770</v>
      </c>
      <c r="D263" s="189">
        <f>VLOOKUP(C263,台股行情!A:B,2,FALSE)</f>
        <v/>
      </c>
      <c r="E263" s="11" t="n">
        <v>174</v>
      </c>
      <c r="F263" s="11" t="n">
        <v>57.41</v>
      </c>
      <c r="G263" s="11" t="n">
        <v>9989</v>
      </c>
      <c r="H263" s="11" t="n">
        <v>1</v>
      </c>
      <c r="I263" s="308" t="n">
        <v>46090</v>
      </c>
      <c r="J263" s="16" t="n">
        <v>50.2</v>
      </c>
      <c r="K263" s="11">
        <f>E263*J263</f>
        <v/>
      </c>
      <c r="L263" s="11">
        <f>ROUND(J263*E263*0.1425%,0)</f>
        <v/>
      </c>
      <c r="M263" s="11">
        <f>ROUND(J263*E263*0.3%,0)</f>
        <v/>
      </c>
      <c r="N263" s="11" t="n">
        <v>0</v>
      </c>
      <c r="O263" s="434">
        <f>IF(I263="",E263*Y263,0)</f>
        <v/>
      </c>
      <c r="P263" s="435">
        <f>IF(I263="",R263-H263,(K263-H263-SUM(L263:N263)+R263-S263-T263)-G263)+(ROUND(R263*V263,0)-ROUND(R263*(1+V263),0)*W263)</f>
        <v/>
      </c>
      <c r="Q263" s="435">
        <f>IF(I263="",(O263-G263-(O263*0.1425%*0.65)-(O263*0.3%)-S263-T263),0)</f>
        <v/>
      </c>
      <c r="R263" s="435" t="n">
        <v>730.8000000000001</v>
      </c>
      <c r="S263" s="435" t="n"/>
      <c r="T263" s="435" t="n"/>
      <c r="U263" s="69">
        <f>(V263*50%)/(1+50%*V263)</f>
        <v/>
      </c>
      <c r="V263" s="69" t="n"/>
      <c r="W263" s="70" t="n">
        <v>0.11</v>
      </c>
      <c r="X263" s="436">
        <f>(P263+Q263)/G263</f>
        <v/>
      </c>
      <c r="Y263" s="16">
        <f>VLOOKUP(C263,台股行情!A:D,4,FALSE)</f>
        <v/>
      </c>
      <c r="Z263" s="437">
        <f>VLOOKUP(C263,台股行情!A:E,5,FALSE)</f>
        <v/>
      </c>
      <c r="AA263" s="438">
        <f>IF(I263="",((TODAY()-A263)*G263)/365.24,((I263-A263)*G263)/365.24)</f>
        <v/>
      </c>
      <c r="AB263" s="103" t="inlineStr">
        <is>
          <t>台股 ETF</t>
        </is>
      </c>
    </row>
    <row r="264" outlineLevel="1">
      <c r="A264" s="99" t="n">
        <v>45966</v>
      </c>
      <c r="B264" s="11" t="n"/>
      <c r="C264" s="11" t="n">
        <v>770</v>
      </c>
      <c r="D264" s="189">
        <f>VLOOKUP(C264,台股行情!A:B,2,FALSE)</f>
        <v/>
      </c>
      <c r="E264" s="11" t="n">
        <v>174</v>
      </c>
      <c r="F264" s="11" t="n">
        <v>56.6</v>
      </c>
      <c r="G264" s="11" t="n">
        <v>9961</v>
      </c>
      <c r="H264" s="11" t="n">
        <v>1</v>
      </c>
      <c r="I264" s="308" t="n">
        <v>46090</v>
      </c>
      <c r="J264" s="16" t="n">
        <v>50.2</v>
      </c>
      <c r="K264" s="11">
        <f>E264*J264</f>
        <v/>
      </c>
      <c r="L264" s="11">
        <f>ROUND(J264*E264*0.1425%,0)</f>
        <v/>
      </c>
      <c r="M264" s="11">
        <f>ROUND(J264*E264*0.3%,0)</f>
        <v/>
      </c>
      <c r="N264" s="11" t="n">
        <v>0</v>
      </c>
      <c r="O264" s="434">
        <f>IF(I264="",E264*Y264,0)</f>
        <v/>
      </c>
      <c r="P264" s="435">
        <f>IF(I264="",R264-H264,(K264-H264-SUM(L264:N264)+R264-S264-T264)-G264)+(ROUND(R264*V264,0)-ROUND(R264*(1+V264),0)*W264)</f>
        <v/>
      </c>
      <c r="Q264" s="435">
        <f>IF(I264="",(O264-G264-(O264*0.1425%*0.65)-(O264*0.3%)-S264-T264),0)</f>
        <v/>
      </c>
      <c r="R264" s="435" t="n">
        <v>730.8000000000001</v>
      </c>
      <c r="S264" s="435" t="n"/>
      <c r="T264" s="435" t="n"/>
      <c r="U264" s="69">
        <f>(V264*50%)/(1+50%*V264)</f>
        <v/>
      </c>
      <c r="V264" s="69" t="n"/>
      <c r="W264" s="70" t="n">
        <v>0.11</v>
      </c>
      <c r="X264" s="436">
        <f>(P264+Q264)/G264</f>
        <v/>
      </c>
      <c r="Y264" s="16">
        <f>VLOOKUP(C264,台股行情!A:D,4,FALSE)</f>
        <v/>
      </c>
      <c r="Z264" s="437">
        <f>VLOOKUP(C264,台股行情!A:E,5,FALSE)</f>
        <v/>
      </c>
      <c r="AA264" s="438">
        <f>IF(I264="",((TODAY()-A264)*G264)/365.24,((I264-A264)*G264)/365.24)</f>
        <v/>
      </c>
      <c r="AB264" s="103" t="inlineStr">
        <is>
          <t>台股 ETF</t>
        </is>
      </c>
    </row>
    <row r="265" outlineLevel="1">
      <c r="A265" s="99" t="n">
        <v>45978</v>
      </c>
      <c r="B265" s="11" t="n"/>
      <c r="C265" s="11" t="n">
        <v>770</v>
      </c>
      <c r="D265" s="189">
        <f>VLOOKUP(C265,台股行情!A:B,2,FALSE)</f>
        <v/>
      </c>
      <c r="E265" s="11" t="n">
        <v>176</v>
      </c>
      <c r="F265" s="11" t="n">
        <v>56.51</v>
      </c>
      <c r="G265" s="11" t="n">
        <v>9945</v>
      </c>
      <c r="H265" s="11" t="n">
        <v>1</v>
      </c>
      <c r="I265" s="308" t="n">
        <v>46090</v>
      </c>
      <c r="J265" s="16" t="n">
        <v>50.2</v>
      </c>
      <c r="K265" s="11">
        <f>E265*J265</f>
        <v/>
      </c>
      <c r="L265" s="11">
        <f>ROUND(J265*E265*0.1425%,0)</f>
        <v/>
      </c>
      <c r="M265" s="11">
        <f>ROUND(J265*E265*0.3%,0)</f>
        <v/>
      </c>
      <c r="N265" s="11" t="n">
        <v>0</v>
      </c>
      <c r="O265" s="434">
        <f>IF(I265="",E265*Y265,0)</f>
        <v/>
      </c>
      <c r="P265" s="435">
        <f>IF(I265="",R265-H265,(K265-H265-SUM(L265:N265)+R265-S265-T265)-G265)+(ROUND(R265*V265,0)-ROUND(R265*(1+V265),0)*W265)</f>
        <v/>
      </c>
      <c r="Q265" s="435">
        <f>IF(I265="",(O265-G265-(O265*0.1425%*0.65)-(O265*0.3%)-S265-T265),0)</f>
        <v/>
      </c>
      <c r="R265" s="435" t="n">
        <v>739.2</v>
      </c>
      <c r="S265" s="435" t="n"/>
      <c r="T265" s="435" t="n"/>
      <c r="U265" s="69">
        <f>(V265*50%)/(1+50%*V265)</f>
        <v/>
      </c>
      <c r="V265" s="69" t="n"/>
      <c r="W265" s="70" t="n">
        <v>0.11</v>
      </c>
      <c r="X265" s="436">
        <f>(P265+Q265)/G265</f>
        <v/>
      </c>
      <c r="Y265" s="16">
        <f>VLOOKUP(C265,台股行情!A:D,4,FALSE)</f>
        <v/>
      </c>
      <c r="Z265" s="437">
        <f>VLOOKUP(C265,台股行情!A:E,5,FALSE)</f>
        <v/>
      </c>
      <c r="AA265" s="438">
        <f>IF(I265="",((TODAY()-A265)*G265)/365.24,((I265-A265)*G265)/365.24)</f>
        <v/>
      </c>
      <c r="AB265" s="103" t="inlineStr">
        <is>
          <t>台股 ETF</t>
        </is>
      </c>
    </row>
    <row r="266" outlineLevel="1">
      <c r="A266" s="99" t="n">
        <v>45986</v>
      </c>
      <c r="B266" s="11" t="n"/>
      <c r="C266" s="11" t="n">
        <v>770</v>
      </c>
      <c r="D266" s="189">
        <f>VLOOKUP(C266,台股行情!A:B,2,FALSE)</f>
        <v/>
      </c>
      <c r="E266" s="11" t="n">
        <v>176</v>
      </c>
      <c r="F266" s="11" t="n">
        <v>56.56</v>
      </c>
      <c r="G266" s="11" t="n">
        <v>9954</v>
      </c>
      <c r="H266" s="11" t="n">
        <v>1</v>
      </c>
      <c r="I266" s="308" t="n">
        <v>46090</v>
      </c>
      <c r="J266" s="16" t="n">
        <v>50.2</v>
      </c>
      <c r="K266" s="11">
        <f>E266*J266</f>
        <v/>
      </c>
      <c r="L266" s="11">
        <f>ROUND(J266*E266*0.1425%,0)</f>
        <v/>
      </c>
      <c r="M266" s="11">
        <f>ROUND(J266*E266*0.3%,0)</f>
        <v/>
      </c>
      <c r="N266" s="11" t="n">
        <v>0</v>
      </c>
      <c r="O266" s="434">
        <f>IF(I266="",E266*Y266,0)</f>
        <v/>
      </c>
      <c r="P266" s="435">
        <f>IF(I266="",R266-H266,(K266-H266-SUM(L266:N266)+R266-S266-T266)-G266)+(ROUND(R266*V266,0)-ROUND(R266*(1+V266),0)*W266)</f>
        <v/>
      </c>
      <c r="Q266" s="435">
        <f>IF(I266="",(O266-G266-(O266*0.1425%*0.65)-(O266*0.3%)-S266-T266),0)</f>
        <v/>
      </c>
      <c r="R266" s="435" t="n">
        <v>739.2</v>
      </c>
      <c r="S266" s="435" t="n"/>
      <c r="T266" s="435" t="n"/>
      <c r="U266" s="69">
        <f>(V266*50%)/(1+50%*V266)</f>
        <v/>
      </c>
      <c r="V266" s="69" t="n"/>
      <c r="W266" s="70" t="n">
        <v>0.11</v>
      </c>
      <c r="X266" s="436">
        <f>(P266+Q266)/G266</f>
        <v/>
      </c>
      <c r="Y266" s="16">
        <f>VLOOKUP(C266,台股行情!A:D,4,FALSE)</f>
        <v/>
      </c>
      <c r="Z266" s="437">
        <f>VLOOKUP(C266,台股行情!A:E,5,FALSE)</f>
        <v/>
      </c>
      <c r="AA266" s="438">
        <f>IF(I266="",((TODAY()-A266)*G266)/365.24,((I266-A266)*G266)/365.24)</f>
        <v/>
      </c>
      <c r="AB266" s="103" t="inlineStr">
        <is>
          <t>台股 ETF</t>
        </is>
      </c>
    </row>
    <row r="267" outlineLevel="1">
      <c r="A267" s="99" t="n">
        <v>45996</v>
      </c>
      <c r="B267" s="11" t="n"/>
      <c r="C267" s="11" t="n">
        <v>770</v>
      </c>
      <c r="D267" s="189">
        <f>VLOOKUP(C267,台股行情!A:B,2,FALSE)</f>
        <v/>
      </c>
      <c r="E267" s="11" t="n">
        <v>170</v>
      </c>
      <c r="F267" s="11" t="n">
        <v>58.51</v>
      </c>
      <c r="G267" s="11" t="n">
        <v>9946</v>
      </c>
      <c r="H267" s="11" t="n">
        <v>1</v>
      </c>
      <c r="I267" s="308" t="n">
        <v>46090</v>
      </c>
      <c r="J267" s="16" t="n">
        <v>50.2</v>
      </c>
      <c r="K267" s="11">
        <f>E267*J267</f>
        <v/>
      </c>
      <c r="L267" s="11">
        <f>ROUND(J267*E267*0.1425%,0)</f>
        <v/>
      </c>
      <c r="M267" s="11">
        <f>ROUND(J267*E267*0.3%,0)</f>
        <v/>
      </c>
      <c r="N267" s="11" t="n">
        <v>0</v>
      </c>
      <c r="O267" s="434">
        <f>IF(I267="",E267*Y267,0)</f>
        <v/>
      </c>
      <c r="P267" s="435">
        <f>IF(I267="",R267-H267,(K267-H267-SUM(L267:N267)+R267-S267-T267)-G267)+(ROUND(R267*V267,0)-ROUND(R267*(1+V267),0)*W267)</f>
        <v/>
      </c>
      <c r="Q267" s="435">
        <f>IF(I267="",(O267-G267-(O267*0.1425%*0.65)-(O267*0.3%)-S267-T267),0)</f>
        <v/>
      </c>
      <c r="R267" s="435" t="n">
        <v>714</v>
      </c>
      <c r="S267" s="435" t="n"/>
      <c r="T267" s="435" t="n"/>
      <c r="U267" s="69">
        <f>(V267*50%)/(1+50%*V267)</f>
        <v/>
      </c>
      <c r="V267" s="69" t="n"/>
      <c r="W267" s="70" t="n">
        <v>0.11</v>
      </c>
      <c r="X267" s="436">
        <f>(P267+Q267)/G267</f>
        <v/>
      </c>
      <c r="Y267" s="16">
        <f>VLOOKUP(C267,台股行情!A:D,4,FALSE)</f>
        <v/>
      </c>
      <c r="Z267" s="437">
        <f>VLOOKUP(C267,台股行情!A:E,5,FALSE)</f>
        <v/>
      </c>
      <c r="AA267" s="438">
        <f>IF(I267="",((TODAY()-A267)*G267)/365.24,((I267-A267)*G267)/365.24)</f>
        <v/>
      </c>
      <c r="AB267" s="103" t="inlineStr">
        <is>
          <t>台股 ETF</t>
        </is>
      </c>
    </row>
    <row r="268" outlineLevel="1">
      <c r="A268" s="99" t="n">
        <v>46006</v>
      </c>
      <c r="B268" s="11" t="n"/>
      <c r="C268" s="11" t="n">
        <v>770</v>
      </c>
      <c r="D268" s="189">
        <f>VLOOKUP(C268,台股行情!A:B,2,FALSE)</f>
        <v/>
      </c>
      <c r="E268" s="11" t="n">
        <v>173</v>
      </c>
      <c r="F268" s="11" t="n">
        <v>57.54</v>
      </c>
      <c r="G268" s="11" t="n">
        <v>9954</v>
      </c>
      <c r="H268" s="11" t="n">
        <v>1</v>
      </c>
      <c r="I268" s="308" t="n">
        <v>46090</v>
      </c>
      <c r="J268" s="16" t="n">
        <v>50.2</v>
      </c>
      <c r="K268" s="11">
        <f>E268*J268</f>
        <v/>
      </c>
      <c r="L268" s="11">
        <f>ROUND(J268*E268*0.1425%,0)</f>
        <v/>
      </c>
      <c r="M268" s="11">
        <f>ROUND(J268*E268*0.3%,0)</f>
        <v/>
      </c>
      <c r="N268" s="11" t="n">
        <v>0</v>
      </c>
      <c r="O268" s="434">
        <f>IF(I268="",E268*Y268,0)</f>
        <v/>
      </c>
      <c r="P268" s="435">
        <f>IF(I268="",R268-H268,(K268-H268-SUM(L268:N268)+R268-S268-T268)-G268)+(ROUND(R268*V268,0)-ROUND(R268*(1+V268),0)*W268)</f>
        <v/>
      </c>
      <c r="Q268" s="435">
        <f>IF(I268="",(O268-G268-(O268*0.1425%*0.65)-(O268*0.3%)-S268-T268),0)</f>
        <v/>
      </c>
      <c r="R268" s="435" t="n">
        <v>726.6</v>
      </c>
      <c r="S268" s="435" t="n"/>
      <c r="T268" s="435" t="n"/>
      <c r="U268" s="69">
        <f>(V268*50%)/(1+50%*V268)</f>
        <v/>
      </c>
      <c r="V268" s="69" t="n"/>
      <c r="W268" s="70" t="n">
        <v>0.11</v>
      </c>
      <c r="X268" s="436">
        <f>(P268+Q268)/G268</f>
        <v/>
      </c>
      <c r="Y268" s="16">
        <f>VLOOKUP(C268,台股行情!A:D,4,FALSE)</f>
        <v/>
      </c>
      <c r="Z268" s="437">
        <f>VLOOKUP(C268,台股行情!A:E,5,FALSE)</f>
        <v/>
      </c>
      <c r="AA268" s="438">
        <f>IF(I268="",((TODAY()-A268)*G268)/365.24,((I268-A268)*G268)/365.24)</f>
        <v/>
      </c>
      <c r="AB268" s="103" t="inlineStr">
        <is>
          <t>台股 ETF</t>
        </is>
      </c>
    </row>
    <row r="269" outlineLevel="1">
      <c r="A269" s="99" t="n">
        <v>46017</v>
      </c>
      <c r="B269" s="11" t="n"/>
      <c r="C269" s="11" t="n">
        <v>770</v>
      </c>
      <c r="D269" s="189">
        <f>VLOOKUP(C269,台股行情!A:B,2,FALSE)</f>
        <v/>
      </c>
      <c r="E269" s="11" t="n">
        <v>170</v>
      </c>
      <c r="F269" s="11" t="n">
        <v>58.61</v>
      </c>
      <c r="G269" s="11" t="n">
        <v>9963</v>
      </c>
      <c r="H269" s="11" t="n">
        <v>1</v>
      </c>
      <c r="I269" s="308" t="n">
        <v>46090</v>
      </c>
      <c r="J269" s="16" t="n">
        <v>50.2</v>
      </c>
      <c r="K269" s="11">
        <f>E269*J269</f>
        <v/>
      </c>
      <c r="L269" s="11">
        <f>ROUND(J269*E269*0.1425%,0)</f>
        <v/>
      </c>
      <c r="M269" s="11">
        <f>ROUND(J269*E269*0.3%,0)</f>
        <v/>
      </c>
      <c r="N269" s="11" t="n">
        <v>0</v>
      </c>
      <c r="O269" s="434">
        <f>IF(I269="",E269*Y269,0)</f>
        <v/>
      </c>
      <c r="P269" s="435">
        <f>IF(I269="",R269-H269,(K269-H269-SUM(L269:N269)+R269-S269-T269)-G269)+(ROUND(R269*V269,0)-ROUND(R269*(1+V269),0)*W269)</f>
        <v/>
      </c>
      <c r="Q269" s="435">
        <f>IF(I269="",(O269-G269-(O269*0.1425%*0.65)-(O269*0.3%)-S269-T269),0)</f>
        <v/>
      </c>
      <c r="R269" s="435" t="n">
        <v>714</v>
      </c>
      <c r="S269" s="435" t="n"/>
      <c r="T269" s="435" t="n"/>
      <c r="U269" s="69">
        <f>(V269*50%)/(1+50%*V269)</f>
        <v/>
      </c>
      <c r="V269" s="69" t="n"/>
      <c r="W269" s="70" t="n">
        <v>0.11</v>
      </c>
      <c r="X269" s="436">
        <f>(P269+Q269)/G269</f>
        <v/>
      </c>
      <c r="Y269" s="16">
        <f>VLOOKUP(C269,台股行情!A:D,4,FALSE)</f>
        <v/>
      </c>
      <c r="Z269" s="437">
        <f>VLOOKUP(C269,台股行情!A:E,5,FALSE)</f>
        <v/>
      </c>
      <c r="AA269" s="438">
        <f>IF(I269="",((TODAY()-A269)*G269)/365.24,((I269-A269)*G269)/365.24)</f>
        <v/>
      </c>
      <c r="AB269" s="103" t="inlineStr">
        <is>
          <t>台股 ETF</t>
        </is>
      </c>
    </row>
    <row r="270" outlineLevel="1">
      <c r="A270" s="99" t="n">
        <v>45882</v>
      </c>
      <c r="B270" s="11" t="n"/>
      <c r="C270" s="11" t="n">
        <v>6525</v>
      </c>
      <c r="D270" s="189">
        <f>VLOOKUP(C270,台股行情!A:B,2,FALSE)</f>
        <v/>
      </c>
      <c r="E270" s="11" t="n">
        <v>1000</v>
      </c>
      <c r="F270" s="11" t="n">
        <v>70.8</v>
      </c>
      <c r="G270" s="11">
        <f>E270*F270</f>
        <v/>
      </c>
      <c r="H270" s="11" t="n">
        <v>100</v>
      </c>
      <c r="I270" s="308" t="n">
        <v>46139</v>
      </c>
      <c r="J270" s="16" t="n">
        <v>88.8</v>
      </c>
      <c r="K270" s="11">
        <f>E270*J270</f>
        <v/>
      </c>
      <c r="L270" s="11" t="n">
        <v>126</v>
      </c>
      <c r="M270" s="11" t="n">
        <v>266</v>
      </c>
      <c r="N270" s="11" t="n">
        <v>0</v>
      </c>
      <c r="O270" s="434">
        <f>IF(I270="",E270*Y270,0)</f>
        <v/>
      </c>
      <c r="P270" s="435">
        <f>IF(I270="",R270-H270,(K270-H270-SUM(L270:N270)+R270-S270-T270)-G270)+(ROUND(R270*V270,0)-ROUND(R270*(1+V270),0)*W270)</f>
        <v/>
      </c>
      <c r="Q270" s="435">
        <f>IF(I270="",(O270-G270-(O270*0.1425%*0.65)-(O270*0.3%)-S270-T270),0)</f>
        <v/>
      </c>
      <c r="R270" s="435" t="n"/>
      <c r="S270" s="435" t="n"/>
      <c r="T270" s="435">
        <f>IF(ROUND(R270*(1+V270),0)&gt;20000,ROUND(ROUND(R270*(1+V270),0)*2%,0),0)</f>
        <v/>
      </c>
      <c r="U270" s="69">
        <f>(V270*50%)/(1+50%*V270)</f>
        <v/>
      </c>
      <c r="V270" s="69" t="n"/>
      <c r="W270" s="70" t="n">
        <v>0.11</v>
      </c>
      <c r="X270" s="436">
        <f>(P270+Q270)/G270</f>
        <v/>
      </c>
      <c r="Y270" s="16">
        <f>VLOOKUP(C270,台股行情!A:D,4,FALSE)</f>
        <v/>
      </c>
      <c r="Z270" s="437">
        <f>VLOOKUP(C270,台股行情!A:E,5,FALSE)</f>
        <v/>
      </c>
      <c r="AA270" s="438">
        <f>IF(I270="",((TODAY()-A270)*G270)/365.24,((I270-A270)*G270)/365.24)</f>
        <v/>
      </c>
      <c r="AB270" s="103" t="inlineStr">
        <is>
          <t>台股</t>
        </is>
      </c>
    </row>
    <row r="271">
      <c r="A271" s="99" t="n">
        <v>46031</v>
      </c>
      <c r="B271" s="11" t="n"/>
      <c r="C271" s="11" t="n">
        <v>919</v>
      </c>
      <c r="D271" s="189">
        <f>VLOOKUP(C271,台股行情!A:B,2,FALSE)</f>
        <v/>
      </c>
      <c r="E271" s="11" t="n">
        <v>1000</v>
      </c>
      <c r="F271" s="11" t="n">
        <v>22.98</v>
      </c>
      <c r="G271" s="11">
        <f>E271*F271</f>
        <v/>
      </c>
      <c r="H271" s="11" t="n">
        <v>32</v>
      </c>
      <c r="I271" s="104" t="n">
        <v>46050</v>
      </c>
      <c r="J271" s="16" t="n">
        <v>24.41</v>
      </c>
      <c r="K271" s="11">
        <f>E271*J271</f>
        <v/>
      </c>
      <c r="L271" s="11" t="n">
        <v>33</v>
      </c>
      <c r="M271" s="11" t="n">
        <v>23</v>
      </c>
      <c r="N271" s="11" t="n">
        <v>0</v>
      </c>
      <c r="O271" s="434">
        <f>IF(I271="",E271*Y271,0)</f>
        <v/>
      </c>
      <c r="P271" s="435">
        <f>IF(I271="",R271-H271,(K271-H271-SUM(L271:N271)+R271-S271-T271)-G271)+(ROUND(R271*V271,0)-ROUND(R271*(1+V271),0)*W271)</f>
        <v/>
      </c>
      <c r="Q271" s="435">
        <f>IF(I271="",(O271-G271-(O271*0.1425%*0.65)-(O271*0.3%)-S271-T271),0)</f>
        <v/>
      </c>
      <c r="R271" s="435" t="n"/>
      <c r="S271" s="435" t="n"/>
      <c r="T271" s="435" t="n"/>
      <c r="U271" s="69">
        <f>(V271*50%)/(1+50%*V271)</f>
        <v/>
      </c>
      <c r="V271" s="69" t="n"/>
      <c r="W271" s="70" t="n">
        <v>0.11</v>
      </c>
      <c r="X271" s="436">
        <f>(P271+Q271)/G271</f>
        <v/>
      </c>
      <c r="Y271" s="16">
        <f>VLOOKUP(C271,台股行情!A:D,4,FALSE)</f>
        <v/>
      </c>
      <c r="Z271" s="437">
        <f>VLOOKUP(C271,台股行情!A:E,5,FALSE)</f>
        <v/>
      </c>
      <c r="AA271" s="438">
        <f>IF(I271="",((TODAY()-A271)*G271)/365.24,((I271-A271)*G271)/365.24)</f>
        <v/>
      </c>
      <c r="AB271" s="103" t="inlineStr">
        <is>
          <t>台股 ETF</t>
        </is>
      </c>
    </row>
    <row r="272" outlineLevel="1">
      <c r="A272" s="99" t="n">
        <v>46031</v>
      </c>
      <c r="B272" s="11" t="n"/>
      <c r="C272" s="11" t="n">
        <v>918</v>
      </c>
      <c r="D272" s="189">
        <f>VLOOKUP(C272,台股行情!A:B,2,FALSE)</f>
        <v/>
      </c>
      <c r="E272" s="11" t="n">
        <v>1000</v>
      </c>
      <c r="F272" s="11" t="n">
        <v>22.71</v>
      </c>
      <c r="G272" s="11">
        <f>E272*F272</f>
        <v/>
      </c>
      <c r="H272" s="11" t="n">
        <v>32</v>
      </c>
      <c r="I272" s="104" t="n">
        <v>46050</v>
      </c>
      <c r="J272" s="16" t="n">
        <v>23.61</v>
      </c>
      <c r="K272" s="11">
        <f>E272*J272</f>
        <v/>
      </c>
      <c r="L272" s="11" t="n">
        <v>34</v>
      </c>
      <c r="M272" s="11" t="n">
        <v>24</v>
      </c>
      <c r="N272" s="11" t="n">
        <v>0</v>
      </c>
      <c r="O272" s="434">
        <f>IF(I272="",E272*Y272,0)</f>
        <v/>
      </c>
      <c r="P272" s="435">
        <f>IF(I272="",R272-H272,(K272-H272-SUM(L272:N272)+R272-S272-T272)-G272)+(ROUND(R272*V272,0)-ROUND(R272*(1+V272),0)*W272)</f>
        <v/>
      </c>
      <c r="Q272" s="435">
        <f>IF(I272="",(O272-G272-(O272*0.1425%*0.65)-(O272*0.3%)-S272-T272),0)</f>
        <v/>
      </c>
      <c r="R272" s="435" t="n"/>
      <c r="S272" s="435" t="n"/>
      <c r="T272" s="435" t="n"/>
      <c r="U272" s="69">
        <f>(V272*50%)/(1+50%*V272)</f>
        <v/>
      </c>
      <c r="V272" s="69" t="n"/>
      <c r="W272" s="70" t="n">
        <v>0.11</v>
      </c>
      <c r="X272" s="436">
        <f>(P272+Q272)/G272</f>
        <v/>
      </c>
      <c r="Y272" s="16">
        <f>VLOOKUP(C272,台股行情!A:D,4,FALSE)</f>
        <v/>
      </c>
      <c r="Z272" s="437">
        <f>VLOOKUP(C272,台股行情!A:E,5,FALSE)</f>
        <v/>
      </c>
      <c r="AA272" s="438">
        <f>IF(I272="",((TODAY()-A272)*G272)/365.24,((I272-A272)*G272)/365.24)</f>
        <v/>
      </c>
      <c r="AB272" s="103" t="inlineStr">
        <is>
          <t>台股 ETF</t>
        </is>
      </c>
    </row>
    <row r="273" outlineLevel="1">
      <c r="A273" s="99" t="n">
        <v>46027</v>
      </c>
      <c r="B273" s="11" t="n"/>
      <c r="C273" s="11" t="n">
        <v>770</v>
      </c>
      <c r="D273" s="189">
        <f>VLOOKUP(C273,台股行情!A:B,2,FALSE)</f>
        <v/>
      </c>
      <c r="E273" s="11" t="n">
        <v>172</v>
      </c>
      <c r="F273" s="11" t="n">
        <v>57.98</v>
      </c>
      <c r="G273" s="11" t="n">
        <v>9972</v>
      </c>
      <c r="H273" s="11" t="n">
        <v>1</v>
      </c>
      <c r="I273" s="104" t="n">
        <v>46090</v>
      </c>
      <c r="J273" s="16" t="n">
        <v>50.2</v>
      </c>
      <c r="K273" s="11">
        <f>E273*J273</f>
        <v/>
      </c>
      <c r="L273" s="11">
        <f>ROUND(J273*E273*0.1425%,0)</f>
        <v/>
      </c>
      <c r="M273" s="11">
        <f>ROUND(J273*E273*0.3%,0)</f>
        <v/>
      </c>
      <c r="N273" s="11" t="n">
        <v>0</v>
      </c>
      <c r="O273" s="434">
        <f>IF(I273="",E273*Y273,0)</f>
        <v/>
      </c>
      <c r="P273" s="435">
        <f>IF(I273="",R273-H273,(K273-H273-SUM(L273:N273)+R273-S273-T273)-G273)+(ROUND(R273*V273,0)-ROUND(R273*(1+V273),0)*W273)</f>
        <v/>
      </c>
      <c r="Q273" s="435">
        <f>IF(I273="",(O273-G273-(O273*0.1425%*0.65)-(O273*0.3%)-S273-T273),0)</f>
        <v/>
      </c>
      <c r="R273" s="435" t="n">
        <v>722.4</v>
      </c>
      <c r="S273" s="435" t="n"/>
      <c r="T273" s="435" t="n"/>
      <c r="U273" s="69">
        <f>(V273*50%)/(1+50%*V273)</f>
        <v/>
      </c>
      <c r="V273" s="69" t="n"/>
      <c r="W273" s="70" t="n">
        <v>0.11</v>
      </c>
      <c r="X273" s="436">
        <f>(P273+Q273)/G273</f>
        <v/>
      </c>
      <c r="Y273" s="16">
        <f>VLOOKUP(C273,台股行情!A:D,4,FALSE)</f>
        <v/>
      </c>
      <c r="Z273" s="437">
        <f>VLOOKUP(C273,台股行情!A:E,5,FALSE)</f>
        <v/>
      </c>
      <c r="AA273" s="438">
        <f>IF(I273="",((TODAY()-A273)*G273)/365.24,((I273-A273)*G273)/365.24)</f>
        <v/>
      </c>
      <c r="AB273" s="103" t="inlineStr">
        <is>
          <t>台股 ETF</t>
        </is>
      </c>
    </row>
    <row r="274" outlineLevel="1">
      <c r="A274" s="99" t="n">
        <v>46037</v>
      </c>
      <c r="B274" s="11" t="n"/>
      <c r="C274" s="11" t="n">
        <v>770</v>
      </c>
      <c r="D274" s="189">
        <f>VLOOKUP(C274,台股行情!A:B,2,FALSE)</f>
        <v/>
      </c>
      <c r="E274" s="11" t="n">
        <v>171</v>
      </c>
      <c r="F274" s="11" t="n">
        <v>58.44</v>
      </c>
      <c r="G274" s="11" t="n">
        <v>9993</v>
      </c>
      <c r="H274" s="11" t="n">
        <v>1</v>
      </c>
      <c r="I274" s="104" t="n">
        <v>46090</v>
      </c>
      <c r="J274" s="16" t="n">
        <v>50.2</v>
      </c>
      <c r="K274" s="11">
        <f>E274*J274</f>
        <v/>
      </c>
      <c r="L274" s="11">
        <f>ROUND(J274*E274*0.1425%,0)</f>
        <v/>
      </c>
      <c r="M274" s="11">
        <f>ROUND(J274*E274*0.3%,0)</f>
        <v/>
      </c>
      <c r="N274" s="11" t="n">
        <v>0</v>
      </c>
      <c r="O274" s="434">
        <f>IF(I274="",E274*Y274,0)</f>
        <v/>
      </c>
      <c r="P274" s="435">
        <f>IF(I274="",R274-H274,(K274-H274-SUM(L274:N274)+R274-S274-T274)-G274)+(ROUND(R274*V274,0)-ROUND(R274*(1+V274),0)*W274)</f>
        <v/>
      </c>
      <c r="Q274" s="435">
        <f>IF(I274="",(O274-G274-(O274*0.1425%*0.65)-(O274*0.3%)-S274-T274),0)</f>
        <v/>
      </c>
      <c r="R274" s="435" t="n">
        <v>718.2</v>
      </c>
      <c r="S274" s="435" t="n"/>
      <c r="T274" s="435" t="n"/>
      <c r="U274" s="69">
        <f>(V274*50%)/(1+50%*V274)</f>
        <v/>
      </c>
      <c r="V274" s="69" t="n"/>
      <c r="W274" s="70" t="n">
        <v>0.11</v>
      </c>
      <c r="X274" s="436">
        <f>(P274+Q274)/G274</f>
        <v/>
      </c>
      <c r="Y274" s="16">
        <f>VLOOKUP(C274,台股行情!A:D,4,FALSE)</f>
        <v/>
      </c>
      <c r="Z274" s="437">
        <f>VLOOKUP(C274,台股行情!A:E,5,FALSE)</f>
        <v/>
      </c>
      <c r="AA274" s="438">
        <f>IF(I274="",((TODAY()-A274)*G274)/365.24,((I274-A274)*G274)/365.24)</f>
        <v/>
      </c>
      <c r="AB274" s="103" t="inlineStr">
        <is>
          <t>台股 ETF</t>
        </is>
      </c>
    </row>
    <row r="275" outlineLevel="1">
      <c r="A275" s="99" t="n">
        <v>46049</v>
      </c>
      <c r="B275" s="11" t="n"/>
      <c r="C275" s="11" t="n">
        <v>770</v>
      </c>
      <c r="D275" s="189">
        <f>VLOOKUP(C275,台股行情!A:B,2,FALSE)</f>
        <v/>
      </c>
      <c r="E275" s="11" t="n">
        <v>186</v>
      </c>
      <c r="F275" s="11" t="n">
        <v>53.64</v>
      </c>
      <c r="G275" s="11" t="n">
        <v>9977</v>
      </c>
      <c r="H275" s="11" t="n">
        <v>1</v>
      </c>
      <c r="I275" s="104" t="n">
        <v>46090</v>
      </c>
      <c r="J275" s="16" t="n">
        <v>50.2</v>
      </c>
      <c r="K275" s="11">
        <f>E275*J275</f>
        <v/>
      </c>
      <c r="L275" s="11">
        <f>ROUND(J275*E275*0.1425%,0)</f>
        <v/>
      </c>
      <c r="M275" s="11">
        <f>ROUND(J275*E275*0.3%,0)</f>
        <v/>
      </c>
      <c r="N275" s="11" t="n">
        <v>0</v>
      </c>
      <c r="O275" s="434">
        <f>IF(I275="",E275*Y275,0)</f>
        <v/>
      </c>
      <c r="P275" s="435">
        <f>IF(I275="",R275-H275,(K275-H275-SUM(L275:N275)+R275-S275-T275)-G275)+(ROUND(R275*V275,0)-ROUND(R275*(1+V275),0)*W275)</f>
        <v/>
      </c>
      <c r="Q275" s="435">
        <f>IF(I275="",(O275-G275-(O275*0.1425%*0.65)-(O275*0.3%)-S275-T275),0)</f>
        <v/>
      </c>
      <c r="R275" s="435" t="n">
        <v>718.2</v>
      </c>
      <c r="S275" s="435" t="n"/>
      <c r="T275" s="435" t="n"/>
      <c r="U275" s="69">
        <f>(V275*50%)/(1+50%*V275)</f>
        <v/>
      </c>
      <c r="V275" s="69" t="n"/>
      <c r="W275" s="70" t="n">
        <v>0.11</v>
      </c>
      <c r="X275" s="436">
        <f>(P275+Q275)/G275</f>
        <v/>
      </c>
      <c r="Y275" s="16">
        <f>VLOOKUP(C275,台股行情!A:D,4,FALSE)</f>
        <v/>
      </c>
      <c r="Z275" s="437">
        <f>VLOOKUP(C275,台股行情!A:E,5,FALSE)</f>
        <v/>
      </c>
      <c r="AA275" s="438">
        <f>IF(I275="",((TODAY()-A275)*G275)/365.24,((I275-A275)*G275)/365.24)</f>
        <v/>
      </c>
      <c r="AB275" s="103" t="inlineStr">
        <is>
          <t>台股 ETF</t>
        </is>
      </c>
    </row>
    <row r="276" outlineLevel="1">
      <c r="A276" s="99" t="n">
        <v>46058</v>
      </c>
      <c r="B276" s="11" t="n"/>
      <c r="C276" s="11" t="n">
        <v>770</v>
      </c>
      <c r="D276" s="189">
        <f>VLOOKUP(C276,台股行情!A:B,2,FALSE)</f>
        <v/>
      </c>
      <c r="E276" s="11" t="n">
        <v>192</v>
      </c>
      <c r="F276" s="11" t="n">
        <v>52.04</v>
      </c>
      <c r="G276" s="11" t="n">
        <v>9991</v>
      </c>
      <c r="H276" s="11" t="n">
        <v>1</v>
      </c>
      <c r="I276" s="104" t="n">
        <v>46090</v>
      </c>
      <c r="J276" s="16" t="n">
        <v>50.2</v>
      </c>
      <c r="K276" s="11">
        <f>E276*J276</f>
        <v/>
      </c>
      <c r="L276" s="11">
        <f>ROUND(J276*E276*0.1425%,0)</f>
        <v/>
      </c>
      <c r="M276" s="11">
        <f>ROUND(J276*E276*0.3%,0)</f>
        <v/>
      </c>
      <c r="N276" s="11" t="n">
        <v>0</v>
      </c>
      <c r="O276" s="434">
        <f>IF(I276="",E276*Y276,0)</f>
        <v/>
      </c>
      <c r="P276" s="435">
        <f>IF(I276="",R276-H276,(K276-H276-SUM(L276:N276)+R276-S276-T276)-G276)+(ROUND(R276*V276,0)-ROUND(R276*(1+V276),0)*W276)</f>
        <v/>
      </c>
      <c r="Q276" s="435">
        <f>IF(I276="",(O276-G276-(O276*0.1425%*0.65)-(O276*0.3%)-S276-T276),0)</f>
        <v/>
      </c>
      <c r="R276" s="435" t="n">
        <v>722.4</v>
      </c>
      <c r="S276" s="435" t="n"/>
      <c r="T276" s="435" t="n"/>
      <c r="U276" s="69">
        <f>(V276*50%)/(1+50%*V276)</f>
        <v/>
      </c>
      <c r="V276" s="69" t="n"/>
      <c r="W276" s="70" t="n">
        <v>0.11</v>
      </c>
      <c r="X276" s="436">
        <f>(P276+Q276)/G276</f>
        <v/>
      </c>
      <c r="Y276" s="16">
        <f>VLOOKUP(C276,台股行情!A:D,4,FALSE)</f>
        <v/>
      </c>
      <c r="Z276" s="437">
        <f>VLOOKUP(C276,台股行情!A:E,5,FALSE)</f>
        <v/>
      </c>
      <c r="AA276" s="438">
        <f>IF(I276="",((TODAY()-A276)*G276)/365.24,((I276-A276)*G276)/365.24)</f>
        <v/>
      </c>
      <c r="AB276" s="103" t="inlineStr">
        <is>
          <t>台股 ETF</t>
        </is>
      </c>
    </row>
    <row r="277" outlineLevel="1">
      <c r="A277" s="99" t="n">
        <v>46076</v>
      </c>
      <c r="B277" s="11" t="n"/>
      <c r="C277" s="11" t="n">
        <v>770</v>
      </c>
      <c r="D277" s="189">
        <f>VLOOKUP(C277,台股行情!A:B,2,FALSE)</f>
        <v/>
      </c>
      <c r="E277" s="11" t="n">
        <v>193</v>
      </c>
      <c r="F277" s="11" t="n">
        <v>51.65</v>
      </c>
      <c r="G277" s="11" t="n">
        <v>9968</v>
      </c>
      <c r="H277" s="11" t="n">
        <v>1</v>
      </c>
      <c r="I277" s="104" t="n">
        <v>46090</v>
      </c>
      <c r="J277" s="16" t="n">
        <v>50.2</v>
      </c>
      <c r="K277" s="11">
        <f>E277*J277</f>
        <v/>
      </c>
      <c r="L277" s="11">
        <f>ROUND(J277*E277*0.1425%,0)</f>
        <v/>
      </c>
      <c r="M277" s="11">
        <f>ROUND(J277*E277*0.3%,0)</f>
        <v/>
      </c>
      <c r="N277" s="11" t="n">
        <v>0</v>
      </c>
      <c r="O277" s="434">
        <f>IF(I277="",E277*Y277,0)</f>
        <v/>
      </c>
      <c r="P277" s="435">
        <f>IF(I277="",R277-H277,(K277-H277-SUM(L277:N277)+R277-S277-T277)-G277)+(ROUND(R277*V277,0)-ROUND(R277*(1+V277),0)*W277)</f>
        <v/>
      </c>
      <c r="Q277" s="435">
        <f>IF(I277="",(O277-G277-(O277*0.1425%*0.65)-(O277*0.3%)-S277-T277),0)</f>
        <v/>
      </c>
      <c r="R277" s="435" t="n">
        <v>722.4</v>
      </c>
      <c r="S277" s="435" t="n"/>
      <c r="T277" s="435" t="n"/>
      <c r="U277" s="69">
        <f>(V277*50%)/(1+50%*V277)</f>
        <v/>
      </c>
      <c r="V277" s="69" t="n"/>
      <c r="W277" s="70" t="n">
        <v>0.11</v>
      </c>
      <c r="X277" s="436">
        <f>(P277+Q277)/G277</f>
        <v/>
      </c>
      <c r="Y277" s="16">
        <f>VLOOKUP(C277,台股行情!A:D,4,FALSE)</f>
        <v/>
      </c>
      <c r="Z277" s="437">
        <f>VLOOKUP(C277,台股行情!A:E,5,FALSE)</f>
        <v/>
      </c>
      <c r="AA277" s="438">
        <f>IF(I277="",((TODAY()-A277)*G277)/365.24,((I277-A277)*G277)/365.24)</f>
        <v/>
      </c>
      <c r="AB277" s="103" t="inlineStr">
        <is>
          <t>台股 ETF</t>
        </is>
      </c>
    </row>
    <row r="278" outlineLevel="1">
      <c r="A278" s="99" t="n">
        <v>46078</v>
      </c>
      <c r="B278" s="11" t="n"/>
      <c r="C278" s="11" t="n">
        <v>770</v>
      </c>
      <c r="D278" s="189">
        <f>VLOOKUP(C278,台股行情!A:B,2,FALSE)</f>
        <v/>
      </c>
      <c r="E278" s="11" t="n">
        <v>193</v>
      </c>
      <c r="F278" s="11" t="n">
        <v>51.65</v>
      </c>
      <c r="G278" s="11" t="n">
        <v>9968</v>
      </c>
      <c r="H278" s="11" t="n">
        <v>1</v>
      </c>
      <c r="I278" s="104" t="n">
        <v>46090</v>
      </c>
      <c r="J278" s="16" t="n">
        <v>50.2</v>
      </c>
      <c r="K278" s="11">
        <f>E278*J278</f>
        <v/>
      </c>
      <c r="L278" s="11">
        <f>ROUND(J278*E278*0.1425%,0)</f>
        <v/>
      </c>
      <c r="M278" s="11">
        <f>ROUND(J278*E278*0.3%,0)</f>
        <v/>
      </c>
      <c r="N278" s="11" t="n">
        <v>0</v>
      </c>
      <c r="O278" s="434">
        <f>IF(I278="",E278*Y278,0)</f>
        <v/>
      </c>
      <c r="P278" s="435">
        <f>IF(I278="",R278-H278,(K278-H278-SUM(L278:N278)+R278-S278-T278)-G278)+(ROUND(R278*V278,0)-ROUND(R278*(1+V278),0)*W278)</f>
        <v/>
      </c>
      <c r="Q278" s="435">
        <f>IF(I278="",(O278-G278-(O278*0.1425%*0.65)-(O278*0.3%)-S278-T278),0)</f>
        <v/>
      </c>
      <c r="R278" s="435" t="n">
        <v>722.4</v>
      </c>
      <c r="S278" s="435" t="n"/>
      <c r="T278" s="435" t="n"/>
      <c r="U278" s="69">
        <f>(V278*50%)/(1+50%*V278)</f>
        <v/>
      </c>
      <c r="V278" s="69" t="n"/>
      <c r="W278" s="70" t="n">
        <v>0.11</v>
      </c>
      <c r="X278" s="436">
        <f>(P278+Q278)/G278</f>
        <v/>
      </c>
      <c r="Y278" s="16">
        <f>VLOOKUP(C278,台股行情!A:D,4,FALSE)</f>
        <v/>
      </c>
      <c r="Z278" s="437">
        <f>VLOOKUP(C278,台股行情!A:E,5,FALSE)</f>
        <v/>
      </c>
      <c r="AA278" s="438">
        <f>IF(I278="",((TODAY()-A278)*G278)/365.24,((I278-A278)*G278)/365.24)</f>
        <v/>
      </c>
      <c r="AB278" s="103" t="inlineStr">
        <is>
          <t>台股 ETF</t>
        </is>
      </c>
    </row>
    <row r="279" outlineLevel="1">
      <c r="A279" s="99" t="n">
        <v>46090</v>
      </c>
      <c r="B279" s="11" t="n"/>
      <c r="C279" s="349" t="n">
        <v>919</v>
      </c>
      <c r="D279" s="189">
        <f>VLOOKUP(C279,台股行情!A:B,2,FALSE)</f>
        <v/>
      </c>
      <c r="E279" s="11" t="n">
        <v>436</v>
      </c>
      <c r="F279" s="11" t="n">
        <v>22.93</v>
      </c>
      <c r="G279" s="11" t="n">
        <v>9990</v>
      </c>
      <c r="H279" s="11" t="n">
        <v>1</v>
      </c>
      <c r="I279" s="104" t="n">
        <v>46129</v>
      </c>
      <c r="J279" s="16" t="n">
        <v>23.4</v>
      </c>
      <c r="K279" s="11">
        <f>E279*J279</f>
        <v/>
      </c>
      <c r="L279" s="11" t="n">
        <v>17</v>
      </c>
      <c r="M279" s="11" t="n">
        <v>12</v>
      </c>
      <c r="N279" s="11" t="n">
        <v>0</v>
      </c>
      <c r="O279" s="434">
        <f>IF(I279="",E279*Y279,0)</f>
        <v/>
      </c>
      <c r="P279" s="435">
        <f>IF(I279="",R279-H279,(K279-H279-SUM(L279:N279)+R279-S279-T279)-G279)+(ROUND(R279*V279,0)-ROUND(R279*(1+V279),0)*W279)</f>
        <v/>
      </c>
      <c r="Q279" s="435">
        <f>IF(I279="",(O279-G279-(O279*0.1425%*0.65)-(O279*0.3%)-S279-T279),0)</f>
        <v/>
      </c>
      <c r="R279" s="435" t="n">
        <v>340</v>
      </c>
      <c r="S279" s="435" t="n"/>
      <c r="T279" s="435" t="n"/>
      <c r="U279" s="69">
        <f>(V279*50%)/(1+50%*V279)</f>
        <v/>
      </c>
      <c r="V279" s="69" t="n"/>
      <c r="W279" s="70" t="n">
        <v>0.11</v>
      </c>
      <c r="X279" s="436">
        <f>(P279+Q279)/G279</f>
        <v/>
      </c>
      <c r="Y279" s="16">
        <f>VLOOKUP(C279,台股行情!A:D,4,FALSE)</f>
        <v/>
      </c>
      <c r="Z279" s="437">
        <f>VLOOKUP(C279,台股行情!A:E,5,FALSE)</f>
        <v/>
      </c>
      <c r="AA279" s="438">
        <f>IF(I279="",((TODAY()-A279)*G279)/365.24,((I279-A279)*G279)/365.24)</f>
        <v/>
      </c>
      <c r="AB279" s="103" t="inlineStr">
        <is>
          <t>台股 ETF</t>
        </is>
      </c>
    </row>
    <row r="280" outlineLevel="1">
      <c r="A280" s="99" t="n">
        <v>46089</v>
      </c>
      <c r="B280" s="11" t="n"/>
      <c r="C280" s="349" t="n">
        <v>919</v>
      </c>
      <c r="D280" s="189">
        <f>VLOOKUP(C280,台股行情!A:B,2,FALSE)</f>
        <v/>
      </c>
      <c r="E280" s="11" t="n">
        <v>428</v>
      </c>
      <c r="F280" s="11" t="n">
        <v>23.36</v>
      </c>
      <c r="G280" s="11" t="n">
        <v>9998</v>
      </c>
      <c r="H280" s="11" t="n">
        <v>1</v>
      </c>
      <c r="I280" s="104" t="n">
        <v>46129</v>
      </c>
      <c r="J280" s="16" t="n">
        <v>23.4</v>
      </c>
      <c r="K280" s="11">
        <f>E280*J280</f>
        <v/>
      </c>
      <c r="L280" s="11" t="n">
        <v>16</v>
      </c>
      <c r="M280" s="11" t="n">
        <v>11</v>
      </c>
      <c r="N280" s="11" t="n">
        <v>0</v>
      </c>
      <c r="O280" s="434">
        <f>IF(I280="",E280*Y280,0)</f>
        <v/>
      </c>
      <c r="P280" s="435">
        <f>IF(I280="",R280-H280,(K280-H280-SUM(L280:N280)+R280-S280-T280)-G280)+(ROUND(R280*V280,0)-ROUND(R280*(1+V280),0)*W280)</f>
        <v/>
      </c>
      <c r="Q280" s="435">
        <f>IF(I280="",(O280-G280-(O280*0.1425%*0.65)-(O280*0.3%)-S280-T280),0)</f>
        <v/>
      </c>
      <c r="R280" s="435" t="n"/>
      <c r="S280" s="435" t="n"/>
      <c r="T280" s="435" t="n"/>
      <c r="U280" s="69">
        <f>(V280*50%)/(1+50%*V280)</f>
        <v/>
      </c>
      <c r="V280" s="69" t="n"/>
      <c r="W280" s="70" t="n">
        <v>0.11</v>
      </c>
      <c r="X280" s="436">
        <f>(P280+Q280)/G280</f>
        <v/>
      </c>
      <c r="Y280" s="16">
        <f>VLOOKUP(C280,台股行情!A:D,4,FALSE)</f>
        <v/>
      </c>
      <c r="Z280" s="437">
        <f>VLOOKUP(C280,台股行情!A:E,5,FALSE)</f>
        <v/>
      </c>
      <c r="AA280" s="438">
        <f>IF(I280="",((TODAY()-A280)*G280)/365.24,((I280-A280)*G280)/365.24)</f>
        <v/>
      </c>
      <c r="AB280" s="103" t="inlineStr">
        <is>
          <t>台股 ETF</t>
        </is>
      </c>
    </row>
    <row r="281" outlineLevel="1">
      <c r="A281" s="99" t="n">
        <v>46126</v>
      </c>
      <c r="B281" s="11" t="n"/>
      <c r="C281" s="349" t="n">
        <v>900</v>
      </c>
      <c r="D281" s="189">
        <f>VLOOKUP(C281,台股行情!A:B,2,FALSE)</f>
        <v/>
      </c>
      <c r="E281" s="11" t="n">
        <v>1000</v>
      </c>
      <c r="F281" s="11" t="n">
        <v>14.72</v>
      </c>
      <c r="G281" s="11">
        <f>E281*F281</f>
        <v/>
      </c>
      <c r="H281" s="11" t="n">
        <v>20</v>
      </c>
      <c r="I281" s="104" t="n">
        <v>46129</v>
      </c>
      <c r="J281" s="16" t="n">
        <v>15.06</v>
      </c>
      <c r="K281" s="11">
        <f>E281*J281</f>
        <v/>
      </c>
      <c r="L281" s="11">
        <f>ROUND(J281*E281*0.1425%,0)</f>
        <v/>
      </c>
      <c r="M281" s="11" t="n">
        <v>15</v>
      </c>
      <c r="N281" s="11" t="n">
        <v>0</v>
      </c>
      <c r="O281" s="434">
        <f>IF(I281="",E281*Y281,0)</f>
        <v/>
      </c>
      <c r="P281" s="435">
        <f>IF(I281="",R281-H281,(K281-H281-SUM(L281:N281)+R281-S281-T281)-G281)+(ROUND(R281*V281,0)-ROUND(R281*(1+V281),0)*W281)</f>
        <v/>
      </c>
      <c r="Q281" s="435">
        <f>IF(I281="",(O281-G281-(O281*0.1425%*0.65)-(O281*0.3%)-S281-T281),0)</f>
        <v/>
      </c>
      <c r="R281" s="435" t="n"/>
      <c r="S281" s="435" t="n"/>
      <c r="T281" s="435" t="n"/>
      <c r="U281" s="69">
        <f>(V281*50%)/(1+50%*V281)</f>
        <v/>
      </c>
      <c r="V281" s="69" t="n"/>
      <c r="W281" s="70" t="n">
        <v>0.11</v>
      </c>
      <c r="X281" s="436">
        <f>(P281+Q281)/G281</f>
        <v/>
      </c>
      <c r="Y281" s="16">
        <f>VLOOKUP(C281,台股行情!A:D,4,FALSE)</f>
        <v/>
      </c>
      <c r="Z281" s="437">
        <f>VLOOKUP(C281,台股行情!A:E,5,FALSE)</f>
        <v/>
      </c>
      <c r="AA281" s="438">
        <f>IF(I281="",((TODAY()-A281)*G281)/365.24,((I281-A281)*G281)/365.24)</f>
        <v/>
      </c>
      <c r="AB281" s="103" t="inlineStr">
        <is>
          <t>台股 ETF</t>
        </is>
      </c>
    </row>
    <row r="282" outlineLevel="1">
      <c r="A282" s="99" t="n">
        <v>46126</v>
      </c>
      <c r="B282" s="11" t="n"/>
      <c r="C282" s="349" t="n">
        <v>934</v>
      </c>
      <c r="D282" s="189">
        <f>VLOOKUP(C282,台股行情!A:B,2,FALSE)</f>
        <v/>
      </c>
      <c r="E282" s="11" t="n">
        <v>1000</v>
      </c>
      <c r="F282" s="11" t="n">
        <v>22.38</v>
      </c>
      <c r="G282" s="11">
        <f>E282*F282</f>
        <v/>
      </c>
      <c r="H282" s="11" t="n">
        <v>31</v>
      </c>
      <c r="I282" s="104" t="n">
        <v>46129</v>
      </c>
      <c r="J282" s="16" t="n">
        <v>22.89</v>
      </c>
      <c r="K282" s="11">
        <f>E282*J282</f>
        <v/>
      </c>
      <c r="L282" s="11" t="n">
        <v>32</v>
      </c>
      <c r="M282" s="11" t="n">
        <v>22</v>
      </c>
      <c r="N282" s="11" t="n">
        <v>0</v>
      </c>
      <c r="O282" s="434">
        <f>IF(I282="",E282*Y282,0)</f>
        <v/>
      </c>
      <c r="P282" s="435">
        <f>IF(I282="",R282-H282,(K282-H282-SUM(L282:N282)+R282-S282-T282)-G282)+(ROUND(R282*V282,0)-ROUND(R282*(1+V282),0)*W282)</f>
        <v/>
      </c>
      <c r="Q282" s="435">
        <f>IF(I282="",(O282-G282-(O282*0.1425%*0.65)-(O282*0.3%)-S282-T282),0)</f>
        <v/>
      </c>
      <c r="R282" s="435" t="n"/>
      <c r="S282" s="435" t="n"/>
      <c r="T282" s="435" t="n"/>
      <c r="U282" s="69">
        <f>(V282*50%)/(1+50%*V282)</f>
        <v/>
      </c>
      <c r="V282" s="69" t="n"/>
      <c r="W282" s="70" t="n">
        <v>0.11</v>
      </c>
      <c r="X282" s="436">
        <f>(P282+Q282)/G282</f>
        <v/>
      </c>
      <c r="Y282" s="16">
        <f>VLOOKUP(C282,台股行情!A:D,4,FALSE)</f>
        <v/>
      </c>
      <c r="Z282" s="437">
        <f>VLOOKUP(C282,台股行情!A:E,5,FALSE)</f>
        <v/>
      </c>
      <c r="AA282" s="438">
        <f>IF(I282="",((TODAY()-A282)*G282)/365.24,((I282-A282)*G282)/365.24)</f>
        <v/>
      </c>
      <c r="AB282" s="103" t="inlineStr">
        <is>
          <t>台股 ETF</t>
        </is>
      </c>
    </row>
    <row r="283" outlineLevel="1">
      <c r="A283" s="99" t="n">
        <v>46126</v>
      </c>
      <c r="B283" s="11" t="n"/>
      <c r="C283" s="11" t="n">
        <v>936</v>
      </c>
      <c r="D283" s="189">
        <f>VLOOKUP(C283,台股行情!A:B,2,FALSE)</f>
        <v/>
      </c>
      <c r="E283" s="11" t="n">
        <v>1000</v>
      </c>
      <c r="F283" s="11" t="n">
        <v>18.05</v>
      </c>
      <c r="G283" s="11">
        <f>E283*F283</f>
        <v/>
      </c>
      <c r="H283" s="11" t="n">
        <v>25</v>
      </c>
      <c r="I283" s="104" t="n">
        <v>46128</v>
      </c>
      <c r="J283" s="16" t="n">
        <v>18.37</v>
      </c>
      <c r="K283" s="11">
        <f>E283*J283</f>
        <v/>
      </c>
      <c r="L283" s="11">
        <f>ROUND(J283*E283*0.1425%,0)</f>
        <v/>
      </c>
      <c r="M283" s="11" t="n">
        <v>18</v>
      </c>
      <c r="N283" s="11" t="n">
        <v>0</v>
      </c>
      <c r="O283" s="434">
        <f>IF(I283="",E283*Y283,0)</f>
        <v/>
      </c>
      <c r="P283" s="435">
        <f>IF(I283="",R283-H283,(K283-H283-SUM(L283:N283)+R283-S283-T283)-G283)+(ROUND(R283*V283,0)-ROUND(R283*(1+V283),0)*W283)</f>
        <v/>
      </c>
      <c r="Q283" s="435">
        <f>IF(I283="",(O283-G283-(O283*0.1425%*0.65)-(O283*0.3%)-S283-T283),0)</f>
        <v/>
      </c>
      <c r="R283" s="435" t="n"/>
      <c r="S283" s="435" t="n"/>
      <c r="T283" s="435" t="n"/>
      <c r="U283" s="69">
        <f>(V283*50%)/(1+50%*V283)</f>
        <v/>
      </c>
      <c r="V283" s="69" t="n"/>
      <c r="W283" s="70" t="n">
        <v>0.11</v>
      </c>
      <c r="X283" s="436">
        <f>(P283+Q283)/G283</f>
        <v/>
      </c>
      <c r="Y283" s="16">
        <f>VLOOKUP(C283,台股行情!A:D,4,FALSE)</f>
        <v/>
      </c>
      <c r="Z283" s="437">
        <f>VLOOKUP(C283,台股行情!A:E,5,FALSE)</f>
        <v/>
      </c>
      <c r="AA283" s="438">
        <f>IF(I283="",((TODAY()-A283)*G283)/365.24,((I283-A283)*G283)/365.24)</f>
        <v/>
      </c>
      <c r="AB283" s="103" t="inlineStr">
        <is>
          <t>台股 ETF</t>
        </is>
      </c>
    </row>
    <row r="284" outlineLevel="1">
      <c r="A284" s="99" t="n">
        <v>46126</v>
      </c>
      <c r="B284" s="11" t="n"/>
      <c r="C284" s="349" t="n">
        <v>944</v>
      </c>
      <c r="D284" s="189">
        <f>VLOOKUP(C284,台股行情!A:B,2,FALSE)</f>
        <v/>
      </c>
      <c r="E284" s="11" t="n">
        <v>1000</v>
      </c>
      <c r="F284" s="11" t="n">
        <v>16.4</v>
      </c>
      <c r="G284" s="11">
        <f>E284*F284</f>
        <v/>
      </c>
      <c r="H284" s="11" t="n">
        <v>23</v>
      </c>
      <c r="I284" s="104" t="n">
        <v>46129</v>
      </c>
      <c r="J284" s="16" t="n">
        <v>16.98</v>
      </c>
      <c r="K284" s="11">
        <f>E284*J284</f>
        <v/>
      </c>
      <c r="L284" s="11">
        <f>ROUND(J284*E284*0.1425%,0)</f>
        <v/>
      </c>
      <c r="M284" s="11" t="n">
        <v>16</v>
      </c>
      <c r="N284" s="11" t="n">
        <v>0</v>
      </c>
      <c r="O284" s="434">
        <f>IF(I284="",E284*Y284,0)</f>
        <v/>
      </c>
      <c r="P284" s="435">
        <f>IF(I284="",R284-H284,(K284-H284-SUM(L284:N284)+R284-S284-T284)-G284)+(ROUND(R284*V284,0)-ROUND(R284*(1+V284),0)*W284)</f>
        <v/>
      </c>
      <c r="Q284" s="435">
        <f>IF(I284="",(O284-G284-(O284*0.1425%*0.65)-(O284*0.3%)-S284-T284),0)</f>
        <v/>
      </c>
      <c r="R284" s="435" t="n"/>
      <c r="S284" s="435" t="n"/>
      <c r="T284" s="435" t="n"/>
      <c r="U284" s="69">
        <f>(V284*50%)/(1+50%*V284)</f>
        <v/>
      </c>
      <c r="V284" s="69" t="n"/>
      <c r="W284" s="70" t="n">
        <v>0.11</v>
      </c>
      <c r="X284" s="436">
        <f>(P284+Q284)/G284</f>
        <v/>
      </c>
      <c r="Y284" s="16">
        <f>VLOOKUP(C284,台股行情!A:D,4,FALSE)</f>
        <v/>
      </c>
      <c r="Z284" s="437">
        <f>VLOOKUP(C284,台股行情!A:E,5,FALSE)</f>
        <v/>
      </c>
      <c r="AA284" s="438">
        <f>IF(I284="",((TODAY()-A284)*G284)/365.24,((I284-A284)*G284)/365.24)</f>
        <v/>
      </c>
      <c r="AB284" s="103" t="inlineStr">
        <is>
          <t>台股 ETF</t>
        </is>
      </c>
    </row>
    <row r="285" outlineLevel="1">
      <c r="A285" s="99" t="n">
        <v>46126</v>
      </c>
      <c r="B285" s="11" t="n"/>
      <c r="C285" s="11" t="n">
        <v>56</v>
      </c>
      <c r="D285" s="189">
        <f>VLOOKUP(C285,台股行情!A:B,2,FALSE)</f>
        <v/>
      </c>
      <c r="E285" s="11" t="n">
        <v>1000</v>
      </c>
      <c r="F285" s="11" t="n">
        <v>39.96</v>
      </c>
      <c r="G285" s="11">
        <f>E285*F285</f>
        <v/>
      </c>
      <c r="H285" s="11" t="n">
        <v>56</v>
      </c>
      <c r="I285" s="104" t="n">
        <v>46134</v>
      </c>
      <c r="J285" s="16" t="n">
        <v>42.3</v>
      </c>
      <c r="K285" s="11">
        <f>E285*J285</f>
        <v/>
      </c>
      <c r="L285" s="11">
        <f>ROUND(J285*E285*0.1425%,0)</f>
        <v/>
      </c>
      <c r="M285" s="11" t="n">
        <v>42</v>
      </c>
      <c r="N285" s="11" t="n">
        <v>0</v>
      </c>
      <c r="O285" s="434">
        <f>IF(I285="",E285*Y285,0)</f>
        <v/>
      </c>
      <c r="P285" s="435">
        <f>IF(I285="",R285-H285,(K285-H285-SUM(L285:N285)+R285-S285-T285)-G285)+(ROUND(R285*V285,0)-ROUND(R285*(1+V285),0)*W285)</f>
        <v/>
      </c>
      <c r="Q285" s="435">
        <f>IF(I285="",(O285-G285-(O285*0.1425%*0.65)-(O285*0.3%)-S285-T285),0)</f>
        <v/>
      </c>
      <c r="R285" s="435" t="n"/>
      <c r="S285" s="435" t="n"/>
      <c r="T285" s="435">
        <f>IF(ROUND(R285*(1+V285),0)&gt;20000,ROUND(ROUND(R285*(1+V285),0)*2%,0),0)</f>
        <v/>
      </c>
      <c r="U285" s="69">
        <f>(V285*50%)/(1+50%*V285)</f>
        <v/>
      </c>
      <c r="V285" s="69" t="n"/>
      <c r="W285" s="70" t="n">
        <v>0.11</v>
      </c>
      <c r="X285" s="436">
        <f>(P285+Q285)/G285</f>
        <v/>
      </c>
      <c r="Y285" s="16">
        <f>VLOOKUP(C285,台股行情!A:D,4,FALSE)</f>
        <v/>
      </c>
      <c r="Z285" s="437">
        <f>VLOOKUP(C285,台股行情!A:E,5,FALSE)</f>
        <v/>
      </c>
      <c r="AA285" s="438">
        <f>IF(I285="",((TODAY()-A285)*G285)/365.24,((I285-A285)*G285)/365.24)</f>
        <v/>
      </c>
      <c r="AB285" s="103" t="inlineStr">
        <is>
          <t>台股 ETF</t>
        </is>
      </c>
    </row>
    <row r="286" outlineLevel="1">
      <c r="A286" s="99" t="n">
        <v>46090</v>
      </c>
      <c r="B286" s="11" t="n"/>
      <c r="C286" s="11" t="n">
        <v>2603</v>
      </c>
      <c r="D286" s="189">
        <f>VLOOKUP(C286,台股行情!A:B,2,FALSE)</f>
        <v/>
      </c>
      <c r="E286" s="11" t="n">
        <v>1000</v>
      </c>
      <c r="F286" s="11" t="n">
        <v>212</v>
      </c>
      <c r="G286" s="11">
        <f>E286*F286</f>
        <v/>
      </c>
      <c r="H286" s="11" t="n">
        <v>302</v>
      </c>
      <c r="I286" s="104" t="n">
        <v>46136</v>
      </c>
      <c r="J286" s="16" t="n">
        <v>200.5</v>
      </c>
      <c r="K286" s="11">
        <f>E286*J286</f>
        <v/>
      </c>
      <c r="L286" s="11" t="n">
        <v>285</v>
      </c>
      <c r="M286" s="11" t="n">
        <v>601</v>
      </c>
      <c r="N286" s="11" t="n">
        <v>0</v>
      </c>
      <c r="O286" s="434">
        <f>IF(I286="",E286*Y286,0)</f>
        <v/>
      </c>
      <c r="P286" s="435">
        <f>IF(I286="",R286-H286,(K286-H286-SUM(L286:N286)+R286-S286-T286)-G286)+(ROUND(R286*V286,0)-ROUND(R286*(1+V286),0)*W286)</f>
        <v/>
      </c>
      <c r="Q286" s="435">
        <f>IF(I286="",(O286-G286-(O286*0.1425%*0.65)-(O286*0.3%)-S286-T286),0)</f>
        <v/>
      </c>
      <c r="R286" s="435" t="n"/>
      <c r="S286" s="435" t="n"/>
      <c r="T286" s="435">
        <f>IF(ROUND(R286*(1+V286),0)&gt;20000,ROUND(ROUND(R286*(1+V286),0)*2%,0),0)</f>
        <v/>
      </c>
      <c r="U286" s="69">
        <f>(V286*50%)/(1+50%*V286)</f>
        <v/>
      </c>
      <c r="V286" s="69" t="n"/>
      <c r="W286" s="70" t="n">
        <v>0.11</v>
      </c>
      <c r="X286" s="436">
        <f>(P286+Q286)/G286</f>
        <v/>
      </c>
      <c r="Y286" s="16">
        <f>VLOOKUP(C286,台股行情!A:D,4,FALSE)</f>
        <v/>
      </c>
      <c r="Z286" s="437">
        <f>VLOOKUP(C286,台股行情!A:E,5,FALSE)</f>
        <v/>
      </c>
      <c r="AA286" s="438">
        <f>IF(I286="",((TODAY()-A286)*G286)/365.24,((I286-A286)*G286)/365.24)</f>
        <v/>
      </c>
      <c r="AB286" s="103" t="inlineStr">
        <is>
          <t>台股</t>
        </is>
      </c>
    </row>
    <row r="287" outlineLevel="1">
      <c r="A287" s="99" t="n">
        <v>46104</v>
      </c>
      <c r="B287" s="11" t="n"/>
      <c r="C287" s="11" t="n">
        <v>3289</v>
      </c>
      <c r="D287" s="189">
        <f>VLOOKUP(C287,台股行情!A:B,2,FALSE)</f>
        <v/>
      </c>
      <c r="E287" s="11" t="n">
        <v>1000</v>
      </c>
      <c r="F287" s="11" t="n">
        <v>141.5</v>
      </c>
      <c r="G287" s="11">
        <f>E287*F287</f>
        <v/>
      </c>
      <c r="H287" s="11" t="n">
        <v>201</v>
      </c>
      <c r="I287" s="104" t="n">
        <v>46139</v>
      </c>
      <c r="J287" s="16" t="n">
        <v>172.5</v>
      </c>
      <c r="K287" s="11">
        <f>E287*J287</f>
        <v/>
      </c>
      <c r="L287" s="11" t="n">
        <v>245</v>
      </c>
      <c r="M287" s="11" t="n">
        <v>517</v>
      </c>
      <c r="N287" s="11" t="n">
        <v>0</v>
      </c>
      <c r="O287" s="434">
        <f>IF(I287="",E287*Y287,0)</f>
        <v/>
      </c>
      <c r="P287" s="435">
        <f>IF(I287="",R287-H287,(K287-H287-SUM(L287:N287)+R287-S287-T287)-G287)+(ROUND(R287*V287,0)-ROUND(R287*(1+V287),0)*W287)</f>
        <v/>
      </c>
      <c r="Q287" s="435">
        <f>IF(I287="",(O287-G287-(O287*0.1425%*0.65)-(O287*0.3%)-S287-T287),0)</f>
        <v/>
      </c>
      <c r="R287" s="435" t="n">
        <v>1195</v>
      </c>
      <c r="S287" s="435" t="n">
        <v>10</v>
      </c>
      <c r="T287" s="435">
        <f>IF(ROUND(R287*(1+V287),0)&gt;20000,ROUND(ROUND(R287*(1+V287),0)*2%,0),0)</f>
        <v/>
      </c>
      <c r="U287" s="69">
        <f>(V287*50%)/(1+50%*V287)</f>
        <v/>
      </c>
      <c r="V287" s="69" t="n"/>
      <c r="W287" s="70" t="n">
        <v>0.11</v>
      </c>
      <c r="X287" s="436">
        <f>(P287+Q287)/G287</f>
        <v/>
      </c>
      <c r="Y287" s="16">
        <f>VLOOKUP(C287,台股行情!A:D,4,FALSE)</f>
        <v/>
      </c>
      <c r="Z287" s="437">
        <f>VLOOKUP(C287,台股行情!A:E,5,FALSE)</f>
        <v/>
      </c>
      <c r="AA287" s="438">
        <f>IF(I287="",((TODAY()-A287)*G287)/365.24,((I287-A287)*G287)/365.24)</f>
        <v/>
      </c>
      <c r="AB287" s="103" t="inlineStr">
        <is>
          <t>台股</t>
        </is>
      </c>
    </row>
    <row r="288" outlineLevel="1">
      <c r="A288" s="99" t="n">
        <v>46149</v>
      </c>
      <c r="B288" s="11" t="n"/>
      <c r="C288" s="11" t="n">
        <v>4938</v>
      </c>
      <c r="D288" s="189">
        <f>VLOOKUP(C288,台股行情!A:B,2,FALSE)</f>
        <v/>
      </c>
      <c r="E288" s="11" t="n">
        <v>1000</v>
      </c>
      <c r="F288" s="11" t="n">
        <v>84.3</v>
      </c>
      <c r="G288" s="11">
        <f>E288*F288</f>
        <v/>
      </c>
      <c r="H288" s="11" t="n">
        <v>120</v>
      </c>
      <c r="I288" s="104" t="n">
        <v>46156</v>
      </c>
      <c r="J288" s="16" t="n">
        <v>76.8</v>
      </c>
      <c r="K288" s="11">
        <f>E288*J288</f>
        <v/>
      </c>
      <c r="L288" s="11">
        <f>ROUND(J288*E288*0.1425%,0)</f>
        <v/>
      </c>
      <c r="M288" s="11">
        <f>ROUND(J288*E288*0.3%,0)</f>
        <v/>
      </c>
      <c r="N288" s="11" t="n">
        <v>0</v>
      </c>
      <c r="O288" s="434">
        <f>IF(I288="",E288*Y288,0)</f>
        <v/>
      </c>
      <c r="P288" s="435">
        <f>IF(I288="",R288-H288,(K288-H288-SUM(L288:N288)+R288-S288-T288)-G288)+(ROUND(R288*V288,0)-ROUND(R288*(1+V288),0)*W288)</f>
        <v/>
      </c>
      <c r="Q288" s="435">
        <f>IF(I288="",(O288-G288-(O288*0.1425%*0.65)-(O288*0.3%)-S288-T288),0)</f>
        <v/>
      </c>
      <c r="R288" s="435" t="n"/>
      <c r="S288" s="435" t="n"/>
      <c r="T288" s="435">
        <f>IF(ROUND(R288*(1+V288),0)&gt;20000,ROUND(ROUND(R288*(1+V288),0)*2%,0),0)</f>
        <v/>
      </c>
      <c r="U288" s="69">
        <f>(V288*50%)/(1+50%*V288)</f>
        <v/>
      </c>
      <c r="V288" s="69" t="n"/>
      <c r="W288" s="70" t="n">
        <v>0.11</v>
      </c>
      <c r="X288" s="436">
        <f>(P288+Q288)/G288</f>
        <v/>
      </c>
      <c r="Y288" s="16">
        <f>VLOOKUP(C288,台股行情!A:D,4,FALSE)</f>
        <v/>
      </c>
      <c r="Z288" s="437">
        <f>VLOOKUP(C288,台股行情!A:E,5,FALSE)</f>
        <v/>
      </c>
      <c r="AA288" s="438">
        <f>IF(I288="",((TODAY()-A288)*G288)/365.24,((I288-A288)*G288)/365.24)</f>
        <v/>
      </c>
      <c r="AB288" s="103" t="inlineStr">
        <is>
          <t>台股</t>
        </is>
      </c>
      <c r="AC288" s="311" t="n"/>
    </row>
    <row r="289">
      <c r="A289" s="99" t="n">
        <v>46133</v>
      </c>
      <c r="B289" s="11" t="n"/>
      <c r="C289" s="11" t="n">
        <v>5347</v>
      </c>
      <c r="D289" s="189">
        <f>VLOOKUP(C289,台股行情!A:B,2,FALSE)</f>
        <v/>
      </c>
      <c r="E289" s="11" t="n">
        <v>1000</v>
      </c>
      <c r="F289" s="11" t="n">
        <v>141</v>
      </c>
      <c r="G289" s="11">
        <f>E289*F289</f>
        <v/>
      </c>
      <c r="H289" s="11" t="n">
        <v>200</v>
      </c>
      <c r="I289" s="104" t="n">
        <v>46164</v>
      </c>
      <c r="J289" s="16" t="n">
        <v>161</v>
      </c>
      <c r="K289" s="11">
        <f>E289*J289</f>
        <v/>
      </c>
      <c r="L289" s="11">
        <f>ROUND(J289*E289*0.1425%,0)</f>
        <v/>
      </c>
      <c r="M289" s="11">
        <f>ROUND(J289*E289*0.3%,0)</f>
        <v/>
      </c>
      <c r="N289" s="11" t="n">
        <v>0</v>
      </c>
      <c r="O289" s="434">
        <f>IF(I289="",E289*Y289,0)</f>
        <v/>
      </c>
      <c r="P289" s="435">
        <f>IF(I289="",R289-H289,(K289-H289-SUM(L289:N289)+R289-S289-T289)-G289)+(ROUND(R289*V289,0)-ROUND(R289*(1+V289),0)*W289)</f>
        <v/>
      </c>
      <c r="Q289" s="435">
        <f>IF(I289="",(O289-G289-(O289*0.1425%*0.65)-(O289*0.3%)-S289-T289),0)</f>
        <v/>
      </c>
      <c r="R289" s="435" t="n"/>
      <c r="S289" s="435" t="n"/>
      <c r="T289" s="435">
        <f>IF(ROUND(R289*(1+V289),0)&gt;20000,ROUND(ROUND(R289*(1+V289),0)*2%,0),0)</f>
        <v/>
      </c>
      <c r="U289" s="69">
        <f>(V289*50%)/(1+50%*V289)</f>
        <v/>
      </c>
      <c r="V289" s="69" t="n"/>
      <c r="W289" s="70" t="n">
        <v>0.11</v>
      </c>
      <c r="X289" s="436">
        <f>(P289+Q289)/G289</f>
        <v/>
      </c>
      <c r="Y289" s="16">
        <f>VLOOKUP(C289,台股行情!A:D,4,FALSE)</f>
        <v/>
      </c>
      <c r="Z289" s="437">
        <f>VLOOKUP(C289,台股行情!A:E,5,FALSE)</f>
        <v/>
      </c>
      <c r="AA289" s="438">
        <f>IF(I289="",((TODAY()-A289)*G289)/365.24,((I289-A289)*G289)/365.24)</f>
        <v/>
      </c>
      <c r="AB289" s="103" t="inlineStr">
        <is>
          <t>台股</t>
        </is>
      </c>
    </row>
    <row r="290">
      <c r="A290" s="275" t="n">
        <v>44280</v>
      </c>
      <c r="B290" s="11" t="inlineStr">
        <is>
          <t>普通買進</t>
        </is>
      </c>
      <c r="C290" s="11" t="n">
        <v>6770</v>
      </c>
      <c r="D290" s="273" t="inlineStr">
        <is>
          <t>力積電</t>
        </is>
      </c>
      <c r="E290" s="11" t="n">
        <v>2000</v>
      </c>
      <c r="F290" s="11" t="n">
        <v>75.09999999999999</v>
      </c>
      <c r="G290" s="11" t="n">
        <v>150200</v>
      </c>
      <c r="H290" s="11" t="n">
        <v>128</v>
      </c>
      <c r="I290" s="104" t="n"/>
      <c r="J290" s="16" t="n"/>
      <c r="K290" s="11">
        <f>E290*J290</f>
        <v/>
      </c>
      <c r="L290" s="11">
        <f>ROUND(J290*E290*0.1425%,0)</f>
        <v/>
      </c>
      <c r="M290" s="11">
        <f>ROUND(J290*E290*0.3%,0)</f>
        <v/>
      </c>
      <c r="N290" s="11" t="n">
        <v>0</v>
      </c>
      <c r="O290" s="434">
        <f>IF(I290="",E290*Y290,0)</f>
        <v/>
      </c>
      <c r="P290" s="435">
        <f>IF(I290="",R290-H290,(K290-H290-SUM(L290:N290)+R290-S290-T290)-G290)+(ROUND(R290*V290,0)-ROUND(R290*(1+V290),0)*W290)</f>
        <v/>
      </c>
      <c r="Q290" s="435">
        <f>IF(I290="",(O290-G290-(O290*0.1425%*0.65)-(O290*0.3%)-S290-T290),0)</f>
        <v/>
      </c>
      <c r="R290" s="435">
        <f>982+1412+2568+1584+651+3841</f>
        <v/>
      </c>
      <c r="S290" s="435" t="n">
        <v>50</v>
      </c>
      <c r="T290" s="435">
        <f>IF(ROUND(R290*(1+V290),0)&gt;20000,ROUND(ROUND(R290*(1+V290),0)*2%,0),0)</f>
        <v/>
      </c>
      <c r="U290" s="69">
        <f>(V290*50%)/(1+50%*V290)</f>
        <v/>
      </c>
      <c r="V290" s="69" t="n"/>
      <c r="W290" s="70" t="n">
        <v>0.11</v>
      </c>
      <c r="X290" s="436">
        <f>(P290+Q290)/G290</f>
        <v/>
      </c>
      <c r="Y290" s="16">
        <f>VLOOKUP(C290,台股行情!A:D,4,FALSE)</f>
        <v/>
      </c>
      <c r="Z290" s="437">
        <f>VLOOKUP(C290,台股行情!A:E,5,FALSE)</f>
        <v/>
      </c>
      <c r="AA290" s="438">
        <f>IF(I290="",((TODAY()-A290)*G290)/365.24,((I290-A290)*G290)/365.24)</f>
        <v/>
      </c>
      <c r="AB290" s="103" t="inlineStr">
        <is>
          <t>台股</t>
        </is>
      </c>
    </row>
    <row r="291" outlineLevel="1">
      <c r="A291" s="275" t="n">
        <v>44294</v>
      </c>
      <c r="B291" s="11" t="inlineStr">
        <is>
          <t>普通買進</t>
        </is>
      </c>
      <c r="C291" s="11" t="n">
        <v>3034</v>
      </c>
      <c r="D291" s="189">
        <f>VLOOKUP(C291,台股行情!A:B,2,FALSE)</f>
        <v/>
      </c>
      <c r="E291" s="11" t="n">
        <v>1000</v>
      </c>
      <c r="F291" s="11" t="n">
        <v>619</v>
      </c>
      <c r="G291" s="11">
        <f>E291*F291</f>
        <v/>
      </c>
      <c r="H291" s="11" t="n">
        <v>882</v>
      </c>
      <c r="I291" s="104" t="n"/>
      <c r="J291" s="16" t="n"/>
      <c r="K291" s="11">
        <f>E291*J291</f>
        <v/>
      </c>
      <c r="L291" s="11">
        <f>ROUND(J291*E291*0.1425%,0)</f>
        <v/>
      </c>
      <c r="M291" s="11">
        <f>ROUND(J291*E291*0.3%,0)</f>
        <v/>
      </c>
      <c r="N291" s="11" t="n">
        <v>0</v>
      </c>
      <c r="O291" s="434">
        <f>IF(I291="",E291*Y291,0)</f>
        <v/>
      </c>
      <c r="P291" s="435">
        <f>IF(I291="",R291-H291,(K291-H291-SUM(L291:N291)+R291-S291-T291)-G291)+(ROUND(R291*V291,0)-ROUND(R291*(1+V291),0)*W291)</f>
        <v/>
      </c>
      <c r="Q291" s="435">
        <f>IF(I291="",(O291-G291-(O291*0.1425%*0.65)-(O291*0.3%)-S291-T291),0)</f>
        <v/>
      </c>
      <c r="R291" s="435">
        <f>15600+51500+37000+32000+28000</f>
        <v/>
      </c>
      <c r="S291" s="435" t="n">
        <v>50</v>
      </c>
      <c r="T291" s="435">
        <f>IF(ROUND(R291*(1+V291),0)&gt;20000,ROUND(ROUND(R291*(1+V291),0)*2%,0),0)</f>
        <v/>
      </c>
      <c r="U291" s="69">
        <f>(V291*50%)/(1+50%*V291)</f>
        <v/>
      </c>
      <c r="V291" s="69" t="n"/>
      <c r="W291" s="70" t="n">
        <v>0.11</v>
      </c>
      <c r="X291" s="436">
        <f>(P291+Q291)/G291</f>
        <v/>
      </c>
      <c r="Y291" s="16">
        <f>VLOOKUP(C291,台股行情!A:D,4,FALSE)</f>
        <v/>
      </c>
      <c r="Z291" s="437">
        <f>VLOOKUP(C291,台股行情!A:E,5,FALSE)</f>
        <v/>
      </c>
      <c r="AA291" s="438">
        <f>IF(I291="",((TODAY()-A291)*G291)/365.24,((I291-A291)*G291)/365.24)</f>
        <v/>
      </c>
      <c r="AB291" s="103" t="inlineStr">
        <is>
          <t>台股</t>
        </is>
      </c>
    </row>
    <row r="292" outlineLevel="1">
      <c r="A292" s="275" t="n">
        <v>44300</v>
      </c>
      <c r="B292" s="11" t="inlineStr">
        <is>
          <t>普通買進</t>
        </is>
      </c>
      <c r="C292" s="11" t="n">
        <v>2458</v>
      </c>
      <c r="D292" s="189">
        <f>VLOOKUP(C292,台股行情!A:B,2,FALSE)</f>
        <v/>
      </c>
      <c r="E292" s="11" t="n">
        <v>1000</v>
      </c>
      <c r="F292" s="11" t="n">
        <v>204.5</v>
      </c>
      <c r="G292" s="11">
        <f>E292*F292</f>
        <v/>
      </c>
      <c r="H292" s="11" t="n">
        <v>291</v>
      </c>
      <c r="I292" s="104" t="n"/>
      <c r="J292" s="16" t="n"/>
      <c r="K292" s="11">
        <f>E292*J292</f>
        <v/>
      </c>
      <c r="L292" s="11">
        <f>ROUND(J292*E292*0.1425%,0)</f>
        <v/>
      </c>
      <c r="M292" s="11">
        <f>ROUND(J292*E292*0.3%,0)</f>
        <v/>
      </c>
      <c r="N292" s="11" t="n">
        <v>0</v>
      </c>
      <c r="O292" s="434">
        <f>IF(I292="",E292*Y292,0)</f>
        <v/>
      </c>
      <c r="P292" s="435">
        <f>IF(I292="",R292-H292,(K292-H292-SUM(L292:N292)+R292-S292-T292)-G292)+(ROUND(R292*V292,0)-ROUND(R292*(1+V292),0)*W292)</f>
        <v/>
      </c>
      <c r="Q292" s="435">
        <f>IF(I292="",(O292-G292-(O292*0.1425%*0.65)-(O292*0.3%)-S292-T292),0)</f>
        <v/>
      </c>
      <c r="R292" s="435">
        <f>9000+13811+3069+2046+3052+4069+3763+2644+4424</f>
        <v/>
      </c>
      <c r="S292" s="435" t="n">
        <v>60</v>
      </c>
      <c r="T292" s="435">
        <f>IF(ROUND(R292*(1+V292),0)&gt;20000,ROUND(ROUND(R292*(1+V292),0)*2%,0),0)</f>
        <v/>
      </c>
      <c r="U292" s="69">
        <f>(V292*50%)/(1+50%*V292)</f>
        <v/>
      </c>
      <c r="V292" s="69" t="n"/>
      <c r="W292" s="70" t="n">
        <v>0.11</v>
      </c>
      <c r="X292" s="436">
        <f>(P292+Q292)/G292</f>
        <v/>
      </c>
      <c r="Y292" s="16">
        <f>VLOOKUP(C292,台股行情!A:D,4,FALSE)</f>
        <v/>
      </c>
      <c r="Z292" s="437">
        <f>VLOOKUP(C292,台股行情!A:E,5,FALSE)</f>
        <v/>
      </c>
      <c r="AA292" s="438">
        <f>IF(I292="",((TODAY()-A292)*G292)/365.24,((I292-A292)*G292)/365.24)</f>
        <v/>
      </c>
      <c r="AB292" s="103" t="inlineStr">
        <is>
          <t>台股</t>
        </is>
      </c>
    </row>
    <row r="293" outlineLevel="1">
      <c r="A293" s="275" t="n">
        <v>44308</v>
      </c>
      <c r="B293" s="11" t="inlineStr">
        <is>
          <t>普通買進</t>
        </is>
      </c>
      <c r="C293" s="11" t="n">
        <v>3481</v>
      </c>
      <c r="D293" s="189">
        <f>VLOOKUP(C293,台股行情!A:B,2,FALSE)</f>
        <v/>
      </c>
      <c r="E293" s="11" t="n">
        <v>859</v>
      </c>
      <c r="F293" s="11" t="n">
        <v>29.1</v>
      </c>
      <c r="G293" s="183" t="n">
        <v>29100</v>
      </c>
      <c r="H293" s="183" t="n">
        <v>41</v>
      </c>
      <c r="I293" s="104" t="n"/>
      <c r="J293" s="16" t="n"/>
      <c r="K293" s="11">
        <f>E293*J293</f>
        <v/>
      </c>
      <c r="L293" s="11">
        <f>ROUND(J293*E293*0.1425%,0)</f>
        <v/>
      </c>
      <c r="M293" s="11">
        <f>ROUND(J293*E293*0.3%,0)</f>
        <v/>
      </c>
      <c r="N293" s="11" t="n">
        <v>0</v>
      </c>
      <c r="O293" s="434">
        <f>IF(I293="",E293*Y293,0)</f>
        <v/>
      </c>
      <c r="P293" s="435">
        <f>IF(I293="",R293-H293,(K293-H293-SUM(L293:N293)+R293-S293-T293)-G293)+(ROUND(R293*V293,0)-ROUND(R293*(1+V293),0)*W293)</f>
        <v/>
      </c>
      <c r="Q293" s="435">
        <f>IF(I293="",(O293-G293-(O293*0.1425%*0.65)-(O293*0.3%)-S293-T293),0)</f>
        <v/>
      </c>
      <c r="R293" s="435">
        <f>398+1054+755</f>
        <v/>
      </c>
      <c r="S293" s="435" t="n">
        <v>20</v>
      </c>
      <c r="T293" s="435">
        <f>IF(ROUND(R293*(1+V293),0)&gt;20000,ROUND(ROUND(R293*(1+V293),0)*2%,0),0)</f>
        <v/>
      </c>
      <c r="U293" s="69">
        <f>(V293*50%)/(1+50%*V293)</f>
        <v/>
      </c>
      <c r="V293" s="69" t="n"/>
      <c r="W293" s="70" t="n">
        <v>0.11</v>
      </c>
      <c r="X293" s="436">
        <f>(P293+Q293)/G293</f>
        <v/>
      </c>
      <c r="Y293" s="16">
        <f>VLOOKUP(C293,台股行情!A:D,4,FALSE)</f>
        <v/>
      </c>
      <c r="Z293" s="437">
        <f>VLOOKUP(C293,台股行情!A:E,5,FALSE)</f>
        <v/>
      </c>
      <c r="AA293" s="438">
        <f>IF(I293="",((TODAY()-A293)*G293)/365.24,((I293-A293)*G293)/365.24)</f>
        <v/>
      </c>
      <c r="AB293" s="103" t="inlineStr">
        <is>
          <t>台股</t>
        </is>
      </c>
    </row>
    <row r="294" outlineLevel="1">
      <c r="A294" s="275" t="n">
        <v>45338</v>
      </c>
      <c r="B294" s="11" t="n"/>
      <c r="C294" s="11" t="n">
        <v>6196</v>
      </c>
      <c r="D294" s="189">
        <f>VLOOKUP(C294,台股行情!A:B,2,FALSE)</f>
        <v/>
      </c>
      <c r="E294" s="11" t="n">
        <v>1000</v>
      </c>
      <c r="F294" s="11" t="n">
        <v>162</v>
      </c>
      <c r="G294" s="11">
        <f>E294*F294</f>
        <v/>
      </c>
      <c r="H294" s="11" t="n">
        <v>230</v>
      </c>
      <c r="I294" s="104" t="n"/>
      <c r="J294" s="16" t="n"/>
      <c r="K294" s="11">
        <f>E294*J294</f>
        <v/>
      </c>
      <c r="L294" s="11">
        <f>ROUND(J294*E294*0.1425%,0)</f>
        <v/>
      </c>
      <c r="M294" s="11">
        <f>ROUND(J294*E294*0.3%,0)</f>
        <v/>
      </c>
      <c r="N294" s="11" t="n">
        <v>0</v>
      </c>
      <c r="O294" s="434">
        <f>IF(I294="",E294*Y294,0)</f>
        <v/>
      </c>
      <c r="P294" s="435">
        <f>IF(I294="",R294-H294,(K294-H294-SUM(L294:N294)+R294-S294-T294)-G294)+(ROUND(R294*V294,0)-ROUND(R294*(1+V294),0)*W294)</f>
        <v/>
      </c>
      <c r="Q294" s="435">
        <f>IF(I294="",(O294-G294-(O294*0.1425%*0.65)-(O294*0.3%)-S294-T294),0)</f>
        <v/>
      </c>
      <c r="R294" s="435">
        <f>6000+5905</f>
        <v/>
      </c>
      <c r="S294" s="435" t="n">
        <v>20</v>
      </c>
      <c r="T294" s="435">
        <f>IF(ROUND(R294*(1+V294),0)&gt;20000,ROUND(ROUND(R294*(1+V294),0)*2%,0),0)</f>
        <v/>
      </c>
      <c r="U294" s="69">
        <f>(V294*50%)/(1+50%*V294)</f>
        <v/>
      </c>
      <c r="V294" s="69" t="n"/>
      <c r="W294" s="70" t="n">
        <v>0.11</v>
      </c>
      <c r="X294" s="436">
        <f>(P294+Q294)/G294</f>
        <v/>
      </c>
      <c r="Y294" s="16">
        <f>VLOOKUP(C294,台股行情!A:D,4,FALSE)</f>
        <v/>
      </c>
      <c r="Z294" s="437">
        <f>VLOOKUP(C294,台股行情!A:E,5,FALSE)</f>
        <v/>
      </c>
      <c r="AA294" s="438">
        <f>IF(I294="",((TODAY()-A294)*G294)/365.24,((I294-A294)*G294)/365.24)</f>
        <v/>
      </c>
      <c r="AB294" s="103" t="inlineStr">
        <is>
          <t>台股</t>
        </is>
      </c>
    </row>
    <row r="295" outlineLevel="1">
      <c r="A295" s="275" t="n">
        <v>45896</v>
      </c>
      <c r="B295" s="11" t="n"/>
      <c r="C295" s="11" t="n">
        <v>2233</v>
      </c>
      <c r="D295" s="189">
        <f>VLOOKUP(C295,台股行情!A:B,2,FALSE)</f>
        <v/>
      </c>
      <c r="E295" s="11" t="n">
        <v>1000</v>
      </c>
      <c r="F295" s="11" t="n">
        <v>266.5</v>
      </c>
      <c r="G295" s="11">
        <f>E295*F295</f>
        <v/>
      </c>
      <c r="H295" s="11" t="n">
        <v>379</v>
      </c>
      <c r="I295" s="104" t="n"/>
      <c r="J295" s="16" t="n"/>
      <c r="K295" s="11">
        <f>E295*J295</f>
        <v/>
      </c>
      <c r="L295" s="11">
        <f>ROUND(J295*E295*0.1425%,0)</f>
        <v/>
      </c>
      <c r="M295" s="11">
        <f>ROUND(J295*E295*0.3%,0)</f>
        <v/>
      </c>
      <c r="N295" s="11" t="n">
        <v>0</v>
      </c>
      <c r="O295" s="434">
        <f>IF(I295="",E295*Y295,0)</f>
        <v/>
      </c>
      <c r="P295" s="435">
        <f>IF(I295="",R295-H295,(K295-H295-SUM(L295:N295)+R295-S295-T295)-G295)+(ROUND(R295*V295,0)-ROUND(R295*(1+V295),0)*W295)</f>
        <v/>
      </c>
      <c r="Q295" s="435">
        <f>IF(I295="",(O295-G295-(O295*0.1425%*0.65)-(O295*0.3%)-S295-T295),0)</f>
        <v/>
      </c>
      <c r="R295" s="435" t="n"/>
      <c r="S295" s="435" t="n"/>
      <c r="T295" s="435">
        <f>IF(ROUND(R295*(1+V295),0)&gt;20000,ROUND(ROUND(R295*(1+V295),0)*2%,0),0)</f>
        <v/>
      </c>
      <c r="U295" s="69">
        <f>(V295*50%)/(1+50%*V295)</f>
        <v/>
      </c>
      <c r="V295" s="69" t="n"/>
      <c r="W295" s="70" t="n">
        <v>0.11</v>
      </c>
      <c r="X295" s="436">
        <f>(P295+Q295)/G295</f>
        <v/>
      </c>
      <c r="Y295" s="16">
        <f>VLOOKUP(C295,台股行情!A:D,4,FALSE)</f>
        <v/>
      </c>
      <c r="Z295" s="437">
        <f>VLOOKUP(C295,台股行情!A:E,5,FALSE)</f>
        <v/>
      </c>
      <c r="AA295" s="438">
        <f>IF(I295="",((TODAY()-A295)*G295)/365.24,((I295-A295)*G295)/365.24)</f>
        <v/>
      </c>
      <c r="AB295" s="103" t="inlineStr">
        <is>
          <t>台股</t>
        </is>
      </c>
    </row>
    <row r="296">
      <c r="A296" s="99" t="n">
        <v>46050</v>
      </c>
      <c r="B296" s="11" t="n"/>
      <c r="C296" s="341" t="inlineStr">
        <is>
          <t>00981A</t>
        </is>
      </c>
      <c r="D296" s="189">
        <f>VLOOKUP(C296,台股行情!A:B,2,FALSE)</f>
        <v/>
      </c>
      <c r="E296" s="11" t="n">
        <v>2000</v>
      </c>
      <c r="F296" s="11" t="n">
        <v>18.4</v>
      </c>
      <c r="G296" s="11">
        <f>E296*F296</f>
        <v/>
      </c>
      <c r="H296" s="11" t="n">
        <v>52</v>
      </c>
      <c r="I296" s="104" t="n"/>
      <c r="J296" s="16" t="n"/>
      <c r="K296" s="11">
        <f>E296*J296</f>
        <v/>
      </c>
      <c r="L296" s="11">
        <f>ROUND(J296*E296*0.1425%,0)</f>
        <v/>
      </c>
      <c r="M296" s="11">
        <f>ROUND(J296*E296*0.3%,0)</f>
        <v/>
      </c>
      <c r="N296" s="11" t="n">
        <v>0</v>
      </c>
      <c r="O296" s="434">
        <f>IF(I296="",E296*Y296,0)</f>
        <v/>
      </c>
      <c r="P296" s="435">
        <f>IF(I296="",R296-H296,(K296-H296-SUM(L296:N296)+R296-S296-T296)-G296)+(ROUND(R296*V296,0)-ROUND(R296*(1+V296),0)*W296)</f>
        <v/>
      </c>
      <c r="Q296" s="435">
        <f>IF(I296="",(O296-G296-(O296*0.1425%*0.65)-(O296*0.3%)-S296-T296),0)</f>
        <v/>
      </c>
      <c r="R296" s="435" t="n">
        <v>820</v>
      </c>
      <c r="S296" s="435" t="n">
        <v>10</v>
      </c>
      <c r="T296" s="435">
        <f>IF(ROUND(R296*(1+V296),0)&gt;20000,ROUND(ROUND(R296*(1+V296),0)*2%,0),0)</f>
        <v/>
      </c>
      <c r="U296" s="69">
        <f>(V296*50%)/(1+50%*V296)</f>
        <v/>
      </c>
      <c r="V296" s="69" t="n"/>
      <c r="W296" s="70" t="n">
        <v>0.11</v>
      </c>
      <c r="X296" s="436">
        <f>(P296+Q296)/G296</f>
        <v/>
      </c>
      <c r="Y296" s="16">
        <f>VLOOKUP(C296,台股行情!A:D,4,FALSE)</f>
        <v/>
      </c>
      <c r="Z296" s="437">
        <f>VLOOKUP(C296,台股行情!A:E,5,FALSE)</f>
        <v/>
      </c>
      <c r="AA296" s="438">
        <f>IF(I296="",((TODAY()-A296)*G296)/365.24,((I296-A296)*G296)/365.24)</f>
        <v/>
      </c>
      <c r="AB296" s="103" t="inlineStr">
        <is>
          <t>台股 ETF</t>
        </is>
      </c>
    </row>
    <row r="297">
      <c r="A297" s="99" t="n">
        <v>46051</v>
      </c>
      <c r="B297" s="11" t="n"/>
      <c r="C297" s="341" t="inlineStr">
        <is>
          <t>00981A</t>
        </is>
      </c>
      <c r="D297" s="189">
        <f>VLOOKUP(C297,台股行情!A:B,2,FALSE)</f>
        <v/>
      </c>
      <c r="E297" s="11" t="n">
        <v>1000</v>
      </c>
      <c r="F297" s="11" t="n">
        <v>18.21</v>
      </c>
      <c r="G297" s="11">
        <f>E297*F297</f>
        <v/>
      </c>
      <c r="H297" s="11" t="n">
        <v>25</v>
      </c>
      <c r="I297" s="104" t="n"/>
      <c r="J297" s="16" t="n"/>
      <c r="K297" s="11">
        <f>E297*J297</f>
        <v/>
      </c>
      <c r="L297" s="11">
        <f>ROUND(J297*E297*0.1425%,0)</f>
        <v/>
      </c>
      <c r="M297" s="11">
        <f>ROUND(J297*E297*0.3%,0)</f>
        <v/>
      </c>
      <c r="N297" s="11" t="n">
        <v>0</v>
      </c>
      <c r="O297" s="434">
        <f>IF(I297="",E297*Y297,0)</f>
        <v/>
      </c>
      <c r="P297" s="435">
        <f>IF(I297="",R297-H297,(K297-H297-SUM(L297:N297)+R297-S297-T297)-G297)+(ROUND(R297*V297,0)-ROUND(R297*(1+V297),0)*W297)</f>
        <v/>
      </c>
      <c r="Q297" s="435">
        <f>IF(I297="",(O297-G297-(O297*0.1425%*0.65)-(O297*0.3%)-S297-T297),0)</f>
        <v/>
      </c>
      <c r="R297" s="435" t="n">
        <v>410</v>
      </c>
      <c r="S297" s="435" t="n">
        <v>10</v>
      </c>
      <c r="T297" s="435">
        <f>IF(ROUND(R297*(1+V297),0)&gt;20000,ROUND(ROUND(R297*(1+V297),0)*2%,0),0)</f>
        <v/>
      </c>
      <c r="U297" s="69">
        <f>(V297*50%)/(1+50%*V297)</f>
        <v/>
      </c>
      <c r="V297" s="69" t="n"/>
      <c r="W297" s="70" t="n">
        <v>0.11</v>
      </c>
      <c r="X297" s="436">
        <f>(P297+Q297)/G297</f>
        <v/>
      </c>
      <c r="Y297" s="16">
        <f>VLOOKUP(C297,台股行情!A:D,4,FALSE)</f>
        <v/>
      </c>
      <c r="Z297" s="437">
        <f>VLOOKUP(C297,台股行情!A:E,5,FALSE)</f>
        <v/>
      </c>
      <c r="AA297" s="438">
        <f>IF(I297="",((TODAY()-A297)*G297)/365.24,((I297-A297)*G297)/365.24)</f>
        <v/>
      </c>
      <c r="AB297" s="103" t="inlineStr">
        <is>
          <t>台股 ETF</t>
        </is>
      </c>
    </row>
    <row r="298">
      <c r="A298" s="99" t="n">
        <v>46076</v>
      </c>
      <c r="B298" s="11" t="n"/>
      <c r="C298" s="341" t="inlineStr">
        <is>
          <t>00981A</t>
        </is>
      </c>
      <c r="D298" s="189">
        <f>VLOOKUP(C298,台股行情!A:B,2,FALSE)</f>
        <v/>
      </c>
      <c r="E298" s="11" t="n">
        <v>523</v>
      </c>
      <c r="F298" s="11" t="n">
        <v>19.11</v>
      </c>
      <c r="G298" s="11" t="n">
        <v>9994</v>
      </c>
      <c r="H298" s="11" t="n">
        <v>1</v>
      </c>
      <c r="I298" s="104" t="n"/>
      <c r="J298" s="16" t="n"/>
      <c r="K298" s="11">
        <f>E298*J298</f>
        <v/>
      </c>
      <c r="L298" s="11">
        <f>ROUND(J298*E298*0.1425%,0)</f>
        <v/>
      </c>
      <c r="M298" s="11">
        <f>ROUND(J298*E298*0.3%,0)</f>
        <v/>
      </c>
      <c r="N298" s="11" t="n">
        <v>0</v>
      </c>
      <c r="O298" s="434">
        <f>IF(I298="",E298*Y298,0)</f>
        <v/>
      </c>
      <c r="P298" s="435">
        <f>IF(I298="",R298-H298,(K298-H298-SUM(L298:N298)+R298-S298-T298)-G298)+(ROUND(R298*V298,0)-ROUND(R298*(1+V298),0)*W298)</f>
        <v/>
      </c>
      <c r="Q298" s="435">
        <f>IF(I298="",(O298-G298-(O298*0.1425%*0.65)-(O298*0.3%)-S298-T298),0)</f>
        <v/>
      </c>
      <c r="R298" s="435" t="n">
        <v>214</v>
      </c>
      <c r="S298" s="435" t="n">
        <v>10</v>
      </c>
      <c r="T298" s="435">
        <f>IF(ROUND(R298*(1+V298),0)&gt;20000,ROUND(ROUND(R298*(1+V298),0)*2%,0),0)</f>
        <v/>
      </c>
      <c r="U298" s="69">
        <f>(V298*50%)/(1+50%*V298)</f>
        <v/>
      </c>
      <c r="V298" s="69" t="n"/>
      <c r="W298" s="70" t="n">
        <v>0.11</v>
      </c>
      <c r="X298" s="436">
        <f>(P298+Q298)/G298</f>
        <v/>
      </c>
      <c r="Y298" s="16">
        <f>VLOOKUP(C298,台股行情!A:D,4,FALSE)</f>
        <v/>
      </c>
      <c r="Z298" s="437">
        <f>VLOOKUP(C298,台股行情!A:E,5,FALSE)</f>
        <v/>
      </c>
      <c r="AA298" s="438">
        <f>IF(I298="",((TODAY()-A298)*G298)/365.24,((I298-A298)*G298)/365.24)</f>
        <v/>
      </c>
      <c r="AB298" s="103" t="inlineStr">
        <is>
          <t>台股 ETF</t>
        </is>
      </c>
    </row>
    <row r="299">
      <c r="A299" s="99" t="n">
        <v>46079</v>
      </c>
      <c r="B299" s="11" t="n"/>
      <c r="C299" s="341" t="inlineStr">
        <is>
          <t>00981A</t>
        </is>
      </c>
      <c r="D299" s="189">
        <f>VLOOKUP(C299,台股行情!A:B,2,FALSE)</f>
        <v/>
      </c>
      <c r="E299" s="11" t="n">
        <v>495</v>
      </c>
      <c r="F299" s="11" t="n">
        <v>20.19</v>
      </c>
      <c r="G299" s="11" t="n">
        <v>9994</v>
      </c>
      <c r="H299" s="11" t="n">
        <v>1</v>
      </c>
      <c r="I299" s="104" t="n"/>
      <c r="J299" s="16" t="n"/>
      <c r="K299" s="11">
        <f>E299*J299</f>
        <v/>
      </c>
      <c r="L299" s="11">
        <f>ROUND(J299*E299*0.1425%,0)</f>
        <v/>
      </c>
      <c r="M299" s="11">
        <f>ROUND(J299*E299*0.3%,0)</f>
        <v/>
      </c>
      <c r="N299" s="11" t="n">
        <v>0</v>
      </c>
      <c r="O299" s="434">
        <f>IF(I299="",E299*Y299,0)</f>
        <v/>
      </c>
      <c r="P299" s="435">
        <f>IF(I299="",R299-H299,(K299-H299-SUM(L299:N299)+R299-S299-T299)-G299)+(ROUND(R299*V299,0)-ROUND(R299*(1+V299),0)*W299)</f>
        <v/>
      </c>
      <c r="Q299" s="435">
        <f>IF(I299="",(O299-G299-(O299*0.1425%*0.65)-(O299*0.3%)-S299-T299),0)</f>
        <v/>
      </c>
      <c r="R299" s="435" t="n">
        <v>203</v>
      </c>
      <c r="S299" s="435" t="n">
        <v>10</v>
      </c>
      <c r="T299" s="435">
        <f>IF(ROUND(R299*(1+V299),0)&gt;20000,ROUND(ROUND(R299*(1+V299),0)*2%,0),0)</f>
        <v/>
      </c>
      <c r="U299" s="69">
        <f>(V299*50%)/(1+50%*V299)</f>
        <v/>
      </c>
      <c r="V299" s="69" t="n"/>
      <c r="W299" s="70" t="n">
        <v>0.11</v>
      </c>
      <c r="X299" s="436">
        <f>(P299+Q299)/G299</f>
        <v/>
      </c>
      <c r="Y299" s="16">
        <f>VLOOKUP(C299,台股行情!A:D,4,FALSE)</f>
        <v/>
      </c>
      <c r="Z299" s="437">
        <f>VLOOKUP(C299,台股行情!A:E,5,FALSE)</f>
        <v/>
      </c>
      <c r="AA299" s="438">
        <f>IF(I299="",((TODAY()-A299)*G299)/365.24,((I299-A299)*G299)/365.24)</f>
        <v/>
      </c>
      <c r="AB299" s="103" t="inlineStr">
        <is>
          <t>台股 ETF</t>
        </is>
      </c>
    </row>
    <row r="300">
      <c r="A300" s="99" t="n">
        <v>46087</v>
      </c>
      <c r="B300" s="11" t="n"/>
      <c r="C300" s="349" t="inlineStr">
        <is>
          <t>00991A</t>
        </is>
      </c>
      <c r="D300" s="189">
        <f>VLOOKUP(C300,台股行情!A:B,2,FALSE)</f>
        <v/>
      </c>
      <c r="E300" s="11" t="n">
        <v>825</v>
      </c>
      <c r="F300" s="11" t="n">
        <v>12.11</v>
      </c>
      <c r="G300" s="11" t="n">
        <v>9990</v>
      </c>
      <c r="H300" s="11" t="n">
        <v>1</v>
      </c>
      <c r="I300" s="104" t="n"/>
      <c r="J300" s="16" t="n"/>
      <c r="K300" s="11">
        <f>E300*J300</f>
        <v/>
      </c>
      <c r="L300" s="11">
        <f>ROUND(J300*E300*0.1425%,0)</f>
        <v/>
      </c>
      <c r="M300" s="11">
        <f>ROUND(J300*E300*0.3%,0)</f>
        <v/>
      </c>
      <c r="N300" s="11" t="n">
        <v>0</v>
      </c>
      <c r="O300" s="434">
        <f>IF(I300="",E300*Y300,0)</f>
        <v/>
      </c>
      <c r="P300" s="435">
        <f>IF(I300="",R300-H300,(K300-H300-SUM(L300:N300)+R300-S300-T300)-G300)+(ROUND(R300*V300,0)-ROUND(R300*(1+V300),0)*W300)</f>
        <v/>
      </c>
      <c r="Q300" s="435">
        <f>IF(I300="",(O300-G300-(O300*0.1425%*0.65)-(O300*0.3%)-S300-T300),0)</f>
        <v/>
      </c>
      <c r="R300" s="435" t="n"/>
      <c r="S300" s="435" t="n"/>
      <c r="T300" s="435">
        <f>IF(ROUND(R300*(1+V300),0)&gt;20000,ROUND(ROUND(R300*(1+V300),0)*2%,0),0)</f>
        <v/>
      </c>
      <c r="U300" s="69">
        <f>(V300*50%)/(1+50%*V300)</f>
        <v/>
      </c>
      <c r="V300" s="69" t="n"/>
      <c r="W300" s="70" t="n">
        <v>0.11</v>
      </c>
      <c r="X300" s="436">
        <f>(P300+Q300)/G300</f>
        <v/>
      </c>
      <c r="Y300" s="16">
        <f>VLOOKUP(C300,台股行情!A:D,4,FALSE)</f>
        <v/>
      </c>
      <c r="Z300" s="437">
        <f>VLOOKUP(C300,台股行情!A:E,5,FALSE)</f>
        <v/>
      </c>
      <c r="AA300" s="438">
        <f>IF(I300="",((TODAY()-A300)*G300)/365.24,((I300-A300)*G300)/365.24)</f>
        <v/>
      </c>
      <c r="AB300" s="103" t="inlineStr">
        <is>
          <t>台股 ETF</t>
        </is>
      </c>
    </row>
    <row r="301">
      <c r="A301" s="99" t="n">
        <v>46090</v>
      </c>
      <c r="B301" s="11" t="n"/>
      <c r="C301" s="349" t="n">
        <v>830</v>
      </c>
      <c r="D301" s="189">
        <f>VLOOKUP(C301,台股行情!A:B,2,FALSE)</f>
        <v/>
      </c>
      <c r="E301" s="11" t="n">
        <v>192</v>
      </c>
      <c r="F301" s="11" t="n">
        <v>51.84</v>
      </c>
      <c r="G301" s="11" t="n">
        <v>9990</v>
      </c>
      <c r="H301" s="11" t="n">
        <v>1</v>
      </c>
      <c r="I301" s="104" t="n"/>
      <c r="J301" s="16" t="n"/>
      <c r="K301" s="11">
        <f>E301*J301</f>
        <v/>
      </c>
      <c r="L301" s="11">
        <f>ROUND(J301*E301*0.1425%,0)</f>
        <v/>
      </c>
      <c r="M301" s="11">
        <f>ROUND(J301*E301*0.3%,0)</f>
        <v/>
      </c>
      <c r="N301" s="11" t="n">
        <v>0</v>
      </c>
      <c r="O301" s="434">
        <f>IF(I301="",E301*Y301,0)</f>
        <v/>
      </c>
      <c r="P301" s="435">
        <f>IF(I301="",R301-H301,(K301-H301-SUM(L301:N301)+R301-S301-T301)-G301)+(ROUND(R301*V301,0)-ROUND(R301*(1+V301),0)*W301)</f>
        <v/>
      </c>
      <c r="Q301" s="435">
        <f>IF(I301="",(O301-G301-(O301*0.1425%*0.65)-(O301*0.3%)-S301-T301),0)</f>
        <v/>
      </c>
      <c r="R301" s="435" t="n"/>
      <c r="S301" s="435" t="n"/>
      <c r="T301" s="435">
        <f>IF(ROUND(R301*(1+V301),0)&gt;20000,ROUND(ROUND(R301*(1+V301),0)*2%,0),0)</f>
        <v/>
      </c>
      <c r="U301" s="69">
        <f>(V301*50%)/(1+50%*V301)</f>
        <v/>
      </c>
      <c r="V301" s="69" t="n"/>
      <c r="W301" s="70" t="n">
        <v>0.11</v>
      </c>
      <c r="X301" s="436">
        <f>(P301+Q301)/G301</f>
        <v/>
      </c>
      <c r="Y301" s="16">
        <f>VLOOKUP(C301,台股行情!A:D,4,FALSE)</f>
        <v/>
      </c>
      <c r="Z301" s="437">
        <f>VLOOKUP(C301,台股行情!A:E,5,FALSE)</f>
        <v/>
      </c>
      <c r="AA301" s="438">
        <f>IF(I301="",((TODAY()-A301)*G301)/365.24,((I301-A301)*G301)/365.24)</f>
        <v/>
      </c>
      <c r="AB301" s="103" t="inlineStr">
        <is>
          <t>台股 ETF</t>
        </is>
      </c>
    </row>
    <row r="302">
      <c r="A302" s="99" t="n">
        <v>46097</v>
      </c>
      <c r="B302" s="11" t="n"/>
      <c r="C302" s="349" t="inlineStr">
        <is>
          <t>00991A</t>
        </is>
      </c>
      <c r="D302" s="189">
        <f>VLOOKUP(C302,台股行情!A:B,2,FALSE)</f>
        <v/>
      </c>
      <c r="E302" s="11" t="n">
        <v>798</v>
      </c>
      <c r="F302" s="11" t="n">
        <v>12.53</v>
      </c>
      <c r="G302" s="11" t="n">
        <v>9998</v>
      </c>
      <c r="H302" s="11" t="n">
        <v>1</v>
      </c>
      <c r="I302" s="104" t="n"/>
      <c r="J302" s="16" t="n"/>
      <c r="K302" s="11">
        <f>E302*J302</f>
        <v/>
      </c>
      <c r="L302" s="11">
        <f>ROUND(J302*E302*0.1425%,0)</f>
        <v/>
      </c>
      <c r="M302" s="11">
        <f>ROUND(J302*E302*0.3%,0)</f>
        <v/>
      </c>
      <c r="N302" s="11" t="n">
        <v>0</v>
      </c>
      <c r="O302" s="434">
        <f>IF(I302="",E302*Y302,0)</f>
        <v/>
      </c>
      <c r="P302" s="435">
        <f>IF(I302="",R302-H302,(K302-H302-SUM(L302:N302)+R302-S302-T302)-G302)+(ROUND(R302*V302,0)-ROUND(R302*(1+V302),0)*W302)</f>
        <v/>
      </c>
      <c r="Q302" s="435">
        <f>IF(I302="",(O302-G302-(O302*0.1425%*0.65)-(O302*0.3%)-S302-T302),0)</f>
        <v/>
      </c>
      <c r="R302" s="435" t="n"/>
      <c r="S302" s="435" t="n"/>
      <c r="T302" s="435">
        <f>IF(ROUND(R302*(1+V302),0)&gt;20000,ROUND(ROUND(R302*(1+V302),0)*2%,0),0)</f>
        <v/>
      </c>
      <c r="U302" s="69">
        <f>(V302*50%)/(1+50%*V302)</f>
        <v/>
      </c>
      <c r="V302" s="69" t="n"/>
      <c r="W302" s="70" t="n">
        <v>0.11</v>
      </c>
      <c r="X302" s="436">
        <f>(P302+Q302)/G302</f>
        <v/>
      </c>
      <c r="Y302" s="16">
        <f>VLOOKUP(C302,台股行情!A:D,4,FALSE)</f>
        <v/>
      </c>
      <c r="Z302" s="437">
        <f>VLOOKUP(C302,台股行情!A:E,5,FALSE)</f>
        <v/>
      </c>
      <c r="AA302" s="438">
        <f>IF(I302="",((TODAY()-A302)*G302)/365.24,((I302-A302)*G302)/365.24)</f>
        <v/>
      </c>
      <c r="AB302" s="103" t="inlineStr">
        <is>
          <t>台股 ETF</t>
        </is>
      </c>
    </row>
    <row r="303">
      <c r="A303" s="99" t="n">
        <v>46098</v>
      </c>
      <c r="B303" s="11" t="n"/>
      <c r="C303" s="349" t="n">
        <v>830</v>
      </c>
      <c r="D303" s="189">
        <f>VLOOKUP(C303,台股行情!A:B,2,FALSE)</f>
        <v/>
      </c>
      <c r="E303" s="11" t="n">
        <v>181</v>
      </c>
      <c r="F303" s="11" t="n">
        <v>55.1</v>
      </c>
      <c r="G303" s="11" t="n">
        <v>9973</v>
      </c>
      <c r="H303" s="11" t="n">
        <v>1</v>
      </c>
      <c r="I303" s="104" t="n"/>
      <c r="J303" s="16" t="n"/>
      <c r="K303" s="11">
        <f>E303*J303</f>
        <v/>
      </c>
      <c r="L303" s="11">
        <f>ROUND(J303*E303*0.1425%,0)</f>
        <v/>
      </c>
      <c r="M303" s="11">
        <f>ROUND(J303*E303*0.3%,0)</f>
        <v/>
      </c>
      <c r="N303" s="11" t="n">
        <v>0</v>
      </c>
      <c r="O303" s="434">
        <f>IF(I303="",E303*Y303,0)</f>
        <v/>
      </c>
      <c r="P303" s="435">
        <f>IF(I303="",R303-H303,(K303-H303-SUM(L303:N303)+R303-S303-T303)-G303)+(ROUND(R303*V303,0)-ROUND(R303*(1+V303),0)*W303)</f>
        <v/>
      </c>
      <c r="Q303" s="435">
        <f>IF(I303="",(O303-G303-(O303*0.1425%*0.65)-(O303*0.3%)-S303-T303),0)</f>
        <v/>
      </c>
      <c r="R303" s="435" t="n"/>
      <c r="S303" s="435" t="n"/>
      <c r="T303" s="435">
        <f>IF(ROUND(R303*(1+V303),0)&gt;20000,ROUND(ROUND(R303*(1+V303),0)*2%,0),0)</f>
        <v/>
      </c>
      <c r="U303" s="69">
        <f>(V303*50%)/(1+50%*V303)</f>
        <v/>
      </c>
      <c r="V303" s="69" t="n"/>
      <c r="W303" s="70" t="n">
        <v>0.11</v>
      </c>
      <c r="X303" s="436">
        <f>(P303+Q303)/G303</f>
        <v/>
      </c>
      <c r="Y303" s="16">
        <f>VLOOKUP(C303,台股行情!A:D,4,FALSE)</f>
        <v/>
      </c>
      <c r="Z303" s="437">
        <f>VLOOKUP(C303,台股行情!A:E,5,FALSE)</f>
        <v/>
      </c>
      <c r="AA303" s="438">
        <f>IF(I303="",((TODAY()-A303)*G303)/365.24,((I303-A303)*G303)/365.24)</f>
        <v/>
      </c>
      <c r="AB303" s="103" t="inlineStr">
        <is>
          <t>台股 ETF</t>
        </is>
      </c>
    </row>
    <row r="304">
      <c r="A304" s="99" t="n">
        <v>46098</v>
      </c>
      <c r="B304" s="11" t="n"/>
      <c r="C304" s="11" t="n">
        <v>8086</v>
      </c>
      <c r="D304" s="189">
        <f>VLOOKUP(C304,台股行情!A:B,2,FALSE)</f>
        <v/>
      </c>
      <c r="E304" s="11" t="n">
        <v>1000</v>
      </c>
      <c r="F304" s="11" t="n">
        <v>129</v>
      </c>
      <c r="G304" s="11">
        <f>E304*F304</f>
        <v/>
      </c>
      <c r="H304" s="11" t="n">
        <v>183</v>
      </c>
      <c r="I304" s="104" t="n"/>
      <c r="J304" s="16" t="n"/>
      <c r="K304" s="11">
        <f>E304*J304</f>
        <v/>
      </c>
      <c r="L304" s="11">
        <f>ROUND(J304*E304*0.1425%,0)</f>
        <v/>
      </c>
      <c r="M304" s="11">
        <f>ROUND(J304*E304*0.3%,0)</f>
        <v/>
      </c>
      <c r="N304" s="11" t="n">
        <v>0</v>
      </c>
      <c r="O304" s="434">
        <f>IF(I304="",E304*Y304,0)</f>
        <v/>
      </c>
      <c r="P304" s="435">
        <f>IF(I304="",R304-H304,(K304-H304-SUM(L304:N304)+R304-S304-T304)-G304)+(ROUND(R304*V304,0)-ROUND(R304*(1+V304),0)*W304)</f>
        <v/>
      </c>
      <c r="Q304" s="435">
        <f>IF(I304="",(O304-G304-(O304*0.1425%*0.65)-(O304*0.3%)-S304-T304),0)</f>
        <v/>
      </c>
      <c r="R304" s="435" t="n"/>
      <c r="S304" s="435" t="n"/>
      <c r="T304" s="435">
        <f>IF(ROUND(R304*(1+V304),0)&gt;20000,ROUND(ROUND(R304*(1+V304),0)*2%,0),0)</f>
        <v/>
      </c>
      <c r="U304" s="69">
        <f>(V304*50%)/(1+50%*V304)</f>
        <v/>
      </c>
      <c r="V304" s="69" t="n"/>
      <c r="W304" s="70" t="n">
        <v>0.11</v>
      </c>
      <c r="X304" s="436">
        <f>(P304+Q304)/G304</f>
        <v/>
      </c>
      <c r="Y304" s="16">
        <f>VLOOKUP(C304,台股行情!A:D,4,FALSE)</f>
        <v/>
      </c>
      <c r="Z304" s="437">
        <f>VLOOKUP(C304,台股行情!A:E,5,FALSE)</f>
        <v/>
      </c>
      <c r="AA304" s="438">
        <f>IF(I304="",((TODAY()-A304)*G304)/365.24,((I304-A304)*G304)/365.24)</f>
        <v/>
      </c>
      <c r="AB304" s="103" t="inlineStr">
        <is>
          <t>台股</t>
        </is>
      </c>
    </row>
    <row r="305">
      <c r="A305" s="99" t="n">
        <v>46119</v>
      </c>
      <c r="B305" s="11" t="n"/>
      <c r="C305" s="349" t="n">
        <v>830</v>
      </c>
      <c r="D305" s="189">
        <f>VLOOKUP(C305,台股行情!A:B,2,FALSE)</f>
        <v/>
      </c>
      <c r="E305" s="11" t="n">
        <v>179</v>
      </c>
      <c r="F305" s="11" t="n">
        <v>55.66</v>
      </c>
      <c r="G305" s="11" t="n">
        <v>9963</v>
      </c>
      <c r="H305" s="11" t="n">
        <v>1</v>
      </c>
      <c r="I305" s="104" t="n"/>
      <c r="J305" s="16" t="n"/>
      <c r="K305" s="11">
        <f>E305*J305</f>
        <v/>
      </c>
      <c r="L305" s="11">
        <f>ROUND(J305*E305*0.1425%,0)</f>
        <v/>
      </c>
      <c r="M305" s="11">
        <f>ROUND(J305*E305*0.3%,0)</f>
        <v/>
      </c>
      <c r="N305" s="11" t="n">
        <v>0</v>
      </c>
      <c r="O305" s="434">
        <f>IF(I305="",E305*Y305,0)</f>
        <v/>
      </c>
      <c r="P305" s="435">
        <f>IF(I305="",R305-H305,(K305-H305-SUM(L305:N305)+R305-S305-T305)-G305)+(ROUND(R305*V305,0)-ROUND(R305*(1+V305),0)*W305)</f>
        <v/>
      </c>
      <c r="Q305" s="435">
        <f>IF(I305="",(O305-G305-(O305*0.1425%*0.65)-(O305*0.3%)-S305-T305),0)</f>
        <v/>
      </c>
      <c r="R305" s="435" t="n"/>
      <c r="S305" s="435" t="n"/>
      <c r="T305" s="435">
        <f>IF(ROUND(R305*(1+V305),0)&gt;20000,ROUND(ROUND(R305*(1+V305),0)*2%,0),0)</f>
        <v/>
      </c>
      <c r="U305" s="69">
        <f>(V305*50%)/(1+50%*V305)</f>
        <v/>
      </c>
      <c r="V305" s="69" t="n"/>
      <c r="W305" s="70" t="n">
        <v>0.11</v>
      </c>
      <c r="X305" s="436">
        <f>(P305+Q305)/G305</f>
        <v/>
      </c>
      <c r="Y305" s="16">
        <f>VLOOKUP(C305,台股行情!A:D,4,FALSE)</f>
        <v/>
      </c>
      <c r="Z305" s="437">
        <f>VLOOKUP(C305,台股行情!A:E,5,FALSE)</f>
        <v/>
      </c>
      <c r="AA305" s="438">
        <f>IF(I305="",((TODAY()-A305)*G305)/365.24,((I305-A305)*G305)/365.24)</f>
        <v/>
      </c>
      <c r="AB305" s="103" t="inlineStr">
        <is>
          <t>台股 ETF</t>
        </is>
      </c>
    </row>
    <row r="306">
      <c r="A306" s="99" t="n">
        <v>46119</v>
      </c>
      <c r="B306" s="11" t="n"/>
      <c r="C306" s="349" t="inlineStr">
        <is>
          <t>00991A</t>
        </is>
      </c>
      <c r="D306" s="189">
        <f>VLOOKUP(C306,台股行情!A:B,2,FALSE)</f>
        <v/>
      </c>
      <c r="E306" s="11" t="n">
        <v>790</v>
      </c>
      <c r="F306" s="11" t="n">
        <v>12.65</v>
      </c>
      <c r="G306" s="11" t="n">
        <v>9993</v>
      </c>
      <c r="H306" s="11" t="n">
        <v>1</v>
      </c>
      <c r="I306" s="104" t="n"/>
      <c r="J306" s="16" t="n"/>
      <c r="K306" s="11">
        <f>E306*J306</f>
        <v/>
      </c>
      <c r="L306" s="11">
        <f>ROUND(J306*E306*0.1425%,0)</f>
        <v/>
      </c>
      <c r="M306" s="11">
        <f>ROUND(J306*E306*0.3%,0)</f>
        <v/>
      </c>
      <c r="N306" s="11" t="n">
        <v>0</v>
      </c>
      <c r="O306" s="434">
        <f>IF(I306="",E306*Y306,0)</f>
        <v/>
      </c>
      <c r="P306" s="435">
        <f>IF(I306="",R306-H306,(K306-H306-SUM(L306:N306)+R306-S306-T306)-G306)+(ROUND(R306*V306,0)-ROUND(R306*(1+V306),0)*W306)</f>
        <v/>
      </c>
      <c r="Q306" s="435">
        <f>IF(I306="",(O306-G306-(O306*0.1425%*0.65)-(O306*0.3%)-S306-T306),0)</f>
        <v/>
      </c>
      <c r="R306" s="435" t="n"/>
      <c r="S306" s="435" t="n"/>
      <c r="T306" s="435">
        <f>IF(ROUND(R306*(1+V306),0)&gt;20000,ROUND(ROUND(R306*(1+V306),0)*2%,0),0)</f>
        <v/>
      </c>
      <c r="U306" s="69">
        <f>(V306*50%)/(1+50%*V306)</f>
        <v/>
      </c>
      <c r="V306" s="69" t="n"/>
      <c r="W306" s="70" t="n">
        <v>0.11</v>
      </c>
      <c r="X306" s="436">
        <f>(P306+Q306)/G306</f>
        <v/>
      </c>
      <c r="Y306" s="16">
        <f>VLOOKUP(C306,台股行情!A:D,4,FALSE)</f>
        <v/>
      </c>
      <c r="Z306" s="437">
        <f>VLOOKUP(C306,台股行情!A:E,5,FALSE)</f>
        <v/>
      </c>
      <c r="AA306" s="438">
        <f>IF(I306="",((TODAY()-A306)*G306)/365.24,((I306-A306)*G306)/365.24)</f>
        <v/>
      </c>
      <c r="AB306" s="103" t="inlineStr">
        <is>
          <t>台股 ETF</t>
        </is>
      </c>
    </row>
    <row r="307">
      <c r="A307" s="99" t="n">
        <v>46119</v>
      </c>
      <c r="B307" s="11" t="inlineStr">
        <is>
          <t>普通買進</t>
        </is>
      </c>
      <c r="C307" s="11" t="n">
        <v>3481</v>
      </c>
      <c r="D307" s="189">
        <f>VLOOKUP(C307,台股行情!A:B,2,FALSE)</f>
        <v/>
      </c>
      <c r="E307" s="11" t="n">
        <v>245</v>
      </c>
      <c r="F307" s="11" t="n">
        <v>24.35</v>
      </c>
      <c r="G307" s="11" t="n">
        <v>5965</v>
      </c>
      <c r="H307" s="11" t="n">
        <v>8</v>
      </c>
      <c r="I307" s="104" t="n"/>
      <c r="J307" s="16" t="n"/>
      <c r="K307" s="11">
        <f>E307*J307</f>
        <v/>
      </c>
      <c r="L307" s="11">
        <f>ROUND(J307*E307*0.1425%,0)</f>
        <v/>
      </c>
      <c r="M307" s="11">
        <f>ROUND(J307*E307*0.3%,0)</f>
        <v/>
      </c>
      <c r="N307" s="11" t="n">
        <v>0</v>
      </c>
      <c r="O307" s="434">
        <f>IF(I307="",E307*Y307,0)</f>
        <v/>
      </c>
      <c r="P307" s="435">
        <f>IF(I307="",R307-H307,(K307-H307-SUM(L307:N307)+R307-S307-T307)-G307)+(ROUND(R307*V307,0)-ROUND(R307*(1+V307),0)*W307)</f>
        <v/>
      </c>
      <c r="Q307" s="435">
        <f>IF(I307="",(O307-G307-(O307*0.1425%*0.65)-(O307*0.3%)-S307-T307),0)</f>
        <v/>
      </c>
      <c r="R307" s="435" t="n"/>
      <c r="S307" s="435" t="n"/>
      <c r="T307" s="435">
        <f>IF(ROUND(R307*(1+V307),0)&gt;20000,ROUND(ROUND(R307*(1+V307),0)*2%,0),0)</f>
        <v/>
      </c>
      <c r="U307" s="69">
        <f>(V307*50%)/(1+50%*V307)</f>
        <v/>
      </c>
      <c r="V307" s="69" t="n"/>
      <c r="W307" s="70" t="n">
        <v>0.11</v>
      </c>
      <c r="X307" s="436">
        <f>(P307+Q307)/G307</f>
        <v/>
      </c>
      <c r="Y307" s="16">
        <f>VLOOKUP(C307,台股行情!A:D,4,FALSE)</f>
        <v/>
      </c>
      <c r="Z307" s="437">
        <f>VLOOKUP(C307,台股行情!A:E,5,FALSE)</f>
        <v/>
      </c>
      <c r="AA307" s="438">
        <f>IF(I307="",((TODAY()-A307)*G307)/365.24,((I307-A307)*G307)/365.24)</f>
        <v/>
      </c>
      <c r="AB307" s="103" t="inlineStr">
        <is>
          <t>台股</t>
        </is>
      </c>
    </row>
    <row r="308">
      <c r="A308" s="99" t="n">
        <v>46120</v>
      </c>
      <c r="B308" s="11" t="n"/>
      <c r="C308" s="349" t="n">
        <v>919</v>
      </c>
      <c r="D308" s="189">
        <f>VLOOKUP(C308,台股行情!A:B,2,FALSE)</f>
        <v/>
      </c>
      <c r="E308" s="11" t="n">
        <v>435</v>
      </c>
      <c r="F308" s="11" t="n">
        <v>22.97</v>
      </c>
      <c r="G308" s="11" t="n">
        <v>9991</v>
      </c>
      <c r="H308" s="11" t="n">
        <v>1</v>
      </c>
      <c r="I308" s="104" t="n"/>
      <c r="J308" s="16" t="n"/>
      <c r="K308" s="11">
        <f>E308*J308</f>
        <v/>
      </c>
      <c r="L308" s="11">
        <f>ROUND(J308*E308*0.1425%,0)</f>
        <v/>
      </c>
      <c r="M308" s="11">
        <f>ROUND(J308*E308*0.3%,0)</f>
        <v/>
      </c>
      <c r="N308" s="11" t="n">
        <v>0</v>
      </c>
      <c r="O308" s="434">
        <f>IF(I308="",E308*Y308,0)</f>
        <v/>
      </c>
      <c r="P308" s="435">
        <f>IF(I308="",R308-H308,(K308-H308-SUM(L308:N308)+R308-S308-T308)-G308)+(ROUND(R308*V308,0)-ROUND(R308*(1+V308),0)*W308)</f>
        <v/>
      </c>
      <c r="Q308" s="435">
        <f>IF(I308="",(O308-G308-(O308*0.1425%*0.65)-(O308*0.3%)-S308-T308),0)</f>
        <v/>
      </c>
      <c r="R308" s="435" t="n"/>
      <c r="S308" s="435" t="n"/>
      <c r="T308" s="435">
        <f>IF(ROUND(R308*(1+V308),0)&gt;20000,ROUND(ROUND(R308*(1+V308),0)*2%,0),0)</f>
        <v/>
      </c>
      <c r="U308" s="69">
        <f>(V308*50%)/(1+50%*V308)</f>
        <v/>
      </c>
      <c r="V308" s="69" t="n"/>
      <c r="W308" s="70" t="n">
        <v>0.11</v>
      </c>
      <c r="X308" s="436">
        <f>(P308+Q308)/G308</f>
        <v/>
      </c>
      <c r="Y308" s="16">
        <f>VLOOKUP(C308,台股行情!A:D,4,FALSE)</f>
        <v/>
      </c>
      <c r="Z308" s="437">
        <f>VLOOKUP(C308,台股行情!A:E,5,FALSE)</f>
        <v/>
      </c>
      <c r="AA308" s="438">
        <f>IF(I308="",((TODAY()-A308)*G308)/365.24,((I308-A308)*G308)/365.24)</f>
        <v/>
      </c>
      <c r="AB308" s="103" t="inlineStr">
        <is>
          <t>台股 ETF</t>
        </is>
      </c>
    </row>
    <row r="309">
      <c r="A309" s="99" t="n">
        <v>46128</v>
      </c>
      <c r="B309" s="11" t="n"/>
      <c r="C309" s="349" t="inlineStr">
        <is>
          <t>00991A</t>
        </is>
      </c>
      <c r="D309" s="189">
        <f>VLOOKUP(C309,台股行情!A:B,2,FALSE)</f>
        <v/>
      </c>
      <c r="E309" s="11" t="n">
        <v>691</v>
      </c>
      <c r="F309" s="11" t="n">
        <v>14.47</v>
      </c>
      <c r="G309" s="11" t="n">
        <v>9998</v>
      </c>
      <c r="H309" s="11" t="n">
        <v>1</v>
      </c>
      <c r="I309" s="104" t="n"/>
      <c r="J309" s="16" t="n"/>
      <c r="K309" s="11">
        <f>E309*J309</f>
        <v/>
      </c>
      <c r="L309" s="11">
        <f>ROUND(J309*E309*0.1425%,0)</f>
        <v/>
      </c>
      <c r="M309" s="11">
        <f>ROUND(J309*E309*0.3%,0)</f>
        <v/>
      </c>
      <c r="N309" s="11" t="n">
        <v>0</v>
      </c>
      <c r="O309" s="434">
        <f>IF(I309="",E309*Y309,0)</f>
        <v/>
      </c>
      <c r="P309" s="435">
        <f>IF(I309="",R309-H309,(K309-H309-SUM(L309:N309)+R309-S309-T309)-G309)+(ROUND(R309*V309,0)-ROUND(R309*(1+V309),0)*W309)</f>
        <v/>
      </c>
      <c r="Q309" s="435">
        <f>IF(I309="",(O309-G309-(O309*0.1425%*0.65)-(O309*0.3%)-S309-T309),0)</f>
        <v/>
      </c>
      <c r="R309" s="435" t="n"/>
      <c r="S309" s="435" t="n"/>
      <c r="T309" s="435">
        <f>IF(ROUND(R309*(1+V309),0)&gt;20000,ROUND(ROUND(R309*(1+V309),0)*2%,0),0)</f>
        <v/>
      </c>
      <c r="U309" s="69">
        <f>(V309*50%)/(1+50%*V309)</f>
        <v/>
      </c>
      <c r="V309" s="69" t="n"/>
      <c r="W309" s="70" t="n">
        <v>0.11</v>
      </c>
      <c r="X309" s="436">
        <f>(P309+Q309)/G309</f>
        <v/>
      </c>
      <c r="Y309" s="16">
        <f>VLOOKUP(C309,台股行情!A:D,4,FALSE)</f>
        <v/>
      </c>
      <c r="Z309" s="437">
        <f>VLOOKUP(C309,台股行情!A:E,5,FALSE)</f>
        <v/>
      </c>
      <c r="AA309" s="438">
        <f>IF(I309="",((TODAY()-A309)*G309)/365.24,((I309-A309)*G309)/365.24)</f>
        <v/>
      </c>
      <c r="AB309" s="103" t="inlineStr">
        <is>
          <t>台股 ETF</t>
        </is>
      </c>
    </row>
    <row r="310">
      <c r="A310" s="99" t="n">
        <v>46129</v>
      </c>
      <c r="B310" s="11" t="n"/>
      <c r="C310" s="349" t="n">
        <v>830</v>
      </c>
      <c r="D310" s="189">
        <f>VLOOKUP(C310,台股行情!A:B,2,FALSE)</f>
        <v/>
      </c>
      <c r="E310" s="11" t="n">
        <v>153</v>
      </c>
      <c r="F310" s="11" t="n">
        <v>65.25</v>
      </c>
      <c r="G310" s="11" t="n">
        <v>9983</v>
      </c>
      <c r="H310" s="11" t="n">
        <v>1</v>
      </c>
      <c r="I310" s="104" t="n"/>
      <c r="J310" s="16" t="n"/>
      <c r="K310" s="11">
        <f>E310*J310</f>
        <v/>
      </c>
      <c r="L310" s="11">
        <f>ROUND(J310*E310*0.1425%,0)</f>
        <v/>
      </c>
      <c r="M310" s="11">
        <f>ROUND(J310*E310*0.3%,0)</f>
        <v/>
      </c>
      <c r="N310" s="11" t="n">
        <v>0</v>
      </c>
      <c r="O310" s="434">
        <f>IF(I310="",E310*Y310,0)</f>
        <v/>
      </c>
      <c r="P310" s="435">
        <f>IF(I310="",R310-H310,(K310-H310-SUM(L310:N310)+R310-S310-T310)-G310)+(ROUND(R310*V310,0)-ROUND(R310*(1+V310),0)*W310)</f>
        <v/>
      </c>
      <c r="Q310" s="435">
        <f>IF(I310="",(O310-G310-(O310*0.1425%*0.65)-(O310*0.3%)-S310-T310),0)</f>
        <v/>
      </c>
      <c r="R310" s="435" t="n"/>
      <c r="S310" s="435" t="n"/>
      <c r="T310" s="435">
        <f>IF(ROUND(R310*(1+V310),0)&gt;20000,ROUND(ROUND(R310*(1+V310),0)*2%,0),0)</f>
        <v/>
      </c>
      <c r="U310" s="69">
        <f>(V310*50%)/(1+50%*V310)</f>
        <v/>
      </c>
      <c r="V310" s="69" t="n"/>
      <c r="W310" s="70" t="n">
        <v>0.11</v>
      </c>
      <c r="X310" s="436">
        <f>(P310+Q310)/G310</f>
        <v/>
      </c>
      <c r="Y310" s="16">
        <f>VLOOKUP(C310,台股行情!A:D,4,FALSE)</f>
        <v/>
      </c>
      <c r="Z310" s="437">
        <f>VLOOKUP(C310,台股行情!A:E,5,FALSE)</f>
        <v/>
      </c>
      <c r="AA310" s="438">
        <f>IF(I310="",((TODAY()-A310)*G310)/365.24,((I310-A310)*G310)/365.24)</f>
        <v/>
      </c>
      <c r="AB310" s="103" t="inlineStr">
        <is>
          <t>台股 ETF</t>
        </is>
      </c>
    </row>
    <row r="311">
      <c r="A311" s="99" t="n">
        <v>46132</v>
      </c>
      <c r="B311" s="11" t="n"/>
      <c r="C311" s="349" t="n">
        <v>919</v>
      </c>
      <c r="D311" s="189">
        <f>VLOOKUP(C311,台股行情!A:B,2,FALSE)</f>
        <v/>
      </c>
      <c r="E311" s="11" t="n">
        <v>421</v>
      </c>
      <c r="F311" s="11" t="n">
        <v>23.71</v>
      </c>
      <c r="G311" s="11" t="n">
        <v>9981</v>
      </c>
      <c r="H311" s="11" t="n">
        <v>1</v>
      </c>
      <c r="I311" s="104" t="n"/>
      <c r="J311" s="16" t="n"/>
      <c r="K311" s="11">
        <f>E311*J311</f>
        <v/>
      </c>
      <c r="L311" s="11">
        <f>ROUND(J311*E311*0.1425%,0)</f>
        <v/>
      </c>
      <c r="M311" s="11">
        <f>ROUND(J311*E311*0.3%,0)</f>
        <v/>
      </c>
      <c r="N311" s="11" t="n">
        <v>0</v>
      </c>
      <c r="O311" s="434">
        <f>IF(I311="",E311*Y311,0)</f>
        <v/>
      </c>
      <c r="P311" s="435">
        <f>IF(I311="",R311-H311,(K311-H311-SUM(L311:N311)+R311-S311-T311)-G311)+(ROUND(R311*V311,0)-ROUND(R311*(1+V311),0)*W311)</f>
        <v/>
      </c>
      <c r="Q311" s="435">
        <f>IF(I311="",(O311-G311-(O311*0.1425%*0.65)-(O311*0.3%)-S311-T311),0)</f>
        <v/>
      </c>
      <c r="R311" s="435" t="n"/>
      <c r="S311" s="435" t="n"/>
      <c r="T311" s="435">
        <f>IF(ROUND(R311*(1+V311),0)&gt;20000,ROUND(ROUND(R311*(1+V311),0)*2%,0),0)</f>
        <v/>
      </c>
      <c r="U311" s="69">
        <f>(V311*50%)/(1+50%*V311)</f>
        <v/>
      </c>
      <c r="V311" s="69" t="n"/>
      <c r="W311" s="70" t="n">
        <v>0.11</v>
      </c>
      <c r="X311" s="436">
        <f>(P311+Q311)/G311</f>
        <v/>
      </c>
      <c r="Y311" s="16">
        <f>VLOOKUP(C311,台股行情!A:D,4,FALSE)</f>
        <v/>
      </c>
      <c r="Z311" s="437">
        <f>VLOOKUP(C311,台股行情!A:E,5,FALSE)</f>
        <v/>
      </c>
      <c r="AA311" s="438">
        <f>IF(I311="",((TODAY()-A311)*G311)/365.24,((I311-A311)*G311)/365.24)</f>
        <v/>
      </c>
      <c r="AB311" s="103" t="inlineStr">
        <is>
          <t>台股 ETF</t>
        </is>
      </c>
    </row>
    <row r="312">
      <c r="A312" s="99" t="n">
        <v>46133</v>
      </c>
      <c r="B312" s="11" t="n"/>
      <c r="C312" s="341" t="inlineStr">
        <is>
          <t>00981A</t>
        </is>
      </c>
      <c r="D312" s="189">
        <f>VLOOKUP(C312,台股行情!A:B,2,FALSE)</f>
        <v/>
      </c>
      <c r="E312" s="11" t="n">
        <v>982</v>
      </c>
      <c r="F312" s="11" t="n">
        <v>26.34</v>
      </c>
      <c r="G312" s="11">
        <f>E312*F312</f>
        <v/>
      </c>
      <c r="H312" s="11" t="n">
        <v>36</v>
      </c>
      <c r="I312" s="104" t="n"/>
      <c r="J312" s="16" t="n"/>
      <c r="K312" s="11">
        <f>E312*J312</f>
        <v/>
      </c>
      <c r="L312" s="11">
        <f>ROUND(J312*E312*0.1425%,0)</f>
        <v/>
      </c>
      <c r="M312" s="11">
        <f>ROUND(J312*E312*0.3%,0)</f>
        <v/>
      </c>
      <c r="N312" s="11" t="n">
        <v>0</v>
      </c>
      <c r="O312" s="434">
        <f>IF(I312="",E312*Y312,0)</f>
        <v/>
      </c>
      <c r="P312" s="435">
        <f>IF(I312="",R312-H312,(K312-H312-SUM(L312:N312)+R312-S312-T312)-G312)+(ROUND(R312*V312,0)-ROUND(R312*(1+V312),0)*W312)</f>
        <v/>
      </c>
      <c r="Q312" s="435">
        <f>IF(I312="",(O312-G312-(O312*0.1425%*0.65)-(O312*0.3%)-S312-T312),0)</f>
        <v/>
      </c>
      <c r="R312" s="435" t="n"/>
      <c r="S312" s="435" t="n"/>
      <c r="T312" s="435">
        <f>IF(ROUND(R312*(1+V312),0)&gt;20000,ROUND(ROUND(R312*(1+V312),0)*2%,0),0)</f>
        <v/>
      </c>
      <c r="U312" s="69">
        <f>(V312*50%)/(1+50%*V312)</f>
        <v/>
      </c>
      <c r="V312" s="69" t="n"/>
      <c r="W312" s="70" t="n">
        <v>0.11</v>
      </c>
      <c r="X312" s="436">
        <f>(P312+Q312)/G312</f>
        <v/>
      </c>
      <c r="Y312" s="16">
        <f>VLOOKUP(C312,台股行情!A:D,4,FALSE)</f>
        <v/>
      </c>
      <c r="Z312" s="437">
        <f>VLOOKUP(C312,台股行情!A:E,5,FALSE)</f>
        <v/>
      </c>
      <c r="AA312" s="438">
        <f>IF(I312="",((TODAY()-A312)*G312)/365.24,((I312-A312)*G312)/365.24)</f>
        <v/>
      </c>
      <c r="AB312" s="103" t="inlineStr">
        <is>
          <t>台股 ETF</t>
        </is>
      </c>
    </row>
    <row r="313">
      <c r="A313" s="99" t="n">
        <v>46140</v>
      </c>
      <c r="B313" s="11" t="n"/>
      <c r="C313" s="341" t="n">
        <v>50</v>
      </c>
      <c r="D313" s="189">
        <f>VLOOKUP(C313,台股行情!A:B,2,FALSE)</f>
        <v/>
      </c>
      <c r="E313" s="11" t="n">
        <v>53</v>
      </c>
      <c r="F313" s="11" t="n">
        <v>92.73999999999999</v>
      </c>
      <c r="G313" s="11" t="n">
        <v>4915</v>
      </c>
      <c r="H313" s="11" t="n">
        <v>1</v>
      </c>
      <c r="I313" s="104" t="n"/>
      <c r="J313" s="16" t="n"/>
      <c r="K313" s="11">
        <f>E313*J313</f>
        <v/>
      </c>
      <c r="L313" s="11">
        <f>ROUND(J313*E313*0.1425%,0)</f>
        <v/>
      </c>
      <c r="M313" s="11">
        <f>ROUND(J313*E313*0.3%,0)</f>
        <v/>
      </c>
      <c r="N313" s="11" t="n">
        <v>0</v>
      </c>
      <c r="O313" s="434">
        <f>IF(I313="",E313*Y313,0)</f>
        <v/>
      </c>
      <c r="P313" s="435">
        <f>IF(I313="",R313-H313,(K313-H313-SUM(L313:N313)+R313-S313-T313)-G313)+(ROUND(R313*V313,0)-ROUND(R313*(1+V313),0)*W313)</f>
        <v/>
      </c>
      <c r="Q313" s="435">
        <f>IF(I313="",(O313-G313-(O313*0.1425%*0.65)-(O313*0.3%)-S313-T313),0)</f>
        <v/>
      </c>
      <c r="R313" s="435" t="n"/>
      <c r="S313" s="435" t="n"/>
      <c r="T313" s="435">
        <f>IF(ROUND(R313*(1+V313),0)&gt;20000,ROUND(ROUND(R313*(1+V313),0)*2%,0),0)</f>
        <v/>
      </c>
      <c r="U313" s="69">
        <f>(V313*50%)/(1+50%*V313)</f>
        <v/>
      </c>
      <c r="V313" s="69" t="n"/>
      <c r="W313" s="70" t="n">
        <v>0.11</v>
      </c>
      <c r="X313" s="436">
        <f>(P313+Q313)/G313</f>
        <v/>
      </c>
      <c r="Y313" s="16">
        <f>VLOOKUP(C313,台股行情!A:D,4,FALSE)</f>
        <v/>
      </c>
      <c r="Z313" s="437">
        <f>VLOOKUP(C313,台股行情!A:E,5,FALSE)</f>
        <v/>
      </c>
      <c r="AA313" s="438">
        <f>IF(I313="",((TODAY()-A313)*G313)/365.24,((I313-A313)*G313)/365.24)</f>
        <v/>
      </c>
      <c r="AB313" s="103" t="inlineStr">
        <is>
          <t>台股 ETF</t>
        </is>
      </c>
    </row>
    <row r="314">
      <c r="A314" s="99" t="n">
        <v>46148</v>
      </c>
      <c r="B314" s="11" t="n"/>
      <c r="C314" s="349" t="inlineStr">
        <is>
          <t>00991A</t>
        </is>
      </c>
      <c r="D314" s="189">
        <f>VLOOKUP(C314,台股行情!A:B,2,FALSE)</f>
        <v/>
      </c>
      <c r="E314" s="11" t="n">
        <v>567</v>
      </c>
      <c r="F314" s="11" t="n">
        <v>17.63</v>
      </c>
      <c r="G314" s="11" t="n">
        <v>9996</v>
      </c>
      <c r="H314" s="11" t="n">
        <v>1</v>
      </c>
      <c r="I314" s="104" t="n"/>
      <c r="J314" s="16" t="n"/>
      <c r="K314" s="11">
        <f>E314*J314</f>
        <v/>
      </c>
      <c r="L314" s="11">
        <f>ROUND(J314*E314*0.1425%,0)</f>
        <v/>
      </c>
      <c r="M314" s="11">
        <f>ROUND(J314*E314*0.3%,0)</f>
        <v/>
      </c>
      <c r="N314" s="11" t="n">
        <v>0</v>
      </c>
      <c r="O314" s="434">
        <f>IF(I314="",E314*Y314,0)</f>
        <v/>
      </c>
      <c r="P314" s="435">
        <f>IF(I314="",R314-H314,(K314-H314-SUM(L314:N314)+R314-S314-T314)-G314)+(ROUND(R314*V314,0)-ROUND(R314*(1+V314),0)*W314)</f>
        <v/>
      </c>
      <c r="Q314" s="435">
        <f>IF(I314="",(O314-G314-(O314*0.1425%*0.65)-(O314*0.3%)-S314-T314),0)</f>
        <v/>
      </c>
      <c r="R314" s="435" t="n"/>
      <c r="S314" s="435" t="n"/>
      <c r="T314" s="435">
        <f>IF(ROUND(R314*(1+V314),0)&gt;20000,ROUND(ROUND(R314*(1+V314),0)*2%,0),0)</f>
        <v/>
      </c>
      <c r="U314" s="69">
        <f>(V314*50%)/(1+50%*V314)</f>
        <v/>
      </c>
      <c r="V314" s="69" t="n"/>
      <c r="W314" s="70" t="n">
        <v>0.11</v>
      </c>
      <c r="X314" s="436">
        <f>(P314+Q314)/G314</f>
        <v/>
      </c>
      <c r="Y314" s="16">
        <f>VLOOKUP(C314,台股行情!A:D,4,FALSE)</f>
        <v/>
      </c>
      <c r="Z314" s="437">
        <f>VLOOKUP(C314,台股行情!A:E,5,FALSE)</f>
        <v/>
      </c>
      <c r="AA314" s="438">
        <f>IF(I314="",((TODAY()-A314)*G314)/365.24,((I314-A314)*G314)/365.24)</f>
        <v/>
      </c>
      <c r="AB314" s="103" t="inlineStr">
        <is>
          <t>台股 ETF</t>
        </is>
      </c>
    </row>
    <row r="315">
      <c r="A315" s="99" t="n">
        <v>46148</v>
      </c>
      <c r="B315" s="11" t="n"/>
      <c r="C315" s="11" t="n">
        <v>2855</v>
      </c>
      <c r="D315" s="189">
        <f>VLOOKUP(C315,台股行情!A:B,2,FALSE)</f>
        <v/>
      </c>
      <c r="E315" s="11" t="n">
        <v>2000</v>
      </c>
      <c r="F315" s="11" t="n">
        <v>39.5</v>
      </c>
      <c r="G315" s="11">
        <f>E315*F315</f>
        <v/>
      </c>
      <c r="H315" s="11" t="n">
        <v>112</v>
      </c>
      <c r="I315" s="104" t="n"/>
      <c r="J315" s="16" t="n"/>
      <c r="K315" s="11">
        <f>E315*J315</f>
        <v/>
      </c>
      <c r="L315" s="11">
        <f>ROUND(J315*E315*0.1425%,0)</f>
        <v/>
      </c>
      <c r="M315" s="11">
        <f>ROUND(J315*E315*0.3%,0)</f>
        <v/>
      </c>
      <c r="N315" s="11" t="n">
        <v>0</v>
      </c>
      <c r="O315" s="434">
        <f>IF(I315="",E315*Y315,0)</f>
        <v/>
      </c>
      <c r="P315" s="435">
        <f>IF(I315="",R315-H315,(K315-H315-SUM(L315:N315)+R315-S315-T315)-G315)+(ROUND(R315*V315,0)-ROUND(R315*(1+V315),0)*W315)</f>
        <v/>
      </c>
      <c r="Q315" s="435">
        <f>IF(I315="",(O315-G315-(O315*0.1425%*0.65)-(O315*0.3%)-S315-T315),0)</f>
        <v/>
      </c>
      <c r="R315" s="435" t="n"/>
      <c r="S315" s="435" t="n"/>
      <c r="T315" s="435">
        <f>IF(ROUND(R315*(1+V315),0)&gt;20000,ROUND(ROUND(R315*(1+V315),0)*2%,0),0)</f>
        <v/>
      </c>
      <c r="U315" s="69">
        <f>(V315*50%)/(1+50%*V315)</f>
        <v/>
      </c>
      <c r="V315" s="69" t="n"/>
      <c r="W315" s="70" t="n">
        <v>0.11</v>
      </c>
      <c r="X315" s="436">
        <f>(P315+Q315)/G315</f>
        <v/>
      </c>
      <c r="Y315" s="16">
        <f>VLOOKUP(C315,台股行情!A:D,4,FALSE)</f>
        <v/>
      </c>
      <c r="Z315" s="437">
        <f>VLOOKUP(C315,台股行情!A:E,5,FALSE)</f>
        <v/>
      </c>
      <c r="AA315" s="438">
        <f>IF(I315="",((TODAY()-A315)*G315)/365.24,((I315-A315)*G315)/365.24)</f>
        <v/>
      </c>
      <c r="AB315" s="103" t="inlineStr">
        <is>
          <t>台股</t>
        </is>
      </c>
    </row>
    <row r="316">
      <c r="A316" s="99" t="n">
        <v>46148</v>
      </c>
      <c r="B316" s="11" t="n"/>
      <c r="C316" s="11" t="inlineStr">
        <is>
          <t>00981A</t>
        </is>
      </c>
      <c r="D316" s="189">
        <f>VLOOKUP(C316,台股行情!A:B,2,FALSE)</f>
        <v/>
      </c>
      <c r="E316" s="11" t="n">
        <v>1000</v>
      </c>
      <c r="F316" s="11" t="n">
        <v>29.28</v>
      </c>
      <c r="G316" s="11">
        <f>E316*F316</f>
        <v/>
      </c>
      <c r="H316" s="11" t="n">
        <v>41</v>
      </c>
      <c r="I316" s="104" t="n"/>
      <c r="J316" s="16" t="n"/>
      <c r="K316" s="11">
        <f>E316*J316</f>
        <v/>
      </c>
      <c r="L316" s="11">
        <f>ROUND(J316*E316*0.1425%,0)</f>
        <v/>
      </c>
      <c r="M316" s="11">
        <f>ROUND(J316*E316*0.3%,0)</f>
        <v/>
      </c>
      <c r="N316" s="11" t="n">
        <v>0</v>
      </c>
      <c r="O316" s="434">
        <f>IF(I316="",E316*Y316,0)</f>
        <v/>
      </c>
      <c r="P316" s="435">
        <f>IF(I316="",R316-H316,(K316-H316-SUM(L316:N316)+R316-S316-T316)-G316)+(ROUND(R316*V316,0)-ROUND(R316*(1+V316),0)*W316)</f>
        <v/>
      </c>
      <c r="Q316" s="435">
        <f>IF(I316="",(O316-G316-(O316*0.1425%*0.65)-(O316*0.3%)-S316-T316),0)</f>
        <v/>
      </c>
      <c r="R316" s="435" t="n"/>
      <c r="S316" s="435" t="n"/>
      <c r="T316" s="435">
        <f>IF(ROUND(R316*(1+V316),0)&gt;20000,ROUND(ROUND(R316*(1+V316),0)*2%,0),0)</f>
        <v/>
      </c>
      <c r="U316" s="69">
        <f>(V316*50%)/(1+50%*V316)</f>
        <v/>
      </c>
      <c r="V316" s="69" t="n"/>
      <c r="W316" s="70" t="n">
        <v>0.11</v>
      </c>
      <c r="X316" s="436">
        <f>(P316+Q316)/G316</f>
        <v/>
      </c>
      <c r="Y316" s="16">
        <f>VLOOKUP(C316,台股行情!A:D,4,FALSE)</f>
        <v/>
      </c>
      <c r="Z316" s="437">
        <f>VLOOKUP(C316,台股行情!A:E,5,FALSE)</f>
        <v/>
      </c>
      <c r="AA316" s="438">
        <f>IF(I316="",((TODAY()-A316)*G316)/365.24,((I316-A316)*G316)/365.24)</f>
        <v/>
      </c>
      <c r="AB316" s="103" t="inlineStr">
        <is>
          <t>台股 ETF</t>
        </is>
      </c>
    </row>
    <row r="317">
      <c r="A317" s="99" t="n">
        <v>46149</v>
      </c>
      <c r="B317" s="11" t="n"/>
      <c r="C317" s="349" t="n">
        <v>830</v>
      </c>
      <c r="D317" s="189">
        <f>VLOOKUP(C317,台股行情!A:B,2,FALSE)</f>
        <v/>
      </c>
      <c r="E317" s="11" t="n">
        <v>125</v>
      </c>
      <c r="F317" s="11" t="n">
        <v>79.47</v>
      </c>
      <c r="G317" s="11" t="n">
        <v>9933</v>
      </c>
      <c r="H317" s="11" t="n">
        <v>41</v>
      </c>
      <c r="I317" s="104" t="n"/>
      <c r="J317" s="16" t="n"/>
      <c r="K317" s="11">
        <f>E317*J317</f>
        <v/>
      </c>
      <c r="L317" s="11">
        <f>ROUND(J317*E317*0.1425%,0)</f>
        <v/>
      </c>
      <c r="M317" s="11">
        <f>ROUND(J317*E317*0.3%,0)</f>
        <v/>
      </c>
      <c r="N317" s="11" t="n">
        <v>0</v>
      </c>
      <c r="O317" s="434">
        <f>IF(I317="",E317*Y317,0)</f>
        <v/>
      </c>
      <c r="P317" s="435">
        <f>IF(I317="",R317-H317,(K317-H317-SUM(L317:N317)+R317-S317-T317)-G317)+(ROUND(R317*V317,0)-ROUND(R317*(1+V317),0)*W317)</f>
        <v/>
      </c>
      <c r="Q317" s="435">
        <f>IF(I317="",(O317-G317-(O317*0.1425%*0.65)-(O317*0.3%)-S317-T317),0)</f>
        <v/>
      </c>
      <c r="R317" s="435" t="n"/>
      <c r="S317" s="435" t="n"/>
      <c r="T317" s="435">
        <f>IF(ROUND(R317*(1+V317),0)&gt;20000,ROUND(ROUND(R317*(1+V317),0)*2%,0),0)</f>
        <v/>
      </c>
      <c r="U317" s="69">
        <f>(V317*50%)/(1+50%*V317)</f>
        <v/>
      </c>
      <c r="V317" s="69" t="n"/>
      <c r="W317" s="70" t="n">
        <v>0.11</v>
      </c>
      <c r="X317" s="436">
        <f>(P317+Q317)/G317</f>
        <v/>
      </c>
      <c r="Y317" s="16">
        <f>VLOOKUP(C317,台股行情!A:D,4,FALSE)</f>
        <v/>
      </c>
      <c r="Z317" s="437">
        <f>VLOOKUP(C317,台股行情!A:E,5,FALSE)</f>
        <v/>
      </c>
      <c r="AA317" s="438">
        <f>IF(I317="",((TODAY()-A317)*G317)/365.24,((I317-A317)*G317)/365.24)</f>
        <v/>
      </c>
      <c r="AB317" s="103" t="inlineStr">
        <is>
          <t>台股 ETF</t>
        </is>
      </c>
    </row>
    <row r="318">
      <c r="A318" s="99" t="n">
        <v>46149</v>
      </c>
      <c r="B318" s="11" t="n"/>
      <c r="C318" s="11" t="n">
        <v>2357</v>
      </c>
      <c r="D318" s="189">
        <f>VLOOKUP(C318,台股行情!A:B,2,FALSE)</f>
        <v/>
      </c>
      <c r="E318" s="11" t="n">
        <v>1000</v>
      </c>
      <c r="F318" s="11" t="n">
        <v>639</v>
      </c>
      <c r="G318" s="11">
        <f>E318*F318</f>
        <v/>
      </c>
      <c r="H318" s="11" t="n">
        <v>910</v>
      </c>
      <c r="I318" s="104" t="n"/>
      <c r="J318" s="16" t="n"/>
      <c r="K318" s="11">
        <f>E318*J318</f>
        <v/>
      </c>
      <c r="L318" s="11">
        <f>ROUND(J318*E318*0.1425%,0)</f>
        <v/>
      </c>
      <c r="M318" s="11">
        <f>ROUND(J318*E318*0.3%,0)</f>
        <v/>
      </c>
      <c r="N318" s="11" t="n">
        <v>0</v>
      </c>
      <c r="O318" s="434">
        <f>IF(I318="",E318*Y318,0)</f>
        <v/>
      </c>
      <c r="P318" s="435">
        <f>IF(I318="",R318-H318,(K318-H318-SUM(L318:N318)+R318-S318-T318)-G318)+(ROUND(R318*V318,0)-ROUND(R318*(1+V318),0)*W318)</f>
        <v/>
      </c>
      <c r="Q318" s="435">
        <f>IF(I318="",(O318-G318-(O318*0.1425%*0.65)-(O318*0.3%)-S318-T318),0)</f>
        <v/>
      </c>
      <c r="R318" s="435" t="n"/>
      <c r="S318" s="435" t="n"/>
      <c r="T318" s="435">
        <f>IF(ROUND(R318*(1+V318),0)&gt;20000,ROUND(ROUND(R318*(1+V318),0)*2%,0),0)</f>
        <v/>
      </c>
      <c r="U318" s="69">
        <f>(V318*50%)/(1+50%*V318)</f>
        <v/>
      </c>
      <c r="V318" s="69" t="n"/>
      <c r="W318" s="70" t="n">
        <v>0.11</v>
      </c>
      <c r="X318" s="436">
        <f>(P318+Q318)/G318</f>
        <v/>
      </c>
      <c r="Y318" s="16">
        <f>VLOOKUP(C318,台股行情!A:D,4,FALSE)</f>
        <v/>
      </c>
      <c r="Z318" s="437">
        <f>VLOOKUP(C318,台股行情!A:E,5,FALSE)</f>
        <v/>
      </c>
      <c r="AA318" s="438">
        <f>IF(I318="",((TODAY()-A318)*G318)/365.24,((I318-A318)*G318)/365.24)</f>
        <v/>
      </c>
      <c r="AB318" s="103" t="inlineStr">
        <is>
          <t>台股</t>
        </is>
      </c>
    </row>
    <row r="319">
      <c r="A319" s="99" t="n">
        <v>46150</v>
      </c>
      <c r="B319" s="11" t="n"/>
      <c r="C319" s="349" t="n">
        <v>50</v>
      </c>
      <c r="D319" s="189">
        <f>VLOOKUP(C319,台股行情!A:B,2,FALSE)</f>
        <v/>
      </c>
      <c r="E319" s="11" t="n">
        <v>51</v>
      </c>
      <c r="F319" s="11" t="n">
        <v>97.02</v>
      </c>
      <c r="G319" s="11" t="n">
        <v>4948</v>
      </c>
      <c r="H319" s="11" t="n">
        <v>1</v>
      </c>
      <c r="I319" s="104" t="n"/>
      <c r="J319" s="16" t="n"/>
      <c r="K319" s="11">
        <f>E319*J319</f>
        <v/>
      </c>
      <c r="L319" s="11">
        <f>ROUND(J319*E319*0.1425%,0)</f>
        <v/>
      </c>
      <c r="M319" s="11">
        <f>ROUND(J319*E319*0.3%,0)</f>
        <v/>
      </c>
      <c r="N319" s="11" t="n">
        <v>0</v>
      </c>
      <c r="O319" s="434">
        <f>IF(I319="",E319*Y319,0)</f>
        <v/>
      </c>
      <c r="P319" s="435">
        <f>IF(I319="",R319-H319,(K319-H319-SUM(L319:N319)+R319-S319-T319)-G319)+(ROUND(R319*V319,0)-ROUND(R319*(1+V319),0)*W319)</f>
        <v/>
      </c>
      <c r="Q319" s="435">
        <f>IF(I319="",(O319-G319-(O319*0.1425%*0.65)-(O319*0.3%)-S319-T319),0)</f>
        <v/>
      </c>
      <c r="R319" s="435" t="n"/>
      <c r="S319" s="435" t="n"/>
      <c r="T319" s="435">
        <f>IF(ROUND(R319*(1+V319),0)&gt;20000,ROUND(ROUND(R319*(1+V319),0)*2%,0),0)</f>
        <v/>
      </c>
      <c r="U319" s="69">
        <f>(V319*50%)/(1+50%*V319)</f>
        <v/>
      </c>
      <c r="V319" s="69" t="n"/>
      <c r="W319" s="70" t="n">
        <v>0.11</v>
      </c>
      <c r="X319" s="436">
        <f>(P319+Q319)/G319</f>
        <v/>
      </c>
      <c r="Y319" s="16">
        <f>VLOOKUP(C319,台股行情!A:D,4,FALSE)</f>
        <v/>
      </c>
      <c r="Z319" s="437">
        <f>VLOOKUP(C319,台股行情!A:E,5,FALSE)</f>
        <v/>
      </c>
      <c r="AA319" s="438">
        <f>IF(I319="",((TODAY()-A319)*G319)/365.24,((I319-A319)*G319)/365.24)</f>
        <v/>
      </c>
      <c r="AB319" s="103" t="inlineStr">
        <is>
          <t>台股 ETF</t>
        </is>
      </c>
    </row>
    <row r="320">
      <c r="A320" s="99" t="n">
        <v>46150</v>
      </c>
      <c r="B320" s="11" t="n"/>
      <c r="C320" s="11" t="n">
        <v>3443</v>
      </c>
      <c r="D320" s="189">
        <f>VLOOKUP(C320,台股行情!A:B,2,FALSE)</f>
        <v/>
      </c>
      <c r="E320" s="11" t="n">
        <v>25</v>
      </c>
      <c r="F320" s="11" t="n">
        <v>5420</v>
      </c>
      <c r="G320" s="11">
        <f>E320*F320</f>
        <v/>
      </c>
      <c r="H320" s="11" t="n">
        <v>193</v>
      </c>
      <c r="I320" s="104" t="n"/>
      <c r="J320" s="16" t="n"/>
      <c r="K320" s="11">
        <f>E320*J320</f>
        <v/>
      </c>
      <c r="L320" s="11">
        <f>ROUND(J320*E320*0.1425%,0)</f>
        <v/>
      </c>
      <c r="M320" s="11">
        <f>ROUND(J320*E320*0.3%,0)</f>
        <v/>
      </c>
      <c r="N320" s="11" t="n">
        <v>0</v>
      </c>
      <c r="O320" s="434">
        <f>IF(I320="",E320*Y320,0)</f>
        <v/>
      </c>
      <c r="P320" s="435">
        <f>IF(I320="",R320-H320,(K320-H320-SUM(L320:N320)+R320-S320-T320)-G320)+(ROUND(R320*V320,0)-ROUND(R320*(1+V320),0)*W320)</f>
        <v/>
      </c>
      <c r="Q320" s="435">
        <f>IF(I320="",(O320-G320-(O320*0.1425%*0.65)-(O320*0.3%)-S320-T320),0)</f>
        <v/>
      </c>
      <c r="R320" s="435" t="n"/>
      <c r="S320" s="435" t="n"/>
      <c r="T320" s="435">
        <f>IF(ROUND(R320*(1+V320),0)&gt;20000,ROUND(ROUND(R320*(1+V320),0)*2%,0),0)</f>
        <v/>
      </c>
      <c r="U320" s="69">
        <f>(V320*50%)/(1+50%*V320)</f>
        <v/>
      </c>
      <c r="V320" s="69" t="n"/>
      <c r="W320" s="70" t="n">
        <v>0.11</v>
      </c>
      <c r="X320" s="436">
        <f>(P320+Q320)/G320</f>
        <v/>
      </c>
      <c r="Y320" s="16">
        <f>VLOOKUP(C320,台股行情!A:D,4,FALSE)</f>
        <v/>
      </c>
      <c r="Z320" s="437">
        <f>VLOOKUP(C320,台股行情!A:E,5,FALSE)</f>
        <v/>
      </c>
      <c r="AA320" s="438">
        <f>IF(I320="",((TODAY()-A320)*G320)/365.24,((I320-A320)*G320)/365.24)</f>
        <v/>
      </c>
      <c r="AB320" s="103" t="inlineStr">
        <is>
          <t>台股</t>
        </is>
      </c>
    </row>
    <row r="321">
      <c r="A321" s="99" t="n">
        <v>46150</v>
      </c>
      <c r="B321" s="11" t="n"/>
      <c r="C321" s="11" t="n">
        <v>3324</v>
      </c>
      <c r="D321" s="189">
        <f>VLOOKUP(C321,台股行情!A:B,2,FALSE)</f>
        <v/>
      </c>
      <c r="E321" s="11" t="n">
        <v>100</v>
      </c>
      <c r="F321" s="11" t="n">
        <v>1075</v>
      </c>
      <c r="G321" s="11">
        <f>E321*F321</f>
        <v/>
      </c>
      <c r="H321" s="11" t="n">
        <v>153</v>
      </c>
      <c r="I321" s="104" t="n"/>
      <c r="J321" s="16" t="n"/>
      <c r="K321" s="11">
        <f>E321*J321</f>
        <v/>
      </c>
      <c r="L321" s="11">
        <f>ROUND(J321*E321*0.1425%,0)</f>
        <v/>
      </c>
      <c r="M321" s="11">
        <f>ROUND(J321*E321*0.3%,0)</f>
        <v/>
      </c>
      <c r="N321" s="11" t="n">
        <v>0</v>
      </c>
      <c r="O321" s="434">
        <f>IF(I321="",E321*Y321,0)</f>
        <v/>
      </c>
      <c r="P321" s="435">
        <f>IF(I321="",R321-H321,(K321-H321-SUM(L321:N321)+R321-S321-T321)-G321)+(ROUND(R321*V321,0)-ROUND(R321*(1+V321),0)*W321)</f>
        <v/>
      </c>
      <c r="Q321" s="435">
        <f>IF(I321="",(O321-G321-(O321*0.1425%*0.65)-(O321*0.3%)-S321-T321),0)</f>
        <v/>
      </c>
      <c r="R321" s="435" t="n"/>
      <c r="S321" s="435" t="n"/>
      <c r="T321" s="435">
        <f>IF(ROUND(R321*(1+V321),0)&gt;20000,ROUND(ROUND(R321*(1+V321),0)*2%,0),0)</f>
        <v/>
      </c>
      <c r="U321" s="69">
        <f>(V321*50%)/(1+50%*V321)</f>
        <v/>
      </c>
      <c r="V321" s="69" t="n"/>
      <c r="W321" s="70" t="n">
        <v>0.11</v>
      </c>
      <c r="X321" s="436">
        <f>(P321+Q321)/G321</f>
        <v/>
      </c>
      <c r="Y321" s="16">
        <f>VLOOKUP(C321,台股行情!A:D,4,FALSE)</f>
        <v/>
      </c>
      <c r="Z321" s="437">
        <f>VLOOKUP(C321,台股行情!A:E,5,FALSE)</f>
        <v/>
      </c>
      <c r="AA321" s="438">
        <f>IF(I321="",((TODAY()-A321)*G321)/365.24,((I321-A321)*G321)/365.24)</f>
        <v/>
      </c>
      <c r="AB321" s="103" t="inlineStr">
        <is>
          <t>台股</t>
        </is>
      </c>
    </row>
    <row r="322">
      <c r="A322" s="99" t="n">
        <v>46154</v>
      </c>
      <c r="B322" s="11" t="n"/>
      <c r="C322" s="11" t="n">
        <v>3481</v>
      </c>
      <c r="D322" s="189">
        <f>VLOOKUP(C322,台股行情!A:B,2,FALSE)</f>
        <v/>
      </c>
      <c r="E322" s="11" t="n">
        <v>3000</v>
      </c>
      <c r="F322" s="11" t="n">
        <v>35</v>
      </c>
      <c r="G322" s="11">
        <f>E322*F322</f>
        <v/>
      </c>
      <c r="H322" s="11" t="n">
        <v>149</v>
      </c>
      <c r="I322" s="104" t="n"/>
      <c r="J322" s="16" t="n"/>
      <c r="K322" s="11">
        <f>E322*J322</f>
        <v/>
      </c>
      <c r="L322" s="11">
        <f>ROUND(J322*E322*0.1425%,0)</f>
        <v/>
      </c>
      <c r="M322" s="11">
        <f>ROUND(J322*E322*0.3%,0)</f>
        <v/>
      </c>
      <c r="N322" s="11" t="n">
        <v>0</v>
      </c>
      <c r="O322" s="434">
        <f>IF(I322="",E322*Y322,0)</f>
        <v/>
      </c>
      <c r="P322" s="435">
        <f>IF(I322="",R322-H322,(K322-H322-SUM(L322:N322)+R322-S322-T322)-G322)+(ROUND(R322*V322,0)-ROUND(R322*(1+V322),0)*W322)</f>
        <v/>
      </c>
      <c r="Q322" s="435">
        <f>IF(I322="",(O322-G322-(O322*0.1425%*0.65)-(O322*0.3%)-S322-T322),0)</f>
        <v/>
      </c>
      <c r="R322" s="435" t="n"/>
      <c r="S322" s="435" t="n"/>
      <c r="T322" s="435">
        <f>IF(ROUND(R322*(1+V322),0)&gt;20000,ROUND(ROUND(R322*(1+V322),0)*2%,0),0)</f>
        <v/>
      </c>
      <c r="U322" s="69">
        <f>(V322*50%)/(1+50%*V322)</f>
        <v/>
      </c>
      <c r="V322" s="69" t="n"/>
      <c r="W322" s="70" t="n">
        <v>0.11</v>
      </c>
      <c r="X322" s="436">
        <f>(P322+Q322)/G322</f>
        <v/>
      </c>
      <c r="Y322" s="16">
        <f>VLOOKUP(C322,台股行情!A:D,4,FALSE)</f>
        <v/>
      </c>
      <c r="Z322" s="437">
        <f>VLOOKUP(C322,台股行情!A:E,5,FALSE)</f>
        <v/>
      </c>
      <c r="AA322" s="438">
        <f>IF(I322="",((TODAY()-A322)*G322)/365.24,((I322-A322)*G322)/365.24)</f>
        <v/>
      </c>
      <c r="AB322" s="103" t="inlineStr">
        <is>
          <t>台股</t>
        </is>
      </c>
    </row>
    <row r="323">
      <c r="A323" s="99" t="n">
        <v>46150</v>
      </c>
      <c r="B323" s="11" t="n"/>
      <c r="C323" s="349" t="n">
        <v>50</v>
      </c>
      <c r="D323" s="189">
        <f>VLOOKUP(C323,台股行情!A:B,2,FALSE)</f>
        <v/>
      </c>
      <c r="E323" s="11" t="n">
        <v>52</v>
      </c>
      <c r="F323" s="11" t="n">
        <v>94.40000000000001</v>
      </c>
      <c r="G323" s="11" t="n">
        <v>4948</v>
      </c>
      <c r="H323" s="11" t="n">
        <v>1</v>
      </c>
      <c r="I323" s="104" t="n"/>
      <c r="J323" s="16" t="n"/>
      <c r="K323" s="11">
        <f>E323*J323</f>
        <v/>
      </c>
      <c r="L323" s="11">
        <f>ROUND(J323*E323*0.1425%,0)</f>
        <v/>
      </c>
      <c r="M323" s="11">
        <f>ROUND(J323*E323*0.3%,0)</f>
        <v/>
      </c>
      <c r="N323" s="11" t="n">
        <v>0</v>
      </c>
      <c r="O323" s="434">
        <f>IF(I323="",E323*Y323,0)</f>
        <v/>
      </c>
      <c r="P323" s="435">
        <f>IF(I323="",R323-H323,(K323-H323-SUM(L323:N323)+R323-S323-T323)-G323)+(ROUND(R323*V323,0)-ROUND(R323*(1+V323),0)*W323)</f>
        <v/>
      </c>
      <c r="Q323" s="435">
        <f>IF(I323="",(O323-G323-(O323*0.1425%*0.65)-(O323*0.3%)-S323-T323),0)</f>
        <v/>
      </c>
      <c r="R323" s="435" t="n"/>
      <c r="S323" s="435" t="n"/>
      <c r="T323" s="435">
        <f>IF(ROUND(R323*(1+V323),0)&gt;20000,ROUND(ROUND(R323*(1+V323),0)*2%,0),0)</f>
        <v/>
      </c>
      <c r="U323" s="69">
        <f>(V323*50%)/(1+50%*V323)</f>
        <v/>
      </c>
      <c r="V323" s="69" t="n"/>
      <c r="W323" s="70" t="n">
        <v>0.11</v>
      </c>
      <c r="X323" s="436">
        <f>(P323+Q323)/G323</f>
        <v/>
      </c>
      <c r="Y323" s="16">
        <f>VLOOKUP(C323,台股行情!A:D,4,FALSE)</f>
        <v/>
      </c>
      <c r="Z323" s="437">
        <f>VLOOKUP(C323,台股行情!A:E,5,FALSE)</f>
        <v/>
      </c>
      <c r="AA323" s="438">
        <f>IF(I323="",((TODAY()-A323)*G323)/365.24,((I323-A323)*G323)/365.24)</f>
        <v/>
      </c>
      <c r="AB323" s="103" t="inlineStr">
        <is>
          <t>台股</t>
        </is>
      </c>
      <c r="AC323" s="311" t="n"/>
    </row>
    <row r="324">
      <c r="A324" s="99" t="n">
        <v>46149</v>
      </c>
      <c r="B324" s="11" t="n"/>
      <c r="C324" s="349" t="n">
        <v>830</v>
      </c>
      <c r="D324" s="189">
        <f>VLOOKUP(C324,台股行情!A:B,2,FALSE)</f>
        <v/>
      </c>
      <c r="E324" s="11" t="n">
        <v>123</v>
      </c>
      <c r="F324" s="11" t="n">
        <v>80.87</v>
      </c>
      <c r="G324" s="11" t="n">
        <v>9933</v>
      </c>
      <c r="H324" s="11" t="n">
        <v>1</v>
      </c>
      <c r="I324" s="104" t="n"/>
      <c r="J324" s="16" t="n"/>
      <c r="K324" s="11">
        <f>E324*J324</f>
        <v/>
      </c>
      <c r="L324" s="11">
        <f>ROUND(J324*E324*0.1425%,0)</f>
        <v/>
      </c>
      <c r="M324" s="11">
        <f>ROUND(J324*E324*0.3%,0)</f>
        <v/>
      </c>
      <c r="N324" s="11" t="n">
        <v>0</v>
      </c>
      <c r="O324" s="434">
        <f>IF(I324="",E324*Y324,0)</f>
        <v/>
      </c>
      <c r="P324" s="435">
        <f>IF(I324="",R324-H324,(K324-H324-SUM(L324:N324)+R324-S324-T324)-G324)+(ROUND(R324*V324,0)-ROUND(R324*(1+V324),0)*W324)</f>
        <v/>
      </c>
      <c r="Q324" s="435">
        <f>IF(I324="",(O324-G324-(O324*0.1425%*0.65)-(O324*0.3%)-S324-T324),0)</f>
        <v/>
      </c>
      <c r="R324" s="435" t="n"/>
      <c r="S324" s="435" t="n"/>
      <c r="T324" s="435">
        <f>IF(ROUND(R324*(1+V324),0)&gt;20000,ROUND(ROUND(R324*(1+V324),0)*2%,0),0)</f>
        <v/>
      </c>
      <c r="U324" s="69">
        <f>(V324*50%)/(1+50%*V324)</f>
        <v/>
      </c>
      <c r="V324" s="69" t="n"/>
      <c r="W324" s="70" t="n">
        <v>0.11</v>
      </c>
      <c r="X324" s="436">
        <f>(P324+Q324)/G324</f>
        <v/>
      </c>
      <c r="Y324" s="16">
        <f>VLOOKUP(C324,台股行情!A:D,4,FALSE)</f>
        <v/>
      </c>
      <c r="Z324" s="437">
        <f>VLOOKUP(C324,台股行情!A:E,5,FALSE)</f>
        <v/>
      </c>
      <c r="AA324" s="438">
        <f>IF(I324="",((TODAY()-A324)*G324)/365.24,((I324-A324)*G324)/365.24)</f>
        <v/>
      </c>
      <c r="AB324" s="103" t="inlineStr">
        <is>
          <t>台股</t>
        </is>
      </c>
      <c r="AC324" s="311" t="n"/>
    </row>
    <row r="325">
      <c r="A325" s="99" t="n">
        <v>46148</v>
      </c>
      <c r="B325" s="11" t="n"/>
      <c r="C325" s="349" t="inlineStr">
        <is>
          <t>00991A</t>
        </is>
      </c>
      <c r="D325" s="189">
        <f>VLOOKUP(C325,台股行情!A:B,2,FALSE)</f>
        <v/>
      </c>
      <c r="E325" s="11" t="n">
        <v>574</v>
      </c>
      <c r="F325" s="11" t="n">
        <v>17.42</v>
      </c>
      <c r="G325" s="11" t="n">
        <v>9996</v>
      </c>
      <c r="H325" s="11" t="n">
        <v>1</v>
      </c>
      <c r="I325" s="104" t="n"/>
      <c r="J325" s="16" t="n"/>
      <c r="K325" s="11">
        <f>E325*J325</f>
        <v/>
      </c>
      <c r="L325" s="11">
        <f>ROUND(J325*E325*0.1425%,0)</f>
        <v/>
      </c>
      <c r="M325" s="11">
        <f>ROUND(J325*E325*0.3%,0)</f>
        <v/>
      </c>
      <c r="N325" s="11" t="n">
        <v>0</v>
      </c>
      <c r="O325" s="434">
        <f>IF(I325="",E325*Y325,0)</f>
        <v/>
      </c>
      <c r="P325" s="435">
        <f>IF(I325="",R325-H325,(K325-H325-SUM(L325:N325)+R325-S325-T325)-G325)+(ROUND(R325*V325,0)-ROUND(R325*(1+V325),0)*W325)</f>
        <v/>
      </c>
      <c r="Q325" s="435">
        <f>IF(I325="",(O325-G325-(O325*0.1425%*0.65)-(O325*0.3%)-S325-T325),0)</f>
        <v/>
      </c>
      <c r="R325" s="435" t="n"/>
      <c r="S325" s="435" t="n"/>
      <c r="T325" s="435">
        <f>IF(ROUND(R325*(1+V325),0)&gt;20000,ROUND(ROUND(R325*(1+V325),0)*2%,0),0)</f>
        <v/>
      </c>
      <c r="U325" s="69">
        <f>(V325*50%)/(1+50%*V325)</f>
        <v/>
      </c>
      <c r="V325" s="69" t="n"/>
      <c r="W325" s="70" t="n">
        <v>0.11</v>
      </c>
      <c r="X325" s="436">
        <f>(P325+Q325)/G325</f>
        <v/>
      </c>
      <c r="Y325" s="16">
        <f>VLOOKUP(C325,台股行情!A:D,4,FALSE)</f>
        <v/>
      </c>
      <c r="Z325" s="437">
        <f>VLOOKUP(C325,台股行情!A:E,5,FALSE)</f>
        <v/>
      </c>
      <c r="AA325" s="438">
        <f>IF(I325="",((TODAY()-A325)*G325)/365.24,((I325-A325)*G325)/365.24)</f>
        <v/>
      </c>
      <c r="AB325" s="103" t="inlineStr">
        <is>
          <t>台股</t>
        </is>
      </c>
      <c r="AC325" s="311" t="n"/>
    </row>
    <row r="326">
      <c r="A326" s="99" t="n">
        <v>46150</v>
      </c>
      <c r="B326" s="11" t="n"/>
      <c r="C326" s="349" t="n">
        <v>50</v>
      </c>
      <c r="D326" s="189">
        <f>VLOOKUP(C326,台股行情!A:B,2,FALSE)</f>
        <v/>
      </c>
      <c r="E326" s="11" t="n">
        <v>1000</v>
      </c>
      <c r="F326" s="11" t="n">
        <v>93.7</v>
      </c>
      <c r="G326" s="11">
        <f>E326*F326</f>
        <v/>
      </c>
      <c r="H326" s="11" t="n">
        <v>133</v>
      </c>
      <c r="I326" s="104" t="n"/>
      <c r="J326" s="16" t="n"/>
      <c r="K326" s="11">
        <f>E326*J326</f>
        <v/>
      </c>
      <c r="L326" s="11">
        <f>ROUND(J326*E326*0.1425%,0)</f>
        <v/>
      </c>
      <c r="M326" s="11">
        <f>ROUND(J326*E326*0.3%,0)</f>
        <v/>
      </c>
      <c r="N326" s="11" t="n">
        <v>0</v>
      </c>
      <c r="O326" s="434">
        <f>IF(I326="",E326*Y326,0)</f>
        <v/>
      </c>
      <c r="P326" s="435">
        <f>IF(I326="",R326-H326,(K326-H326-SUM(L326:N326)+R326-S326-T326)-G326)+(ROUND(R326*V326,0)-ROUND(R326*(1+V326),0)*W326)</f>
        <v/>
      </c>
      <c r="Q326" s="435">
        <f>IF(I326="",(O326-G326-(O326*0.1425%*0.65)-(O326*0.3%)-S326-T326),0)</f>
        <v/>
      </c>
      <c r="R326" s="435" t="n"/>
      <c r="S326" s="435" t="n"/>
      <c r="T326" s="435">
        <f>IF(ROUND(R326*(1+V326),0)&gt;20000,ROUND(ROUND(R326*(1+V326),0)*2%,0),0)</f>
        <v/>
      </c>
      <c r="U326" s="69">
        <f>(V326*50%)/(1+50%*V326)</f>
        <v/>
      </c>
      <c r="V326" s="69" t="n"/>
      <c r="W326" s="70" t="n">
        <v>0.11</v>
      </c>
      <c r="X326" s="436">
        <f>(P326+Q326)/G326</f>
        <v/>
      </c>
      <c r="Y326" s="16">
        <f>VLOOKUP(C326,台股行情!A:D,4,FALSE)</f>
        <v/>
      </c>
      <c r="Z326" s="437">
        <f>VLOOKUP(C326,台股行情!A:E,5,FALSE)</f>
        <v/>
      </c>
      <c r="AA326" s="438">
        <f>IF(I326="",((TODAY()-A326)*G326)/365.24,((I326-A326)*G326)/365.24)</f>
        <v/>
      </c>
      <c r="AB326" s="103" t="inlineStr">
        <is>
          <t>台股</t>
        </is>
      </c>
      <c r="AC326" s="311" t="n"/>
    </row>
    <row r="327">
      <c r="A327" s="224" t="n">
        <v>45550</v>
      </c>
      <c r="B327" s="11" t="inlineStr">
        <is>
          <t>普通買進</t>
        </is>
      </c>
      <c r="C327" s="377" t="inlineStr">
        <is>
          <t>SNPS</t>
        </is>
      </c>
      <c r="D327" s="189">
        <f>VLOOKUP(C327,美股行情!A:C,2,FALSE)</f>
        <v/>
      </c>
      <c r="E327" s="11" t="n">
        <v>1</v>
      </c>
      <c r="F327" s="11" t="n">
        <v>432.3</v>
      </c>
      <c r="G327" s="11">
        <f>E327*F327</f>
        <v/>
      </c>
      <c r="H327" s="484">
        <f>G327*0.25%</f>
        <v/>
      </c>
      <c r="I327" s="104" t="n">
        <v>46087</v>
      </c>
      <c r="J327" s="16" t="n">
        <v>433.82</v>
      </c>
      <c r="K327" s="11">
        <f>E327*J327</f>
        <v/>
      </c>
      <c r="L327" s="17" t="n">
        <v>1.08</v>
      </c>
      <c r="M327" s="11" t="n"/>
      <c r="N327" s="11" t="n">
        <v>0</v>
      </c>
      <c r="O327" s="434">
        <f>IF(I327="",E327*Y327,0)</f>
        <v/>
      </c>
      <c r="P327" s="435">
        <f>IF(I327="",R327-H327,(K327-H327-SUM(L327:N327)+R327-S327-T327)-G327)+(ROUND(R327*V327,0)-ROUND(R327*(1+V327),0)*W327)</f>
        <v/>
      </c>
      <c r="Q327" s="435">
        <f>IF(I327="",(O327-G327-(O327*0.1425%*0.65)-(O327*0.3%)-S327-T327),0)</f>
        <v/>
      </c>
      <c r="R327" s="435" t="n"/>
      <c r="S327" s="435" t="n">
        <v>0</v>
      </c>
      <c r="T327" s="435">
        <f>IF(ROUND(R327*(1+V327),0)&gt;20000,ROUND(ROUND(R327*(1+V327),0)*2%,0),0)</f>
        <v/>
      </c>
      <c r="U327" s="69">
        <f>(V327*50%)/(1+50%*V327)</f>
        <v/>
      </c>
      <c r="V327" s="69" t="n"/>
      <c r="W327" s="70" t="n">
        <v>0.11</v>
      </c>
      <c r="X327" s="436">
        <f>(P327+Q327)/G327</f>
        <v/>
      </c>
      <c r="Y327" s="16">
        <f>VLOOKUP(C327,美股行情!A:C,3,FALSE)</f>
        <v/>
      </c>
      <c r="Z327" s="437">
        <f>VLOOKUP(C327,美股行情!A:G,7,FALSE)</f>
        <v/>
      </c>
      <c r="AA327" s="103" t="n"/>
      <c r="AB327" s="350" t="inlineStr">
        <is>
          <t>美股</t>
        </is>
      </c>
    </row>
    <row r="328">
      <c r="A328" s="224" t="n">
        <v>45442</v>
      </c>
      <c r="B328" s="11" t="inlineStr">
        <is>
          <t>普通買進</t>
        </is>
      </c>
      <c r="C328" s="225" t="inlineStr">
        <is>
          <t>NVDA</t>
        </is>
      </c>
      <c r="D328" s="189">
        <f>VLOOKUP(C328,美股行情!A:C,2,FALSE)</f>
        <v/>
      </c>
      <c r="E328" s="11" t="n">
        <v>80</v>
      </c>
      <c r="F328" s="11" t="n">
        <v>114.6</v>
      </c>
      <c r="G328" s="11">
        <f>E328*F328</f>
        <v/>
      </c>
      <c r="H328" s="485">
        <f>G328*0.25%</f>
        <v/>
      </c>
      <c r="I328" s="104" t="n"/>
      <c r="J328" s="16" t="n"/>
      <c r="K328" s="11">
        <f>E328*J328</f>
        <v/>
      </c>
      <c r="L328" s="17" t="n"/>
      <c r="M328" s="11" t="n"/>
      <c r="N328" s="11" t="n">
        <v>0</v>
      </c>
      <c r="O328" s="434">
        <f>IF(I328="",E328*Y328,0)</f>
        <v/>
      </c>
      <c r="P328" s="435">
        <f>IF(I328="",R328-H328,(K328-H328-SUM(L328:N328)+R328-S328-T328)-G328)+(ROUND(R328*V328,0)-ROUND(R328*(1+V328),0)*W328)</f>
        <v/>
      </c>
      <c r="Q328" s="435">
        <f>IF(I328="",(O328-G328-(O328*0.1425%*0.65)-(O328*0.3%)-S328-T328),0)</f>
        <v/>
      </c>
      <c r="R328" s="435">
        <f>0.56+0.56+0.56</f>
        <v/>
      </c>
      <c r="S328" s="435" t="n">
        <v>0</v>
      </c>
      <c r="T328" s="435">
        <f>IF(ROUND(R328*(1+V328),0)&gt;20000,ROUND(ROUND(R328*(1+V328),0)*2%,0),0)</f>
        <v/>
      </c>
      <c r="U328" s="69">
        <f>(V328*50%)/(1+50%*V328)</f>
        <v/>
      </c>
      <c r="V328" s="69" t="n"/>
      <c r="W328" s="70" t="n">
        <v>0.11</v>
      </c>
      <c r="X328" s="436">
        <f>(P328+Q328)/G328</f>
        <v/>
      </c>
      <c r="Y328" s="16">
        <f>VLOOKUP(C328,美股行情!A:C,3,FALSE)</f>
        <v/>
      </c>
      <c r="Z328" s="437">
        <f>VLOOKUP(C328,美股行情!A:G,7,FALSE)</f>
        <v/>
      </c>
      <c r="AA328" s="103" t="n"/>
      <c r="AB328" s="350" t="inlineStr">
        <is>
          <t>美股</t>
        </is>
      </c>
    </row>
    <row r="329" ht="17.25" customHeight="1" thickBot="1">
      <c r="A329" s="48" t="n"/>
      <c r="B329" s="49" t="n"/>
      <c r="C329" s="49" t="n"/>
      <c r="D329" s="49" t="n"/>
      <c r="E329" s="49" t="n"/>
      <c r="F329" s="49" t="n"/>
      <c r="G329" s="49" t="n"/>
      <c r="H329" s="49" t="n"/>
      <c r="I329" s="50" t="n"/>
      <c r="J329" s="51" t="n"/>
      <c r="K329" s="49" t="n"/>
      <c r="L329" s="447" t="n"/>
      <c r="M329" s="49" t="n"/>
      <c r="N329" s="49" t="n"/>
      <c r="O329" s="448" t="n"/>
      <c r="P329" s="449" t="n"/>
      <c r="Q329" s="449" t="n"/>
      <c r="R329" s="449" t="n"/>
      <c r="S329" s="449" t="n"/>
      <c r="T329" s="450" t="n"/>
      <c r="U329" s="449" t="n"/>
      <c r="V329" s="449" t="n"/>
      <c r="W329" s="78" t="n"/>
      <c r="X329" s="451" t="n"/>
      <c r="Y329" s="51" t="n"/>
      <c r="Z329" s="56" t="n"/>
      <c r="AA329" s="28" t="n"/>
    </row>
    <row r="331" ht="17.25" customHeight="1" thickBot="1"/>
    <row r="332" ht="17.25" customFormat="1" customHeight="1" s="8" thickBot="1">
      <c r="A332" s="251" t="inlineStr">
        <is>
          <t>分析</t>
        </is>
      </c>
      <c r="B332" s="456" t="n"/>
      <c r="C332" s="474" t="n"/>
      <c r="D332" s="251" t="inlineStr">
        <is>
          <t>分類</t>
        </is>
      </c>
      <c r="E332" s="498" t="n"/>
      <c r="F332" s="456" t="n"/>
      <c r="G332" s="251" t="inlineStr">
        <is>
          <t>成交金額</t>
        </is>
      </c>
      <c r="H332" s="251" t="inlineStr">
        <is>
          <t>手續費</t>
        </is>
      </c>
      <c r="I332" s="251" t="n"/>
      <c r="J332" s="305" t="n"/>
      <c r="K332" s="292" t="n"/>
      <c r="L332" s="292" t="n"/>
      <c r="M332" s="292" t="n"/>
      <c r="N332" s="293" t="n"/>
      <c r="O332" s="251" t="inlineStr">
        <is>
          <t>參考現值</t>
        </is>
      </c>
      <c r="P332" s="251" t="inlineStr">
        <is>
          <t>已實現損益</t>
        </is>
      </c>
      <c r="Q332" s="251" t="inlineStr">
        <is>
          <t>未實現損益</t>
        </is>
      </c>
      <c r="R332" s="251" t="inlineStr">
        <is>
          <t>除息</t>
        </is>
      </c>
      <c r="S332" s="251" t="inlineStr">
        <is>
          <t>手續費</t>
        </is>
      </c>
      <c r="T332" s="251" t="inlineStr">
        <is>
          <t>健保補充保費</t>
        </is>
      </c>
      <c r="U332" s="383" t="n"/>
      <c r="V332" s="383" t="inlineStr">
        <is>
          <t>扣抵稅率</t>
        </is>
      </c>
      <c r="W332" s="383" t="inlineStr">
        <is>
          <t>所得稅率</t>
        </is>
      </c>
      <c r="X332" s="251" t="inlineStr">
        <is>
          <t>投資報酬率</t>
        </is>
      </c>
      <c r="Y332" s="251" t="inlineStr">
        <is>
          <t>年化報酬率</t>
        </is>
      </c>
      <c r="Z332" s="251" t="inlineStr">
        <is>
          <t>勝率</t>
        </is>
      </c>
      <c r="AA332" s="89" t="n"/>
      <c r="AB332" s="86" t="n"/>
    </row>
    <row r="333" outlineLevel="1">
      <c r="A333" s="464" t="n"/>
      <c r="C333" s="475" t="n"/>
      <c r="D333" s="383" t="inlineStr">
        <is>
          <t>台幣活儲</t>
        </is>
      </c>
      <c r="G333" s="265" t="n"/>
      <c r="H333" s="265" t="n"/>
      <c r="I333" s="467" t="n"/>
      <c r="J333" s="306" t="n"/>
      <c r="K333" s="294" t="n"/>
      <c r="L333" s="294" t="n"/>
      <c r="M333" s="294" t="n"/>
      <c r="N333" s="295" t="n"/>
      <c r="O333" s="265">
        <f>'Family-帳戶紀錄'!D655</f>
        <v/>
      </c>
      <c r="P333" s="476" t="n"/>
      <c r="Q333" s="476" t="n"/>
      <c r="R333" s="265" t="n"/>
      <c r="S333" s="304" t="n"/>
      <c r="T333" s="304" t="n"/>
      <c r="U333" s="467" t="n"/>
      <c r="V333" s="257" t="n"/>
      <c r="W333" s="257" t="n"/>
      <c r="X333" s="477" t="n"/>
      <c r="Y333" s="477" t="n"/>
      <c r="Z333" s="268" t="n"/>
      <c r="AA333" s="9">
        <f>SUMIF(AB$2:AB$85,D333,AA$2:AA$85)</f>
        <v/>
      </c>
      <c r="AB333" s="28" t="n"/>
    </row>
    <row r="334" outlineLevel="1">
      <c r="A334" s="464" t="n"/>
      <c r="C334" s="475" t="n"/>
      <c r="D334" s="385" t="inlineStr">
        <is>
          <t>台股</t>
        </is>
      </c>
      <c r="G334" s="265">
        <f>SUMIF(AB$2:AB$328,D334,G$2:G$328)</f>
        <v/>
      </c>
      <c r="H334" s="265">
        <f>SUMIF(AB$2:AB$328,D334,H$2:H$328)</f>
        <v/>
      </c>
      <c r="I334" s="467" t="n"/>
      <c r="J334" s="306" t="n"/>
      <c r="K334" s="294" t="n"/>
      <c r="L334" s="294" t="n"/>
      <c r="M334" s="294" t="n"/>
      <c r="N334" s="295" t="n"/>
      <c r="O334" s="265">
        <f>SUMIF(AB$2:AB$328,D334,O$2:O$328)</f>
        <v/>
      </c>
      <c r="P334" s="476">
        <f>SUMIF(AB$2:AB$328,D334,P$2:P$328)</f>
        <v/>
      </c>
      <c r="Q334" s="476">
        <f>SUMIF(AB$2:AB$328,"*"&amp;D334&amp;"*",Q$2:Q$328)</f>
        <v/>
      </c>
      <c r="R334" s="265">
        <f>SUMIF(AB$2:AB$328,D334,R$2:R$328)</f>
        <v/>
      </c>
      <c r="S334" s="257" t="n"/>
      <c r="T334" s="257" t="n"/>
      <c r="U334" s="467" t="n"/>
      <c r="V334" s="257" t="n"/>
      <c r="W334" s="257" t="n"/>
      <c r="X334" s="477">
        <f>(SUMIF(AB$2:AB$328,D334,P$2:P$328)+SUMIF(AB$2:AB$328,"*"&amp;D334&amp;"*",Q$2:Q$328))/SUMIF(AB$2:AB$328,D334,G$2:G$328)</f>
        <v/>
      </c>
      <c r="Y334" s="477">
        <f>(P334+Q334)/(AA334)</f>
        <v/>
      </c>
      <c r="Z334" s="268">
        <f>COUNTIFS(X$2:X$328,"&gt;0",AB$2:AB$328,D334)/COUNTIF(AB$2:AB$328,D334)</f>
        <v/>
      </c>
      <c r="AA334" s="9">
        <f>SUMIF(AB$2:AB$85,D334,AA$2:AA$85)</f>
        <v/>
      </c>
      <c r="AB334" s="28" t="n"/>
    </row>
    <row r="335" outlineLevel="1" ht="17.25" customHeight="1" thickBot="1">
      <c r="A335" s="464" t="n"/>
      <c r="C335" s="475" t="n"/>
      <c r="D335" s="247" t="inlineStr">
        <is>
          <t>台股 ETF</t>
        </is>
      </c>
      <c r="G335" s="265">
        <f>SUMIF(AB$2:AB$328,D335,G$2:G$328)</f>
        <v/>
      </c>
      <c r="H335" s="265">
        <f>SUMIF(AB$2:AB$328,D335,H$2:H$328)</f>
        <v/>
      </c>
      <c r="I335" s="467" t="n"/>
      <c r="J335" s="306" t="n"/>
      <c r="K335" s="294" t="n"/>
      <c r="L335" s="294" t="n"/>
      <c r="M335" s="294" t="n"/>
      <c r="N335" s="295" t="n"/>
      <c r="O335" s="265">
        <f>SUMIF(AB$2:AB$328,D335,O$2:O$328)</f>
        <v/>
      </c>
      <c r="P335" s="476">
        <f>SUMIF(AB$2:AB$328,D335,P$2:P$328)</f>
        <v/>
      </c>
      <c r="Q335" s="476">
        <f>SUMIF(AB$2:AB$328,"*"&amp;D335&amp;"*",Q$2:Q$328)</f>
        <v/>
      </c>
      <c r="R335" s="265">
        <f>SUMIF(AB$2:AB$328,D335,R$2:R$328)</f>
        <v/>
      </c>
      <c r="S335" s="303" t="n"/>
      <c r="T335" s="303" t="n"/>
      <c r="U335" s="467" t="n"/>
      <c r="V335" s="261" t="n"/>
      <c r="W335" s="261" t="n"/>
      <c r="X335" s="477">
        <f>(SUMIF(AB$2:AB$328,D335,P$2:P$328)+SUMIF(AB$2:AB$328,"*"&amp;D335&amp;"*",Q$2:Q$328))/SUMIF(AB$2:AB$328,D335,G$2:G$328)</f>
        <v/>
      </c>
      <c r="Y335" s="477">
        <f>(P335+Q335)/(AA335)</f>
        <v/>
      </c>
      <c r="Z335" s="268">
        <f>COUNTIFS(X$2:X$328,"&gt;0",AB$2:AB$328,D335)/COUNTIF(AB$2:AB$328,D335)</f>
        <v/>
      </c>
      <c r="AA335" s="9">
        <f>SUMIF(AB$2:AB$85,D335,AA$2:AA$85)</f>
        <v/>
      </c>
      <c r="AB335" s="28" t="n"/>
    </row>
    <row r="336" outlineLevel="1">
      <c r="A336" s="464" t="n"/>
      <c r="C336" s="475" t="n"/>
      <c r="D336" s="269" t="inlineStr">
        <is>
          <t>美股</t>
        </is>
      </c>
      <c r="G336" s="265">
        <f>SUMIF(AB$2:AB$328,D336,G$2:G$328)</f>
        <v/>
      </c>
      <c r="H336" s="265">
        <f>SUMIF(AB$2:AB$328,D336,H$2:H$328)</f>
        <v/>
      </c>
      <c r="I336" s="467" t="n"/>
      <c r="J336" s="306" t="n"/>
      <c r="K336" s="294" t="n"/>
      <c r="L336" s="294" t="n"/>
      <c r="M336" s="294" t="n"/>
      <c r="N336" s="295" t="n"/>
      <c r="O336" s="265">
        <f>SUMIF(AB$2:AB$328,D336,O$2:O$328)*匯率!B13</f>
        <v/>
      </c>
      <c r="P336" s="476">
        <f>SUMIF(AB$2:AB$328,D336,P$2:P$328)</f>
        <v/>
      </c>
      <c r="Q336" s="476">
        <f>SUMIF(AB$2:AB$328,"*"&amp;D336&amp;"*",Q$2:Q$328)</f>
        <v/>
      </c>
      <c r="R336" s="265">
        <f>SUMIF(AB$2:AB$328,D336,R$2:R$328)</f>
        <v/>
      </c>
      <c r="S336" s="257" t="n"/>
      <c r="T336" s="257" t="n"/>
      <c r="U336" s="467" t="n"/>
      <c r="V336" s="257" t="n"/>
      <c r="W336" s="257" t="n"/>
      <c r="X336" s="477">
        <f>(SUMIF(AB$2:AB$328,D336,P$2:P$328)+SUMIF(AB$2:AB$328,"*"&amp;D336&amp;"*",Q$2:Q$328))/SUMIF(AB$2:AB$328,D336,G$2:G$328)</f>
        <v/>
      </c>
      <c r="Y336" s="477">
        <f>(P336+Q336)/(AA336)</f>
        <v/>
      </c>
      <c r="Z336" s="268">
        <f>COUNTIFS(X$2:X$328,"&gt;0",AB$2:AB$328,D336)/COUNTIF(AB$2:AB$328,D336)</f>
        <v/>
      </c>
      <c r="AA336" s="9">
        <f>SUMIF(AB$2:AB$85,D336,AA$2:AA$85)</f>
        <v/>
      </c>
      <c r="AB336" s="28" t="n"/>
    </row>
    <row r="337" outlineLevel="1" ht="17.25" customHeight="1" thickBot="1">
      <c r="A337" s="464" t="n"/>
      <c r="C337" s="475" t="n"/>
      <c r="D337" s="248" t="inlineStr">
        <is>
          <t>美金儲蓄</t>
        </is>
      </c>
      <c r="G337" s="252" t="n"/>
      <c r="H337" s="252" t="n"/>
      <c r="I337" s="467" t="n"/>
      <c r="J337" s="307" t="n"/>
      <c r="K337" s="296" t="n"/>
      <c r="L337" s="296" t="n"/>
      <c r="M337" s="296" t="n"/>
      <c r="N337" s="297" t="n"/>
      <c r="O337" s="379">
        <f>'Family-帳戶紀錄'!G655</f>
        <v/>
      </c>
      <c r="P337" s="482" t="n"/>
      <c r="Q337" s="482" t="n"/>
      <c r="R337" s="252" t="n"/>
      <c r="S337" s="261" t="n"/>
      <c r="T337" s="261" t="n"/>
      <c r="U337" s="481" t="n"/>
      <c r="V337" s="261" t="n"/>
      <c r="W337" s="261" t="n"/>
      <c r="X337" s="483" t="n"/>
      <c r="Y337" s="483" t="n"/>
      <c r="Z337" s="255" t="n"/>
      <c r="AA337" s="9">
        <f>SUMIF(AB$2:AB$85,D337,AA$2:AA$85)</f>
        <v/>
      </c>
      <c r="AB337" s="28" t="n"/>
    </row>
    <row r="338" outlineLevel="1" ht="17.25" customHeight="1" thickBot="1">
      <c r="A338" s="468" t="n"/>
      <c r="B338" s="469" t="n"/>
      <c r="C338" s="499" t="n"/>
      <c r="D338" s="248" t="inlineStr">
        <is>
          <t>總計</t>
        </is>
      </c>
      <c r="E338" s="469" t="n"/>
      <c r="F338" s="469" t="n"/>
      <c r="G338" s="252">
        <f>SUM(G333:G337)</f>
        <v/>
      </c>
      <c r="H338" s="252">
        <f>SUM(H333:H337)</f>
        <v/>
      </c>
      <c r="I338" s="473" t="n"/>
      <c r="J338" s="301" t="n"/>
      <c r="K338" s="302" t="n"/>
      <c r="L338" s="302" t="n"/>
      <c r="M338" s="302" t="n"/>
      <c r="N338" s="302" t="n"/>
      <c r="O338" s="252">
        <f>SUM(O333:O337)</f>
        <v/>
      </c>
      <c r="P338" s="252">
        <f>SUM(P333:P337)</f>
        <v/>
      </c>
      <c r="Q338" s="252">
        <f>SUM(Q333:Q337)</f>
        <v/>
      </c>
      <c r="R338" s="252">
        <f>SUM(R333:R337)</f>
        <v/>
      </c>
      <c r="S338" s="252" t="n"/>
      <c r="T338" s="252" t="n"/>
      <c r="U338" s="252">
        <f>SUM(U333:U337)</f>
        <v/>
      </c>
      <c r="V338" s="252">
        <f>SUM(V333:V337)</f>
        <v/>
      </c>
      <c r="W338" s="252">
        <f>SUM(W333:W337)</f>
        <v/>
      </c>
      <c r="X338" s="483">
        <f>(P338+Q338)/G338</f>
        <v/>
      </c>
      <c r="Y338" s="483" t="n"/>
      <c r="Z338" s="252" t="n"/>
      <c r="AB338" s="28" t="n"/>
    </row>
  </sheetData>
  <autoFilter ref="A1:AA21"/>
  <mergeCells count="4">
    <mergeCell ref="E332:F338"/>
    <mergeCell ref="I332:I338"/>
    <mergeCell ref="U332:U337"/>
    <mergeCell ref="A332:C338"/>
  </mergeCells>
  <conditionalFormatting sqref="Z1:AA1 Z271:AA288 Z330:AB331 Z339:AB1048576 AA289">
    <cfRule type="containsText" priority="2199" operator="containsText" dxfId="12" text="△">
      <formula>NOT(ISERROR(SEARCH("△",Z1)))</formula>
    </cfRule>
    <cfRule type="containsText" priority="2200" operator="containsText" dxfId="11" text="▽">
      <formula>NOT(ISERROR(SEARCH("▽",Z1)))</formula>
    </cfRule>
  </conditionalFormatting>
  <conditionalFormatting sqref="AA4">
    <cfRule type="containsText" priority="2195" operator="containsText" dxfId="12" text="△">
      <formula>NOT(ISERROR(SEARCH("△",AA4)))</formula>
    </cfRule>
    <cfRule type="containsText" priority="2196" operator="containsText" dxfId="11" text="▽">
      <formula>NOT(ISERROR(SEARCH("▽",AA4)))</formula>
    </cfRule>
  </conditionalFormatting>
  <conditionalFormatting sqref="AA3:AA4">
    <cfRule type="containsText" priority="2193" operator="containsText" dxfId="12" text="△">
      <formula>NOT(ISERROR(SEARCH("△",AA3)))</formula>
    </cfRule>
    <cfRule type="containsText" priority="2194" operator="containsText" dxfId="11" text="▽">
      <formula>NOT(ISERROR(SEARCH("▽",AA3)))</formula>
    </cfRule>
  </conditionalFormatting>
  <conditionalFormatting sqref="AA7:AA8">
    <cfRule type="containsText" priority="2191" operator="containsText" dxfId="12" text="△">
      <formula>NOT(ISERROR(SEARCH("△",AA7)))</formula>
    </cfRule>
    <cfRule type="containsText" priority="2192" operator="containsText" dxfId="11" text="▽">
      <formula>NOT(ISERROR(SEARCH("▽",AA7)))</formula>
    </cfRule>
  </conditionalFormatting>
  <conditionalFormatting sqref="AA2:AA4">
    <cfRule type="containsText" priority="2189" operator="containsText" dxfId="12" text="△">
      <formula>NOT(ISERROR(SEARCH("△",AA2)))</formula>
    </cfRule>
    <cfRule type="containsText" priority="2190" operator="containsText" dxfId="11" text="▽">
      <formula>NOT(ISERROR(SEARCH("▽",AA2)))</formula>
    </cfRule>
  </conditionalFormatting>
  <conditionalFormatting sqref="AA8">
    <cfRule type="containsText" priority="2187" operator="containsText" dxfId="12" text="△">
      <formula>NOT(ISERROR(SEARCH("△",AA8)))</formula>
    </cfRule>
    <cfRule type="containsText" priority="2188" operator="containsText" dxfId="11" text="▽">
      <formula>NOT(ISERROR(SEARCH("▽",AA8)))</formula>
    </cfRule>
  </conditionalFormatting>
  <conditionalFormatting sqref="AA11:AA21">
    <cfRule type="containsText" priority="2185" operator="containsText" dxfId="12" text="△">
      <formula>NOT(ISERROR(SEARCH("△",AA11)))</formula>
    </cfRule>
    <cfRule type="containsText" priority="2186" operator="containsText" dxfId="11" text="▽">
      <formula>NOT(ISERROR(SEARCH("▽",AA11)))</formula>
    </cfRule>
  </conditionalFormatting>
  <conditionalFormatting sqref="AA5:AA8">
    <cfRule type="containsText" priority="2183" operator="containsText" dxfId="12" text="△">
      <formula>NOT(ISERROR(SEARCH("△",AA5)))</formula>
    </cfRule>
    <cfRule type="containsText" priority="2184" operator="containsText" dxfId="11" text="▽">
      <formula>NOT(ISERROR(SEARCH("▽",AA5)))</formula>
    </cfRule>
  </conditionalFormatting>
  <conditionalFormatting sqref="AA6:AA8">
    <cfRule type="containsText" priority="2181" operator="containsText" dxfId="12" text="△">
      <formula>NOT(ISERROR(SEARCH("△",AA6)))</formula>
    </cfRule>
    <cfRule type="containsText" priority="2182" operator="containsText" dxfId="11" text="▽">
      <formula>NOT(ISERROR(SEARCH("▽",AA6)))</formula>
    </cfRule>
  </conditionalFormatting>
  <conditionalFormatting sqref="AA9:AA21">
    <cfRule type="containsText" priority="2179" operator="containsText" dxfId="12" text="△">
      <formula>NOT(ISERROR(SEARCH("△",AA9)))</formula>
    </cfRule>
    <cfRule type="containsText" priority="2180" operator="containsText" dxfId="11" text="▽">
      <formula>NOT(ISERROR(SEARCH("▽",AA9)))</formula>
    </cfRule>
  </conditionalFormatting>
  <conditionalFormatting sqref="AA10">
    <cfRule type="containsText" priority="2177" operator="containsText" dxfId="12" text="△">
      <formula>NOT(ISERROR(SEARCH("△",AA10)))</formula>
    </cfRule>
    <cfRule type="containsText" priority="2178" operator="containsText" dxfId="11" text="▽">
      <formula>NOT(ISERROR(SEARCH("▽",AA10)))</formula>
    </cfRule>
  </conditionalFormatting>
  <conditionalFormatting sqref="AA12:AA21">
    <cfRule type="containsText" priority="2175" operator="containsText" dxfId="12" text="△">
      <formula>NOT(ISERROR(SEARCH("△",AA12)))</formula>
    </cfRule>
    <cfRule type="containsText" priority="2176" operator="containsText" dxfId="11" text="▽">
      <formula>NOT(ISERROR(SEARCH("▽",AA12)))</formula>
    </cfRule>
  </conditionalFormatting>
  <conditionalFormatting sqref="AA13">
    <cfRule type="containsText" priority="2173" operator="containsText" dxfId="12" text="△">
      <formula>NOT(ISERROR(SEARCH("△",AA13)))</formula>
    </cfRule>
    <cfRule type="containsText" priority="2174" operator="containsText" dxfId="11" text="▽">
      <formula>NOT(ISERROR(SEARCH("▽",AA13)))</formula>
    </cfRule>
  </conditionalFormatting>
  <conditionalFormatting sqref="AA14:AA21">
    <cfRule type="containsText" priority="2171" operator="containsText" dxfId="12" text="△">
      <formula>NOT(ISERROR(SEARCH("△",AA14)))</formula>
    </cfRule>
    <cfRule type="containsText" priority="2172" operator="containsText" dxfId="11" text="▽">
      <formula>NOT(ISERROR(SEARCH("▽",AA14)))</formula>
    </cfRule>
  </conditionalFormatting>
  <conditionalFormatting sqref="AA16:AA21">
    <cfRule type="containsText" priority="2169" operator="containsText" dxfId="12" text="△">
      <formula>NOT(ISERROR(SEARCH("△",AA16)))</formula>
    </cfRule>
    <cfRule type="containsText" priority="2170" operator="containsText" dxfId="11" text="▽">
      <formula>NOT(ISERROR(SEARCH("▽",AA16)))</formula>
    </cfRule>
  </conditionalFormatting>
  <conditionalFormatting sqref="AA18:AA21">
    <cfRule type="containsText" priority="2167" operator="containsText" dxfId="12" text="△">
      <formula>NOT(ISERROR(SEARCH("△",AA18)))</formula>
    </cfRule>
    <cfRule type="containsText" priority="2168" operator="containsText" dxfId="11" text="▽">
      <formula>NOT(ISERROR(SEARCH("▽",AA18)))</formula>
    </cfRule>
  </conditionalFormatting>
  <conditionalFormatting sqref="AA19:AA21">
    <cfRule type="containsText" priority="2165" operator="containsText" dxfId="12" text="△">
      <formula>NOT(ISERROR(SEARCH("△",AA19)))</formula>
    </cfRule>
    <cfRule type="containsText" priority="2166" operator="containsText" dxfId="11" text="▽">
      <formula>NOT(ISERROR(SEARCH("▽",AA19)))</formula>
    </cfRule>
  </conditionalFormatting>
  <conditionalFormatting sqref="AA15:AA21">
    <cfRule type="containsText" priority="2163" operator="containsText" dxfId="12" text="△">
      <formula>NOT(ISERROR(SEARCH("△",AA15)))</formula>
    </cfRule>
    <cfRule type="containsText" priority="2164" operator="containsText" dxfId="11" text="▽">
      <formula>NOT(ISERROR(SEARCH("▽",AA15)))</formula>
    </cfRule>
  </conditionalFormatting>
  <conditionalFormatting sqref="AA17:AA21">
    <cfRule type="containsText" priority="2161" operator="containsText" dxfId="12" text="△">
      <formula>NOT(ISERROR(SEARCH("△",AA17)))</formula>
    </cfRule>
    <cfRule type="containsText" priority="2162" operator="containsText" dxfId="11" text="▽">
      <formula>NOT(ISERROR(SEARCH("▽",AA17)))</formula>
    </cfRule>
  </conditionalFormatting>
  <conditionalFormatting sqref="AA21">
    <cfRule type="containsText" priority="2159" operator="containsText" dxfId="12" text="△">
      <formula>NOT(ISERROR(SEARCH("△",AA21)))</formula>
    </cfRule>
    <cfRule type="containsText" priority="2160" operator="containsText" dxfId="11" text="▽">
      <formula>NOT(ISERROR(SEARCH("▽",AA21)))</formula>
    </cfRule>
  </conditionalFormatting>
  <conditionalFormatting sqref="AA20:AA21">
    <cfRule type="containsText" priority="2157" operator="containsText" dxfId="12" text="△">
      <formula>NOT(ISERROR(SEARCH("△",AA20)))</formula>
    </cfRule>
    <cfRule type="containsText" priority="2158" operator="containsText" dxfId="11" text="▽">
      <formula>NOT(ISERROR(SEARCH("▽",AA20)))</formula>
    </cfRule>
  </conditionalFormatting>
  <conditionalFormatting sqref="AA22:AA23 AA31:AA40">
    <cfRule type="containsText" priority="2151" operator="containsText" dxfId="12" text="△">
      <formula>NOT(ISERROR(SEARCH("△",AA22)))</formula>
    </cfRule>
    <cfRule type="containsText" priority="2152" operator="containsText" dxfId="11" text="▽">
      <formula>NOT(ISERROR(SEARCH("▽",AA22)))</formula>
    </cfRule>
  </conditionalFormatting>
  <conditionalFormatting sqref="AA22:AA23">
    <cfRule type="containsText" priority="2149" operator="containsText" dxfId="12" text="△">
      <formula>NOT(ISERROR(SEARCH("△",AA22)))</formula>
    </cfRule>
    <cfRule type="containsText" priority="2150" operator="containsText" dxfId="11" text="▽">
      <formula>NOT(ISERROR(SEARCH("▽",AA22)))</formula>
    </cfRule>
  </conditionalFormatting>
  <conditionalFormatting sqref="AA23">
    <cfRule type="containsText" priority="2147" operator="containsText" dxfId="12" text="△">
      <formula>NOT(ISERROR(SEARCH("△",AA23)))</formula>
    </cfRule>
    <cfRule type="containsText" priority="2148" operator="containsText" dxfId="11" text="▽">
      <formula>NOT(ISERROR(SEARCH("▽",AA23)))</formula>
    </cfRule>
  </conditionalFormatting>
  <conditionalFormatting sqref="AA29:AA40">
    <cfRule type="containsText" priority="2145" operator="containsText" dxfId="12" text="△">
      <formula>NOT(ISERROR(SEARCH("△",AA29)))</formula>
    </cfRule>
    <cfRule type="containsText" priority="2146" operator="containsText" dxfId="11" text="▽">
      <formula>NOT(ISERROR(SEARCH("▽",AA29)))</formula>
    </cfRule>
  </conditionalFormatting>
  <conditionalFormatting sqref="AA22:AA40">
    <cfRule type="containsText" priority="2143" operator="containsText" dxfId="12" text="△">
      <formula>NOT(ISERROR(SEARCH("△",AA22)))</formula>
    </cfRule>
    <cfRule type="containsText" priority="2144" operator="containsText" dxfId="11" text="▽">
      <formula>NOT(ISERROR(SEARCH("▽",AA22)))</formula>
    </cfRule>
    <cfRule type="containsText" priority="2141" operator="containsText" dxfId="12" text="△">
      <formula>NOT(ISERROR(SEARCH("△",AA22)))</formula>
    </cfRule>
    <cfRule type="containsText" priority="2142" operator="containsText" dxfId="11" text="▽">
      <formula>NOT(ISERROR(SEARCH("▽",AA22)))</formula>
    </cfRule>
    <cfRule type="containsText" priority="2137" operator="containsText" dxfId="12" text="△">
      <formula>NOT(ISERROR(SEARCH("△",AA22)))</formula>
    </cfRule>
    <cfRule type="containsText" priority="2138" operator="containsText" dxfId="11" text="▽">
      <formula>NOT(ISERROR(SEARCH("▽",AA22)))</formula>
    </cfRule>
  </conditionalFormatting>
  <conditionalFormatting sqref="AA28:AA40">
    <cfRule type="containsText" priority="2139" operator="containsText" dxfId="12" text="△">
      <formula>NOT(ISERROR(SEARCH("△",AA28)))</formula>
    </cfRule>
    <cfRule type="containsText" priority="2140" operator="containsText" dxfId="11" text="▽">
      <formula>NOT(ISERROR(SEARCH("▽",AA28)))</formula>
    </cfRule>
  </conditionalFormatting>
  <conditionalFormatting sqref="AA27:AA40">
    <cfRule type="containsText" priority="2135" operator="containsText" dxfId="12" text="△">
      <formula>NOT(ISERROR(SEARCH("△",AA27)))</formula>
    </cfRule>
    <cfRule type="containsText" priority="2136" operator="containsText" dxfId="11" text="▽">
      <formula>NOT(ISERROR(SEARCH("▽",AA27)))</formula>
    </cfRule>
  </conditionalFormatting>
  <conditionalFormatting sqref="AA30:AA40">
    <cfRule type="containsText" priority="2133" operator="containsText" dxfId="12" text="△">
      <formula>NOT(ISERROR(SEARCH("△",AA30)))</formula>
    </cfRule>
    <cfRule type="containsText" priority="2134" operator="containsText" dxfId="11" text="▽">
      <formula>NOT(ISERROR(SEARCH("▽",AA30)))</formula>
    </cfRule>
  </conditionalFormatting>
  <conditionalFormatting sqref="AA34:AA40">
    <cfRule type="containsText" priority="2131" operator="containsText" dxfId="12" text="△">
      <formula>NOT(ISERROR(SEARCH("△",AA34)))</formula>
    </cfRule>
    <cfRule type="containsText" priority="2132" operator="containsText" dxfId="11" text="▽">
      <formula>NOT(ISERROR(SEARCH("▽",AA34)))</formula>
    </cfRule>
  </conditionalFormatting>
  <conditionalFormatting sqref="AA35:AA40">
    <cfRule type="containsText" priority="2129" operator="containsText" dxfId="12" text="△">
      <formula>NOT(ISERROR(SEARCH("△",AA35)))</formula>
    </cfRule>
    <cfRule type="containsText" priority="2130" operator="containsText" dxfId="11" text="▽">
      <formula>NOT(ISERROR(SEARCH("▽",AA35)))</formula>
    </cfRule>
  </conditionalFormatting>
  <conditionalFormatting sqref="AA31:AA40">
    <cfRule type="containsText" priority="2127" operator="containsText" dxfId="12" text="△">
      <formula>NOT(ISERROR(SEARCH("△",AA31)))</formula>
    </cfRule>
    <cfRule type="containsText" priority="2128" operator="containsText" dxfId="11" text="▽">
      <formula>NOT(ISERROR(SEARCH("▽",AA31)))</formula>
    </cfRule>
  </conditionalFormatting>
  <conditionalFormatting sqref="AA32:AA40">
    <cfRule type="containsText" priority="2125" operator="containsText" dxfId="12" text="△">
      <formula>NOT(ISERROR(SEARCH("△",AA32)))</formula>
    </cfRule>
    <cfRule type="containsText" priority="2126" operator="containsText" dxfId="11" text="▽">
      <formula>NOT(ISERROR(SEARCH("▽",AA32)))</formula>
    </cfRule>
  </conditionalFormatting>
  <conditionalFormatting sqref="AA36:AA40">
    <cfRule type="containsText" priority="2123" operator="containsText" dxfId="12" text="△">
      <formula>NOT(ISERROR(SEARCH("△",AA36)))</formula>
    </cfRule>
    <cfRule type="containsText" priority="2124" operator="containsText" dxfId="11" text="▽">
      <formula>NOT(ISERROR(SEARCH("▽",AA36)))</formula>
    </cfRule>
  </conditionalFormatting>
  <conditionalFormatting sqref="AA38:AA40">
    <cfRule type="containsText" priority="2121" operator="containsText" dxfId="12" text="△">
      <formula>NOT(ISERROR(SEARCH("△",AA38)))</formula>
    </cfRule>
    <cfRule type="containsText" priority="2122" operator="containsText" dxfId="11" text="▽">
      <formula>NOT(ISERROR(SEARCH("▽",AA38)))</formula>
    </cfRule>
    <cfRule type="containsText" priority="2119" operator="containsText" dxfId="12" text="△">
      <formula>NOT(ISERROR(SEARCH("△",AA38)))</formula>
    </cfRule>
    <cfRule type="containsText" priority="2120" operator="containsText" dxfId="11" text="▽">
      <formula>NOT(ISERROR(SEARCH("▽",AA38)))</formula>
    </cfRule>
  </conditionalFormatting>
  <conditionalFormatting sqref="AA39:AA40">
    <cfRule type="containsText" priority="2117" operator="containsText" dxfId="12" text="△">
      <formula>NOT(ISERROR(SEARCH("△",AA39)))</formula>
    </cfRule>
    <cfRule type="containsText" priority="2118" operator="containsText" dxfId="11" text="▽">
      <formula>NOT(ISERROR(SEARCH("▽",AA39)))</formula>
    </cfRule>
    <cfRule type="containsText" priority="2115" operator="containsText" dxfId="12" text="△">
      <formula>NOT(ISERROR(SEARCH("△",AA39)))</formula>
    </cfRule>
    <cfRule type="containsText" priority="2116" operator="containsText" dxfId="11" text="▽">
      <formula>NOT(ISERROR(SEARCH("▽",AA39)))</formula>
    </cfRule>
  </conditionalFormatting>
  <conditionalFormatting sqref="AA37:AA40">
    <cfRule type="containsText" priority="2113" operator="containsText" dxfId="12" text="△">
      <formula>NOT(ISERROR(SEARCH("△",AA37)))</formula>
    </cfRule>
    <cfRule type="containsText" priority="2114" operator="containsText" dxfId="11" text="▽">
      <formula>NOT(ISERROR(SEARCH("▽",AA37)))</formula>
    </cfRule>
    <cfRule type="containsText" priority="2111" operator="containsText" dxfId="12" text="△">
      <formula>NOT(ISERROR(SEARCH("△",AA37)))</formula>
    </cfRule>
    <cfRule type="containsText" priority="2112" operator="containsText" dxfId="11" text="▽">
      <formula>NOT(ISERROR(SEARCH("▽",AA37)))</formula>
    </cfRule>
  </conditionalFormatting>
  <conditionalFormatting sqref="AA40">
    <cfRule type="containsText" priority="2109" operator="containsText" dxfId="12" text="△">
      <formula>NOT(ISERROR(SEARCH("△",AA40)))</formula>
    </cfRule>
    <cfRule type="containsText" priority="2110" operator="containsText" dxfId="11" text="▽">
      <formula>NOT(ISERROR(SEARCH("▽",AA40)))</formula>
    </cfRule>
    <cfRule type="containsText" priority="2107" operator="containsText" dxfId="12" text="△">
      <formula>NOT(ISERROR(SEARCH("△",AA40)))</formula>
    </cfRule>
    <cfRule type="containsText" priority="2108" operator="containsText" dxfId="11" text="▽">
      <formula>NOT(ISERROR(SEARCH("▽",AA40)))</formula>
    </cfRule>
  </conditionalFormatting>
  <conditionalFormatting sqref="AA111:AA135">
    <cfRule type="containsText" priority="2101" operator="containsText" dxfId="12" text="△">
      <formula>NOT(ISERROR(SEARCH("△",AA111)))</formula>
    </cfRule>
    <cfRule type="containsText" priority="2102" operator="containsText" dxfId="11" text="▽">
      <formula>NOT(ISERROR(SEARCH("▽",AA111)))</formula>
    </cfRule>
  </conditionalFormatting>
  <conditionalFormatting sqref="AA61:AA62">
    <cfRule type="containsText" priority="2099" operator="containsText" dxfId="12" text="△">
      <formula>NOT(ISERROR(SEARCH("△",AA61)))</formula>
    </cfRule>
    <cfRule type="containsText" priority="2100" operator="containsText" dxfId="11" text="▽">
      <formula>NOT(ISERROR(SEARCH("▽",AA61)))</formula>
    </cfRule>
    <cfRule type="containsText" priority="2097" operator="containsText" dxfId="12" text="△">
      <formula>NOT(ISERROR(SEARCH("△",AA61)))</formula>
    </cfRule>
    <cfRule type="containsText" priority="2098" operator="containsText" dxfId="11" text="▽">
      <formula>NOT(ISERROR(SEARCH("▽",AA61)))</formula>
    </cfRule>
    <cfRule type="containsText" priority="2095" operator="containsText" dxfId="12" text="△">
      <formula>NOT(ISERROR(SEARCH("△",AA61)))</formula>
    </cfRule>
    <cfRule type="containsText" priority="2096" operator="containsText" dxfId="11" text="▽">
      <formula>NOT(ISERROR(SEARCH("▽",AA61)))</formula>
    </cfRule>
  </conditionalFormatting>
  <conditionalFormatting sqref="AA62">
    <cfRule type="containsText" priority="2093" operator="containsText" dxfId="12" text="△">
      <formula>NOT(ISERROR(SEARCH("△",AA62)))</formula>
    </cfRule>
    <cfRule type="containsText" priority="2094" operator="containsText" dxfId="11" text="▽">
      <formula>NOT(ISERROR(SEARCH("▽",AA62)))</formula>
    </cfRule>
    <cfRule type="containsText" priority="2091" operator="containsText" dxfId="12" text="△">
      <formula>NOT(ISERROR(SEARCH("△",AA62)))</formula>
    </cfRule>
    <cfRule type="containsText" priority="2092" operator="containsText" dxfId="11" text="▽">
      <formula>NOT(ISERROR(SEARCH("▽",AA62)))</formula>
    </cfRule>
  </conditionalFormatting>
  <conditionalFormatting sqref="AA63">
    <cfRule type="containsText" priority="2089" operator="containsText" dxfId="12" text="△">
      <formula>NOT(ISERROR(SEARCH("△",AA63)))</formula>
    </cfRule>
    <cfRule type="containsText" priority="2090" operator="containsText" dxfId="11" text="▽">
      <formula>NOT(ISERROR(SEARCH("▽",AA63)))</formula>
    </cfRule>
    <cfRule type="containsText" priority="2087" operator="containsText" dxfId="12" text="△">
      <formula>NOT(ISERROR(SEARCH("△",AA63)))</formula>
    </cfRule>
    <cfRule type="containsText" priority="2088" operator="containsText" dxfId="11" text="▽">
      <formula>NOT(ISERROR(SEARCH("▽",AA63)))</formula>
    </cfRule>
  </conditionalFormatting>
  <conditionalFormatting sqref="AA64:AA110">
    <cfRule type="containsText" priority="2085" operator="containsText" dxfId="12" text="△">
      <formula>NOT(ISERROR(SEARCH("△",AA64)))</formula>
    </cfRule>
    <cfRule type="containsText" priority="2086" operator="containsText" dxfId="11" text="▽">
      <formula>NOT(ISERROR(SEARCH("▽",AA64)))</formula>
    </cfRule>
    <cfRule type="containsText" priority="2083" operator="containsText" dxfId="12" text="△">
      <formula>NOT(ISERROR(SEARCH("△",AA64)))</formula>
    </cfRule>
    <cfRule type="containsText" priority="2084" operator="containsText" dxfId="11" text="▽">
      <formula>NOT(ISERROR(SEARCH("▽",AA64)))</formula>
    </cfRule>
  </conditionalFormatting>
  <conditionalFormatting sqref="AA71">
    <cfRule type="containsText" priority="2081" operator="containsText" dxfId="12" text="△">
      <formula>NOT(ISERROR(SEARCH("△",AA71)))</formula>
    </cfRule>
    <cfRule type="containsText" priority="2082" operator="containsText" dxfId="11" text="▽">
      <formula>NOT(ISERROR(SEARCH("▽",AA71)))</formula>
    </cfRule>
    <cfRule type="containsText" priority="2079" operator="containsText" dxfId="12" text="△">
      <formula>NOT(ISERROR(SEARCH("△",AA71)))</formula>
    </cfRule>
    <cfRule type="containsText" priority="2080" operator="containsText" dxfId="11" text="▽">
      <formula>NOT(ISERROR(SEARCH("▽",AA71)))</formula>
    </cfRule>
  </conditionalFormatting>
  <conditionalFormatting sqref="AA69:AA110">
    <cfRule type="containsText" priority="2077" operator="containsText" dxfId="12" text="△">
      <formula>NOT(ISERROR(SEARCH("△",AA69)))</formula>
    </cfRule>
    <cfRule type="containsText" priority="2078" operator="containsText" dxfId="11" text="▽">
      <formula>NOT(ISERROR(SEARCH("▽",AA69)))</formula>
    </cfRule>
    <cfRule type="containsText" priority="2075" operator="containsText" dxfId="12" text="△">
      <formula>NOT(ISERROR(SEARCH("△",AA69)))</formula>
    </cfRule>
    <cfRule type="containsText" priority="2076" operator="containsText" dxfId="11" text="▽">
      <formula>NOT(ISERROR(SEARCH("▽",AA69)))</formula>
    </cfRule>
  </conditionalFormatting>
  <conditionalFormatting sqref="AA70">
    <cfRule type="containsText" priority="2073" operator="containsText" dxfId="12" text="△">
      <formula>NOT(ISERROR(SEARCH("△",AA70)))</formula>
    </cfRule>
    <cfRule type="containsText" priority="2074" operator="containsText" dxfId="11" text="▽">
      <formula>NOT(ISERROR(SEARCH("▽",AA70)))</formula>
    </cfRule>
    <cfRule type="containsText" priority="2071" operator="containsText" dxfId="12" text="△">
      <formula>NOT(ISERROR(SEARCH("△",AA70)))</formula>
    </cfRule>
    <cfRule type="containsText" priority="2072" operator="containsText" dxfId="11" text="▽">
      <formula>NOT(ISERROR(SEARCH("▽",AA70)))</formula>
    </cfRule>
  </conditionalFormatting>
  <conditionalFormatting sqref="AA65:AA110">
    <cfRule type="containsText" priority="2069" operator="containsText" dxfId="12" text="△">
      <formula>NOT(ISERROR(SEARCH("△",AA65)))</formula>
    </cfRule>
    <cfRule type="containsText" priority="2070" operator="containsText" dxfId="11" text="▽">
      <formula>NOT(ISERROR(SEARCH("▽",AA65)))</formula>
    </cfRule>
    <cfRule type="containsText" priority="2067" operator="containsText" dxfId="12" text="△">
      <formula>NOT(ISERROR(SEARCH("△",AA65)))</formula>
    </cfRule>
    <cfRule type="containsText" priority="2068" operator="containsText" dxfId="11" text="▽">
      <formula>NOT(ISERROR(SEARCH("▽",AA65)))</formula>
    </cfRule>
  </conditionalFormatting>
  <conditionalFormatting sqref="AA72">
    <cfRule type="containsText" priority="2065" operator="containsText" dxfId="12" text="△">
      <formula>NOT(ISERROR(SEARCH("△",AA72)))</formula>
    </cfRule>
    <cfRule type="containsText" priority="2066" operator="containsText" dxfId="11" text="▽">
      <formula>NOT(ISERROR(SEARCH("▽",AA72)))</formula>
    </cfRule>
    <cfRule type="containsText" priority="2063" operator="containsText" dxfId="12" text="△">
      <formula>NOT(ISERROR(SEARCH("△",AA72)))</formula>
    </cfRule>
    <cfRule type="containsText" priority="2064" operator="containsText" dxfId="11" text="▽">
      <formula>NOT(ISERROR(SEARCH("▽",AA72)))</formula>
    </cfRule>
  </conditionalFormatting>
  <conditionalFormatting sqref="AA67">
    <cfRule type="containsText" priority="2061" operator="containsText" dxfId="12" text="△">
      <formula>NOT(ISERROR(SEARCH("△",AA67)))</formula>
    </cfRule>
    <cfRule type="containsText" priority="2062" operator="containsText" dxfId="11" text="▽">
      <formula>NOT(ISERROR(SEARCH("▽",AA67)))</formula>
    </cfRule>
    <cfRule type="containsText" priority="2059" operator="containsText" dxfId="12" text="△">
      <formula>NOT(ISERROR(SEARCH("△",AA67)))</formula>
    </cfRule>
    <cfRule type="containsText" priority="2060" operator="containsText" dxfId="11" text="▽">
      <formula>NOT(ISERROR(SEARCH("▽",AA67)))</formula>
    </cfRule>
  </conditionalFormatting>
  <conditionalFormatting sqref="AA84:AA110">
    <cfRule type="containsText" priority="2057" operator="containsText" dxfId="12" text="△">
      <formula>NOT(ISERROR(SEARCH("△",AA84)))</formula>
    </cfRule>
    <cfRule type="containsText" priority="2058" operator="containsText" dxfId="11" text="▽">
      <formula>NOT(ISERROR(SEARCH("▽",AA84)))</formula>
    </cfRule>
    <cfRule type="containsText" priority="2055" operator="containsText" dxfId="12" text="△">
      <formula>NOT(ISERROR(SEARCH("△",AA84)))</formula>
    </cfRule>
    <cfRule type="containsText" priority="2056" operator="containsText" dxfId="11" text="▽">
      <formula>NOT(ISERROR(SEARCH("▽",AA84)))</formula>
    </cfRule>
  </conditionalFormatting>
  <conditionalFormatting sqref="AA81">
    <cfRule type="containsText" priority="2053" operator="containsText" dxfId="12" text="△">
      <formula>NOT(ISERROR(SEARCH("△",AA81)))</formula>
    </cfRule>
    <cfRule type="containsText" priority="2054" operator="containsText" dxfId="11" text="▽">
      <formula>NOT(ISERROR(SEARCH("▽",AA81)))</formula>
    </cfRule>
    <cfRule type="containsText" priority="2051" operator="containsText" dxfId="12" text="△">
      <formula>NOT(ISERROR(SEARCH("△",AA81)))</formula>
    </cfRule>
    <cfRule type="containsText" priority="2052" operator="containsText" dxfId="11" text="▽">
      <formula>NOT(ISERROR(SEARCH("▽",AA81)))</formula>
    </cfRule>
  </conditionalFormatting>
  <conditionalFormatting sqref="AA80">
    <cfRule type="containsText" priority="2049" operator="containsText" dxfId="12" text="△">
      <formula>NOT(ISERROR(SEARCH("△",AA80)))</formula>
    </cfRule>
    <cfRule type="containsText" priority="2050" operator="containsText" dxfId="11" text="▽">
      <formula>NOT(ISERROR(SEARCH("▽",AA80)))</formula>
    </cfRule>
    <cfRule type="containsText" priority="2047" operator="containsText" dxfId="12" text="△">
      <formula>NOT(ISERROR(SEARCH("△",AA80)))</formula>
    </cfRule>
    <cfRule type="containsText" priority="2048" operator="containsText" dxfId="11" text="▽">
      <formula>NOT(ISERROR(SEARCH("▽",AA80)))</formula>
    </cfRule>
  </conditionalFormatting>
  <conditionalFormatting sqref="AA78">
    <cfRule type="containsText" priority="2045" operator="containsText" dxfId="12" text="△">
      <formula>NOT(ISERROR(SEARCH("△",AA78)))</formula>
    </cfRule>
    <cfRule type="containsText" priority="2046" operator="containsText" dxfId="11" text="▽">
      <formula>NOT(ISERROR(SEARCH("▽",AA78)))</formula>
    </cfRule>
    <cfRule type="containsText" priority="2043" operator="containsText" dxfId="12" text="△">
      <formula>NOT(ISERROR(SEARCH("△",AA78)))</formula>
    </cfRule>
    <cfRule type="containsText" priority="2044" operator="containsText" dxfId="11" text="▽">
      <formula>NOT(ISERROR(SEARCH("▽",AA78)))</formula>
    </cfRule>
  </conditionalFormatting>
  <conditionalFormatting sqref="AA77:AA110">
    <cfRule type="containsText" priority="2041" operator="containsText" dxfId="12" text="△">
      <formula>NOT(ISERROR(SEARCH("△",AA77)))</formula>
    </cfRule>
    <cfRule type="containsText" priority="2042" operator="containsText" dxfId="11" text="▽">
      <formula>NOT(ISERROR(SEARCH("▽",AA77)))</formula>
    </cfRule>
    <cfRule type="containsText" priority="2039" operator="containsText" dxfId="12" text="△">
      <formula>NOT(ISERROR(SEARCH("△",AA77)))</formula>
    </cfRule>
    <cfRule type="containsText" priority="2040" operator="containsText" dxfId="11" text="▽">
      <formula>NOT(ISERROR(SEARCH("▽",AA77)))</formula>
    </cfRule>
  </conditionalFormatting>
  <conditionalFormatting sqref="AA75">
    <cfRule type="containsText" priority="2037" operator="containsText" dxfId="12" text="△">
      <formula>NOT(ISERROR(SEARCH("△",AA75)))</formula>
    </cfRule>
    <cfRule type="containsText" priority="2038" operator="containsText" dxfId="11" text="▽">
      <formula>NOT(ISERROR(SEARCH("▽",AA75)))</formula>
    </cfRule>
    <cfRule type="containsText" priority="2035" operator="containsText" dxfId="12" text="△">
      <formula>NOT(ISERROR(SEARCH("△",AA75)))</formula>
    </cfRule>
    <cfRule type="containsText" priority="2036" operator="containsText" dxfId="11" text="▽">
      <formula>NOT(ISERROR(SEARCH("▽",AA75)))</formula>
    </cfRule>
  </conditionalFormatting>
  <conditionalFormatting sqref="AA74">
    <cfRule type="containsText" priority="2033" operator="containsText" dxfId="12" text="△">
      <formula>NOT(ISERROR(SEARCH("△",AA74)))</formula>
    </cfRule>
    <cfRule type="containsText" priority="2034" operator="containsText" dxfId="11" text="▽">
      <formula>NOT(ISERROR(SEARCH("▽",AA74)))</formula>
    </cfRule>
    <cfRule type="containsText" priority="2031" operator="containsText" dxfId="12" text="△">
      <formula>NOT(ISERROR(SEARCH("△",AA74)))</formula>
    </cfRule>
    <cfRule type="containsText" priority="2032" operator="containsText" dxfId="11" text="▽">
      <formula>NOT(ISERROR(SEARCH("▽",AA74)))</formula>
    </cfRule>
  </conditionalFormatting>
  <conditionalFormatting sqref="AA68:AA110">
    <cfRule type="containsText" priority="2029" operator="containsText" dxfId="12" text="△">
      <formula>NOT(ISERROR(SEARCH("△",AA68)))</formula>
    </cfRule>
    <cfRule type="containsText" priority="2030" operator="containsText" dxfId="11" text="▽">
      <formula>NOT(ISERROR(SEARCH("▽",AA68)))</formula>
    </cfRule>
    <cfRule type="containsText" priority="2027" operator="containsText" dxfId="12" text="△">
      <formula>NOT(ISERROR(SEARCH("△",AA68)))</formula>
    </cfRule>
    <cfRule type="containsText" priority="2028" operator="containsText" dxfId="11" text="▽">
      <formula>NOT(ISERROR(SEARCH("▽",AA68)))</formula>
    </cfRule>
  </conditionalFormatting>
  <conditionalFormatting sqref="AA66:AA67">
    <cfRule type="containsText" priority="2025" operator="containsText" dxfId="12" text="△">
      <formula>NOT(ISERROR(SEARCH("△",AA66)))</formula>
    </cfRule>
    <cfRule type="containsText" priority="2026" operator="containsText" dxfId="11" text="▽">
      <formula>NOT(ISERROR(SEARCH("▽",AA66)))</formula>
    </cfRule>
    <cfRule type="containsText" priority="2023" operator="containsText" dxfId="12" text="△">
      <formula>NOT(ISERROR(SEARCH("△",AA66)))</formula>
    </cfRule>
    <cfRule type="containsText" priority="2024" operator="containsText" dxfId="11" text="▽">
      <formula>NOT(ISERROR(SEARCH("▽",AA66)))</formula>
    </cfRule>
  </conditionalFormatting>
  <conditionalFormatting sqref="AA73">
    <cfRule type="containsText" priority="2021" operator="containsText" dxfId="12" text="△">
      <formula>NOT(ISERROR(SEARCH("△",AA73)))</formula>
    </cfRule>
    <cfRule type="containsText" priority="2022" operator="containsText" dxfId="11" text="▽">
      <formula>NOT(ISERROR(SEARCH("▽",AA73)))</formula>
    </cfRule>
    <cfRule type="containsText" priority="2019" operator="containsText" dxfId="12" text="△">
      <formula>NOT(ISERROR(SEARCH("△",AA73)))</formula>
    </cfRule>
    <cfRule type="containsText" priority="2020" operator="containsText" dxfId="11" text="▽">
      <formula>NOT(ISERROR(SEARCH("▽",AA73)))</formula>
    </cfRule>
  </conditionalFormatting>
  <conditionalFormatting sqref="AA76">
    <cfRule type="containsText" priority="2017" operator="containsText" dxfId="12" text="△">
      <formula>NOT(ISERROR(SEARCH("△",AA76)))</formula>
    </cfRule>
    <cfRule type="containsText" priority="2018" operator="containsText" dxfId="11" text="▽">
      <formula>NOT(ISERROR(SEARCH("▽",AA76)))</formula>
    </cfRule>
    <cfRule type="containsText" priority="2015" operator="containsText" dxfId="12" text="△">
      <formula>NOT(ISERROR(SEARCH("△",AA76)))</formula>
    </cfRule>
    <cfRule type="containsText" priority="2016" operator="containsText" dxfId="11" text="▽">
      <formula>NOT(ISERROR(SEARCH("▽",AA76)))</formula>
    </cfRule>
  </conditionalFormatting>
  <conditionalFormatting sqref="AA79:AA110">
    <cfRule type="containsText" priority="2013" operator="containsText" dxfId="12" text="△">
      <formula>NOT(ISERROR(SEARCH("△",AA79)))</formula>
    </cfRule>
    <cfRule type="containsText" priority="2014" operator="containsText" dxfId="11" text="▽">
      <formula>NOT(ISERROR(SEARCH("▽",AA79)))</formula>
    </cfRule>
    <cfRule type="containsText" priority="2011" operator="containsText" dxfId="12" text="△">
      <formula>NOT(ISERROR(SEARCH("△",AA79)))</formula>
    </cfRule>
    <cfRule type="containsText" priority="2012" operator="containsText" dxfId="11" text="▽">
      <formula>NOT(ISERROR(SEARCH("▽",AA79)))</formula>
    </cfRule>
  </conditionalFormatting>
  <conditionalFormatting sqref="AA83">
    <cfRule type="containsText" priority="2009" operator="containsText" dxfId="12" text="△">
      <formula>NOT(ISERROR(SEARCH("△",AA83)))</formula>
    </cfRule>
    <cfRule type="containsText" priority="2010" operator="containsText" dxfId="11" text="▽">
      <formula>NOT(ISERROR(SEARCH("▽",AA83)))</formula>
    </cfRule>
    <cfRule type="containsText" priority="2007" operator="containsText" dxfId="12" text="△">
      <formula>NOT(ISERROR(SEARCH("△",AA83)))</formula>
    </cfRule>
    <cfRule type="containsText" priority="2008" operator="containsText" dxfId="11" text="▽">
      <formula>NOT(ISERROR(SEARCH("▽",AA83)))</formula>
    </cfRule>
  </conditionalFormatting>
  <conditionalFormatting sqref="AA82">
    <cfRule type="containsText" priority="2005" operator="containsText" dxfId="12" text="△">
      <formula>NOT(ISERROR(SEARCH("△",AA82)))</formula>
    </cfRule>
    <cfRule type="containsText" priority="2006" operator="containsText" dxfId="11" text="▽">
      <formula>NOT(ISERROR(SEARCH("▽",AA82)))</formula>
    </cfRule>
    <cfRule type="containsText" priority="2003" operator="containsText" dxfId="12" text="△">
      <formula>NOT(ISERROR(SEARCH("△",AA82)))</formula>
    </cfRule>
    <cfRule type="containsText" priority="2004" operator="containsText" dxfId="11" text="▽">
      <formula>NOT(ISERROR(SEARCH("▽",AA82)))</formula>
    </cfRule>
  </conditionalFormatting>
  <conditionalFormatting sqref="AA89:AA110">
    <cfRule type="containsText" priority="2001" operator="containsText" dxfId="12" text="△">
      <formula>NOT(ISERROR(SEARCH("△",AA89)))</formula>
    </cfRule>
    <cfRule type="containsText" priority="2002" operator="containsText" dxfId="11" text="▽">
      <formula>NOT(ISERROR(SEARCH("▽",AA89)))</formula>
    </cfRule>
    <cfRule type="containsText" priority="1999" operator="containsText" dxfId="12" text="△">
      <formula>NOT(ISERROR(SEARCH("△",AA89)))</formula>
    </cfRule>
    <cfRule type="containsText" priority="2000" operator="containsText" dxfId="11" text="▽">
      <formula>NOT(ISERROR(SEARCH("▽",AA89)))</formula>
    </cfRule>
  </conditionalFormatting>
  <conditionalFormatting sqref="AA86:AA110">
    <cfRule type="containsText" priority="1997" operator="containsText" dxfId="12" text="△">
      <formula>NOT(ISERROR(SEARCH("△",AA86)))</formula>
    </cfRule>
    <cfRule type="containsText" priority="1998" operator="containsText" dxfId="11" text="▽">
      <formula>NOT(ISERROR(SEARCH("▽",AA86)))</formula>
    </cfRule>
    <cfRule type="containsText" priority="1995" operator="containsText" dxfId="12" text="△">
      <formula>NOT(ISERROR(SEARCH("△",AA86)))</formula>
    </cfRule>
    <cfRule type="containsText" priority="1996" operator="containsText" dxfId="11" text="▽">
      <formula>NOT(ISERROR(SEARCH("▽",AA86)))</formula>
    </cfRule>
  </conditionalFormatting>
  <conditionalFormatting sqref="AA85:AA110">
    <cfRule type="containsText" priority="1993" operator="containsText" dxfId="12" text="△">
      <formula>NOT(ISERROR(SEARCH("△",AA85)))</formula>
    </cfRule>
    <cfRule type="containsText" priority="1994" operator="containsText" dxfId="11" text="▽">
      <formula>NOT(ISERROR(SEARCH("▽",AA85)))</formula>
    </cfRule>
    <cfRule type="containsText" priority="1991" operator="containsText" dxfId="12" text="△">
      <formula>NOT(ISERROR(SEARCH("△",AA85)))</formula>
    </cfRule>
    <cfRule type="containsText" priority="1992" operator="containsText" dxfId="11" text="▽">
      <formula>NOT(ISERROR(SEARCH("▽",AA85)))</formula>
    </cfRule>
  </conditionalFormatting>
  <conditionalFormatting sqref="AA96:AA110">
    <cfRule type="containsText" priority="1989" operator="containsText" dxfId="12" text="△">
      <formula>NOT(ISERROR(SEARCH("△",AA96)))</formula>
    </cfRule>
    <cfRule type="containsText" priority="1990" operator="containsText" dxfId="11" text="▽">
      <formula>NOT(ISERROR(SEARCH("▽",AA96)))</formula>
    </cfRule>
    <cfRule type="containsText" priority="1987" operator="containsText" dxfId="12" text="△">
      <formula>NOT(ISERROR(SEARCH("△",AA96)))</formula>
    </cfRule>
    <cfRule type="containsText" priority="1988" operator="containsText" dxfId="11" text="▽">
      <formula>NOT(ISERROR(SEARCH("▽",AA96)))</formula>
    </cfRule>
  </conditionalFormatting>
  <conditionalFormatting sqref="AA92">
    <cfRule type="containsText" priority="1985" operator="containsText" dxfId="12" text="△">
      <formula>NOT(ISERROR(SEARCH("△",AA92)))</formula>
    </cfRule>
    <cfRule type="containsText" priority="1986" operator="containsText" dxfId="11" text="▽">
      <formula>NOT(ISERROR(SEARCH("▽",AA92)))</formula>
    </cfRule>
    <cfRule type="containsText" priority="1983" operator="containsText" dxfId="12" text="△">
      <formula>NOT(ISERROR(SEARCH("△",AA92)))</formula>
    </cfRule>
    <cfRule type="containsText" priority="1984" operator="containsText" dxfId="11" text="▽">
      <formula>NOT(ISERROR(SEARCH("▽",AA92)))</formula>
    </cfRule>
  </conditionalFormatting>
  <conditionalFormatting sqref="AA91:AA110">
    <cfRule type="containsText" priority="1981" operator="containsText" dxfId="12" text="△">
      <formula>NOT(ISERROR(SEARCH("△",AA91)))</formula>
    </cfRule>
    <cfRule type="containsText" priority="1982" operator="containsText" dxfId="11" text="▽">
      <formula>NOT(ISERROR(SEARCH("▽",AA91)))</formula>
    </cfRule>
    <cfRule type="containsText" priority="1979" operator="containsText" dxfId="12" text="△">
      <formula>NOT(ISERROR(SEARCH("△",AA91)))</formula>
    </cfRule>
    <cfRule type="containsText" priority="1980" operator="containsText" dxfId="11" text="▽">
      <formula>NOT(ISERROR(SEARCH("▽",AA91)))</formula>
    </cfRule>
  </conditionalFormatting>
  <conditionalFormatting sqref="AA87:AA110">
    <cfRule type="containsText" priority="1977" operator="containsText" dxfId="12" text="△">
      <formula>NOT(ISERROR(SEARCH("△",AA87)))</formula>
    </cfRule>
    <cfRule type="containsText" priority="1978" operator="containsText" dxfId="11" text="▽">
      <formula>NOT(ISERROR(SEARCH("▽",AA87)))</formula>
    </cfRule>
    <cfRule type="containsText" priority="1975" operator="containsText" dxfId="12" text="△">
      <formula>NOT(ISERROR(SEARCH("△",AA87)))</formula>
    </cfRule>
    <cfRule type="containsText" priority="1976" operator="containsText" dxfId="11" text="▽">
      <formula>NOT(ISERROR(SEARCH("▽",AA87)))</formula>
    </cfRule>
  </conditionalFormatting>
  <conditionalFormatting sqref="AA88:AA110">
    <cfRule type="containsText" priority="1973" operator="containsText" dxfId="12" text="△">
      <formula>NOT(ISERROR(SEARCH("△",AA88)))</formula>
    </cfRule>
    <cfRule type="containsText" priority="1974" operator="containsText" dxfId="11" text="▽">
      <formula>NOT(ISERROR(SEARCH("▽",AA88)))</formula>
    </cfRule>
    <cfRule type="containsText" priority="1971" operator="containsText" dxfId="12" text="△">
      <formula>NOT(ISERROR(SEARCH("△",AA88)))</formula>
    </cfRule>
    <cfRule type="containsText" priority="1972" operator="containsText" dxfId="11" text="▽">
      <formula>NOT(ISERROR(SEARCH("▽",AA88)))</formula>
    </cfRule>
  </conditionalFormatting>
  <conditionalFormatting sqref="AA93:AA110">
    <cfRule type="containsText" priority="1969" operator="containsText" dxfId="12" text="△">
      <formula>NOT(ISERROR(SEARCH("△",AA93)))</formula>
    </cfRule>
    <cfRule type="containsText" priority="1970" operator="containsText" dxfId="11" text="▽">
      <formula>NOT(ISERROR(SEARCH("▽",AA93)))</formula>
    </cfRule>
    <cfRule type="containsText" priority="1967" operator="containsText" dxfId="12" text="△">
      <formula>NOT(ISERROR(SEARCH("△",AA93)))</formula>
    </cfRule>
    <cfRule type="containsText" priority="1968" operator="containsText" dxfId="11" text="▽">
      <formula>NOT(ISERROR(SEARCH("▽",AA93)))</formula>
    </cfRule>
  </conditionalFormatting>
  <conditionalFormatting sqref="AA99:AA110">
    <cfRule type="containsText" priority="1965" operator="containsText" dxfId="12" text="△">
      <formula>NOT(ISERROR(SEARCH("△",AA99)))</formula>
    </cfRule>
    <cfRule type="containsText" priority="1966" operator="containsText" dxfId="11" text="▽">
      <formula>NOT(ISERROR(SEARCH("▽",AA99)))</formula>
    </cfRule>
    <cfRule type="containsText" priority="1963" operator="containsText" dxfId="12" text="△">
      <formula>NOT(ISERROR(SEARCH("△",AA99)))</formula>
    </cfRule>
    <cfRule type="containsText" priority="1964" operator="containsText" dxfId="11" text="▽">
      <formula>NOT(ISERROR(SEARCH("▽",AA99)))</formula>
    </cfRule>
  </conditionalFormatting>
  <conditionalFormatting sqref="AA116">
    <cfRule type="containsText" priority="1961" operator="containsText" dxfId="12" text="△">
      <formula>NOT(ISERROR(SEARCH("△",AA116)))</formula>
    </cfRule>
    <cfRule type="containsText" priority="1962" operator="containsText" dxfId="11" text="▽">
      <formula>NOT(ISERROR(SEARCH("▽",AA116)))</formula>
    </cfRule>
    <cfRule type="containsText" priority="1959" operator="containsText" dxfId="12" text="△">
      <formula>NOT(ISERROR(SEARCH("△",AA116)))</formula>
    </cfRule>
    <cfRule type="containsText" priority="1960" operator="containsText" dxfId="11" text="▽">
      <formula>NOT(ISERROR(SEARCH("▽",AA116)))</formula>
    </cfRule>
  </conditionalFormatting>
  <conditionalFormatting sqref="AA90:AA110">
    <cfRule type="containsText" priority="1957" operator="containsText" dxfId="12" text="△">
      <formula>NOT(ISERROR(SEARCH("△",AA90)))</formula>
    </cfRule>
    <cfRule type="containsText" priority="1958" operator="containsText" dxfId="11" text="▽">
      <formula>NOT(ISERROR(SEARCH("▽",AA90)))</formula>
    </cfRule>
    <cfRule type="containsText" priority="1955" operator="containsText" dxfId="12" text="△">
      <formula>NOT(ISERROR(SEARCH("△",AA90)))</formula>
    </cfRule>
    <cfRule type="containsText" priority="1956" operator="containsText" dxfId="11" text="▽">
      <formula>NOT(ISERROR(SEARCH("▽",AA90)))</formula>
    </cfRule>
  </conditionalFormatting>
  <conditionalFormatting sqref="AA100:AA110">
    <cfRule type="containsText" priority="1953" operator="containsText" dxfId="12" text="△">
      <formula>NOT(ISERROR(SEARCH("△",AA100)))</formula>
    </cfRule>
    <cfRule type="containsText" priority="1954" operator="containsText" dxfId="11" text="▽">
      <formula>NOT(ISERROR(SEARCH("▽",AA100)))</formula>
    </cfRule>
    <cfRule type="containsText" priority="1951" operator="containsText" dxfId="12" text="△">
      <formula>NOT(ISERROR(SEARCH("△",AA100)))</formula>
    </cfRule>
    <cfRule type="containsText" priority="1952" operator="containsText" dxfId="11" text="▽">
      <formula>NOT(ISERROR(SEARCH("▽",AA100)))</formula>
    </cfRule>
  </conditionalFormatting>
  <conditionalFormatting sqref="AA98:AA110">
    <cfRule type="containsText" priority="1949" operator="containsText" dxfId="12" text="△">
      <formula>NOT(ISERROR(SEARCH("△",AA98)))</formula>
    </cfRule>
    <cfRule type="containsText" priority="1950" operator="containsText" dxfId="11" text="▽">
      <formula>NOT(ISERROR(SEARCH("▽",AA98)))</formula>
    </cfRule>
    <cfRule type="containsText" priority="1947" operator="containsText" dxfId="12" text="△">
      <formula>NOT(ISERROR(SEARCH("△",AA98)))</formula>
    </cfRule>
    <cfRule type="containsText" priority="1948" operator="containsText" dxfId="11" text="▽">
      <formula>NOT(ISERROR(SEARCH("▽",AA98)))</formula>
    </cfRule>
  </conditionalFormatting>
  <conditionalFormatting sqref="AA95:AA110">
    <cfRule type="containsText" priority="1945" operator="containsText" dxfId="12" text="△">
      <formula>NOT(ISERROR(SEARCH("△",AA95)))</formula>
    </cfRule>
    <cfRule type="containsText" priority="1946" operator="containsText" dxfId="11" text="▽">
      <formula>NOT(ISERROR(SEARCH("▽",AA95)))</formula>
    </cfRule>
    <cfRule type="containsText" priority="1943" operator="containsText" dxfId="12" text="△">
      <formula>NOT(ISERROR(SEARCH("△",AA95)))</formula>
    </cfRule>
    <cfRule type="containsText" priority="1944" operator="containsText" dxfId="11" text="▽">
      <formula>NOT(ISERROR(SEARCH("▽",AA95)))</formula>
    </cfRule>
  </conditionalFormatting>
  <conditionalFormatting sqref="AA94:AA110">
    <cfRule type="containsText" priority="1941" operator="containsText" dxfId="12" text="△">
      <formula>NOT(ISERROR(SEARCH("△",AA94)))</formula>
    </cfRule>
    <cfRule type="containsText" priority="1942" operator="containsText" dxfId="11" text="▽">
      <formula>NOT(ISERROR(SEARCH("▽",AA94)))</formula>
    </cfRule>
    <cfRule type="containsText" priority="1939" operator="containsText" dxfId="12" text="△">
      <formula>NOT(ISERROR(SEARCH("△",AA94)))</formula>
    </cfRule>
    <cfRule type="containsText" priority="1940" operator="containsText" dxfId="11" text="▽">
      <formula>NOT(ISERROR(SEARCH("▽",AA94)))</formula>
    </cfRule>
  </conditionalFormatting>
  <conditionalFormatting sqref="AA97:AA110">
    <cfRule type="containsText" priority="1937" operator="containsText" dxfId="12" text="△">
      <formula>NOT(ISERROR(SEARCH("△",AA97)))</formula>
    </cfRule>
    <cfRule type="containsText" priority="1938" operator="containsText" dxfId="11" text="▽">
      <formula>NOT(ISERROR(SEARCH("▽",AA97)))</formula>
    </cfRule>
    <cfRule type="containsText" priority="1935" operator="containsText" dxfId="12" text="△">
      <formula>NOT(ISERROR(SEARCH("△",AA97)))</formula>
    </cfRule>
    <cfRule type="containsText" priority="1936" operator="containsText" dxfId="11" text="▽">
      <formula>NOT(ISERROR(SEARCH("▽",AA97)))</formula>
    </cfRule>
  </conditionalFormatting>
  <conditionalFormatting sqref="AA103:AA110">
    <cfRule type="containsText" priority="1933" operator="containsText" dxfId="12" text="△">
      <formula>NOT(ISERROR(SEARCH("△",AA103)))</formula>
    </cfRule>
    <cfRule type="containsText" priority="1934" operator="containsText" dxfId="11" text="▽">
      <formula>NOT(ISERROR(SEARCH("▽",AA103)))</formula>
    </cfRule>
    <cfRule type="containsText" priority="1931" operator="containsText" dxfId="12" text="△">
      <formula>NOT(ISERROR(SEARCH("△",AA103)))</formula>
    </cfRule>
    <cfRule type="containsText" priority="1932" operator="containsText" dxfId="11" text="▽">
      <formula>NOT(ISERROR(SEARCH("▽",AA103)))</formula>
    </cfRule>
  </conditionalFormatting>
  <conditionalFormatting sqref="AA101:AA110">
    <cfRule type="containsText" priority="1927" operator="containsText" dxfId="12" text="△">
      <formula>NOT(ISERROR(SEARCH("△",AA101)))</formula>
    </cfRule>
    <cfRule type="containsText" priority="1928" operator="containsText" dxfId="11" text="▽">
      <formula>NOT(ISERROR(SEARCH("▽",AA101)))</formula>
    </cfRule>
    <cfRule type="containsText" priority="1925" operator="containsText" dxfId="12" text="△">
      <formula>NOT(ISERROR(SEARCH("△",AA101)))</formula>
    </cfRule>
    <cfRule type="containsText" priority="1926" operator="containsText" dxfId="11" text="▽">
      <formula>NOT(ISERROR(SEARCH("▽",AA101)))</formula>
    </cfRule>
  </conditionalFormatting>
  <conditionalFormatting sqref="AA130:AA131">
    <cfRule type="containsText" priority="1923" operator="containsText" dxfId="12" text="△">
      <formula>NOT(ISERROR(SEARCH("△",AA130)))</formula>
    </cfRule>
    <cfRule type="containsText" priority="1924" operator="containsText" dxfId="11" text="▽">
      <formula>NOT(ISERROR(SEARCH("▽",AA130)))</formula>
    </cfRule>
    <cfRule type="containsText" priority="1921" operator="containsText" dxfId="12" text="△">
      <formula>NOT(ISERROR(SEARCH("△",AA130)))</formula>
    </cfRule>
    <cfRule type="containsText" priority="1922" operator="containsText" dxfId="11" text="▽">
      <formula>NOT(ISERROR(SEARCH("▽",AA130)))</formula>
    </cfRule>
  </conditionalFormatting>
  <conditionalFormatting sqref="AA102:AA110">
    <cfRule type="containsText" priority="1919" operator="containsText" dxfId="12" text="△">
      <formula>NOT(ISERROR(SEARCH("△",AA102)))</formula>
    </cfRule>
    <cfRule type="containsText" priority="1920" operator="containsText" dxfId="11" text="▽">
      <formula>NOT(ISERROR(SEARCH("▽",AA102)))</formula>
    </cfRule>
    <cfRule type="containsText" priority="1917" operator="containsText" dxfId="12" text="△">
      <formula>NOT(ISERROR(SEARCH("△",AA102)))</formula>
    </cfRule>
    <cfRule type="containsText" priority="1918" operator="containsText" dxfId="11" text="▽">
      <formula>NOT(ISERROR(SEARCH("▽",AA102)))</formula>
    </cfRule>
  </conditionalFormatting>
  <conditionalFormatting sqref="AA104:AA110">
    <cfRule type="containsText" priority="1915" operator="containsText" dxfId="12" text="△">
      <formula>NOT(ISERROR(SEARCH("△",AA104)))</formula>
    </cfRule>
    <cfRule type="containsText" priority="1916" operator="containsText" dxfId="11" text="▽">
      <formula>NOT(ISERROR(SEARCH("▽",AA104)))</formula>
    </cfRule>
    <cfRule type="containsText" priority="1913" operator="containsText" dxfId="12" text="△">
      <formula>NOT(ISERROR(SEARCH("△",AA104)))</formula>
    </cfRule>
    <cfRule type="containsText" priority="1914" operator="containsText" dxfId="11" text="▽">
      <formula>NOT(ISERROR(SEARCH("▽",AA104)))</formula>
    </cfRule>
  </conditionalFormatting>
  <conditionalFormatting sqref="AA110">
    <cfRule type="containsText" priority="1911" operator="containsText" dxfId="12" text="△">
      <formula>NOT(ISERROR(SEARCH("△",AA110)))</formula>
    </cfRule>
    <cfRule type="containsText" priority="1912" operator="containsText" dxfId="11" text="▽">
      <formula>NOT(ISERROR(SEARCH("▽",AA110)))</formula>
    </cfRule>
    <cfRule type="containsText" priority="1909" operator="containsText" dxfId="12" text="△">
      <formula>NOT(ISERROR(SEARCH("△",AA110)))</formula>
    </cfRule>
    <cfRule type="containsText" priority="1910" operator="containsText" dxfId="11" text="▽">
      <formula>NOT(ISERROR(SEARCH("▽",AA110)))</formula>
    </cfRule>
  </conditionalFormatting>
  <conditionalFormatting sqref="AA105">
    <cfRule type="containsText" priority="1907" operator="containsText" dxfId="12" text="△">
      <formula>NOT(ISERROR(SEARCH("△",AA105)))</formula>
    </cfRule>
    <cfRule type="containsText" priority="1908" operator="containsText" dxfId="11" text="▽">
      <formula>NOT(ISERROR(SEARCH("▽",AA105)))</formula>
    </cfRule>
    <cfRule type="containsText" priority="1905" operator="containsText" dxfId="12" text="△">
      <formula>NOT(ISERROR(SEARCH("△",AA105)))</formula>
    </cfRule>
    <cfRule type="containsText" priority="1906" operator="containsText" dxfId="11" text="▽">
      <formula>NOT(ISERROR(SEARCH("▽",AA105)))</formula>
    </cfRule>
  </conditionalFormatting>
  <conditionalFormatting sqref="AA107:AA110">
    <cfRule type="containsText" priority="1903" operator="containsText" dxfId="12" text="△">
      <formula>NOT(ISERROR(SEARCH("△",AA107)))</formula>
    </cfRule>
    <cfRule type="containsText" priority="1904" operator="containsText" dxfId="11" text="▽">
      <formula>NOT(ISERROR(SEARCH("▽",AA107)))</formula>
    </cfRule>
    <cfRule type="containsText" priority="1901" operator="containsText" dxfId="12" text="△">
      <formula>NOT(ISERROR(SEARCH("△",AA107)))</formula>
    </cfRule>
    <cfRule type="containsText" priority="1902" operator="containsText" dxfId="11" text="▽">
      <formula>NOT(ISERROR(SEARCH("▽",AA107)))</formula>
    </cfRule>
  </conditionalFormatting>
  <conditionalFormatting sqref="AA106">
    <cfRule type="containsText" priority="1899" operator="containsText" dxfId="12" text="△">
      <formula>NOT(ISERROR(SEARCH("△",AA106)))</formula>
    </cfRule>
    <cfRule type="containsText" priority="1900" operator="containsText" dxfId="11" text="▽">
      <formula>NOT(ISERROR(SEARCH("▽",AA106)))</formula>
    </cfRule>
    <cfRule type="containsText" priority="1897" operator="containsText" dxfId="12" text="△">
      <formula>NOT(ISERROR(SEARCH("△",AA106)))</formula>
    </cfRule>
    <cfRule type="containsText" priority="1898" operator="containsText" dxfId="11" text="▽">
      <formula>NOT(ISERROR(SEARCH("▽",AA106)))</formula>
    </cfRule>
  </conditionalFormatting>
  <conditionalFormatting sqref="AA108">
    <cfRule type="containsText" priority="1895" operator="containsText" dxfId="12" text="△">
      <formula>NOT(ISERROR(SEARCH("△",AA108)))</formula>
    </cfRule>
    <cfRule type="containsText" priority="1896" operator="containsText" dxfId="11" text="▽">
      <formula>NOT(ISERROR(SEARCH("▽",AA108)))</formula>
    </cfRule>
    <cfRule type="containsText" priority="1893" operator="containsText" dxfId="12" text="△">
      <formula>NOT(ISERROR(SEARCH("△",AA108)))</formula>
    </cfRule>
    <cfRule type="containsText" priority="1894" operator="containsText" dxfId="11" text="▽">
      <formula>NOT(ISERROR(SEARCH("▽",AA108)))</formula>
    </cfRule>
  </conditionalFormatting>
  <conditionalFormatting sqref="AA109:AA110">
    <cfRule type="containsText" priority="1891" operator="containsText" dxfId="12" text="△">
      <formula>NOT(ISERROR(SEARCH("△",AA109)))</formula>
    </cfRule>
    <cfRule type="containsText" priority="1892" operator="containsText" dxfId="11" text="▽">
      <formula>NOT(ISERROR(SEARCH("▽",AA109)))</formula>
    </cfRule>
    <cfRule type="containsText" priority="1889" operator="containsText" dxfId="12" text="△">
      <formula>NOT(ISERROR(SEARCH("△",AA109)))</formula>
    </cfRule>
    <cfRule type="containsText" priority="1890" operator="containsText" dxfId="11" text="▽">
      <formula>NOT(ISERROR(SEARCH("▽",AA109)))</formula>
    </cfRule>
  </conditionalFormatting>
  <conditionalFormatting sqref="AA131">
    <cfRule type="containsText" priority="1887" operator="containsText" dxfId="12" text="△">
      <formula>NOT(ISERROR(SEARCH("△",AA131)))</formula>
    </cfRule>
    <cfRule type="containsText" priority="1888" operator="containsText" dxfId="11" text="▽">
      <formula>NOT(ISERROR(SEARCH("▽",AA131)))</formula>
    </cfRule>
    <cfRule type="containsText" priority="1885" operator="containsText" dxfId="12" text="△">
      <formula>NOT(ISERROR(SEARCH("△",AA131)))</formula>
    </cfRule>
    <cfRule type="containsText" priority="1886" operator="containsText" dxfId="11" text="▽">
      <formula>NOT(ISERROR(SEARCH("▽",AA131)))</formula>
    </cfRule>
  </conditionalFormatting>
  <conditionalFormatting sqref="AA125">
    <cfRule type="containsText" priority="1883" operator="containsText" dxfId="12" text="△">
      <formula>NOT(ISERROR(SEARCH("△",AA125)))</formula>
    </cfRule>
    <cfRule type="containsText" priority="1884" operator="containsText" dxfId="11" text="▽">
      <formula>NOT(ISERROR(SEARCH("▽",AA125)))</formula>
    </cfRule>
    <cfRule type="containsText" priority="1881" operator="containsText" dxfId="12" text="△">
      <formula>NOT(ISERROR(SEARCH("△",AA125)))</formula>
    </cfRule>
    <cfRule type="containsText" priority="1882" operator="containsText" dxfId="11" text="▽">
      <formula>NOT(ISERROR(SEARCH("▽",AA125)))</formula>
    </cfRule>
  </conditionalFormatting>
  <conditionalFormatting sqref="AA132">
    <cfRule type="containsText" priority="1879" operator="containsText" dxfId="12" text="△">
      <formula>NOT(ISERROR(SEARCH("△",AA132)))</formula>
    </cfRule>
    <cfRule type="containsText" priority="1880" operator="containsText" dxfId="11" text="▽">
      <formula>NOT(ISERROR(SEARCH("▽",AA132)))</formula>
    </cfRule>
    <cfRule type="containsText" priority="1877" operator="containsText" dxfId="12" text="△">
      <formula>NOT(ISERROR(SEARCH("△",AA132)))</formula>
    </cfRule>
    <cfRule type="containsText" priority="1878" operator="containsText" dxfId="11" text="▽">
      <formula>NOT(ISERROR(SEARCH("▽",AA132)))</formula>
    </cfRule>
  </conditionalFormatting>
  <conditionalFormatting sqref="AA134">
    <cfRule type="containsText" priority="1875" operator="containsText" dxfId="12" text="△">
      <formula>NOT(ISERROR(SEARCH("△",AA134)))</formula>
    </cfRule>
    <cfRule type="containsText" priority="1876" operator="containsText" dxfId="11" text="▽">
      <formula>NOT(ISERROR(SEARCH("▽",AA134)))</formula>
    </cfRule>
    <cfRule type="containsText" priority="1873" operator="containsText" dxfId="12" text="△">
      <formula>NOT(ISERROR(SEARCH("△",AA134)))</formula>
    </cfRule>
    <cfRule type="containsText" priority="1874" operator="containsText" dxfId="11" text="▽">
      <formula>NOT(ISERROR(SEARCH("▽",AA134)))</formula>
    </cfRule>
  </conditionalFormatting>
  <conditionalFormatting sqref="AA133">
    <cfRule type="containsText" priority="1869" operator="containsText" dxfId="12" text="△">
      <formula>NOT(ISERROR(SEARCH("△",AA133)))</formula>
    </cfRule>
    <cfRule type="containsText" priority="1870" operator="containsText" dxfId="11" text="▽">
      <formula>NOT(ISERROR(SEARCH("▽",AA133)))</formula>
    </cfRule>
    <cfRule type="containsText" priority="1867" operator="containsText" dxfId="12" text="△">
      <formula>NOT(ISERROR(SEARCH("△",AA133)))</formula>
    </cfRule>
    <cfRule type="containsText" priority="1868" operator="containsText" dxfId="11" text="▽">
      <formula>NOT(ISERROR(SEARCH("▽",AA133)))</formula>
    </cfRule>
  </conditionalFormatting>
  <conditionalFormatting sqref="AA41:AA57">
    <cfRule type="containsText" priority="1865" operator="containsText" dxfId="12" text="△">
      <formula>NOT(ISERROR(SEARCH("△",AA41)))</formula>
    </cfRule>
    <cfRule type="containsText" priority="1866" operator="containsText" dxfId="11" text="▽">
      <formula>NOT(ISERROR(SEARCH("▽",AA41)))</formula>
    </cfRule>
    <cfRule type="containsText" priority="1861" operator="containsText" dxfId="12" text="△">
      <formula>NOT(ISERROR(SEARCH("△",AA41)))</formula>
    </cfRule>
    <cfRule type="containsText" priority="1862" operator="containsText" dxfId="11" text="▽">
      <formula>NOT(ISERROR(SEARCH("▽",AA41)))</formula>
    </cfRule>
    <cfRule type="containsText" priority="1859" operator="containsText" dxfId="12" text="△">
      <formula>NOT(ISERROR(SEARCH("△",AA41)))</formula>
    </cfRule>
    <cfRule type="containsText" priority="1860" operator="containsText" dxfId="11" text="▽">
      <formula>NOT(ISERROR(SEARCH("▽",AA41)))</formula>
    </cfRule>
    <cfRule type="containsText" priority="1857" operator="containsText" dxfId="12" text="△">
      <formula>NOT(ISERROR(SEARCH("△",AA41)))</formula>
    </cfRule>
    <cfRule type="containsText" priority="1858" operator="containsText" dxfId="11" text="▽">
      <formula>NOT(ISERROR(SEARCH("▽",AA41)))</formula>
    </cfRule>
    <cfRule type="containsText" priority="1855" operator="containsText" dxfId="12" text="△">
      <formula>NOT(ISERROR(SEARCH("△",AA41)))</formula>
    </cfRule>
    <cfRule type="containsText" priority="1856" operator="containsText" dxfId="11" text="▽">
      <formula>NOT(ISERROR(SEARCH("▽",AA41)))</formula>
    </cfRule>
    <cfRule type="containsText" priority="1853" operator="containsText" dxfId="12" text="△">
      <formula>NOT(ISERROR(SEARCH("△",AA41)))</formula>
    </cfRule>
    <cfRule type="containsText" priority="1854" operator="containsText" dxfId="11" text="▽">
      <formula>NOT(ISERROR(SEARCH("▽",AA41)))</formula>
    </cfRule>
    <cfRule type="containsText" priority="1851" operator="containsText" dxfId="12" text="△">
      <formula>NOT(ISERROR(SEARCH("△",AA41)))</formula>
    </cfRule>
    <cfRule type="containsText" priority="1852" operator="containsText" dxfId="11" text="▽">
      <formula>NOT(ISERROR(SEARCH("▽",AA41)))</formula>
    </cfRule>
    <cfRule type="containsText" priority="1849" operator="containsText" dxfId="12" text="△">
      <formula>NOT(ISERROR(SEARCH("△",AA41)))</formula>
    </cfRule>
    <cfRule type="containsText" priority="1850" operator="containsText" dxfId="11" text="▽">
      <formula>NOT(ISERROR(SEARCH("▽",AA41)))</formula>
    </cfRule>
    <cfRule type="containsText" priority="1845" operator="containsText" dxfId="12" text="△">
      <formula>NOT(ISERROR(SEARCH("△",AA41)))</formula>
    </cfRule>
    <cfRule type="containsText" priority="1846" operator="containsText" dxfId="11" text="▽">
      <formula>NOT(ISERROR(SEARCH("▽",AA41)))</formula>
    </cfRule>
    <cfRule type="containsText" priority="1841" operator="containsText" dxfId="12" text="△">
      <formula>NOT(ISERROR(SEARCH("△",AA41)))</formula>
    </cfRule>
    <cfRule type="containsText" priority="1842" operator="containsText" dxfId="11" text="▽">
      <formula>NOT(ISERROR(SEARCH("▽",AA41)))</formula>
    </cfRule>
    <cfRule type="containsText" priority="1839" operator="containsText" dxfId="12" text="△">
      <formula>NOT(ISERROR(SEARCH("△",AA41)))</formula>
    </cfRule>
    <cfRule type="containsText" priority="1840" operator="containsText" dxfId="11" text="▽">
      <formula>NOT(ISERROR(SEARCH("▽",AA41)))</formula>
    </cfRule>
    <cfRule type="containsText" priority="1831" operator="containsText" dxfId="12" text="△">
      <formula>NOT(ISERROR(SEARCH("△",AA41)))</formula>
    </cfRule>
    <cfRule type="containsText" priority="1832" operator="containsText" dxfId="11" text="▽">
      <formula>NOT(ISERROR(SEARCH("▽",AA41)))</formula>
    </cfRule>
    <cfRule type="containsText" priority="1827" operator="containsText" dxfId="12" text="△">
      <formula>NOT(ISERROR(SEARCH("△",AA41)))</formula>
    </cfRule>
    <cfRule type="containsText" priority="1828" operator="containsText" dxfId="11" text="▽">
      <formula>NOT(ISERROR(SEARCH("▽",AA41)))</formula>
    </cfRule>
    <cfRule type="containsText" priority="1813" operator="containsText" dxfId="12" text="△">
      <formula>NOT(ISERROR(SEARCH("△",AA41)))</formula>
    </cfRule>
    <cfRule type="containsText" priority="1814" operator="containsText" dxfId="11" text="▽">
      <formula>NOT(ISERROR(SEARCH("▽",AA41)))</formula>
    </cfRule>
    <cfRule type="containsText" priority="1811" operator="containsText" dxfId="12" text="△">
      <formula>NOT(ISERROR(SEARCH("△",AA41)))</formula>
    </cfRule>
    <cfRule type="containsText" priority="1812" operator="containsText" dxfId="11" text="▽">
      <formula>NOT(ISERROR(SEARCH("▽",AA41)))</formula>
    </cfRule>
    <cfRule type="containsText" priority="1809" operator="containsText" dxfId="12" text="△">
      <formula>NOT(ISERROR(SEARCH("△",AA41)))</formula>
    </cfRule>
    <cfRule type="containsText" priority="1810" operator="containsText" dxfId="11" text="▽">
      <formula>NOT(ISERROR(SEARCH("▽",AA41)))</formula>
    </cfRule>
    <cfRule type="containsText" priority="1807" operator="containsText" dxfId="12" text="△">
      <formula>NOT(ISERROR(SEARCH("△",AA41)))</formula>
    </cfRule>
    <cfRule type="containsText" priority="1808" operator="containsText" dxfId="11" text="▽">
      <formula>NOT(ISERROR(SEARCH("▽",AA41)))</formula>
    </cfRule>
    <cfRule type="containsText" priority="1805" operator="containsText" dxfId="12" text="△">
      <formula>NOT(ISERROR(SEARCH("△",AA41)))</formula>
    </cfRule>
    <cfRule type="containsText" priority="1806" operator="containsText" dxfId="11" text="▽">
      <formula>NOT(ISERROR(SEARCH("▽",AA41)))</formula>
    </cfRule>
    <cfRule type="containsText" priority="1803" operator="containsText" dxfId="12" text="△">
      <formula>NOT(ISERROR(SEARCH("△",AA41)))</formula>
    </cfRule>
    <cfRule type="containsText" priority="1804" operator="containsText" dxfId="11" text="▽">
      <formula>NOT(ISERROR(SEARCH("▽",AA41)))</formula>
    </cfRule>
    <cfRule type="containsText" priority="1781" operator="containsText" dxfId="12" text="△">
      <formula>NOT(ISERROR(SEARCH("△",AA41)))</formula>
    </cfRule>
    <cfRule type="containsText" priority="1782" operator="containsText" dxfId="11" text="▽">
      <formula>NOT(ISERROR(SEARCH("▽",AA41)))</formula>
    </cfRule>
    <cfRule type="containsText" priority="1779" operator="containsText" dxfId="12" text="△">
      <formula>NOT(ISERROR(SEARCH("△",AA41)))</formula>
    </cfRule>
    <cfRule type="containsText" priority="1780" operator="containsText" dxfId="11" text="▽">
      <formula>NOT(ISERROR(SEARCH("▽",AA41)))</formula>
    </cfRule>
  </conditionalFormatting>
  <conditionalFormatting sqref="AA50:AA57">
    <cfRule type="containsText" priority="1863" operator="containsText" dxfId="12" text="△">
      <formula>NOT(ISERROR(SEARCH("△",AA50)))</formula>
    </cfRule>
    <cfRule type="containsText" priority="1864" operator="containsText" dxfId="11" text="▽">
      <formula>NOT(ISERROR(SEARCH("▽",AA50)))</formula>
    </cfRule>
  </conditionalFormatting>
  <conditionalFormatting sqref="AA52:AA57">
    <cfRule type="containsText" priority="1847" operator="containsText" dxfId="12" text="△">
      <formula>NOT(ISERROR(SEARCH("△",AA52)))</formula>
    </cfRule>
    <cfRule type="containsText" priority="1848" operator="containsText" dxfId="11" text="▽">
      <formula>NOT(ISERROR(SEARCH("▽",AA52)))</formula>
    </cfRule>
  </conditionalFormatting>
  <conditionalFormatting sqref="AA51:AA57">
    <cfRule type="containsText" priority="1843" operator="containsText" dxfId="12" text="△">
      <formula>NOT(ISERROR(SEARCH("△",AA51)))</formula>
    </cfRule>
    <cfRule type="containsText" priority="1844" operator="containsText" dxfId="11" text="▽">
      <formula>NOT(ISERROR(SEARCH("▽",AA51)))</formula>
    </cfRule>
  </conditionalFormatting>
  <conditionalFormatting sqref="AA44:AA57">
    <cfRule type="containsText" priority="1837" operator="containsText" dxfId="12" text="△">
      <formula>NOT(ISERROR(SEARCH("△",AA44)))</formula>
    </cfRule>
    <cfRule type="containsText" priority="1838" operator="containsText" dxfId="11" text="▽">
      <formula>NOT(ISERROR(SEARCH("▽",AA44)))</formula>
    </cfRule>
  </conditionalFormatting>
  <conditionalFormatting sqref="AA42:AA57">
    <cfRule type="containsText" priority="1835" operator="containsText" dxfId="12" text="△">
      <formula>NOT(ISERROR(SEARCH("△",AA42)))</formula>
    </cfRule>
    <cfRule type="containsText" priority="1836" operator="containsText" dxfId="11" text="▽">
      <formula>NOT(ISERROR(SEARCH("▽",AA42)))</formula>
    </cfRule>
  </conditionalFormatting>
  <conditionalFormatting sqref="AA41">
    <cfRule type="containsText" priority="1833" operator="containsText" dxfId="12" text="△">
      <formula>NOT(ISERROR(SEARCH("△",AA41)))</formula>
    </cfRule>
    <cfRule type="containsText" priority="1834" operator="containsText" dxfId="11" text="▽">
      <formula>NOT(ISERROR(SEARCH("▽",AA41)))</formula>
    </cfRule>
  </conditionalFormatting>
  <conditionalFormatting sqref="AA45:AA57">
    <cfRule type="containsText" priority="1829" operator="containsText" dxfId="12" text="△">
      <formula>NOT(ISERROR(SEARCH("△",AA45)))</formula>
    </cfRule>
    <cfRule type="containsText" priority="1830" operator="containsText" dxfId="11" text="▽">
      <formula>NOT(ISERROR(SEARCH("▽",AA45)))</formula>
    </cfRule>
  </conditionalFormatting>
  <conditionalFormatting sqref="AA49:AA57">
    <cfRule type="containsText" priority="1825" operator="containsText" dxfId="12" text="△">
      <formula>NOT(ISERROR(SEARCH("△",AA49)))</formula>
    </cfRule>
    <cfRule type="containsText" priority="1826" operator="containsText" dxfId="11" text="▽">
      <formula>NOT(ISERROR(SEARCH("▽",AA49)))</formula>
    </cfRule>
    <cfRule type="containsText" priority="1823" operator="containsText" dxfId="12" text="△">
      <formula>NOT(ISERROR(SEARCH("△",AA49)))</formula>
    </cfRule>
    <cfRule type="containsText" priority="1824" operator="containsText" dxfId="11" text="▽">
      <formula>NOT(ISERROR(SEARCH("▽",AA49)))</formula>
    </cfRule>
  </conditionalFormatting>
  <conditionalFormatting sqref="AA59">
    <cfRule type="containsText" priority="1821" operator="containsText" dxfId="12" text="△">
      <formula>NOT(ISERROR(SEARCH("△",AA59)))</formula>
    </cfRule>
    <cfRule type="containsText" priority="1822" operator="containsText" dxfId="11" text="▽">
      <formula>NOT(ISERROR(SEARCH("▽",AA59)))</formula>
    </cfRule>
    <cfRule type="containsText" priority="1819" operator="containsText" dxfId="12" text="△">
      <formula>NOT(ISERROR(SEARCH("△",AA59)))</formula>
    </cfRule>
    <cfRule type="containsText" priority="1820" operator="containsText" dxfId="11" text="▽">
      <formula>NOT(ISERROR(SEARCH("▽",AA59)))</formula>
    </cfRule>
  </conditionalFormatting>
  <conditionalFormatting sqref="AA53">
    <cfRule type="containsText" priority="1817" operator="containsText" dxfId="12" text="△">
      <formula>NOT(ISERROR(SEARCH("△",AA53)))</formula>
    </cfRule>
    <cfRule type="containsText" priority="1818" operator="containsText" dxfId="11" text="▽">
      <formula>NOT(ISERROR(SEARCH("▽",AA53)))</formula>
    </cfRule>
    <cfRule type="containsText" priority="1815" operator="containsText" dxfId="12" text="△">
      <formula>NOT(ISERROR(SEARCH("△",AA53)))</formula>
    </cfRule>
    <cfRule type="containsText" priority="1816" operator="containsText" dxfId="11" text="▽">
      <formula>NOT(ISERROR(SEARCH("▽",AA53)))</formula>
    </cfRule>
  </conditionalFormatting>
  <conditionalFormatting sqref="AA54">
    <cfRule type="containsText" priority="1801" operator="containsText" dxfId="12" text="△">
      <formula>NOT(ISERROR(SEARCH("△",AA54)))</formula>
    </cfRule>
    <cfRule type="containsText" priority="1802" operator="containsText" dxfId="11" text="▽">
      <formula>NOT(ISERROR(SEARCH("▽",AA54)))</formula>
    </cfRule>
    <cfRule type="containsText" priority="1799" operator="containsText" dxfId="12" text="△">
      <formula>NOT(ISERROR(SEARCH("△",AA54)))</formula>
    </cfRule>
    <cfRule type="containsText" priority="1800" operator="containsText" dxfId="11" text="▽">
      <formula>NOT(ISERROR(SEARCH("▽",AA54)))</formula>
    </cfRule>
  </conditionalFormatting>
  <conditionalFormatting sqref="AA43:AA57">
    <cfRule type="containsText" priority="1797" operator="containsText" dxfId="12" text="△">
      <formula>NOT(ISERROR(SEARCH("△",AA43)))</formula>
    </cfRule>
    <cfRule type="containsText" priority="1798" operator="containsText" dxfId="11" text="▽">
      <formula>NOT(ISERROR(SEARCH("▽",AA43)))</formula>
    </cfRule>
    <cfRule type="containsText" priority="1795" operator="containsText" dxfId="12" text="△">
      <formula>NOT(ISERROR(SEARCH("△",AA43)))</formula>
    </cfRule>
    <cfRule type="containsText" priority="1796" operator="containsText" dxfId="11" text="▽">
      <formula>NOT(ISERROR(SEARCH("▽",AA43)))</formula>
    </cfRule>
  </conditionalFormatting>
  <conditionalFormatting sqref="AA46:AA57">
    <cfRule type="containsText" priority="1793" operator="containsText" dxfId="12" text="△">
      <formula>NOT(ISERROR(SEARCH("△",AA46)))</formula>
    </cfRule>
    <cfRule type="containsText" priority="1794" operator="containsText" dxfId="11" text="▽">
      <formula>NOT(ISERROR(SEARCH("▽",AA46)))</formula>
    </cfRule>
    <cfRule type="containsText" priority="1791" operator="containsText" dxfId="12" text="△">
      <formula>NOT(ISERROR(SEARCH("△",AA46)))</formula>
    </cfRule>
    <cfRule type="containsText" priority="1792" operator="containsText" dxfId="11" text="▽">
      <formula>NOT(ISERROR(SEARCH("▽",AA46)))</formula>
    </cfRule>
  </conditionalFormatting>
  <conditionalFormatting sqref="AA47">
    <cfRule type="containsText" priority="1789" operator="containsText" dxfId="12" text="△">
      <formula>NOT(ISERROR(SEARCH("△",AA47)))</formula>
    </cfRule>
    <cfRule type="containsText" priority="1790" operator="containsText" dxfId="11" text="▽">
      <formula>NOT(ISERROR(SEARCH("▽",AA47)))</formula>
    </cfRule>
    <cfRule type="containsText" priority="1787" operator="containsText" dxfId="12" text="△">
      <formula>NOT(ISERROR(SEARCH("△",AA47)))</formula>
    </cfRule>
    <cfRule type="containsText" priority="1788" operator="containsText" dxfId="11" text="▽">
      <formula>NOT(ISERROR(SEARCH("▽",AA47)))</formula>
    </cfRule>
  </conditionalFormatting>
  <conditionalFormatting sqref="AA55">
    <cfRule type="containsText" priority="1785" operator="containsText" dxfId="12" text="△">
      <formula>NOT(ISERROR(SEARCH("△",AA55)))</formula>
    </cfRule>
    <cfRule type="containsText" priority="1786" operator="containsText" dxfId="11" text="▽">
      <formula>NOT(ISERROR(SEARCH("▽",AA55)))</formula>
    </cfRule>
    <cfRule type="containsText" priority="1783" operator="containsText" dxfId="12" text="△">
      <formula>NOT(ISERROR(SEARCH("△",AA55)))</formula>
    </cfRule>
    <cfRule type="containsText" priority="1784" operator="containsText" dxfId="11" text="▽">
      <formula>NOT(ISERROR(SEARCH("▽",AA55)))</formula>
    </cfRule>
  </conditionalFormatting>
  <conditionalFormatting sqref="AA48:AA57">
    <cfRule type="containsText" priority="1777" operator="containsText" dxfId="12" text="△">
      <formula>NOT(ISERROR(SEARCH("△",AA48)))</formula>
    </cfRule>
    <cfRule type="containsText" priority="1778" operator="containsText" dxfId="11" text="▽">
      <formula>NOT(ISERROR(SEARCH("▽",AA48)))</formula>
    </cfRule>
    <cfRule type="containsText" priority="1775" operator="containsText" dxfId="12" text="△">
      <formula>NOT(ISERROR(SEARCH("△",AA48)))</formula>
    </cfRule>
    <cfRule type="containsText" priority="1776" operator="containsText" dxfId="11" text="▽">
      <formula>NOT(ISERROR(SEARCH("▽",AA48)))</formula>
    </cfRule>
  </conditionalFormatting>
  <conditionalFormatting sqref="AA57">
    <cfRule type="containsText" priority="1773" operator="containsText" dxfId="12" text="△">
      <formula>NOT(ISERROR(SEARCH("△",AA57)))</formula>
    </cfRule>
    <cfRule type="containsText" priority="1774" operator="containsText" dxfId="11" text="▽">
      <formula>NOT(ISERROR(SEARCH("▽",AA57)))</formula>
    </cfRule>
    <cfRule type="containsText" priority="1771" operator="containsText" dxfId="12" text="△">
      <formula>NOT(ISERROR(SEARCH("△",AA57)))</formula>
    </cfRule>
    <cfRule type="containsText" priority="1772" operator="containsText" dxfId="11" text="▽">
      <formula>NOT(ISERROR(SEARCH("▽",AA57)))</formula>
    </cfRule>
  </conditionalFormatting>
  <conditionalFormatting sqref="AA56">
    <cfRule type="containsText" priority="1769" operator="containsText" dxfId="12" text="△">
      <formula>NOT(ISERROR(SEARCH("△",AA56)))</formula>
    </cfRule>
    <cfRule type="containsText" priority="1770" operator="containsText" dxfId="11" text="▽">
      <formula>NOT(ISERROR(SEARCH("▽",AA56)))</formula>
    </cfRule>
    <cfRule type="containsText" priority="1767" operator="containsText" dxfId="12" text="△">
      <formula>NOT(ISERROR(SEARCH("△",AA56)))</formula>
    </cfRule>
    <cfRule type="containsText" priority="1768" operator="containsText" dxfId="11" text="▽">
      <formula>NOT(ISERROR(SEARCH("▽",AA56)))</formula>
    </cfRule>
  </conditionalFormatting>
  <conditionalFormatting sqref="AA58:AA59">
    <cfRule type="containsText" priority="1765" operator="containsText" dxfId="12" text="△">
      <formula>NOT(ISERROR(SEARCH("△",AA58)))</formula>
    </cfRule>
    <cfRule type="containsText" priority="1766" operator="containsText" dxfId="11" text="▽">
      <formula>NOT(ISERROR(SEARCH("▽",AA58)))</formula>
    </cfRule>
    <cfRule type="containsText" priority="1763" operator="containsText" dxfId="12" text="△">
      <formula>NOT(ISERROR(SEARCH("△",AA58)))</formula>
    </cfRule>
    <cfRule type="containsText" priority="1764" operator="containsText" dxfId="11" text="▽">
      <formula>NOT(ISERROR(SEARCH("▽",AA58)))</formula>
    </cfRule>
  </conditionalFormatting>
  <conditionalFormatting sqref="AA60">
    <cfRule type="containsText" priority="1761" operator="containsText" dxfId="12" text="△">
      <formula>NOT(ISERROR(SEARCH("△",AA60)))</formula>
    </cfRule>
    <cfRule type="containsText" priority="1762" operator="containsText" dxfId="11" text="▽">
      <formula>NOT(ISERROR(SEARCH("▽",AA60)))</formula>
    </cfRule>
    <cfRule type="containsText" priority="1759" operator="containsText" dxfId="12" text="△">
      <formula>NOT(ISERROR(SEARCH("△",AA60)))</formula>
    </cfRule>
    <cfRule type="containsText" priority="1760" operator="containsText" dxfId="11" text="▽">
      <formula>NOT(ISERROR(SEARCH("▽",AA60)))</formula>
    </cfRule>
  </conditionalFormatting>
  <conditionalFormatting sqref="AA136:AA138">
    <cfRule type="containsText" priority="1753" operator="containsText" dxfId="12" text="△">
      <formula>NOT(ISERROR(SEARCH("△",AA136)))</formula>
    </cfRule>
    <cfRule type="containsText" priority="1754" operator="containsText" dxfId="11" text="▽">
      <formula>NOT(ISERROR(SEARCH("▽",AA136)))</formula>
    </cfRule>
    <cfRule type="containsText" priority="1749" operator="containsText" dxfId="12" text="△">
      <formula>NOT(ISERROR(SEARCH("△",AA136)))</formula>
    </cfRule>
    <cfRule type="containsText" priority="1750" operator="containsText" dxfId="11" text="▽">
      <formula>NOT(ISERROR(SEARCH("▽",AA136)))</formula>
    </cfRule>
    <cfRule type="containsText" priority="1747" operator="containsText" dxfId="12" text="△">
      <formula>NOT(ISERROR(SEARCH("△",AA136)))</formula>
    </cfRule>
    <cfRule type="containsText" priority="1748" operator="containsText" dxfId="11" text="▽">
      <formula>NOT(ISERROR(SEARCH("▽",AA136)))</formula>
    </cfRule>
  </conditionalFormatting>
  <conditionalFormatting sqref="AA137:AA138">
    <cfRule type="containsText" priority="1745" operator="containsText" dxfId="12" text="△">
      <formula>NOT(ISERROR(SEARCH("△",AA137)))</formula>
    </cfRule>
    <cfRule type="containsText" priority="1746" operator="containsText" dxfId="11" text="▽">
      <formula>NOT(ISERROR(SEARCH("▽",AA137)))</formula>
    </cfRule>
    <cfRule type="containsText" priority="1743" operator="containsText" dxfId="12" text="△">
      <formula>NOT(ISERROR(SEARCH("△",AA137)))</formula>
    </cfRule>
    <cfRule type="containsText" priority="1744" operator="containsText" dxfId="11" text="▽">
      <formula>NOT(ISERROR(SEARCH("▽",AA137)))</formula>
    </cfRule>
  </conditionalFormatting>
  <conditionalFormatting sqref="AA138">
    <cfRule type="containsText" priority="1741" operator="containsText" dxfId="12" text="△">
      <formula>NOT(ISERROR(SEARCH("△",AA138)))</formula>
    </cfRule>
    <cfRule type="containsText" priority="1742" operator="containsText" dxfId="11" text="▽">
      <formula>NOT(ISERROR(SEARCH("▽",AA138)))</formula>
    </cfRule>
    <cfRule type="containsText" priority="1739" operator="containsText" dxfId="12" text="△">
      <formula>NOT(ISERROR(SEARCH("△",AA138)))</formula>
    </cfRule>
    <cfRule type="containsText" priority="1740" operator="containsText" dxfId="11" text="▽">
      <formula>NOT(ISERROR(SEARCH("▽",AA138)))</formula>
    </cfRule>
  </conditionalFormatting>
  <conditionalFormatting sqref="AA139:AA141">
    <cfRule type="containsText" priority="1735" operator="containsText" dxfId="12" text="△">
      <formula>NOT(ISERROR(SEARCH("△",AA139)))</formula>
    </cfRule>
    <cfRule type="containsText" priority="1736" operator="containsText" dxfId="11" text="▽">
      <formula>NOT(ISERROR(SEARCH("▽",AA139)))</formula>
    </cfRule>
    <cfRule type="containsText" priority="1729" operator="containsText" dxfId="12" text="△">
      <formula>NOT(ISERROR(SEARCH("△",AA139)))</formula>
    </cfRule>
    <cfRule type="containsText" priority="1730" operator="containsText" dxfId="11" text="▽">
      <formula>NOT(ISERROR(SEARCH("▽",AA139)))</formula>
    </cfRule>
    <cfRule type="containsText" priority="1725" operator="containsText" dxfId="12" text="△">
      <formula>NOT(ISERROR(SEARCH("△",AA139)))</formula>
    </cfRule>
    <cfRule type="containsText" priority="1726" operator="containsText" dxfId="11" text="▽">
      <formula>NOT(ISERROR(SEARCH("▽",AA139)))</formula>
    </cfRule>
    <cfRule type="containsText" priority="1723" operator="containsText" dxfId="12" text="△">
      <formula>NOT(ISERROR(SEARCH("△",AA139)))</formula>
    </cfRule>
    <cfRule type="containsText" priority="1724" operator="containsText" dxfId="11" text="▽">
      <formula>NOT(ISERROR(SEARCH("▽",AA139)))</formula>
    </cfRule>
    <cfRule type="containsText" priority="1721" operator="containsText" dxfId="12" text="△">
      <formula>NOT(ISERROR(SEARCH("△",AA139)))</formula>
    </cfRule>
    <cfRule type="containsText" priority="1722" operator="containsText" dxfId="11" text="▽">
      <formula>NOT(ISERROR(SEARCH("▽",AA139)))</formula>
    </cfRule>
    <cfRule type="containsText" priority="1719" operator="containsText" dxfId="12" text="△">
      <formula>NOT(ISERROR(SEARCH("△",AA139)))</formula>
    </cfRule>
    <cfRule type="containsText" priority="1720" operator="containsText" dxfId="11" text="▽">
      <formula>NOT(ISERROR(SEARCH("▽",AA139)))</formula>
    </cfRule>
    <cfRule type="containsText" priority="1713" operator="containsText" dxfId="12" text="△">
      <formula>NOT(ISERROR(SEARCH("△",AA139)))</formula>
    </cfRule>
    <cfRule type="containsText" priority="1714" operator="containsText" dxfId="11" text="▽">
      <formula>NOT(ISERROR(SEARCH("▽",AA139)))</formula>
    </cfRule>
    <cfRule type="containsText" priority="1711" operator="containsText" dxfId="12" text="△">
      <formula>NOT(ISERROR(SEARCH("△",AA139)))</formula>
    </cfRule>
    <cfRule type="containsText" priority="1712" operator="containsText" dxfId="11" text="▽">
      <formula>NOT(ISERROR(SEARCH("▽",AA139)))</formula>
    </cfRule>
    <cfRule type="containsText" priority="1709" operator="containsText" dxfId="12" text="△">
      <formula>NOT(ISERROR(SEARCH("△",AA139)))</formula>
    </cfRule>
    <cfRule type="containsText" priority="1710" operator="containsText" dxfId="11" text="▽">
      <formula>NOT(ISERROR(SEARCH("▽",AA139)))</formula>
    </cfRule>
    <cfRule type="containsText" priority="1707" operator="containsText" dxfId="12" text="△">
      <formula>NOT(ISERROR(SEARCH("△",AA139)))</formula>
    </cfRule>
    <cfRule type="containsText" priority="1708" operator="containsText" dxfId="11" text="▽">
      <formula>NOT(ISERROR(SEARCH("▽",AA139)))</formula>
    </cfRule>
  </conditionalFormatting>
  <conditionalFormatting sqref="Z271:AA288 AA139:AA141 AA289">
    <cfRule type="containsText" priority="1731" operator="containsText" dxfId="12" text="▲">
      <formula>NOT(ISERROR(SEARCH("▲",Z139)))</formula>
    </cfRule>
    <cfRule type="containsText" priority="1732" operator="containsText" dxfId="11" text="▼">
      <formula>NOT(ISERROR(SEARCH("▼",Z139)))</formula>
    </cfRule>
  </conditionalFormatting>
  <conditionalFormatting sqref="AA141">
    <cfRule type="containsText" priority="1717" operator="containsText" dxfId="12" text="△">
      <formula>NOT(ISERROR(SEARCH("△",AA141)))</formula>
    </cfRule>
    <cfRule type="containsText" priority="1718" operator="containsText" dxfId="11" text="▽">
      <formula>NOT(ISERROR(SEARCH("▽",AA141)))</formula>
    </cfRule>
    <cfRule type="containsText" priority="1715" operator="containsText" dxfId="12" text="△">
      <formula>NOT(ISERROR(SEARCH("△",AA141)))</formula>
    </cfRule>
    <cfRule type="containsText" priority="1716" operator="containsText" dxfId="11" text="▽">
      <formula>NOT(ISERROR(SEARCH("▽",AA141)))</formula>
    </cfRule>
  </conditionalFormatting>
  <conditionalFormatting sqref="AA142">
    <cfRule type="containsText" priority="1701" operator="containsText" dxfId="12" text="△">
      <formula>NOT(ISERROR(SEARCH("△",AA142)))</formula>
    </cfRule>
    <cfRule type="containsText" priority="1702" operator="containsText" dxfId="11" text="▽">
      <formula>NOT(ISERROR(SEARCH("▽",AA142)))</formula>
    </cfRule>
    <cfRule type="containsText" priority="1699" operator="containsText" dxfId="12" text="△">
      <formula>NOT(ISERROR(SEARCH("△",AA142)))</formula>
    </cfRule>
    <cfRule type="containsText" priority="1700" operator="containsText" dxfId="11" text="▽">
      <formula>NOT(ISERROR(SEARCH("▽",AA142)))</formula>
    </cfRule>
    <cfRule type="containsText" priority="1697" operator="containsText" dxfId="12" text="△">
      <formula>NOT(ISERROR(SEARCH("△",AA142)))</formula>
    </cfRule>
    <cfRule type="containsText" priority="1698" operator="containsText" dxfId="11" text="▽">
      <formula>NOT(ISERROR(SEARCH("▽",AA142)))</formula>
    </cfRule>
    <cfRule type="containsText" priority="1695" operator="containsText" dxfId="12" text="△">
      <formula>NOT(ISERROR(SEARCH("△",AA142)))</formula>
    </cfRule>
    <cfRule type="containsText" priority="1696" operator="containsText" dxfId="11" text="▽">
      <formula>NOT(ISERROR(SEARCH("▽",AA142)))</formula>
    </cfRule>
    <cfRule type="containsText" priority="1693" operator="containsText" dxfId="12" text="△">
      <formula>NOT(ISERROR(SEARCH("△",AA142)))</formula>
    </cfRule>
    <cfRule type="containsText" priority="1694" operator="containsText" dxfId="11" text="▽">
      <formula>NOT(ISERROR(SEARCH("▽",AA142)))</formula>
    </cfRule>
    <cfRule type="containsText" priority="1691" operator="containsText" dxfId="12" text="△">
      <formula>NOT(ISERROR(SEARCH("△",AA142)))</formula>
    </cfRule>
    <cfRule type="containsText" priority="1692" operator="containsText" dxfId="11" text="▽">
      <formula>NOT(ISERROR(SEARCH("▽",AA142)))</formula>
    </cfRule>
    <cfRule type="containsText" priority="1689" operator="containsText" dxfId="12" text="△">
      <formula>NOT(ISERROR(SEARCH("△",AA142)))</formula>
    </cfRule>
    <cfRule type="containsText" priority="1690" operator="containsText" dxfId="11" text="▽">
      <formula>NOT(ISERROR(SEARCH("▽",AA142)))</formula>
    </cfRule>
    <cfRule type="containsText" priority="1687" operator="containsText" dxfId="12" text="△">
      <formula>NOT(ISERROR(SEARCH("△",AA142)))</formula>
    </cfRule>
    <cfRule type="containsText" priority="1688" operator="containsText" dxfId="11" text="▽">
      <formula>NOT(ISERROR(SEARCH("▽",AA142)))</formula>
    </cfRule>
    <cfRule type="containsText" priority="1685" operator="containsText" dxfId="12" text="△">
      <formula>NOT(ISERROR(SEARCH("△",AA142)))</formula>
    </cfRule>
    <cfRule type="containsText" priority="1686" operator="containsText" dxfId="11" text="▽">
      <formula>NOT(ISERROR(SEARCH("▽",AA142)))</formula>
    </cfRule>
    <cfRule type="containsText" priority="1683" operator="containsText" dxfId="12" text="△">
      <formula>NOT(ISERROR(SEARCH("△",AA142)))</formula>
    </cfRule>
    <cfRule type="containsText" priority="1684" operator="containsText" dxfId="11" text="▽">
      <formula>NOT(ISERROR(SEARCH("▽",AA142)))</formula>
    </cfRule>
    <cfRule type="containsText" priority="1681" operator="containsText" dxfId="12" text="△">
      <formula>NOT(ISERROR(SEARCH("△",AA142)))</formula>
    </cfRule>
    <cfRule type="containsText" priority="1682" operator="containsText" dxfId="11" text="▽">
      <formula>NOT(ISERROR(SEARCH("▽",AA142)))</formula>
    </cfRule>
    <cfRule type="containsText" priority="1679" operator="containsText" dxfId="12" text="△">
      <formula>NOT(ISERROR(SEARCH("△",AA142)))</formula>
    </cfRule>
    <cfRule type="containsText" priority="1680" operator="containsText" dxfId="11" text="▽">
      <formula>NOT(ISERROR(SEARCH("▽",AA142)))</formula>
    </cfRule>
    <cfRule type="containsText" priority="1675" operator="containsText" dxfId="12" text="△">
      <formula>NOT(ISERROR(SEARCH("△",AA142)))</formula>
    </cfRule>
    <cfRule type="containsText" priority="1676" operator="containsText" dxfId="11" text="▽">
      <formula>NOT(ISERROR(SEARCH("▽",AA142)))</formula>
    </cfRule>
  </conditionalFormatting>
  <conditionalFormatting sqref="AA143">
    <cfRule type="containsText" priority="1673" operator="containsText" dxfId="12" text="▲">
      <formula>NOT(ISERROR(SEARCH("▲",AA143)))</formula>
    </cfRule>
    <cfRule type="containsText" priority="1674" operator="containsText" dxfId="11" text="▼">
      <formula>NOT(ISERROR(SEARCH("▼",AA143)))</formula>
    </cfRule>
    <cfRule type="containsText" priority="1669" operator="containsText" dxfId="12" text="△">
      <formula>NOT(ISERROR(SEARCH("△",AA143)))</formula>
    </cfRule>
    <cfRule type="containsText" priority="1670" operator="containsText" dxfId="11" text="▽">
      <formula>NOT(ISERROR(SEARCH("▽",AA143)))</formula>
    </cfRule>
    <cfRule type="containsText" priority="1667" operator="containsText" dxfId="12" text="△">
      <formula>NOT(ISERROR(SEARCH("△",AA143)))</formula>
    </cfRule>
    <cfRule type="containsText" priority="1668" operator="containsText" dxfId="11" text="▽">
      <formula>NOT(ISERROR(SEARCH("▽",AA143)))</formula>
    </cfRule>
  </conditionalFormatting>
  <conditionalFormatting sqref="AA144:AA148">
    <cfRule type="containsText" priority="1663" operator="containsText" dxfId="12" text="▲">
      <formula>NOT(ISERROR(SEARCH("▲",AA144)))</formula>
    </cfRule>
    <cfRule type="containsText" priority="1664" operator="containsText" dxfId="11" text="▼">
      <formula>NOT(ISERROR(SEARCH("▼",AA144)))</formula>
    </cfRule>
  </conditionalFormatting>
  <conditionalFormatting sqref="AA147:AA148">
    <cfRule type="containsText" priority="1661" operator="containsText" dxfId="12" text="△">
      <formula>NOT(ISERROR(SEARCH("△",AA147)))</formula>
    </cfRule>
    <cfRule type="containsText" priority="1662" operator="containsText" dxfId="11" text="▽">
      <formula>NOT(ISERROR(SEARCH("▽",AA147)))</formula>
    </cfRule>
    <cfRule type="containsText" priority="1659" operator="containsText" dxfId="12" text="△">
      <formula>NOT(ISERROR(SEARCH("△",AA147)))</formula>
    </cfRule>
    <cfRule type="containsText" priority="1660" operator="containsText" dxfId="11" text="▽">
      <formula>NOT(ISERROR(SEARCH("▽",AA147)))</formula>
    </cfRule>
  </conditionalFormatting>
  <conditionalFormatting sqref="AA146">
    <cfRule type="containsText" priority="1655" operator="containsText" dxfId="12" text="△">
      <formula>NOT(ISERROR(SEARCH("△",AA146)))</formula>
    </cfRule>
    <cfRule type="containsText" priority="1656" operator="containsText" dxfId="11" text="▽">
      <formula>NOT(ISERROR(SEARCH("▽",AA146)))</formula>
    </cfRule>
    <cfRule type="containsText" priority="1653" operator="containsText" dxfId="12" text="△">
      <formula>NOT(ISERROR(SEARCH("△",AA146)))</formula>
    </cfRule>
    <cfRule type="containsText" priority="1654" operator="containsText" dxfId="11" text="▽">
      <formula>NOT(ISERROR(SEARCH("▽",AA146)))</formula>
    </cfRule>
  </conditionalFormatting>
  <conditionalFormatting sqref="AA160:AA161 AA163:AA173">
    <cfRule type="containsText" priority="1649" operator="containsText" dxfId="12" text="▲">
      <formula>NOT(ISERROR(SEARCH("▲",AA160)))</formula>
    </cfRule>
    <cfRule type="containsText" priority="1650" operator="containsText" dxfId="11" text="▼">
      <formula>NOT(ISERROR(SEARCH("▼",AA160)))</formula>
    </cfRule>
  </conditionalFormatting>
  <conditionalFormatting sqref="AA157:AA161 AA163:AA173">
    <cfRule type="containsText" priority="1645" operator="containsText" dxfId="12" text="▲">
      <formula>NOT(ISERROR(SEARCH("▲",AA157)))</formula>
    </cfRule>
    <cfRule type="containsText" priority="1646" operator="containsText" dxfId="11" text="▼">
      <formula>NOT(ISERROR(SEARCH("▼",AA157)))</formula>
    </cfRule>
  </conditionalFormatting>
  <conditionalFormatting sqref="AA166:AA173">
    <cfRule type="containsText" priority="1641" operator="containsText" dxfId="12" text="▲">
      <formula>NOT(ISERROR(SEARCH("▲",AA166)))</formula>
    </cfRule>
    <cfRule type="containsText" priority="1642" operator="containsText" dxfId="11" text="▼">
      <formula>NOT(ISERROR(SEARCH("▼",AA166)))</formula>
    </cfRule>
  </conditionalFormatting>
  <conditionalFormatting sqref="AA149">
    <cfRule type="containsText" priority="1637" operator="containsText" dxfId="12" text="△">
      <formula>NOT(ISERROR(SEARCH("△",AA149)))</formula>
    </cfRule>
    <cfRule type="containsText" priority="1638" operator="containsText" dxfId="11" text="▽">
      <formula>NOT(ISERROR(SEARCH("▽",AA149)))</formula>
    </cfRule>
    <cfRule type="containsText" priority="1635" operator="containsText" dxfId="12" text="▲">
      <formula>NOT(ISERROR(SEARCH("▲",AA149)))</formula>
    </cfRule>
    <cfRule type="containsText" priority="1636" operator="containsText" dxfId="11" text="▼">
      <formula>NOT(ISERROR(SEARCH("▼",AA149)))</formula>
    </cfRule>
  </conditionalFormatting>
  <conditionalFormatting sqref="AA153">
    <cfRule type="containsText" priority="1631" operator="containsText" dxfId="12" text="△">
      <formula>NOT(ISERROR(SEARCH("△",AA153)))</formula>
    </cfRule>
    <cfRule type="containsText" priority="1632" operator="containsText" dxfId="11" text="▽">
      <formula>NOT(ISERROR(SEARCH("▽",AA153)))</formula>
    </cfRule>
    <cfRule type="containsText" priority="1629" operator="containsText" dxfId="12" text="▲">
      <formula>NOT(ISERROR(SEARCH("▲",AA153)))</formula>
    </cfRule>
    <cfRule type="containsText" priority="1630" operator="containsText" dxfId="11" text="▼">
      <formula>NOT(ISERROR(SEARCH("▼",AA153)))</formula>
    </cfRule>
  </conditionalFormatting>
  <conditionalFormatting sqref="AA155:AA161 AA163:AA173">
    <cfRule type="containsText" priority="1625" operator="containsText" dxfId="12" text="▲">
      <formula>NOT(ISERROR(SEARCH("▲",AA155)))</formula>
    </cfRule>
    <cfRule type="containsText" priority="1626" operator="containsText" dxfId="11" text="▼">
      <formula>NOT(ISERROR(SEARCH("▼",AA155)))</formula>
    </cfRule>
  </conditionalFormatting>
  <conditionalFormatting sqref="AA154:AA161 AA163:AA173">
    <cfRule type="containsText" priority="1621" operator="containsText" dxfId="12" text="▲">
      <formula>NOT(ISERROR(SEARCH("▲",AA154)))</formula>
    </cfRule>
    <cfRule type="containsText" priority="1622" operator="containsText" dxfId="11" text="▼">
      <formula>NOT(ISERROR(SEARCH("▼",AA154)))</formula>
    </cfRule>
  </conditionalFormatting>
  <conditionalFormatting sqref="AA167:AA173">
    <cfRule type="containsText" priority="1617" operator="containsText" dxfId="12" text="▲">
      <formula>NOT(ISERROR(SEARCH("▲",AA167)))</formula>
    </cfRule>
    <cfRule type="containsText" priority="1618" operator="containsText" dxfId="11" text="▼">
      <formula>NOT(ISERROR(SEARCH("▼",AA167)))</formula>
    </cfRule>
  </conditionalFormatting>
  <conditionalFormatting sqref="AA158:AA161 AA163:AA173">
    <cfRule type="containsText" priority="1613" operator="containsText" dxfId="12" text="▲">
      <formula>NOT(ISERROR(SEARCH("▲",AA158)))</formula>
    </cfRule>
    <cfRule type="containsText" priority="1614" operator="containsText" dxfId="11" text="▼">
      <formula>NOT(ISERROR(SEARCH("▼",AA158)))</formula>
    </cfRule>
  </conditionalFormatting>
  <conditionalFormatting sqref="AA156:AA161 AA163:AA173">
    <cfRule type="containsText" priority="1609" operator="containsText" dxfId="12" text="▲">
      <formula>NOT(ISERROR(SEARCH("▲",AA156)))</formula>
    </cfRule>
    <cfRule type="containsText" priority="1610" operator="containsText" dxfId="11" text="▼">
      <formula>NOT(ISERROR(SEARCH("▼",AA156)))</formula>
    </cfRule>
  </conditionalFormatting>
  <conditionalFormatting sqref="AA164:AA173">
    <cfRule type="containsText" priority="1605" operator="containsText" dxfId="12" text="▲">
      <formula>NOT(ISERROR(SEARCH("▲",AA164)))</formula>
    </cfRule>
    <cfRule type="containsText" priority="1606" operator="containsText" dxfId="11" text="▼">
      <formula>NOT(ISERROR(SEARCH("▼",AA164)))</formula>
    </cfRule>
  </conditionalFormatting>
  <conditionalFormatting sqref="AA150">
    <cfRule type="containsText" priority="1603" operator="containsText" dxfId="12" text="△">
      <formula>NOT(ISERROR(SEARCH("△",AA150)))</formula>
    </cfRule>
    <cfRule type="containsText" priority="1604" operator="containsText" dxfId="11" text="▽">
      <formula>NOT(ISERROR(SEARCH("▽",AA150)))</formula>
    </cfRule>
    <cfRule type="containsText" priority="1601" operator="containsText" dxfId="12" text="▲">
      <formula>NOT(ISERROR(SEARCH("▲",AA150)))</formula>
    </cfRule>
    <cfRule type="containsText" priority="1602" operator="containsText" dxfId="11" text="▼">
      <formula>NOT(ISERROR(SEARCH("▼",AA150)))</formula>
    </cfRule>
  </conditionalFormatting>
  <conditionalFormatting sqref="AA152">
    <cfRule type="containsText" priority="1597" operator="containsText" dxfId="12" text="▲">
      <formula>NOT(ISERROR(SEARCH("▲",AA152)))</formula>
    </cfRule>
    <cfRule type="containsText" priority="1598" operator="containsText" dxfId="11" text="▼">
      <formula>NOT(ISERROR(SEARCH("▼",AA152)))</formula>
    </cfRule>
  </conditionalFormatting>
  <conditionalFormatting sqref="AA151:AA152">
    <cfRule type="containsText" priority="1593" operator="containsText" dxfId="12" text="▲">
      <formula>NOT(ISERROR(SEARCH("▲",AA151)))</formula>
    </cfRule>
    <cfRule type="containsText" priority="1594" operator="containsText" dxfId="11" text="▼">
      <formula>NOT(ISERROR(SEARCH("▼",AA151)))</formula>
    </cfRule>
  </conditionalFormatting>
  <conditionalFormatting sqref="AA168:AA173">
    <cfRule type="containsText" priority="1589" operator="containsText" dxfId="12" text="▲">
      <formula>NOT(ISERROR(SEARCH("▲",AA168)))</formula>
    </cfRule>
    <cfRule type="containsText" priority="1590" operator="containsText" dxfId="11" text="▼">
      <formula>NOT(ISERROR(SEARCH("▼",AA168)))</formula>
    </cfRule>
  </conditionalFormatting>
  <conditionalFormatting sqref="AA169:AA173">
    <cfRule type="containsText" priority="1585" operator="containsText" dxfId="12" text="▲">
      <formula>NOT(ISERROR(SEARCH("▲",AA169)))</formula>
    </cfRule>
    <cfRule type="containsText" priority="1586" operator="containsText" dxfId="11" text="▼">
      <formula>NOT(ISERROR(SEARCH("▼",AA169)))</formula>
    </cfRule>
  </conditionalFormatting>
  <conditionalFormatting sqref="AA161 AA163:AA173">
    <cfRule type="containsText" priority="1583" operator="containsText" dxfId="12" text="▲">
      <formula>NOT(ISERROR(SEARCH("▲",AA161)))</formula>
    </cfRule>
    <cfRule type="containsText" priority="1584" operator="containsText" dxfId="11" text="▼">
      <formula>NOT(ISERROR(SEARCH("▼",AA161)))</formula>
    </cfRule>
  </conditionalFormatting>
  <conditionalFormatting sqref="AA170:AA173">
    <cfRule type="containsText" priority="1579" operator="containsText" dxfId="12" text="▲">
      <formula>NOT(ISERROR(SEARCH("▲",AA170)))</formula>
    </cfRule>
    <cfRule type="containsText" priority="1580" operator="containsText" dxfId="11" text="▼">
      <formula>NOT(ISERROR(SEARCH("▼",AA170)))</formula>
    </cfRule>
  </conditionalFormatting>
  <conditionalFormatting sqref="AA163:AA173">
    <cfRule type="containsText" priority="1575" operator="containsText" dxfId="12" text="▲">
      <formula>NOT(ISERROR(SEARCH("▲",AA163)))</formula>
    </cfRule>
    <cfRule type="containsText" priority="1576" operator="containsText" dxfId="11" text="▼">
      <formula>NOT(ISERROR(SEARCH("▼",AA163)))</formula>
    </cfRule>
  </conditionalFormatting>
  <conditionalFormatting sqref="AA159:AA161 AA163:AA173">
    <cfRule type="containsText" priority="1573" operator="containsText" dxfId="12" text="▲">
      <formula>NOT(ISERROR(SEARCH("▲",AA159)))</formula>
    </cfRule>
    <cfRule type="containsText" priority="1574" operator="containsText" dxfId="11" text="▼">
      <formula>NOT(ISERROR(SEARCH("▼",AA159)))</formula>
    </cfRule>
  </conditionalFormatting>
  <conditionalFormatting sqref="AA172:AA173">
    <cfRule type="containsText" priority="1569" operator="containsText" dxfId="12" text="▲">
      <formula>NOT(ISERROR(SEARCH("▲",AA172)))</formula>
    </cfRule>
    <cfRule type="containsText" priority="1570" operator="containsText" dxfId="11" text="▼">
      <formula>NOT(ISERROR(SEARCH("▼",AA172)))</formula>
    </cfRule>
  </conditionalFormatting>
  <conditionalFormatting sqref="AA171:AA173">
    <cfRule type="containsText" priority="1565" operator="containsText" dxfId="12" text="▲">
      <formula>NOT(ISERROR(SEARCH("▲",AA171)))</formula>
    </cfRule>
    <cfRule type="containsText" priority="1566" operator="containsText" dxfId="11" text="▼">
      <formula>NOT(ISERROR(SEARCH("▼",AA171)))</formula>
    </cfRule>
  </conditionalFormatting>
  <conditionalFormatting sqref="AA162">
    <cfRule type="containsText" priority="1561" operator="containsText" dxfId="12" text="▲">
      <formula>NOT(ISERROR(SEARCH("▲",AA162)))</formula>
    </cfRule>
    <cfRule type="containsText" priority="1562" operator="containsText" dxfId="11" text="▼">
      <formula>NOT(ISERROR(SEARCH("▼",AA162)))</formula>
    </cfRule>
    <cfRule type="containsText" priority="1557" operator="containsText" dxfId="12" text="▲">
      <formula>NOT(ISERROR(SEARCH("▲",AA162)))</formula>
    </cfRule>
    <cfRule type="containsText" priority="1558" operator="containsText" dxfId="11" text="▼">
      <formula>NOT(ISERROR(SEARCH("▼",AA162)))</formula>
    </cfRule>
    <cfRule type="containsText" priority="1553" operator="containsText" dxfId="12" text="▲">
      <formula>NOT(ISERROR(SEARCH("▲",AA162)))</formula>
    </cfRule>
    <cfRule type="containsText" priority="1554" operator="containsText" dxfId="11" text="▼">
      <formula>NOT(ISERROR(SEARCH("▼",AA162)))</formula>
    </cfRule>
    <cfRule type="containsText" priority="1549" operator="containsText" dxfId="12" text="▲">
      <formula>NOT(ISERROR(SEARCH("▲",AA162)))</formula>
    </cfRule>
    <cfRule type="containsText" priority="1550" operator="containsText" dxfId="11" text="▼">
      <formula>NOT(ISERROR(SEARCH("▼",AA162)))</formula>
    </cfRule>
    <cfRule type="containsText" priority="1545" operator="containsText" dxfId="12" text="▲">
      <formula>NOT(ISERROR(SEARCH("▲",AA162)))</formula>
    </cfRule>
    <cfRule type="containsText" priority="1546" operator="containsText" dxfId="11" text="▼">
      <formula>NOT(ISERROR(SEARCH("▼",AA162)))</formula>
    </cfRule>
    <cfRule type="containsText" priority="1541" operator="containsText" dxfId="12" text="▲">
      <formula>NOT(ISERROR(SEARCH("▲",AA162)))</formula>
    </cfRule>
    <cfRule type="containsText" priority="1542" operator="containsText" dxfId="11" text="▼">
      <formula>NOT(ISERROR(SEARCH("▼",AA162)))</formula>
    </cfRule>
    <cfRule type="containsText" priority="1537" operator="containsText" dxfId="12" text="▲">
      <formula>NOT(ISERROR(SEARCH("▲",AA162)))</formula>
    </cfRule>
    <cfRule type="containsText" priority="1538" operator="containsText" dxfId="11" text="▼">
      <formula>NOT(ISERROR(SEARCH("▼",AA162)))</formula>
    </cfRule>
    <cfRule type="containsText" priority="1533" operator="containsText" dxfId="12" text="▲">
      <formula>NOT(ISERROR(SEARCH("▲",AA162)))</formula>
    </cfRule>
    <cfRule type="containsText" priority="1534" operator="containsText" dxfId="11" text="▼">
      <formula>NOT(ISERROR(SEARCH("▼",AA162)))</formula>
    </cfRule>
    <cfRule type="containsText" priority="1531" operator="containsText" dxfId="12" text="▲">
      <formula>NOT(ISERROR(SEARCH("▲",AA162)))</formula>
    </cfRule>
    <cfRule type="containsText" priority="1532" operator="containsText" dxfId="11" text="▼">
      <formula>NOT(ISERROR(SEARCH("▼",AA162)))</formula>
    </cfRule>
  </conditionalFormatting>
  <conditionalFormatting sqref="AA174">
    <cfRule type="containsText" priority="1527" operator="containsText" dxfId="12" text="△">
      <formula>NOT(ISERROR(SEARCH("△",AA174)))</formula>
    </cfRule>
    <cfRule type="containsText" priority="1528" operator="containsText" dxfId="11" text="▽">
      <formula>NOT(ISERROR(SEARCH("▽",AA174)))</formula>
    </cfRule>
    <cfRule type="containsText" priority="1511" operator="containsText" dxfId="12" text="△">
      <formula>NOT(ISERROR(SEARCH("△",AA174)))</formula>
    </cfRule>
    <cfRule type="containsText" priority="1512" operator="containsText" dxfId="11" text="▽">
      <formula>NOT(ISERROR(SEARCH("▽",AA174)))</formula>
    </cfRule>
    <cfRule type="containsText" priority="1507" operator="containsText" dxfId="12" text="△">
      <formula>NOT(ISERROR(SEARCH("△",AA174)))</formula>
    </cfRule>
    <cfRule type="containsText" priority="1508" operator="containsText" dxfId="11" text="▽">
      <formula>NOT(ISERROR(SEARCH("▽",AA174)))</formula>
    </cfRule>
    <cfRule type="containsText" priority="1505" operator="containsText" dxfId="12" text="△">
      <formula>NOT(ISERROR(SEARCH("△",AA174)))</formula>
    </cfRule>
    <cfRule type="containsText" priority="1506" operator="containsText" dxfId="11" text="▽">
      <formula>NOT(ISERROR(SEARCH("▽",AA174)))</formula>
    </cfRule>
    <cfRule type="containsText" priority="1503" operator="containsText" dxfId="12" text="△">
      <formula>NOT(ISERROR(SEARCH("△",AA174)))</formula>
    </cfRule>
    <cfRule type="containsText" priority="1504" operator="containsText" dxfId="11" text="▽">
      <formula>NOT(ISERROR(SEARCH("▽",AA174)))</formula>
    </cfRule>
    <cfRule type="containsText" priority="1501" operator="containsText" dxfId="12" text="△">
      <formula>NOT(ISERROR(SEARCH("△",AA174)))</formula>
    </cfRule>
    <cfRule type="containsText" priority="1502" operator="containsText" dxfId="11" text="▽">
      <formula>NOT(ISERROR(SEARCH("▽",AA174)))</formula>
    </cfRule>
    <cfRule type="containsText" priority="1499" operator="containsText" dxfId="12" text="△">
      <formula>NOT(ISERROR(SEARCH("△",AA174)))</formula>
    </cfRule>
    <cfRule type="containsText" priority="1500" operator="containsText" dxfId="11" text="▽">
      <formula>NOT(ISERROR(SEARCH("▽",AA174)))</formula>
    </cfRule>
    <cfRule type="containsText" priority="1497" operator="containsText" dxfId="12" text="△">
      <formula>NOT(ISERROR(SEARCH("△",AA174)))</formula>
    </cfRule>
    <cfRule type="containsText" priority="1498" operator="containsText" dxfId="11" text="▽">
      <formula>NOT(ISERROR(SEARCH("▽",AA174)))</formula>
    </cfRule>
    <cfRule type="containsText" priority="1495" operator="containsText" dxfId="12" text="△">
      <formula>NOT(ISERROR(SEARCH("△",AA174)))</formula>
    </cfRule>
    <cfRule type="containsText" priority="1496" operator="containsText" dxfId="11" text="▽">
      <formula>NOT(ISERROR(SEARCH("▽",AA174)))</formula>
    </cfRule>
    <cfRule type="containsText" priority="1493" operator="containsText" dxfId="12" text="△">
      <formula>NOT(ISERROR(SEARCH("△",AA174)))</formula>
    </cfRule>
    <cfRule type="containsText" priority="1494" operator="containsText" dxfId="11" text="▽">
      <formula>NOT(ISERROR(SEARCH("▽",AA174)))</formula>
    </cfRule>
    <cfRule type="containsText" priority="1491" operator="containsText" dxfId="12" text="△">
      <formula>NOT(ISERROR(SEARCH("△",AA174)))</formula>
    </cfRule>
    <cfRule type="containsText" priority="1492" operator="containsText" dxfId="11" text="▽">
      <formula>NOT(ISERROR(SEARCH("▽",AA174)))</formula>
    </cfRule>
    <cfRule type="containsText" priority="1489" operator="containsText" dxfId="12" text="△">
      <formula>NOT(ISERROR(SEARCH("△",AA174)))</formula>
    </cfRule>
    <cfRule type="containsText" priority="1490" operator="containsText" dxfId="11" text="▽">
      <formula>NOT(ISERROR(SEARCH("▽",AA174)))</formula>
    </cfRule>
  </conditionalFormatting>
  <conditionalFormatting sqref="AA174 AA178 AA180:AA189">
    <cfRule type="containsText" priority="1523" operator="containsText" dxfId="12" text="▲">
      <formula>NOT(ISERROR(SEARCH("▲",AA174)))</formula>
    </cfRule>
    <cfRule type="containsText" priority="1524" operator="containsText" dxfId="11" text="▼">
      <formula>NOT(ISERROR(SEARCH("▼",AA174)))</formula>
    </cfRule>
  </conditionalFormatting>
  <conditionalFormatting sqref="AA175:AA178">
    <cfRule type="containsText" priority="1521" operator="containsText" dxfId="12" text="▲">
      <formula>NOT(ISERROR(SEARCH("▲",AA175)))</formula>
    </cfRule>
    <cfRule type="containsText" priority="1522" operator="containsText" dxfId="11" text="▼">
      <formula>NOT(ISERROR(SEARCH("▼",AA175)))</formula>
    </cfRule>
  </conditionalFormatting>
  <conditionalFormatting sqref="AA185:AA189">
    <cfRule type="containsText" priority="1519" operator="containsText" dxfId="12" text="▲">
      <formula>NOT(ISERROR(SEARCH("▲",AA185)))</formula>
    </cfRule>
    <cfRule type="containsText" priority="1520" operator="containsText" dxfId="11" text="▼">
      <formula>NOT(ISERROR(SEARCH("▼",AA185)))</formula>
    </cfRule>
  </conditionalFormatting>
  <conditionalFormatting sqref="AA179:AA189">
    <cfRule type="containsText" priority="1517" operator="containsText" dxfId="12" text="▲">
      <formula>NOT(ISERROR(SEARCH("▲",AA179)))</formula>
    </cfRule>
    <cfRule type="containsText" priority="1518" operator="containsText" dxfId="11" text="▼">
      <formula>NOT(ISERROR(SEARCH("▼",AA179)))</formula>
    </cfRule>
  </conditionalFormatting>
  <conditionalFormatting sqref="AA186">
    <cfRule type="containsText" priority="1515" operator="containsText" dxfId="12" text="▲">
      <formula>NOT(ISERROR(SEARCH("▲",AA186)))</formula>
    </cfRule>
    <cfRule type="containsText" priority="1516" operator="containsText" dxfId="11" text="▼">
      <formula>NOT(ISERROR(SEARCH("▼",AA186)))</formula>
    </cfRule>
  </conditionalFormatting>
  <conditionalFormatting sqref="AA187">
    <cfRule type="containsText" priority="1513" operator="containsText" dxfId="12" text="▲">
      <formula>NOT(ISERROR(SEARCH("▲",AA187)))</formula>
    </cfRule>
    <cfRule type="containsText" priority="1514" operator="containsText" dxfId="11" text="▼">
      <formula>NOT(ISERROR(SEARCH("▼",AA187)))</formula>
    </cfRule>
  </conditionalFormatting>
  <conditionalFormatting sqref="AA190">
    <cfRule type="containsText" priority="1485" operator="containsText" dxfId="12" text="△">
      <formula>NOT(ISERROR(SEARCH("△",AA190)))</formula>
    </cfRule>
    <cfRule type="containsText" priority="1486" operator="containsText" dxfId="11" text="▽">
      <formula>NOT(ISERROR(SEARCH("▽",AA190)))</formula>
    </cfRule>
    <cfRule type="containsText" priority="1481" operator="containsText" dxfId="12" text="▲">
      <formula>NOT(ISERROR(SEARCH("▲",AA190)))</formula>
    </cfRule>
    <cfRule type="containsText" priority="1482" operator="containsText" dxfId="11" text="▼">
      <formula>NOT(ISERROR(SEARCH("▼",AA190)))</formula>
    </cfRule>
    <cfRule type="containsText" priority="1477" operator="containsText" dxfId="12" text="▲">
      <formula>NOT(ISERROR(SEARCH("▲",AA190)))</formula>
    </cfRule>
    <cfRule type="containsText" priority="1478" operator="containsText" dxfId="11" text="▼">
      <formula>NOT(ISERROR(SEARCH("▼",AA190)))</formula>
    </cfRule>
    <cfRule type="containsText" priority="1475" operator="containsText" dxfId="12" text="▲">
      <formula>NOT(ISERROR(SEARCH("▲",AA190)))</formula>
    </cfRule>
    <cfRule type="containsText" priority="1476" operator="containsText" dxfId="11" text="▼">
      <formula>NOT(ISERROR(SEARCH("▼",AA190)))</formula>
    </cfRule>
    <cfRule type="containsText" priority="1473" operator="containsText" dxfId="12" text="▲">
      <formula>NOT(ISERROR(SEARCH("▲",AA190)))</formula>
    </cfRule>
    <cfRule type="containsText" priority="1474" operator="containsText" dxfId="11" text="▼">
      <formula>NOT(ISERROR(SEARCH("▼",AA190)))</formula>
    </cfRule>
    <cfRule type="containsText" priority="1471" operator="containsText" dxfId="12" text="▲">
      <formula>NOT(ISERROR(SEARCH("▲",AA190)))</formula>
    </cfRule>
    <cfRule type="containsText" priority="1472" operator="containsText" dxfId="11" text="▼">
      <formula>NOT(ISERROR(SEARCH("▼",AA190)))</formula>
    </cfRule>
    <cfRule type="containsText" priority="1469" operator="containsText" dxfId="12" text="▲">
      <formula>NOT(ISERROR(SEARCH("▲",AA190)))</formula>
    </cfRule>
    <cfRule type="containsText" priority="1470" operator="containsText" dxfId="11" text="▼">
      <formula>NOT(ISERROR(SEARCH("▼",AA190)))</formula>
    </cfRule>
  </conditionalFormatting>
  <conditionalFormatting sqref="AA191:AA192">
    <cfRule type="containsText" priority="1467" operator="containsText" dxfId="12" text="△">
      <formula>NOT(ISERROR(SEARCH("△",AA191)))</formula>
    </cfRule>
    <cfRule type="containsText" priority="1468" operator="containsText" dxfId="11" text="▽">
      <formula>NOT(ISERROR(SEARCH("▽",AA191)))</formula>
    </cfRule>
  </conditionalFormatting>
  <conditionalFormatting sqref="AA191 AA199:AA216">
    <cfRule type="containsText" priority="1463" operator="containsText" dxfId="12" text="▲">
      <formula>NOT(ISERROR(SEARCH("▲",AA191)))</formula>
    </cfRule>
    <cfRule type="containsText" priority="1464" operator="containsText" dxfId="11" text="▼">
      <formula>NOT(ISERROR(SEARCH("▼",AA191)))</formula>
    </cfRule>
  </conditionalFormatting>
  <conditionalFormatting sqref="AA195:AA216">
    <cfRule type="containsText" priority="1461" operator="containsText" dxfId="12" text="▲">
      <formula>NOT(ISERROR(SEARCH("▲",AA195)))</formula>
    </cfRule>
    <cfRule type="containsText" priority="1462" operator="containsText" dxfId="11" text="▼">
      <formula>NOT(ISERROR(SEARCH("▼",AA195)))</formula>
    </cfRule>
  </conditionalFormatting>
  <conditionalFormatting sqref="AA192">
    <cfRule type="containsText" priority="1459" operator="containsText" dxfId="12" text="▲">
      <formula>NOT(ISERROR(SEARCH("▲",AA192)))</formula>
    </cfRule>
    <cfRule type="containsText" priority="1460" operator="containsText" dxfId="11" text="▼">
      <formula>NOT(ISERROR(SEARCH("▼",AA192)))</formula>
    </cfRule>
  </conditionalFormatting>
  <conditionalFormatting sqref="AA194:AA216">
    <cfRule type="containsText" priority="1457" operator="containsText" dxfId="12" text="▲">
      <formula>NOT(ISERROR(SEARCH("▲",AA194)))</formula>
    </cfRule>
    <cfRule type="containsText" priority="1458" operator="containsText" dxfId="11" text="▼">
      <formula>NOT(ISERROR(SEARCH("▼",AA194)))</formula>
    </cfRule>
  </conditionalFormatting>
  <conditionalFormatting sqref="AA193:AA216">
    <cfRule type="containsText" priority="1455" operator="containsText" dxfId="12" text="▲">
      <formula>NOT(ISERROR(SEARCH("▲",AA193)))</formula>
    </cfRule>
    <cfRule type="containsText" priority="1456" operator="containsText" dxfId="11" text="▼">
      <formula>NOT(ISERROR(SEARCH("▼",AA193)))</formula>
    </cfRule>
  </conditionalFormatting>
  <conditionalFormatting sqref="AA197:AA216">
    <cfRule type="containsText" priority="1453" operator="containsText" dxfId="12" text="▲">
      <formula>NOT(ISERROR(SEARCH("▲",AA197)))</formula>
    </cfRule>
    <cfRule type="containsText" priority="1454" operator="containsText" dxfId="11" text="▼">
      <formula>NOT(ISERROR(SEARCH("▼",AA197)))</formula>
    </cfRule>
  </conditionalFormatting>
  <conditionalFormatting sqref="AA196">
    <cfRule type="containsText" priority="1451" operator="containsText" dxfId="12" text="▲">
      <formula>NOT(ISERROR(SEARCH("▲",AA196)))</formula>
    </cfRule>
    <cfRule type="containsText" priority="1452" operator="containsText" dxfId="11" text="▼">
      <formula>NOT(ISERROR(SEARCH("▼",AA196)))</formula>
    </cfRule>
  </conditionalFormatting>
  <conditionalFormatting sqref="AA198:AA216">
    <cfRule type="containsText" priority="1449" operator="containsText" dxfId="12" text="▲">
      <formula>NOT(ISERROR(SEARCH("▲",AA198)))</formula>
    </cfRule>
    <cfRule type="containsText" priority="1450" operator="containsText" dxfId="11" text="▼">
      <formula>NOT(ISERROR(SEARCH("▼",AA198)))</formula>
    </cfRule>
  </conditionalFormatting>
  <conditionalFormatting sqref="AA211:AA216">
    <cfRule type="containsText" priority="1447" operator="containsText" dxfId="12" text="▲">
      <formula>NOT(ISERROR(SEARCH("▲",AA211)))</formula>
    </cfRule>
    <cfRule type="containsText" priority="1448" operator="containsText" dxfId="11" text="▼">
      <formula>NOT(ISERROR(SEARCH("▼",AA211)))</formula>
    </cfRule>
  </conditionalFormatting>
  <conditionalFormatting sqref="AA202">
    <cfRule type="containsText" priority="1445" operator="containsText" dxfId="12" text="▲">
      <formula>NOT(ISERROR(SEARCH("▲",AA202)))</formula>
    </cfRule>
    <cfRule type="containsText" priority="1446" operator="containsText" dxfId="11" text="▼">
      <formula>NOT(ISERROR(SEARCH("▼",AA202)))</formula>
    </cfRule>
  </conditionalFormatting>
  <conditionalFormatting sqref="AA203:AA216">
    <cfRule type="containsText" priority="1443" operator="containsText" dxfId="12" text="▲">
      <formula>NOT(ISERROR(SEARCH("▲",AA203)))</formula>
    </cfRule>
    <cfRule type="containsText" priority="1444" operator="containsText" dxfId="11" text="▼">
      <formula>NOT(ISERROR(SEARCH("▼",AA203)))</formula>
    </cfRule>
  </conditionalFormatting>
  <conditionalFormatting sqref="AA204:AA216">
    <cfRule type="containsText" priority="1441" operator="containsText" dxfId="12" text="▲">
      <formula>NOT(ISERROR(SEARCH("▲",AA204)))</formula>
    </cfRule>
    <cfRule type="containsText" priority="1442" operator="containsText" dxfId="11" text="▼">
      <formula>NOT(ISERROR(SEARCH("▼",AA204)))</formula>
    </cfRule>
  </conditionalFormatting>
  <conditionalFormatting sqref="AA201:AA216">
    <cfRule type="containsText" priority="1439" operator="containsText" dxfId="12" text="▲">
      <formula>NOT(ISERROR(SEARCH("▲",AA201)))</formula>
    </cfRule>
    <cfRule type="containsText" priority="1440" operator="containsText" dxfId="11" text="▼">
      <formula>NOT(ISERROR(SEARCH("▼",AA201)))</formula>
    </cfRule>
  </conditionalFormatting>
  <conditionalFormatting sqref="AA200:AA216">
    <cfRule type="containsText" priority="1437" operator="containsText" dxfId="12" text="▲">
      <formula>NOT(ISERROR(SEARCH("▲",AA200)))</formula>
    </cfRule>
    <cfRule type="containsText" priority="1438" operator="containsText" dxfId="11" text="▼">
      <formula>NOT(ISERROR(SEARCH("▼",AA200)))</formula>
    </cfRule>
  </conditionalFormatting>
  <conditionalFormatting sqref="AA214">
    <cfRule type="containsText" priority="1435" operator="containsText" dxfId="12" text="▲">
      <formula>NOT(ISERROR(SEARCH("▲",AA214)))</formula>
    </cfRule>
    <cfRule type="containsText" priority="1436" operator="containsText" dxfId="11" text="▼">
      <formula>NOT(ISERROR(SEARCH("▼",AA214)))</formula>
    </cfRule>
  </conditionalFormatting>
  <conditionalFormatting sqref="AA210:AA216">
    <cfRule type="containsText" priority="1433" operator="containsText" dxfId="12" text="▲">
      <formula>NOT(ISERROR(SEARCH("▲",AA210)))</formula>
    </cfRule>
    <cfRule type="containsText" priority="1434" operator="containsText" dxfId="11" text="▼">
      <formula>NOT(ISERROR(SEARCH("▼",AA210)))</formula>
    </cfRule>
  </conditionalFormatting>
  <conditionalFormatting sqref="AA213:AA216">
    <cfRule type="containsText" priority="1431" operator="containsText" dxfId="12" text="▲">
      <formula>NOT(ISERROR(SEARCH("▲",AA213)))</formula>
    </cfRule>
    <cfRule type="containsText" priority="1432" operator="containsText" dxfId="11" text="▼">
      <formula>NOT(ISERROR(SEARCH("▼",AA213)))</formula>
    </cfRule>
  </conditionalFormatting>
  <conditionalFormatting sqref="AA209">
    <cfRule type="containsText" priority="1429" operator="containsText" dxfId="12" text="▲">
      <formula>NOT(ISERROR(SEARCH("▲",AA209)))</formula>
    </cfRule>
    <cfRule type="containsText" priority="1430" operator="containsText" dxfId="11" text="▼">
      <formula>NOT(ISERROR(SEARCH("▼",AA209)))</formula>
    </cfRule>
  </conditionalFormatting>
  <conditionalFormatting sqref="AA205:AA216">
    <cfRule type="containsText" priority="1427" operator="containsText" dxfId="12" text="▲">
      <formula>NOT(ISERROR(SEARCH("▲",AA205)))</formula>
    </cfRule>
    <cfRule type="containsText" priority="1428" operator="containsText" dxfId="11" text="▼">
      <formula>NOT(ISERROR(SEARCH("▼",AA205)))</formula>
    </cfRule>
  </conditionalFormatting>
  <conditionalFormatting sqref="AA208:AA216">
    <cfRule type="containsText" priority="1425" operator="containsText" dxfId="12" text="▲">
      <formula>NOT(ISERROR(SEARCH("▲",AA208)))</formula>
    </cfRule>
    <cfRule type="containsText" priority="1426" operator="containsText" dxfId="11" text="▼">
      <formula>NOT(ISERROR(SEARCH("▼",AA208)))</formula>
    </cfRule>
  </conditionalFormatting>
  <conditionalFormatting sqref="AA212:AA216">
    <cfRule type="containsText" priority="1423" operator="containsText" dxfId="12" text="▲">
      <formula>NOT(ISERROR(SEARCH("▲",AA212)))</formula>
    </cfRule>
    <cfRule type="containsText" priority="1424" operator="containsText" dxfId="11" text="▼">
      <formula>NOT(ISERROR(SEARCH("▼",AA212)))</formula>
    </cfRule>
  </conditionalFormatting>
  <conditionalFormatting sqref="AA206:AA216">
    <cfRule type="containsText" priority="1421" operator="containsText" dxfId="12" text="▲">
      <formula>NOT(ISERROR(SEARCH("▲",AA206)))</formula>
    </cfRule>
    <cfRule type="containsText" priority="1422" operator="containsText" dxfId="11" text="▼">
      <formula>NOT(ISERROR(SEARCH("▼",AA206)))</formula>
    </cfRule>
  </conditionalFormatting>
  <conditionalFormatting sqref="AA207:AA216">
    <cfRule type="containsText" priority="1419" operator="containsText" dxfId="12" text="▲">
      <formula>NOT(ISERROR(SEARCH("▲",AA207)))</formula>
    </cfRule>
    <cfRule type="containsText" priority="1420" operator="containsText" dxfId="11" text="▼">
      <formula>NOT(ISERROR(SEARCH("▼",AA207)))</formula>
    </cfRule>
  </conditionalFormatting>
  <conditionalFormatting sqref="AA191">
    <cfRule type="containsText" priority="1417" operator="containsText" dxfId="12" text="△">
      <formula>NOT(ISERROR(SEARCH("△",AA191)))</formula>
    </cfRule>
    <cfRule type="containsText" priority="1418" operator="containsText" dxfId="11" text="▽">
      <formula>NOT(ISERROR(SEARCH("▽",AA191)))</formula>
    </cfRule>
    <cfRule type="containsText" priority="1413" operator="containsText" dxfId="12" text="△">
      <formula>NOT(ISERROR(SEARCH("△",AA191)))</formula>
    </cfRule>
    <cfRule type="containsText" priority="1414" operator="containsText" dxfId="11" text="▽">
      <formula>NOT(ISERROR(SEARCH("▽",AA191)))</formula>
    </cfRule>
    <cfRule type="containsText" priority="1411" operator="containsText" dxfId="12" text="△">
      <formula>NOT(ISERROR(SEARCH("△",AA191)))</formula>
    </cfRule>
    <cfRule type="containsText" priority="1412" operator="containsText" dxfId="11" text="▽">
      <formula>NOT(ISERROR(SEARCH("▽",AA191)))</formula>
    </cfRule>
    <cfRule type="containsText" priority="1409" operator="containsText" dxfId="12" text="△">
      <formula>NOT(ISERROR(SEARCH("△",AA191)))</formula>
    </cfRule>
    <cfRule type="containsText" priority="1410" operator="containsText" dxfId="11" text="▽">
      <formula>NOT(ISERROR(SEARCH("▽",AA191)))</formula>
    </cfRule>
    <cfRule type="containsText" priority="1407" operator="containsText" dxfId="12" text="△">
      <formula>NOT(ISERROR(SEARCH("△",AA191)))</formula>
    </cfRule>
    <cfRule type="containsText" priority="1408" operator="containsText" dxfId="11" text="▽">
      <formula>NOT(ISERROR(SEARCH("▽",AA191)))</formula>
    </cfRule>
    <cfRule type="containsText" priority="1405" operator="containsText" dxfId="12" text="△">
      <formula>NOT(ISERROR(SEARCH("△",AA191)))</formula>
    </cfRule>
    <cfRule type="containsText" priority="1406" operator="containsText" dxfId="11" text="▽">
      <formula>NOT(ISERROR(SEARCH("▽",AA191)))</formula>
    </cfRule>
    <cfRule type="containsText" priority="1403" operator="containsText" dxfId="12" text="△">
      <formula>NOT(ISERROR(SEARCH("△",AA191)))</formula>
    </cfRule>
    <cfRule type="containsText" priority="1404" operator="containsText" dxfId="11" text="▽">
      <formula>NOT(ISERROR(SEARCH("▽",AA191)))</formula>
    </cfRule>
    <cfRule type="containsText" priority="1401" operator="containsText" dxfId="12" text="△">
      <formula>NOT(ISERROR(SEARCH("△",AA191)))</formula>
    </cfRule>
    <cfRule type="containsText" priority="1402" operator="containsText" dxfId="11" text="▽">
      <formula>NOT(ISERROR(SEARCH("▽",AA191)))</formula>
    </cfRule>
    <cfRule type="containsText" priority="1399" operator="containsText" dxfId="12" text="△">
      <formula>NOT(ISERROR(SEARCH("△",AA191)))</formula>
    </cfRule>
    <cfRule type="containsText" priority="1400" operator="containsText" dxfId="11" text="▽">
      <formula>NOT(ISERROR(SEARCH("▽",AA191)))</formula>
    </cfRule>
    <cfRule type="containsText" priority="1397" operator="containsText" dxfId="12" text="△">
      <formula>NOT(ISERROR(SEARCH("△",AA191)))</formula>
    </cfRule>
    <cfRule type="containsText" priority="1398" operator="containsText" dxfId="11" text="▽">
      <formula>NOT(ISERROR(SEARCH("▽",AA191)))</formula>
    </cfRule>
    <cfRule type="containsText" priority="1395" operator="containsText" dxfId="12" text="△">
      <formula>NOT(ISERROR(SEARCH("△",AA191)))</formula>
    </cfRule>
    <cfRule type="containsText" priority="1396" operator="containsText" dxfId="11" text="▽">
      <formula>NOT(ISERROR(SEARCH("▽",AA191)))</formula>
    </cfRule>
    <cfRule type="containsText" priority="1393" operator="containsText" dxfId="12" text="△">
      <formula>NOT(ISERROR(SEARCH("△",AA191)))</formula>
    </cfRule>
    <cfRule type="containsText" priority="1394" operator="containsText" dxfId="11" text="▽">
      <formula>NOT(ISERROR(SEARCH("▽",AA191)))</formula>
    </cfRule>
    <cfRule type="containsText" priority="1391" operator="containsText" dxfId="12" text="△">
      <formula>NOT(ISERROR(SEARCH("△",AA191)))</formula>
    </cfRule>
    <cfRule type="containsText" priority="1392" operator="containsText" dxfId="11" text="▽">
      <formula>NOT(ISERROR(SEARCH("▽",AA191)))</formula>
    </cfRule>
  </conditionalFormatting>
  <conditionalFormatting sqref="AA217:AA220">
    <cfRule type="containsText" priority="1387" operator="containsText" dxfId="12" text="△">
      <formula>NOT(ISERROR(SEARCH("△",AA217)))</formula>
    </cfRule>
    <cfRule type="containsText" priority="1388" operator="containsText" dxfId="11" text="▽">
      <formula>NOT(ISERROR(SEARCH("▽",AA217)))</formula>
    </cfRule>
    <cfRule type="containsText" priority="1383" operator="containsText" dxfId="12" text="▲">
      <formula>NOT(ISERROR(SEARCH("▲",AA217)))</formula>
    </cfRule>
    <cfRule type="containsText" priority="1384" operator="containsText" dxfId="11" text="▼">
      <formula>NOT(ISERROR(SEARCH("▼",AA217)))</formula>
    </cfRule>
  </conditionalFormatting>
  <conditionalFormatting sqref="AA223">
    <cfRule type="containsText" priority="1381" operator="containsText" dxfId="12" text="△">
      <formula>NOT(ISERROR(SEARCH("△",AA223)))</formula>
    </cfRule>
    <cfRule type="containsText" priority="1382" operator="containsText" dxfId="11" text="▽">
      <formula>NOT(ISERROR(SEARCH("▽",AA223)))</formula>
    </cfRule>
    <cfRule type="containsText" priority="1377" operator="containsText" dxfId="12" text="▲">
      <formula>NOT(ISERROR(SEARCH("▲",AA223)))</formula>
    </cfRule>
    <cfRule type="containsText" priority="1378" operator="containsText" dxfId="11" text="▼">
      <formula>NOT(ISERROR(SEARCH("▼",AA223)))</formula>
    </cfRule>
  </conditionalFormatting>
  <conditionalFormatting sqref="AA224:AA225">
    <cfRule type="containsText" priority="1375" operator="containsText" dxfId="12" text="△">
      <formula>NOT(ISERROR(SEARCH("△",AA224)))</formula>
    </cfRule>
    <cfRule type="containsText" priority="1376" operator="containsText" dxfId="11" text="▽">
      <formula>NOT(ISERROR(SEARCH("▽",AA224)))</formula>
    </cfRule>
    <cfRule type="containsText" priority="1371" operator="containsText" dxfId="12" text="▲">
      <formula>NOT(ISERROR(SEARCH("▲",AA224)))</formula>
    </cfRule>
    <cfRule type="containsText" priority="1372" operator="containsText" dxfId="11" text="▼">
      <formula>NOT(ISERROR(SEARCH("▼",AA224)))</formula>
    </cfRule>
    <cfRule type="containsText" priority="1369" operator="containsText" dxfId="12" text="▲">
      <formula>NOT(ISERROR(SEARCH("▲",AA224)))</formula>
    </cfRule>
    <cfRule type="containsText" priority="1370" operator="containsText" dxfId="11" text="▼">
      <formula>NOT(ISERROR(SEARCH("▼",AA224)))</formula>
    </cfRule>
    <cfRule type="containsText" priority="1367" operator="containsText" dxfId="12" text="▲">
      <formula>NOT(ISERROR(SEARCH("▲",AA224)))</formula>
    </cfRule>
    <cfRule type="containsText" priority="1368" operator="containsText" dxfId="11" text="▼">
      <formula>NOT(ISERROR(SEARCH("▼",AA224)))</formula>
    </cfRule>
    <cfRule type="containsText" priority="1365" operator="containsText" dxfId="12" text="▲">
      <formula>NOT(ISERROR(SEARCH("▲",AA224)))</formula>
    </cfRule>
    <cfRule type="containsText" priority="1366" operator="containsText" dxfId="11" text="▼">
      <formula>NOT(ISERROR(SEARCH("▼",AA224)))</formula>
    </cfRule>
  </conditionalFormatting>
  <conditionalFormatting sqref="AA226:AA249">
    <cfRule type="containsText" priority="1363" operator="containsText" dxfId="12" text="△">
      <formula>NOT(ISERROR(SEARCH("△",AA226)))</formula>
    </cfRule>
    <cfRule type="containsText" priority="1364" operator="containsText" dxfId="11" text="▽">
      <formula>NOT(ISERROR(SEARCH("▽",AA226)))</formula>
    </cfRule>
  </conditionalFormatting>
  <conditionalFormatting sqref="AA226:AA259">
    <cfRule type="containsText" priority="1359" operator="containsText" dxfId="12" text="▲">
      <formula>NOT(ISERROR(SEARCH("▲",AA226)))</formula>
    </cfRule>
    <cfRule type="containsText" priority="1360" operator="containsText" dxfId="11" text="▼">
      <formula>NOT(ISERROR(SEARCH("▼",AA226)))</formula>
    </cfRule>
  </conditionalFormatting>
  <conditionalFormatting sqref="AA246:AA249">
    <cfRule type="containsText" priority="1357" operator="containsText" dxfId="12" text="▲">
      <formula>NOT(ISERROR(SEARCH("▲",AA246)))</formula>
    </cfRule>
    <cfRule type="containsText" priority="1358" operator="containsText" dxfId="11" text="▼">
      <formula>NOT(ISERROR(SEARCH("▼",AA246)))</formula>
    </cfRule>
  </conditionalFormatting>
  <conditionalFormatting sqref="AA245:AA249">
    <cfRule type="containsText" priority="1355" operator="containsText" dxfId="12" text="▲">
      <formula>NOT(ISERROR(SEARCH("▲",AA245)))</formula>
    </cfRule>
    <cfRule type="containsText" priority="1356" operator="containsText" dxfId="11" text="▼">
      <formula>NOT(ISERROR(SEARCH("▼",AA245)))</formula>
    </cfRule>
  </conditionalFormatting>
  <conditionalFormatting sqref="AA236">
    <cfRule type="containsText" priority="1353" operator="containsText" dxfId="12" text="▲">
      <formula>NOT(ISERROR(SEARCH("▲",AA236)))</formula>
    </cfRule>
    <cfRule type="containsText" priority="1354" operator="containsText" dxfId="11" text="▼">
      <formula>NOT(ISERROR(SEARCH("▼",AA236)))</formula>
    </cfRule>
    <cfRule type="containsText" priority="1351" operator="containsText" dxfId="12" text="▲">
      <formula>NOT(ISERROR(SEARCH("▲",AA236)))</formula>
    </cfRule>
    <cfRule type="containsText" priority="1352" operator="containsText" dxfId="11" text="▼">
      <formula>NOT(ISERROR(SEARCH("▼",AA236)))</formula>
    </cfRule>
  </conditionalFormatting>
  <conditionalFormatting sqref="AA232">
    <cfRule type="containsText" priority="1349" operator="containsText" dxfId="12" text="▲">
      <formula>NOT(ISERROR(SEARCH("▲",AA232)))</formula>
    </cfRule>
    <cfRule type="containsText" priority="1350" operator="containsText" dxfId="11" text="▼">
      <formula>NOT(ISERROR(SEARCH("▼",AA232)))</formula>
    </cfRule>
  </conditionalFormatting>
  <conditionalFormatting sqref="AA244">
    <cfRule type="containsText" priority="1347" operator="containsText" dxfId="12" text="▲">
      <formula>NOT(ISERROR(SEARCH("▲",AA244)))</formula>
    </cfRule>
    <cfRule type="containsText" priority="1348" operator="containsText" dxfId="11" text="▼">
      <formula>NOT(ISERROR(SEARCH("▼",AA244)))</formula>
    </cfRule>
  </conditionalFormatting>
  <conditionalFormatting sqref="AA243:AA249">
    <cfRule type="containsText" priority="1345" operator="containsText" dxfId="12" text="▲">
      <formula>NOT(ISERROR(SEARCH("▲",AA243)))</formula>
    </cfRule>
    <cfRule type="containsText" priority="1346" operator="containsText" dxfId="11" text="▼">
      <formula>NOT(ISERROR(SEARCH("▼",AA243)))</formula>
    </cfRule>
  </conditionalFormatting>
  <conditionalFormatting sqref="AA247:AA249">
    <cfRule type="containsText" priority="1343" operator="containsText" dxfId="12" text="▲">
      <formula>NOT(ISERROR(SEARCH("▲",AA247)))</formula>
    </cfRule>
    <cfRule type="containsText" priority="1344" operator="containsText" dxfId="11" text="▼">
      <formula>NOT(ISERROR(SEARCH("▼",AA247)))</formula>
    </cfRule>
  </conditionalFormatting>
  <conditionalFormatting sqref="AA260:AA270">
    <cfRule type="containsText" priority="1339" operator="containsText" dxfId="12" text="▲">
      <formula>NOT(ISERROR(SEARCH("▲",AA260)))</formula>
    </cfRule>
    <cfRule type="containsText" priority="1340" operator="containsText" dxfId="11" text="▼">
      <formula>NOT(ISERROR(SEARCH("▼",AA260)))</formula>
    </cfRule>
  </conditionalFormatting>
  <conditionalFormatting sqref="Z271:Z288 Z308:Z312 Z329">
    <cfRule type="cellIs" priority="1273" operator="lessThan" dxfId="8">
      <formula>0</formula>
    </cfRule>
    <cfRule type="cellIs" priority="1274" operator="greaterThan" dxfId="7">
      <formula>0</formula>
    </cfRule>
  </conditionalFormatting>
  <conditionalFormatting sqref="Z329">
    <cfRule type="containsText" priority="1271" operator="containsText" dxfId="12" text="△">
      <formula>NOT(ISERROR(SEARCH("△",Z329)))</formula>
    </cfRule>
    <cfRule type="containsText" priority="1272" operator="containsText" dxfId="11" text="▽">
      <formula>NOT(ISERROR(SEARCH("▽",Z329)))</formula>
    </cfRule>
  </conditionalFormatting>
  <conditionalFormatting sqref="I329">
    <cfRule type="expression" priority="1269" dxfId="204">
      <formula>$I329&gt;(TODAY()-7)</formula>
    </cfRule>
    <cfRule type="expression" priority="1270" dxfId="203">
      <formula>$I329&gt;(TODAY()-30)</formula>
    </cfRule>
  </conditionalFormatting>
  <conditionalFormatting sqref="Z332:AA337 AA338">
    <cfRule type="containsText" priority="1263" operator="containsText" dxfId="12" text="△">
      <formula>NOT(ISERROR(SEARCH("△",Z332)))</formula>
    </cfRule>
    <cfRule type="containsText" priority="1264" operator="containsText" dxfId="11" text="▽">
      <formula>NOT(ISERROR(SEARCH("▽",Z332)))</formula>
    </cfRule>
  </conditionalFormatting>
  <conditionalFormatting sqref="AA332">
    <cfRule type="containsText" priority="1261" operator="containsText" dxfId="12" text="△">
      <formula>NOT(ISERROR(SEARCH("△",AA332)))</formula>
    </cfRule>
    <cfRule type="containsText" priority="1262" operator="containsText" dxfId="11" text="▽">
      <formula>NOT(ISERROR(SEARCH("▽",AA332)))</formula>
    </cfRule>
  </conditionalFormatting>
  <conditionalFormatting sqref="Z2:Z21">
    <cfRule type="containsText" priority="1259" operator="containsText" dxfId="12" text="▲">
      <formula>NOT(ISERROR(SEARCH("▲",Z2)))</formula>
    </cfRule>
    <cfRule type="containsText" priority="1260" operator="containsText" dxfId="11" text="▼">
      <formula>NOT(ISERROR(SEARCH("▼",Z2)))</formula>
    </cfRule>
    <cfRule type="cellIs" priority="1257" operator="lessThan" dxfId="8">
      <formula>0</formula>
    </cfRule>
    <cfRule type="cellIs" priority="1258" operator="greaterThan" dxfId="7">
      <formula>0</formula>
    </cfRule>
  </conditionalFormatting>
  <conditionalFormatting sqref="Z22:Z40">
    <cfRule type="containsText" priority="1255" operator="containsText" dxfId="12" text="▲">
      <formula>NOT(ISERROR(SEARCH("▲",Z22)))</formula>
    </cfRule>
    <cfRule type="containsText" priority="1256" operator="containsText" dxfId="11" text="▼">
      <formula>NOT(ISERROR(SEARCH("▼",Z22)))</formula>
    </cfRule>
    <cfRule type="cellIs" priority="1253" operator="lessThan" dxfId="8">
      <formula>0</formula>
    </cfRule>
    <cfRule type="cellIs" priority="1254" operator="greaterThan" dxfId="7">
      <formula>0</formula>
    </cfRule>
  </conditionalFormatting>
  <conditionalFormatting sqref="Z61:Z135">
    <cfRule type="containsText" priority="713" operator="containsText" dxfId="12" text="△">
      <formula>NOT(ISERROR(SEARCH("△",Z61)))</formula>
    </cfRule>
    <cfRule type="containsText" priority="714" operator="containsText" dxfId="11" text="▽">
      <formula>NOT(ISERROR(SEARCH("▽",Z61)))</formula>
    </cfRule>
    <cfRule type="cellIs" priority="709" operator="lessThan" dxfId="8">
      <formula>0</formula>
    </cfRule>
    <cfRule type="cellIs" priority="710" operator="greaterThan" dxfId="7">
      <formula>0</formula>
    </cfRule>
  </conditionalFormatting>
  <conditionalFormatting sqref="Z125 Z127:Z135">
    <cfRule type="containsText" priority="711" operator="containsText" dxfId="12" text="▲">
      <formula>NOT(ISERROR(SEARCH("▲",Z125)))</formula>
    </cfRule>
    <cfRule type="containsText" priority="712" operator="containsText" dxfId="11" text="▼">
      <formula>NOT(ISERROR(SEARCH("▼",Z125)))</formula>
    </cfRule>
  </conditionalFormatting>
  <conditionalFormatting sqref="Z41:Z60">
    <cfRule type="containsText" priority="707" operator="containsText" dxfId="12" text="▲">
      <formula>NOT(ISERROR(SEARCH("▲",Z41)))</formula>
    </cfRule>
    <cfRule type="containsText" priority="708" operator="containsText" dxfId="11" text="▼">
      <formula>NOT(ISERROR(SEARCH("▼",Z41)))</formula>
    </cfRule>
    <cfRule type="cellIs" priority="705" operator="lessThan" dxfId="8">
      <formula>0</formula>
    </cfRule>
    <cfRule type="cellIs" priority="706" operator="greaterThan" dxfId="7">
      <formula>0</formula>
    </cfRule>
  </conditionalFormatting>
  <conditionalFormatting sqref="AA145">
    <cfRule type="containsText" priority="703" operator="containsText" dxfId="12" text="△">
      <formula>NOT(ISERROR(SEARCH("△",AA145)))</formula>
    </cfRule>
    <cfRule type="containsText" priority="704" operator="containsText" dxfId="11" text="▽">
      <formula>NOT(ISERROR(SEARCH("▽",AA145)))</formula>
    </cfRule>
    <cfRule type="containsText" priority="701" operator="containsText" dxfId="12" text="△">
      <formula>NOT(ISERROR(SEARCH("△",AA145)))</formula>
    </cfRule>
    <cfRule type="containsText" priority="702" operator="containsText" dxfId="11" text="▽">
      <formula>NOT(ISERROR(SEARCH("▽",AA145)))</formula>
    </cfRule>
  </conditionalFormatting>
  <conditionalFormatting sqref="AA144">
    <cfRule type="containsText" priority="699" operator="containsText" dxfId="12" text="△">
      <formula>NOT(ISERROR(SEARCH("△",AA144)))</formula>
    </cfRule>
    <cfRule type="containsText" priority="700" operator="containsText" dxfId="11" text="▽">
      <formula>NOT(ISERROR(SEARCH("▽",AA144)))</formula>
    </cfRule>
    <cfRule type="containsText" priority="697" operator="containsText" dxfId="12" text="△">
      <formula>NOT(ISERROR(SEARCH("△",AA144)))</formula>
    </cfRule>
    <cfRule type="containsText" priority="698" operator="containsText" dxfId="11" text="▽">
      <formula>NOT(ISERROR(SEARCH("▽",AA144)))</formula>
    </cfRule>
  </conditionalFormatting>
  <conditionalFormatting sqref="Z136:Z138">
    <cfRule type="containsText" priority="695" operator="containsText" dxfId="12" text="△">
      <formula>NOT(ISERROR(SEARCH("△",Z136)))</formula>
    </cfRule>
    <cfRule type="containsText" priority="696" operator="containsText" dxfId="11" text="▽">
      <formula>NOT(ISERROR(SEARCH("▽",Z136)))</formula>
    </cfRule>
    <cfRule type="containsText" priority="693" operator="containsText" dxfId="12" text="▲">
      <formula>NOT(ISERROR(SEARCH("▲",Z136)))</formula>
    </cfRule>
    <cfRule type="containsText" priority="694" operator="containsText" dxfId="11" text="▼">
      <formula>NOT(ISERROR(SEARCH("▼",Z136)))</formula>
    </cfRule>
    <cfRule type="cellIs" priority="691" operator="lessThan" dxfId="8">
      <formula>0</formula>
    </cfRule>
    <cfRule type="cellIs" priority="692" operator="greaterThan" dxfId="7">
      <formula>0</formula>
    </cfRule>
  </conditionalFormatting>
  <conditionalFormatting sqref="Z139:Z141">
    <cfRule type="cellIs" priority="689" operator="lessThan" dxfId="8">
      <formula>0</formula>
    </cfRule>
    <cfRule type="cellIs" priority="690" operator="greaterThan" dxfId="7">
      <formula>0</formula>
    </cfRule>
    <cfRule type="containsText" priority="687" operator="containsText" dxfId="12" text="▲">
      <formula>NOT(ISERROR(SEARCH("▲",Z139)))</formula>
    </cfRule>
    <cfRule type="containsText" priority="688" operator="containsText" dxfId="11" text="▼">
      <formula>NOT(ISERROR(SEARCH("▼",Z139)))</formula>
    </cfRule>
    <cfRule type="containsText" priority="685" operator="containsText" dxfId="12" text="△">
      <formula>NOT(ISERROR(SEARCH("△",Z139)))</formula>
    </cfRule>
    <cfRule type="containsText" priority="686" operator="containsText" dxfId="11" text="▽">
      <formula>NOT(ISERROR(SEARCH("▽",Z139)))</formula>
    </cfRule>
    <cfRule type="containsText" priority="683" operator="containsText" dxfId="12" text="▲">
      <formula>NOT(ISERROR(SEARCH("▲",Z139)))</formula>
    </cfRule>
    <cfRule type="containsText" priority="684" operator="containsText" dxfId="11" text="▼">
      <formula>NOT(ISERROR(SEARCH("▼",Z139)))</formula>
    </cfRule>
    <cfRule type="cellIs" priority="681" operator="lessThan" dxfId="8">
      <formula>0</formula>
    </cfRule>
    <cfRule type="cellIs" priority="682" operator="greaterThan" dxfId="7">
      <formula>0</formula>
    </cfRule>
  </conditionalFormatting>
  <conditionalFormatting sqref="Z142">
    <cfRule type="containsText" priority="679" operator="containsText" dxfId="12" text="▲">
      <formula>NOT(ISERROR(SEARCH("▲",Z142)))</formula>
    </cfRule>
    <cfRule type="containsText" priority="680" operator="containsText" dxfId="11" text="▼">
      <formula>NOT(ISERROR(SEARCH("▼",Z142)))</formula>
    </cfRule>
    <cfRule type="cellIs" priority="677" operator="lessThan" dxfId="8">
      <formula>0</formula>
    </cfRule>
    <cfRule type="cellIs" priority="678" operator="greaterThan" dxfId="7">
      <formula>0</formula>
    </cfRule>
    <cfRule type="containsText" priority="675" operator="containsText" dxfId="12" text="△">
      <formula>NOT(ISERROR(SEARCH("△",Z142)))</formula>
    </cfRule>
    <cfRule type="containsText" priority="676" operator="containsText" dxfId="11" text="▽">
      <formula>NOT(ISERROR(SEARCH("▽",Z142)))</formula>
    </cfRule>
  </conditionalFormatting>
  <conditionalFormatting sqref="Z143">
    <cfRule type="containsText" priority="673" operator="containsText" dxfId="12" text="▲">
      <formula>NOT(ISERROR(SEARCH("▲",Z143)))</formula>
    </cfRule>
    <cfRule type="containsText" priority="674" operator="containsText" dxfId="11" text="▼">
      <formula>NOT(ISERROR(SEARCH("▼",Z143)))</formula>
    </cfRule>
    <cfRule type="containsText" priority="671" operator="containsText" dxfId="12" text="▲">
      <formula>NOT(ISERROR(SEARCH("▲",Z143)))</formula>
    </cfRule>
    <cfRule type="containsText" priority="672" operator="containsText" dxfId="11" text="▼">
      <formula>NOT(ISERROR(SEARCH("▼",Z143)))</formula>
    </cfRule>
    <cfRule type="cellIs" priority="669" operator="lessThan" dxfId="8">
      <formula>0</formula>
    </cfRule>
    <cfRule type="cellIs" priority="670" operator="greaterThan" dxfId="7">
      <formula>0</formula>
    </cfRule>
  </conditionalFormatting>
  <conditionalFormatting sqref="Z144:Z145">
    <cfRule type="containsText" priority="667" operator="containsText" dxfId="12" text="▲">
      <formula>NOT(ISERROR(SEARCH("▲",Z144)))</formula>
    </cfRule>
    <cfRule type="containsText" priority="668" operator="containsText" dxfId="11" text="▼">
      <formula>NOT(ISERROR(SEARCH("▼",Z144)))</formula>
    </cfRule>
    <cfRule type="containsText" priority="665" operator="containsText" dxfId="12" text="▲">
      <formula>NOT(ISERROR(SEARCH("▲",Z144)))</formula>
    </cfRule>
    <cfRule type="containsText" priority="666" operator="containsText" dxfId="11" text="▼">
      <formula>NOT(ISERROR(SEARCH("▼",Z144)))</formula>
    </cfRule>
    <cfRule type="cellIs" priority="663" operator="lessThan" dxfId="8">
      <formula>0</formula>
    </cfRule>
    <cfRule type="cellIs" priority="664" operator="greaterThan" dxfId="7">
      <formula>0</formula>
    </cfRule>
  </conditionalFormatting>
  <conditionalFormatting sqref="Z146">
    <cfRule type="containsText" priority="661" operator="containsText" dxfId="12" text="▲">
      <formula>NOT(ISERROR(SEARCH("▲",Z146)))</formula>
    </cfRule>
    <cfRule type="containsText" priority="662" operator="containsText" dxfId="11" text="▼">
      <formula>NOT(ISERROR(SEARCH("▼",Z146)))</formula>
    </cfRule>
    <cfRule type="containsText" priority="659" operator="containsText" dxfId="12" text="▲">
      <formula>NOT(ISERROR(SEARCH("▲",Z146)))</formula>
    </cfRule>
    <cfRule type="containsText" priority="660" operator="containsText" dxfId="11" text="▼">
      <formula>NOT(ISERROR(SEARCH("▼",Z146)))</formula>
    </cfRule>
    <cfRule type="cellIs" priority="657" operator="lessThan" dxfId="8">
      <formula>0</formula>
    </cfRule>
    <cfRule type="cellIs" priority="658" operator="greaterThan" dxfId="7">
      <formula>0</formula>
    </cfRule>
  </conditionalFormatting>
  <conditionalFormatting sqref="Z147:Z148">
    <cfRule type="containsText" priority="655" operator="containsText" dxfId="12" text="▲">
      <formula>NOT(ISERROR(SEARCH("▲",Z147)))</formula>
    </cfRule>
    <cfRule type="containsText" priority="656" operator="containsText" dxfId="11" text="▼">
      <formula>NOT(ISERROR(SEARCH("▼",Z147)))</formula>
    </cfRule>
    <cfRule type="containsText" priority="653" operator="containsText" dxfId="12" text="▲">
      <formula>NOT(ISERROR(SEARCH("▲",Z147)))</formula>
    </cfRule>
    <cfRule type="containsText" priority="654" operator="containsText" dxfId="11" text="▼">
      <formula>NOT(ISERROR(SEARCH("▼",Z147)))</formula>
    </cfRule>
    <cfRule type="cellIs" priority="651" operator="lessThan" dxfId="8">
      <formula>0</formula>
    </cfRule>
    <cfRule type="cellIs" priority="652" operator="greaterThan" dxfId="7">
      <formula>0</formula>
    </cfRule>
  </conditionalFormatting>
  <conditionalFormatting sqref="Z160:Z161 Z163:Z172">
    <cfRule type="containsText" priority="649" operator="containsText" dxfId="12" text="▲">
      <formula>NOT(ISERROR(SEARCH("▲",Z160)))</formula>
    </cfRule>
    <cfRule type="containsText" priority="650" operator="containsText" dxfId="11" text="▼">
      <formula>NOT(ISERROR(SEARCH("▼",Z160)))</formula>
    </cfRule>
    <cfRule type="cellIs" priority="647" operator="lessThan" dxfId="8">
      <formula>0</formula>
    </cfRule>
    <cfRule type="cellIs" priority="648" operator="greaterThan" dxfId="7">
      <formula>0</formula>
    </cfRule>
  </conditionalFormatting>
  <conditionalFormatting sqref="Z157:Z161 Z163:Z172">
    <cfRule type="containsText" priority="645" operator="containsText" dxfId="12" text="▲">
      <formula>NOT(ISERROR(SEARCH("▲",Z157)))</formula>
    </cfRule>
    <cfRule type="containsText" priority="646" operator="containsText" dxfId="11" text="▼">
      <formula>NOT(ISERROR(SEARCH("▼",Z157)))</formula>
    </cfRule>
    <cfRule type="cellIs" priority="643" operator="lessThan" dxfId="8">
      <formula>0</formula>
    </cfRule>
    <cfRule type="cellIs" priority="644" operator="greaterThan" dxfId="7">
      <formula>0</formula>
    </cfRule>
  </conditionalFormatting>
  <conditionalFormatting sqref="Z166:Z172">
    <cfRule type="containsText" priority="641" operator="containsText" dxfId="12" text="▲">
      <formula>NOT(ISERROR(SEARCH("▲",Z166)))</formula>
    </cfRule>
    <cfRule type="containsText" priority="642" operator="containsText" dxfId="11" text="▼">
      <formula>NOT(ISERROR(SEARCH("▼",Z166)))</formula>
    </cfRule>
    <cfRule type="cellIs" priority="639" operator="lessThan" dxfId="8">
      <formula>0</formula>
    </cfRule>
    <cfRule type="cellIs" priority="640" operator="greaterThan" dxfId="7">
      <formula>0</formula>
    </cfRule>
  </conditionalFormatting>
  <conditionalFormatting sqref="Z149">
    <cfRule type="containsText" priority="637" operator="containsText" dxfId="12" text="△">
      <formula>NOT(ISERROR(SEARCH("△",Z149)))</formula>
    </cfRule>
    <cfRule type="containsText" priority="638" operator="containsText" dxfId="11" text="▽">
      <formula>NOT(ISERROR(SEARCH("▽",Z149)))</formula>
    </cfRule>
    <cfRule type="containsText" priority="635" operator="containsText" dxfId="12" text="▲">
      <formula>NOT(ISERROR(SEARCH("▲",Z149)))</formula>
    </cfRule>
    <cfRule type="containsText" priority="636" operator="containsText" dxfId="11" text="▼">
      <formula>NOT(ISERROR(SEARCH("▼",Z149)))</formula>
    </cfRule>
    <cfRule type="cellIs" priority="633" operator="lessThan" dxfId="8">
      <formula>0</formula>
    </cfRule>
    <cfRule type="cellIs" priority="634" operator="greaterThan" dxfId="7">
      <formula>0</formula>
    </cfRule>
  </conditionalFormatting>
  <conditionalFormatting sqref="Z153">
    <cfRule type="containsText" priority="631" operator="containsText" dxfId="12" text="△">
      <formula>NOT(ISERROR(SEARCH("△",Z153)))</formula>
    </cfRule>
    <cfRule type="containsText" priority="632" operator="containsText" dxfId="11" text="▽">
      <formula>NOT(ISERROR(SEARCH("▽",Z153)))</formula>
    </cfRule>
    <cfRule type="containsText" priority="629" operator="containsText" dxfId="12" text="▲">
      <formula>NOT(ISERROR(SEARCH("▲",Z153)))</formula>
    </cfRule>
    <cfRule type="containsText" priority="630" operator="containsText" dxfId="11" text="▼">
      <formula>NOT(ISERROR(SEARCH("▼",Z153)))</formula>
    </cfRule>
    <cfRule type="cellIs" priority="627" operator="lessThan" dxfId="8">
      <formula>0</formula>
    </cfRule>
    <cfRule type="cellIs" priority="628" operator="greaterThan" dxfId="7">
      <formula>0</formula>
    </cfRule>
  </conditionalFormatting>
  <conditionalFormatting sqref="Z155:Z161 Z163:Z172">
    <cfRule type="containsText" priority="625" operator="containsText" dxfId="12" text="▲">
      <formula>NOT(ISERROR(SEARCH("▲",Z155)))</formula>
    </cfRule>
    <cfRule type="containsText" priority="626" operator="containsText" dxfId="11" text="▼">
      <formula>NOT(ISERROR(SEARCH("▼",Z155)))</formula>
    </cfRule>
    <cfRule type="cellIs" priority="623" operator="lessThan" dxfId="8">
      <formula>0</formula>
    </cfRule>
    <cfRule type="cellIs" priority="624" operator="greaterThan" dxfId="7">
      <formula>0</formula>
    </cfRule>
  </conditionalFormatting>
  <conditionalFormatting sqref="Z154:Z161 Z163:Z172">
    <cfRule type="containsText" priority="621" operator="containsText" dxfId="12" text="▲">
      <formula>NOT(ISERROR(SEARCH("▲",Z154)))</formula>
    </cfRule>
    <cfRule type="containsText" priority="622" operator="containsText" dxfId="11" text="▼">
      <formula>NOT(ISERROR(SEARCH("▼",Z154)))</formula>
    </cfRule>
    <cfRule type="cellIs" priority="619" operator="lessThan" dxfId="8">
      <formula>0</formula>
    </cfRule>
    <cfRule type="cellIs" priority="620" operator="greaterThan" dxfId="7">
      <formula>0</formula>
    </cfRule>
  </conditionalFormatting>
  <conditionalFormatting sqref="Z167:Z172">
    <cfRule type="containsText" priority="617" operator="containsText" dxfId="12" text="▲">
      <formula>NOT(ISERROR(SEARCH("▲",Z167)))</formula>
    </cfRule>
    <cfRule type="containsText" priority="618" operator="containsText" dxfId="11" text="▼">
      <formula>NOT(ISERROR(SEARCH("▼",Z167)))</formula>
    </cfRule>
    <cfRule type="cellIs" priority="615" operator="lessThan" dxfId="8">
      <formula>0</formula>
    </cfRule>
    <cfRule type="cellIs" priority="616" operator="greaterThan" dxfId="7">
      <formula>0</formula>
    </cfRule>
  </conditionalFormatting>
  <conditionalFormatting sqref="Z158:Z161 Z163:Z172">
    <cfRule type="containsText" priority="613" operator="containsText" dxfId="12" text="▲">
      <formula>NOT(ISERROR(SEARCH("▲",Z158)))</formula>
    </cfRule>
    <cfRule type="containsText" priority="614" operator="containsText" dxfId="11" text="▼">
      <formula>NOT(ISERROR(SEARCH("▼",Z158)))</formula>
    </cfRule>
    <cfRule type="cellIs" priority="611" operator="lessThan" dxfId="8">
      <formula>0</formula>
    </cfRule>
    <cfRule type="cellIs" priority="612" operator="greaterThan" dxfId="7">
      <formula>0</formula>
    </cfRule>
  </conditionalFormatting>
  <conditionalFormatting sqref="Z156:Z161 Z163:Z172">
    <cfRule type="containsText" priority="609" operator="containsText" dxfId="12" text="▲">
      <formula>NOT(ISERROR(SEARCH("▲",Z156)))</formula>
    </cfRule>
    <cfRule type="containsText" priority="610" operator="containsText" dxfId="11" text="▼">
      <formula>NOT(ISERROR(SEARCH("▼",Z156)))</formula>
    </cfRule>
    <cfRule type="cellIs" priority="607" operator="lessThan" dxfId="8">
      <formula>0</formula>
    </cfRule>
    <cfRule type="cellIs" priority="608" operator="greaterThan" dxfId="7">
      <formula>0</formula>
    </cfRule>
  </conditionalFormatting>
  <conditionalFormatting sqref="Z164:Z172">
    <cfRule type="containsText" priority="605" operator="containsText" dxfId="12" text="▲">
      <formula>NOT(ISERROR(SEARCH("▲",Z164)))</formula>
    </cfRule>
    <cfRule type="containsText" priority="606" operator="containsText" dxfId="11" text="▼">
      <formula>NOT(ISERROR(SEARCH("▼",Z164)))</formula>
    </cfRule>
  </conditionalFormatting>
  <conditionalFormatting sqref="Z150">
    <cfRule type="containsText" priority="603" operator="containsText" dxfId="12" text="△">
      <formula>NOT(ISERROR(SEARCH("△",Z150)))</formula>
    </cfRule>
    <cfRule type="containsText" priority="604" operator="containsText" dxfId="11" text="▽">
      <formula>NOT(ISERROR(SEARCH("▽",Z150)))</formula>
    </cfRule>
    <cfRule type="containsText" priority="601" operator="containsText" dxfId="12" text="▲">
      <formula>NOT(ISERROR(SEARCH("▲",Z150)))</formula>
    </cfRule>
    <cfRule type="containsText" priority="602" operator="containsText" dxfId="11" text="▼">
      <formula>NOT(ISERROR(SEARCH("▼",Z150)))</formula>
    </cfRule>
    <cfRule type="cellIs" priority="599" operator="lessThan" dxfId="8">
      <formula>0</formula>
    </cfRule>
    <cfRule type="cellIs" priority="600" operator="greaterThan" dxfId="7">
      <formula>0</formula>
    </cfRule>
  </conditionalFormatting>
  <conditionalFormatting sqref="Z152">
    <cfRule type="containsText" priority="597" operator="containsText" dxfId="12" text="▲">
      <formula>NOT(ISERROR(SEARCH("▲",Z152)))</formula>
    </cfRule>
    <cfRule type="containsText" priority="598" operator="containsText" dxfId="11" text="▼">
      <formula>NOT(ISERROR(SEARCH("▼",Z152)))</formula>
    </cfRule>
    <cfRule type="cellIs" priority="595" operator="lessThan" dxfId="8">
      <formula>0</formula>
    </cfRule>
    <cfRule type="cellIs" priority="596" operator="greaterThan" dxfId="7">
      <formula>0</formula>
    </cfRule>
  </conditionalFormatting>
  <conditionalFormatting sqref="Z151:Z152">
    <cfRule type="containsText" priority="593" operator="containsText" dxfId="12" text="▲">
      <formula>NOT(ISERROR(SEARCH("▲",Z151)))</formula>
    </cfRule>
    <cfRule type="containsText" priority="594" operator="containsText" dxfId="11" text="▼">
      <formula>NOT(ISERROR(SEARCH("▼",Z151)))</formula>
    </cfRule>
    <cfRule type="cellIs" priority="591" operator="lessThan" dxfId="8">
      <formula>0</formula>
    </cfRule>
    <cfRule type="cellIs" priority="592" operator="greaterThan" dxfId="7">
      <formula>0</formula>
    </cfRule>
  </conditionalFormatting>
  <conditionalFormatting sqref="Z168:Z172">
    <cfRule type="containsText" priority="589" operator="containsText" dxfId="12" text="▲">
      <formula>NOT(ISERROR(SEARCH("▲",Z168)))</formula>
    </cfRule>
    <cfRule type="containsText" priority="590" operator="containsText" dxfId="11" text="▼">
      <formula>NOT(ISERROR(SEARCH("▼",Z168)))</formula>
    </cfRule>
    <cfRule type="cellIs" priority="587" operator="lessThan" dxfId="8">
      <formula>0</formula>
    </cfRule>
    <cfRule type="cellIs" priority="588" operator="greaterThan" dxfId="7">
      <formula>0</formula>
    </cfRule>
  </conditionalFormatting>
  <conditionalFormatting sqref="Z169:Z172">
    <cfRule type="containsText" priority="585" operator="containsText" dxfId="12" text="▲">
      <formula>NOT(ISERROR(SEARCH("▲",Z169)))</formula>
    </cfRule>
    <cfRule type="containsText" priority="586" operator="containsText" dxfId="11" text="▼">
      <formula>NOT(ISERROR(SEARCH("▼",Z169)))</formula>
    </cfRule>
  </conditionalFormatting>
  <conditionalFormatting sqref="Z161 Z163:Z172">
    <cfRule type="containsText" priority="583" operator="containsText" dxfId="12" text="▲">
      <formula>NOT(ISERROR(SEARCH("▲",Z161)))</formula>
    </cfRule>
    <cfRule type="containsText" priority="584" operator="containsText" dxfId="11" text="▼">
      <formula>NOT(ISERROR(SEARCH("▼",Z161)))</formula>
    </cfRule>
    <cfRule type="cellIs" priority="581" operator="lessThan" dxfId="8">
      <formula>0</formula>
    </cfRule>
    <cfRule type="cellIs" priority="582" operator="greaterThan" dxfId="7">
      <formula>0</formula>
    </cfRule>
  </conditionalFormatting>
  <conditionalFormatting sqref="Z170:Z172">
    <cfRule type="containsText" priority="579" operator="containsText" dxfId="12" text="▲">
      <formula>NOT(ISERROR(SEARCH("▲",Z170)))</formula>
    </cfRule>
    <cfRule type="containsText" priority="580" operator="containsText" dxfId="11" text="▼">
      <formula>NOT(ISERROR(SEARCH("▼",Z170)))</formula>
    </cfRule>
    <cfRule type="cellIs" priority="577" operator="lessThan" dxfId="8">
      <formula>0</formula>
    </cfRule>
    <cfRule type="cellIs" priority="578" operator="greaterThan" dxfId="7">
      <formula>0</formula>
    </cfRule>
  </conditionalFormatting>
  <conditionalFormatting sqref="Z163:Z172">
    <cfRule type="containsText" priority="575" operator="containsText" dxfId="12" text="▲">
      <formula>NOT(ISERROR(SEARCH("▲",Z163)))</formula>
    </cfRule>
    <cfRule type="containsText" priority="576" operator="containsText" dxfId="11" text="▼">
      <formula>NOT(ISERROR(SEARCH("▼",Z163)))</formula>
    </cfRule>
  </conditionalFormatting>
  <conditionalFormatting sqref="Z159:Z161 Z163:Z172">
    <cfRule type="containsText" priority="573" operator="containsText" dxfId="12" text="▲">
      <formula>NOT(ISERROR(SEARCH("▲",Z159)))</formula>
    </cfRule>
    <cfRule type="containsText" priority="574" operator="containsText" dxfId="11" text="▼">
      <formula>NOT(ISERROR(SEARCH("▼",Z159)))</formula>
    </cfRule>
    <cfRule type="cellIs" priority="571" operator="lessThan" dxfId="8">
      <formula>0</formula>
    </cfRule>
    <cfRule type="cellIs" priority="572" operator="greaterThan" dxfId="7">
      <formula>0</formula>
    </cfRule>
  </conditionalFormatting>
  <conditionalFormatting sqref="Z172">
    <cfRule type="containsText" priority="569" operator="containsText" dxfId="12" text="▲">
      <formula>NOT(ISERROR(SEARCH("▲",Z172)))</formula>
    </cfRule>
    <cfRule type="containsText" priority="570" operator="containsText" dxfId="11" text="▼">
      <formula>NOT(ISERROR(SEARCH("▼",Z172)))</formula>
    </cfRule>
    <cfRule type="cellIs" priority="567" operator="lessThan" dxfId="8">
      <formula>0</formula>
    </cfRule>
    <cfRule type="cellIs" priority="568" operator="greaterThan" dxfId="7">
      <formula>0</formula>
    </cfRule>
  </conditionalFormatting>
  <conditionalFormatting sqref="Z171:Z172">
    <cfRule type="containsText" priority="565" operator="containsText" dxfId="12" text="▲">
      <formula>NOT(ISERROR(SEARCH("▲",Z171)))</formula>
    </cfRule>
    <cfRule type="containsText" priority="566" operator="containsText" dxfId="11" text="▼">
      <formula>NOT(ISERROR(SEARCH("▼",Z171)))</formula>
    </cfRule>
    <cfRule type="cellIs" priority="563" operator="lessThan" dxfId="8">
      <formula>0</formula>
    </cfRule>
    <cfRule type="cellIs" priority="564" operator="greaterThan" dxfId="7">
      <formula>0</formula>
    </cfRule>
  </conditionalFormatting>
  <conditionalFormatting sqref="Z162">
    <cfRule type="containsText" priority="561" operator="containsText" dxfId="12" text="▲">
      <formula>NOT(ISERROR(SEARCH("▲",Z162)))</formula>
    </cfRule>
    <cfRule type="containsText" priority="562" operator="containsText" dxfId="11" text="▼">
      <formula>NOT(ISERROR(SEARCH("▼",Z162)))</formula>
    </cfRule>
    <cfRule type="cellIs" priority="559" operator="lessThan" dxfId="8">
      <formula>0</formula>
    </cfRule>
    <cfRule type="cellIs" priority="560" operator="greaterThan" dxfId="7">
      <formula>0</formula>
    </cfRule>
    <cfRule type="containsText" priority="557" operator="containsText" dxfId="12" text="▲">
      <formula>NOT(ISERROR(SEARCH("▲",Z162)))</formula>
    </cfRule>
    <cfRule type="containsText" priority="558" operator="containsText" dxfId="11" text="▼">
      <formula>NOT(ISERROR(SEARCH("▼",Z162)))</formula>
    </cfRule>
    <cfRule type="cellIs" priority="555" operator="lessThan" dxfId="8">
      <formula>0</formula>
    </cfRule>
    <cfRule type="cellIs" priority="556" operator="greaterThan" dxfId="7">
      <formula>0</formula>
    </cfRule>
    <cfRule type="containsText" priority="553" operator="containsText" dxfId="12" text="▲">
      <formula>NOT(ISERROR(SEARCH("▲",Z162)))</formula>
    </cfRule>
    <cfRule type="containsText" priority="554" operator="containsText" dxfId="11" text="▼">
      <formula>NOT(ISERROR(SEARCH("▼",Z162)))</formula>
    </cfRule>
    <cfRule type="cellIs" priority="551" operator="lessThan" dxfId="8">
      <formula>0</formula>
    </cfRule>
    <cfRule type="cellIs" priority="552" operator="greaterThan" dxfId="7">
      <formula>0</formula>
    </cfRule>
    <cfRule type="containsText" priority="549" operator="containsText" dxfId="12" text="▲">
      <formula>NOT(ISERROR(SEARCH("▲",Z162)))</formula>
    </cfRule>
    <cfRule type="containsText" priority="550" operator="containsText" dxfId="11" text="▼">
      <formula>NOT(ISERROR(SEARCH("▼",Z162)))</formula>
    </cfRule>
    <cfRule type="cellIs" priority="547" operator="lessThan" dxfId="8">
      <formula>0</formula>
    </cfRule>
    <cfRule type="cellIs" priority="548" operator="greaterThan" dxfId="7">
      <formula>0</formula>
    </cfRule>
    <cfRule type="containsText" priority="545" operator="containsText" dxfId="12" text="▲">
      <formula>NOT(ISERROR(SEARCH("▲",Z162)))</formula>
    </cfRule>
    <cfRule type="containsText" priority="546" operator="containsText" dxfId="11" text="▼">
      <formula>NOT(ISERROR(SEARCH("▼",Z162)))</formula>
    </cfRule>
    <cfRule type="cellIs" priority="543" operator="lessThan" dxfId="8">
      <formula>0</formula>
    </cfRule>
    <cfRule type="cellIs" priority="544" operator="greaterThan" dxfId="7">
      <formula>0</formula>
    </cfRule>
    <cfRule type="containsText" priority="541" operator="containsText" dxfId="12" text="▲">
      <formula>NOT(ISERROR(SEARCH("▲",Z162)))</formula>
    </cfRule>
    <cfRule type="containsText" priority="542" operator="containsText" dxfId="11" text="▼">
      <formula>NOT(ISERROR(SEARCH("▼",Z162)))</formula>
    </cfRule>
    <cfRule type="cellIs" priority="539" operator="lessThan" dxfId="8">
      <formula>0</formula>
    </cfRule>
    <cfRule type="cellIs" priority="540" operator="greaterThan" dxfId="7">
      <formula>0</formula>
    </cfRule>
    <cfRule type="containsText" priority="537" operator="containsText" dxfId="12" text="▲">
      <formula>NOT(ISERROR(SEARCH("▲",Z162)))</formula>
    </cfRule>
    <cfRule type="containsText" priority="538" operator="containsText" dxfId="11" text="▼">
      <formula>NOT(ISERROR(SEARCH("▼",Z162)))</formula>
    </cfRule>
    <cfRule type="cellIs" priority="535" operator="lessThan" dxfId="8">
      <formula>0</formula>
    </cfRule>
    <cfRule type="cellIs" priority="536" operator="greaterThan" dxfId="7">
      <formula>0</formula>
    </cfRule>
    <cfRule type="containsText" priority="533" operator="containsText" dxfId="12" text="▲">
      <formula>NOT(ISERROR(SEARCH("▲",Z162)))</formula>
    </cfRule>
    <cfRule type="containsText" priority="534" operator="containsText" dxfId="11" text="▼">
      <formula>NOT(ISERROR(SEARCH("▼",Z162)))</formula>
    </cfRule>
    <cfRule type="containsText" priority="531" operator="containsText" dxfId="12" text="▲">
      <formula>NOT(ISERROR(SEARCH("▲",Z162)))</formula>
    </cfRule>
    <cfRule type="containsText" priority="532" operator="containsText" dxfId="11" text="▼">
      <formula>NOT(ISERROR(SEARCH("▼",Z162)))</formula>
    </cfRule>
    <cfRule type="cellIs" priority="529" operator="lessThan" dxfId="8">
      <formula>0</formula>
    </cfRule>
    <cfRule type="cellIs" priority="530" operator="greaterThan" dxfId="7">
      <formula>0</formula>
    </cfRule>
  </conditionalFormatting>
  <conditionalFormatting sqref="Z174:Z189">
    <cfRule type="cellIs" priority="527" operator="lessThan" dxfId="8">
      <formula>0</formula>
    </cfRule>
    <cfRule type="cellIs" priority="528" operator="greaterThan" dxfId="7">
      <formula>0</formula>
    </cfRule>
  </conditionalFormatting>
  <conditionalFormatting sqref="Z174:Z178 Z180:Z189">
    <cfRule type="containsText" priority="525" operator="containsText" dxfId="12" text="▲">
      <formula>NOT(ISERROR(SEARCH("▲",Z174)))</formula>
    </cfRule>
    <cfRule type="containsText" priority="526" operator="containsText" dxfId="11" text="▼">
      <formula>NOT(ISERROR(SEARCH("▼",Z174)))</formula>
    </cfRule>
  </conditionalFormatting>
  <conditionalFormatting sqref="Z185:Z189">
    <cfRule type="containsText" priority="523" operator="containsText" dxfId="12" text="▲">
      <formula>NOT(ISERROR(SEARCH("▲",Z185)))</formula>
    </cfRule>
    <cfRule type="containsText" priority="524" operator="containsText" dxfId="11" text="▼">
      <formula>NOT(ISERROR(SEARCH("▼",Z185)))</formula>
    </cfRule>
  </conditionalFormatting>
  <conditionalFormatting sqref="Z179:Z189">
    <cfRule type="containsText" priority="521" operator="containsText" dxfId="12" text="▲">
      <formula>NOT(ISERROR(SEARCH("▲",Z179)))</formula>
    </cfRule>
    <cfRule type="containsText" priority="522" operator="containsText" dxfId="11" text="▼">
      <formula>NOT(ISERROR(SEARCH("▼",Z179)))</formula>
    </cfRule>
  </conditionalFormatting>
  <conditionalFormatting sqref="Z186">
    <cfRule type="containsText" priority="519" operator="containsText" dxfId="12" text="▲">
      <formula>NOT(ISERROR(SEARCH("▲",Z186)))</formula>
    </cfRule>
    <cfRule type="containsText" priority="520" operator="containsText" dxfId="11" text="▼">
      <formula>NOT(ISERROR(SEARCH("▼",Z186)))</formula>
    </cfRule>
  </conditionalFormatting>
  <conditionalFormatting sqref="Z187">
    <cfRule type="containsText" priority="517" operator="containsText" dxfId="12" text="▲">
      <formula>NOT(ISERROR(SEARCH("▲",Z187)))</formula>
    </cfRule>
    <cfRule type="containsText" priority="518" operator="containsText" dxfId="11" text="▼">
      <formula>NOT(ISERROR(SEARCH("▼",Z187)))</formula>
    </cfRule>
  </conditionalFormatting>
  <conditionalFormatting sqref="Z174">
    <cfRule type="containsText" priority="515" operator="containsText" dxfId="12" text="△">
      <formula>NOT(ISERROR(SEARCH("△",Z174)))</formula>
    </cfRule>
    <cfRule type="containsText" priority="516" operator="containsText" dxfId="11" text="▽">
      <formula>NOT(ISERROR(SEARCH("▽",Z174)))</formula>
    </cfRule>
    <cfRule type="containsText" priority="513" operator="containsText" dxfId="12" text="▲">
      <formula>NOT(ISERROR(SEARCH("▲",Z174)))</formula>
    </cfRule>
    <cfRule type="containsText" priority="514" operator="containsText" dxfId="11" text="▼">
      <formula>NOT(ISERROR(SEARCH("▼",Z174)))</formula>
    </cfRule>
    <cfRule type="cellIs" priority="511" operator="lessThan" dxfId="8">
      <formula>0</formula>
    </cfRule>
    <cfRule type="cellIs" priority="512" operator="greaterThan" dxfId="7">
      <formula>0</formula>
    </cfRule>
  </conditionalFormatting>
  <conditionalFormatting sqref="Z190">
    <cfRule type="containsText" priority="509" operator="containsText" dxfId="12" text="△">
      <formula>NOT(ISERROR(SEARCH("△",Z190)))</formula>
    </cfRule>
    <cfRule type="containsText" priority="510" operator="containsText" dxfId="11" text="▽">
      <formula>NOT(ISERROR(SEARCH("▽",Z190)))</formula>
    </cfRule>
    <cfRule type="cellIs" priority="507" operator="lessThan" dxfId="8">
      <formula>0</formula>
    </cfRule>
    <cfRule type="cellIs" priority="508" operator="greaterThan" dxfId="7">
      <formula>0</formula>
    </cfRule>
    <cfRule type="containsText" priority="505" operator="containsText" dxfId="12" text="▲">
      <formula>NOT(ISERROR(SEARCH("▲",Z190)))</formula>
    </cfRule>
    <cfRule type="containsText" priority="506" operator="containsText" dxfId="11" text="▼">
      <formula>NOT(ISERROR(SEARCH("▼",Z190)))</formula>
    </cfRule>
    <cfRule type="cellIs" priority="503" operator="lessThan" dxfId="8">
      <formula>0</formula>
    </cfRule>
    <cfRule type="cellIs" priority="504" operator="greaterThan" dxfId="7">
      <formula>0</formula>
    </cfRule>
    <cfRule type="containsText" priority="501" operator="containsText" dxfId="12" text="▲">
      <formula>NOT(ISERROR(SEARCH("▲",Z190)))</formula>
    </cfRule>
    <cfRule type="containsText" priority="502" operator="containsText" dxfId="11" text="▼">
      <formula>NOT(ISERROR(SEARCH("▼",Z190)))</formula>
    </cfRule>
    <cfRule type="containsText" priority="499" operator="containsText" dxfId="12" text="▲">
      <formula>NOT(ISERROR(SEARCH("▲",Z190)))</formula>
    </cfRule>
    <cfRule type="containsText" priority="500" operator="containsText" dxfId="11" text="▼">
      <formula>NOT(ISERROR(SEARCH("▼",Z190)))</formula>
    </cfRule>
    <cfRule type="containsText" priority="497" operator="containsText" dxfId="12" text="▲">
      <formula>NOT(ISERROR(SEARCH("▲",Z190)))</formula>
    </cfRule>
    <cfRule type="containsText" priority="498" operator="containsText" dxfId="11" text="▼">
      <formula>NOT(ISERROR(SEARCH("▼",Z190)))</formula>
    </cfRule>
    <cfRule type="containsText" priority="495" operator="containsText" dxfId="12" text="▲">
      <formula>NOT(ISERROR(SEARCH("▲",Z190)))</formula>
    </cfRule>
    <cfRule type="containsText" priority="496" operator="containsText" dxfId="11" text="▼">
      <formula>NOT(ISERROR(SEARCH("▼",Z190)))</formula>
    </cfRule>
    <cfRule type="containsText" priority="493" operator="containsText" dxfId="12" text="▲">
      <formula>NOT(ISERROR(SEARCH("▲",Z190)))</formula>
    </cfRule>
    <cfRule type="containsText" priority="494" operator="containsText" dxfId="11" text="▼">
      <formula>NOT(ISERROR(SEARCH("▼",Z190)))</formula>
    </cfRule>
  </conditionalFormatting>
  <conditionalFormatting sqref="AA221">
    <cfRule type="containsText" priority="491" operator="containsText" dxfId="12" text="△">
      <formula>NOT(ISERROR(SEARCH("△",AA221)))</formula>
    </cfRule>
    <cfRule type="containsText" priority="492" operator="containsText" dxfId="11" text="▽">
      <formula>NOT(ISERROR(SEARCH("▽",AA221)))</formula>
    </cfRule>
    <cfRule type="containsText" priority="489" operator="containsText" dxfId="12" text="▲">
      <formula>NOT(ISERROR(SEARCH("▲",AA221)))</formula>
    </cfRule>
    <cfRule type="containsText" priority="490" operator="containsText" dxfId="11" text="▼">
      <formula>NOT(ISERROR(SEARCH("▼",AA221)))</formula>
    </cfRule>
  </conditionalFormatting>
  <conditionalFormatting sqref="AA222">
    <cfRule type="containsText" priority="487" operator="containsText" dxfId="12" text="△">
      <formula>NOT(ISERROR(SEARCH("△",AA222)))</formula>
    </cfRule>
    <cfRule type="containsText" priority="488" operator="containsText" dxfId="11" text="▽">
      <formula>NOT(ISERROR(SEARCH("▽",AA222)))</formula>
    </cfRule>
    <cfRule type="containsText" priority="485" operator="containsText" dxfId="12" text="▲">
      <formula>NOT(ISERROR(SEARCH("▲",AA222)))</formula>
    </cfRule>
    <cfRule type="containsText" priority="486" operator="containsText" dxfId="11" text="▼">
      <formula>NOT(ISERROR(SEARCH("▼",AA222)))</formula>
    </cfRule>
    <cfRule type="containsText" priority="483" operator="containsText" dxfId="12" text="▲">
      <formula>NOT(ISERROR(SEARCH("▲",AA222)))</formula>
    </cfRule>
    <cfRule type="containsText" priority="484" operator="containsText" dxfId="11" text="▼">
      <formula>NOT(ISERROR(SEARCH("▼",AA222)))</formula>
    </cfRule>
    <cfRule type="containsText" priority="481" operator="containsText" dxfId="12" text="▲">
      <formula>NOT(ISERROR(SEARCH("▲",AA222)))</formula>
    </cfRule>
    <cfRule type="containsText" priority="482" operator="containsText" dxfId="11" text="▼">
      <formula>NOT(ISERROR(SEARCH("▼",AA222)))</formula>
    </cfRule>
    <cfRule type="containsText" priority="479" operator="containsText" dxfId="12" text="▲">
      <formula>NOT(ISERROR(SEARCH("▲",AA222)))</formula>
    </cfRule>
    <cfRule type="containsText" priority="480" operator="containsText" dxfId="11" text="▼">
      <formula>NOT(ISERROR(SEARCH("▼",AA222)))</formula>
    </cfRule>
  </conditionalFormatting>
  <conditionalFormatting sqref="Z191:Z192">
    <cfRule type="containsText" priority="459" operator="containsText" dxfId="12" text="△">
      <formula>NOT(ISERROR(SEARCH("△",Z191)))</formula>
    </cfRule>
    <cfRule type="containsText" priority="460" operator="containsText" dxfId="11" text="▽">
      <formula>NOT(ISERROR(SEARCH("▽",Z191)))</formula>
    </cfRule>
  </conditionalFormatting>
  <conditionalFormatting sqref="Z191:Z216">
    <cfRule type="cellIs" priority="457" operator="lessThan" dxfId="8">
      <formula>0</formula>
    </cfRule>
    <cfRule type="cellIs" priority="458" operator="greaterThan" dxfId="7">
      <formula>0</formula>
    </cfRule>
  </conditionalFormatting>
  <conditionalFormatting sqref="Z191 Z199:Z216">
    <cfRule type="containsText" priority="455" operator="containsText" dxfId="12" text="▲">
      <formula>NOT(ISERROR(SEARCH("▲",Z191)))</formula>
    </cfRule>
    <cfRule type="containsText" priority="456" operator="containsText" dxfId="11" text="▼">
      <formula>NOT(ISERROR(SEARCH("▼",Z191)))</formula>
    </cfRule>
  </conditionalFormatting>
  <conditionalFormatting sqref="Z195:Z216">
    <cfRule type="containsText" priority="453" operator="containsText" dxfId="12" text="▲">
      <formula>NOT(ISERROR(SEARCH("▲",Z195)))</formula>
    </cfRule>
    <cfRule type="containsText" priority="454" operator="containsText" dxfId="11" text="▼">
      <formula>NOT(ISERROR(SEARCH("▼",Z195)))</formula>
    </cfRule>
  </conditionalFormatting>
  <conditionalFormatting sqref="Z192">
    <cfRule type="containsText" priority="451" operator="containsText" dxfId="12" text="▲">
      <formula>NOT(ISERROR(SEARCH("▲",Z192)))</formula>
    </cfRule>
    <cfRule type="containsText" priority="452" operator="containsText" dxfId="11" text="▼">
      <formula>NOT(ISERROR(SEARCH("▼",Z192)))</formula>
    </cfRule>
  </conditionalFormatting>
  <conditionalFormatting sqref="Z194:Z216">
    <cfRule type="containsText" priority="449" operator="containsText" dxfId="12" text="▲">
      <formula>NOT(ISERROR(SEARCH("▲",Z194)))</formula>
    </cfRule>
    <cfRule type="containsText" priority="450" operator="containsText" dxfId="11" text="▼">
      <formula>NOT(ISERROR(SEARCH("▼",Z194)))</formula>
    </cfRule>
  </conditionalFormatting>
  <conditionalFormatting sqref="Z193:Z216">
    <cfRule type="containsText" priority="447" operator="containsText" dxfId="12" text="▲">
      <formula>NOT(ISERROR(SEARCH("▲",Z193)))</formula>
    </cfRule>
    <cfRule type="containsText" priority="448" operator="containsText" dxfId="11" text="▼">
      <formula>NOT(ISERROR(SEARCH("▼",Z193)))</formula>
    </cfRule>
  </conditionalFormatting>
  <conditionalFormatting sqref="Z197:Z216">
    <cfRule type="containsText" priority="445" operator="containsText" dxfId="12" text="▲">
      <formula>NOT(ISERROR(SEARCH("▲",Z197)))</formula>
    </cfRule>
    <cfRule type="containsText" priority="446" operator="containsText" dxfId="11" text="▼">
      <formula>NOT(ISERROR(SEARCH("▼",Z197)))</formula>
    </cfRule>
  </conditionalFormatting>
  <conditionalFormatting sqref="Z196">
    <cfRule type="containsText" priority="443" operator="containsText" dxfId="12" text="▲">
      <formula>NOT(ISERROR(SEARCH("▲",Z196)))</formula>
    </cfRule>
    <cfRule type="containsText" priority="444" operator="containsText" dxfId="11" text="▼">
      <formula>NOT(ISERROR(SEARCH("▼",Z196)))</formula>
    </cfRule>
  </conditionalFormatting>
  <conditionalFormatting sqref="Z198:Z216">
    <cfRule type="containsText" priority="441" operator="containsText" dxfId="12" text="▲">
      <formula>NOT(ISERROR(SEARCH("▲",Z198)))</formula>
    </cfRule>
    <cfRule type="containsText" priority="442" operator="containsText" dxfId="11" text="▼">
      <formula>NOT(ISERROR(SEARCH("▼",Z198)))</formula>
    </cfRule>
  </conditionalFormatting>
  <conditionalFormatting sqref="Z211:Z216">
    <cfRule type="containsText" priority="439" operator="containsText" dxfId="12" text="▲">
      <formula>NOT(ISERROR(SEARCH("▲",Z211)))</formula>
    </cfRule>
    <cfRule type="containsText" priority="440" operator="containsText" dxfId="11" text="▼">
      <formula>NOT(ISERROR(SEARCH("▼",Z211)))</formula>
    </cfRule>
  </conditionalFormatting>
  <conditionalFormatting sqref="Z202">
    <cfRule type="containsText" priority="437" operator="containsText" dxfId="12" text="▲">
      <formula>NOT(ISERROR(SEARCH("▲",Z202)))</formula>
    </cfRule>
    <cfRule type="containsText" priority="438" operator="containsText" dxfId="11" text="▼">
      <formula>NOT(ISERROR(SEARCH("▼",Z202)))</formula>
    </cfRule>
  </conditionalFormatting>
  <conditionalFormatting sqref="Z203:Z216">
    <cfRule type="containsText" priority="435" operator="containsText" dxfId="12" text="▲">
      <formula>NOT(ISERROR(SEARCH("▲",Z203)))</formula>
    </cfRule>
    <cfRule type="containsText" priority="436" operator="containsText" dxfId="11" text="▼">
      <formula>NOT(ISERROR(SEARCH("▼",Z203)))</formula>
    </cfRule>
  </conditionalFormatting>
  <conditionalFormatting sqref="Z204:Z216">
    <cfRule type="containsText" priority="433" operator="containsText" dxfId="12" text="▲">
      <formula>NOT(ISERROR(SEARCH("▲",Z204)))</formula>
    </cfRule>
    <cfRule type="containsText" priority="434" operator="containsText" dxfId="11" text="▼">
      <formula>NOT(ISERROR(SEARCH("▼",Z204)))</formula>
    </cfRule>
  </conditionalFormatting>
  <conditionalFormatting sqref="Z201:Z216">
    <cfRule type="containsText" priority="431" operator="containsText" dxfId="12" text="▲">
      <formula>NOT(ISERROR(SEARCH("▲",Z201)))</formula>
    </cfRule>
    <cfRule type="containsText" priority="432" operator="containsText" dxfId="11" text="▼">
      <formula>NOT(ISERROR(SEARCH("▼",Z201)))</formula>
    </cfRule>
  </conditionalFormatting>
  <conditionalFormatting sqref="Z200:Z216">
    <cfRule type="containsText" priority="429" operator="containsText" dxfId="12" text="▲">
      <formula>NOT(ISERROR(SEARCH("▲",Z200)))</formula>
    </cfRule>
    <cfRule type="containsText" priority="430" operator="containsText" dxfId="11" text="▼">
      <formula>NOT(ISERROR(SEARCH("▼",Z200)))</formula>
    </cfRule>
  </conditionalFormatting>
  <conditionalFormatting sqref="Z214">
    <cfRule type="containsText" priority="427" operator="containsText" dxfId="12" text="▲">
      <formula>NOT(ISERROR(SEARCH("▲",Z214)))</formula>
    </cfRule>
    <cfRule type="containsText" priority="428" operator="containsText" dxfId="11" text="▼">
      <formula>NOT(ISERROR(SEARCH("▼",Z214)))</formula>
    </cfRule>
  </conditionalFormatting>
  <conditionalFormatting sqref="Z210:Z216">
    <cfRule type="containsText" priority="425" operator="containsText" dxfId="12" text="▲">
      <formula>NOT(ISERROR(SEARCH("▲",Z210)))</formula>
    </cfRule>
    <cfRule type="containsText" priority="426" operator="containsText" dxfId="11" text="▼">
      <formula>NOT(ISERROR(SEARCH("▼",Z210)))</formula>
    </cfRule>
  </conditionalFormatting>
  <conditionalFormatting sqref="Z213:Z216">
    <cfRule type="containsText" priority="423" operator="containsText" dxfId="12" text="▲">
      <formula>NOT(ISERROR(SEARCH("▲",Z213)))</formula>
    </cfRule>
    <cfRule type="containsText" priority="424" operator="containsText" dxfId="11" text="▼">
      <formula>NOT(ISERROR(SEARCH("▼",Z213)))</formula>
    </cfRule>
  </conditionalFormatting>
  <conditionalFormatting sqref="Z209">
    <cfRule type="containsText" priority="421" operator="containsText" dxfId="12" text="▲">
      <formula>NOT(ISERROR(SEARCH("▲",Z209)))</formula>
    </cfRule>
    <cfRule type="containsText" priority="422" operator="containsText" dxfId="11" text="▼">
      <formula>NOT(ISERROR(SEARCH("▼",Z209)))</formula>
    </cfRule>
  </conditionalFormatting>
  <conditionalFormatting sqref="Z205:Z216">
    <cfRule type="containsText" priority="419" operator="containsText" dxfId="12" text="▲">
      <formula>NOT(ISERROR(SEARCH("▲",Z205)))</formula>
    </cfRule>
    <cfRule type="containsText" priority="420" operator="containsText" dxfId="11" text="▼">
      <formula>NOT(ISERROR(SEARCH("▼",Z205)))</formula>
    </cfRule>
  </conditionalFormatting>
  <conditionalFormatting sqref="Z208:Z216">
    <cfRule type="containsText" priority="417" operator="containsText" dxfId="12" text="▲">
      <formula>NOT(ISERROR(SEARCH("▲",Z208)))</formula>
    </cfRule>
    <cfRule type="containsText" priority="418" operator="containsText" dxfId="11" text="▼">
      <formula>NOT(ISERROR(SEARCH("▼",Z208)))</formula>
    </cfRule>
  </conditionalFormatting>
  <conditionalFormatting sqref="Z212:Z216">
    <cfRule type="containsText" priority="415" operator="containsText" dxfId="12" text="▲">
      <formula>NOT(ISERROR(SEARCH("▲",Z212)))</formula>
    </cfRule>
    <cfRule type="containsText" priority="416" operator="containsText" dxfId="11" text="▼">
      <formula>NOT(ISERROR(SEARCH("▼",Z212)))</formula>
    </cfRule>
  </conditionalFormatting>
  <conditionalFormatting sqref="Z206:Z216">
    <cfRule type="containsText" priority="413" operator="containsText" dxfId="12" text="▲">
      <formula>NOT(ISERROR(SEARCH("▲",Z206)))</formula>
    </cfRule>
    <cfRule type="containsText" priority="414" operator="containsText" dxfId="11" text="▼">
      <formula>NOT(ISERROR(SEARCH("▼",Z206)))</formula>
    </cfRule>
  </conditionalFormatting>
  <conditionalFormatting sqref="Z207:Z216">
    <cfRule type="containsText" priority="411" operator="containsText" dxfId="12" text="▲">
      <formula>NOT(ISERROR(SEARCH("▲",Z207)))</formula>
    </cfRule>
    <cfRule type="containsText" priority="412" operator="containsText" dxfId="11" text="▼">
      <formula>NOT(ISERROR(SEARCH("▼",Z207)))</formula>
    </cfRule>
  </conditionalFormatting>
  <conditionalFormatting sqref="Z191">
    <cfRule type="containsText" priority="409" operator="containsText" dxfId="12" text="△">
      <formula>NOT(ISERROR(SEARCH("△",Z191)))</formula>
    </cfRule>
    <cfRule type="containsText" priority="410" operator="containsText" dxfId="11" text="▽">
      <formula>NOT(ISERROR(SEARCH("▽",Z191)))</formula>
    </cfRule>
    <cfRule type="containsText" priority="407" operator="containsText" dxfId="12" text="▲">
      <formula>NOT(ISERROR(SEARCH("▲",Z191)))</formula>
    </cfRule>
    <cfRule type="containsText" priority="408" operator="containsText" dxfId="11" text="▼">
      <formula>NOT(ISERROR(SEARCH("▼",Z191)))</formula>
    </cfRule>
    <cfRule type="cellIs" priority="405" operator="lessThan" dxfId="8">
      <formula>0</formula>
    </cfRule>
    <cfRule type="cellIs" priority="406" operator="greaterThan" dxfId="7">
      <formula>0</formula>
    </cfRule>
  </conditionalFormatting>
  <conditionalFormatting sqref="Z216">
    <cfRule type="cellIs" priority="403" operator="lessThan" dxfId="8">
      <formula>0</formula>
    </cfRule>
    <cfRule type="cellIs" priority="404" operator="greaterThan" dxfId="7">
      <formula>0</formula>
    </cfRule>
    <cfRule type="containsText" priority="401" operator="containsText" dxfId="12" text="▲">
      <formula>NOT(ISERROR(SEARCH("▲",Z216)))</formula>
    </cfRule>
    <cfRule type="containsText" priority="402" operator="containsText" dxfId="11" text="▼">
      <formula>NOT(ISERROR(SEARCH("▼",Z216)))</formula>
    </cfRule>
    <cfRule type="containsText" priority="399" operator="containsText" dxfId="12" text="▲">
      <formula>NOT(ISERROR(SEARCH("▲",Z216)))</formula>
    </cfRule>
    <cfRule type="containsText" priority="400" operator="containsText" dxfId="11" text="▼">
      <formula>NOT(ISERROR(SEARCH("▼",Z216)))</formula>
    </cfRule>
  </conditionalFormatting>
  <conditionalFormatting sqref="Z217:Z220">
    <cfRule type="containsText" priority="397" operator="containsText" dxfId="12" text="△">
      <formula>NOT(ISERROR(SEARCH("△",Z217)))</formula>
    </cfRule>
    <cfRule type="containsText" priority="398" operator="containsText" dxfId="11" text="▽">
      <formula>NOT(ISERROR(SEARCH("▽",Z217)))</formula>
    </cfRule>
    <cfRule type="cellIs" priority="395" operator="lessThan" dxfId="8">
      <formula>0</formula>
    </cfRule>
    <cfRule type="cellIs" priority="396" operator="greaterThan" dxfId="7">
      <formula>0</formula>
    </cfRule>
    <cfRule type="containsText" priority="393" operator="containsText" dxfId="12" text="▲">
      <formula>NOT(ISERROR(SEARCH("▲",Z217)))</formula>
    </cfRule>
    <cfRule type="containsText" priority="394" operator="containsText" dxfId="11" text="▼">
      <formula>NOT(ISERROR(SEARCH("▼",Z217)))</formula>
    </cfRule>
  </conditionalFormatting>
  <conditionalFormatting sqref="Z221">
    <cfRule type="containsText" priority="391" operator="containsText" dxfId="12" text="△">
      <formula>NOT(ISERROR(SEARCH("△",Z221)))</formula>
    </cfRule>
    <cfRule type="containsText" priority="392" operator="containsText" dxfId="11" text="▽">
      <formula>NOT(ISERROR(SEARCH("▽",Z221)))</formula>
    </cfRule>
    <cfRule type="cellIs" priority="389" operator="lessThan" dxfId="8">
      <formula>0</formula>
    </cfRule>
    <cfRule type="cellIs" priority="390" operator="greaterThan" dxfId="7">
      <formula>0</formula>
    </cfRule>
    <cfRule type="containsText" priority="387" operator="containsText" dxfId="12" text="▲">
      <formula>NOT(ISERROR(SEARCH("▲",Z221)))</formula>
    </cfRule>
    <cfRule type="containsText" priority="388" operator="containsText" dxfId="11" text="▼">
      <formula>NOT(ISERROR(SEARCH("▼",Z221)))</formula>
    </cfRule>
  </conditionalFormatting>
  <conditionalFormatting sqref="Z222">
    <cfRule type="containsText" priority="385" operator="containsText" dxfId="12" text="△">
      <formula>NOT(ISERROR(SEARCH("△",Z222)))</formula>
    </cfRule>
    <cfRule type="containsText" priority="386" operator="containsText" dxfId="11" text="▽">
      <formula>NOT(ISERROR(SEARCH("▽",Z222)))</formula>
    </cfRule>
    <cfRule type="cellIs" priority="383" operator="lessThan" dxfId="8">
      <formula>0</formula>
    </cfRule>
    <cfRule type="cellIs" priority="384" operator="greaterThan" dxfId="7">
      <formula>0</formula>
    </cfRule>
    <cfRule type="containsText" priority="381" operator="containsText" dxfId="12" text="▲">
      <formula>NOT(ISERROR(SEARCH("▲",Z222)))</formula>
    </cfRule>
    <cfRule type="containsText" priority="382" operator="containsText" dxfId="11" text="▼">
      <formula>NOT(ISERROR(SEARCH("▼",Z222)))</formula>
    </cfRule>
    <cfRule type="containsText" priority="379" operator="containsText" dxfId="12" text="▲">
      <formula>NOT(ISERROR(SEARCH("▲",Z222)))</formula>
    </cfRule>
    <cfRule type="containsText" priority="380" operator="containsText" dxfId="11" text="▼">
      <formula>NOT(ISERROR(SEARCH("▼",Z222)))</formula>
    </cfRule>
    <cfRule type="containsText" priority="377" operator="containsText" dxfId="12" text="▲">
      <formula>NOT(ISERROR(SEARCH("▲",Z222)))</formula>
    </cfRule>
    <cfRule type="containsText" priority="378" operator="containsText" dxfId="11" text="▼">
      <formula>NOT(ISERROR(SEARCH("▼",Z222)))</formula>
    </cfRule>
    <cfRule type="containsText" priority="375" operator="containsText" dxfId="12" text="▲">
      <formula>NOT(ISERROR(SEARCH("▲",Z222)))</formula>
    </cfRule>
    <cfRule type="containsText" priority="376" operator="containsText" dxfId="11" text="▼">
      <formula>NOT(ISERROR(SEARCH("▼",Z222)))</formula>
    </cfRule>
  </conditionalFormatting>
  <conditionalFormatting sqref="Z223">
    <cfRule type="cellIs" priority="373" operator="lessThan" dxfId="8">
      <formula>0</formula>
    </cfRule>
    <cfRule type="cellIs" priority="374" operator="greaterThan" dxfId="7">
      <formula>0</formula>
    </cfRule>
    <cfRule type="containsText" priority="371" operator="containsText" dxfId="12" text="▲">
      <formula>NOT(ISERROR(SEARCH("▲",Z223)))</formula>
    </cfRule>
    <cfRule type="containsText" priority="372" operator="containsText" dxfId="11" text="▼">
      <formula>NOT(ISERROR(SEARCH("▼",Z223)))</formula>
    </cfRule>
    <cfRule type="containsText" priority="369" operator="containsText" dxfId="12" text="▲">
      <formula>NOT(ISERROR(SEARCH("▲",Z223)))</formula>
    </cfRule>
    <cfRule type="containsText" priority="370" operator="containsText" dxfId="11" text="▼">
      <formula>NOT(ISERROR(SEARCH("▼",Z223)))</formula>
    </cfRule>
  </conditionalFormatting>
  <conditionalFormatting sqref="Z224">
    <cfRule type="cellIs" priority="367" operator="lessThan" dxfId="8">
      <formula>0</formula>
    </cfRule>
    <cfRule type="cellIs" priority="368" operator="greaterThan" dxfId="7">
      <formula>0</formula>
    </cfRule>
    <cfRule type="containsText" priority="365" operator="containsText" dxfId="12" text="▲">
      <formula>NOT(ISERROR(SEARCH("▲",Z224)))</formula>
    </cfRule>
    <cfRule type="containsText" priority="366" operator="containsText" dxfId="11" text="▼">
      <formula>NOT(ISERROR(SEARCH("▼",Z224)))</formula>
    </cfRule>
    <cfRule type="containsText" priority="363" operator="containsText" dxfId="12" text="▲">
      <formula>NOT(ISERROR(SEARCH("▲",Z224)))</formula>
    </cfRule>
    <cfRule type="containsText" priority="364" operator="containsText" dxfId="11" text="▼">
      <formula>NOT(ISERROR(SEARCH("▼",Z224)))</formula>
    </cfRule>
  </conditionalFormatting>
  <conditionalFormatting sqref="Z226:Z249">
    <cfRule type="containsText" priority="361" operator="containsText" dxfId="12" text="△">
      <formula>NOT(ISERROR(SEARCH("△",Z226)))</formula>
    </cfRule>
    <cfRule type="containsText" priority="362" operator="containsText" dxfId="11" text="▽">
      <formula>NOT(ISERROR(SEARCH("▽",Z226)))</formula>
    </cfRule>
  </conditionalFormatting>
  <conditionalFormatting sqref="Z226:Z258">
    <cfRule type="cellIs" priority="359" operator="lessThan" dxfId="8">
      <formula>0</formula>
    </cfRule>
    <cfRule type="cellIs" priority="360" operator="greaterThan" dxfId="7">
      <formula>0</formula>
    </cfRule>
    <cfRule type="containsText" priority="357" operator="containsText" dxfId="12" text="▲">
      <formula>NOT(ISERROR(SEARCH("▲",Z226)))</formula>
    </cfRule>
    <cfRule type="containsText" priority="358" operator="containsText" dxfId="11" text="▼">
      <formula>NOT(ISERROR(SEARCH("▼",Z226)))</formula>
    </cfRule>
  </conditionalFormatting>
  <conditionalFormatting sqref="Z246:Z249">
    <cfRule type="containsText" priority="355" operator="containsText" dxfId="12" text="▲">
      <formula>NOT(ISERROR(SEARCH("▲",Z246)))</formula>
    </cfRule>
    <cfRule type="containsText" priority="356" operator="containsText" dxfId="11" text="▼">
      <formula>NOT(ISERROR(SEARCH("▼",Z246)))</formula>
    </cfRule>
  </conditionalFormatting>
  <conditionalFormatting sqref="Z245:Z249">
    <cfRule type="containsText" priority="353" operator="containsText" dxfId="12" text="▲">
      <formula>NOT(ISERROR(SEARCH("▲",Z245)))</formula>
    </cfRule>
    <cfRule type="containsText" priority="354" operator="containsText" dxfId="11" text="▼">
      <formula>NOT(ISERROR(SEARCH("▼",Z245)))</formula>
    </cfRule>
  </conditionalFormatting>
  <conditionalFormatting sqref="Z236">
    <cfRule type="containsText" priority="351" operator="containsText" dxfId="12" text="▲">
      <formula>NOT(ISERROR(SEARCH("▲",Z236)))</formula>
    </cfRule>
    <cfRule type="containsText" priority="352" operator="containsText" dxfId="11" text="▼">
      <formula>NOT(ISERROR(SEARCH("▼",Z236)))</formula>
    </cfRule>
    <cfRule type="containsText" priority="349" operator="containsText" dxfId="12" text="▲">
      <formula>NOT(ISERROR(SEARCH("▲",Z236)))</formula>
    </cfRule>
    <cfRule type="containsText" priority="350" operator="containsText" dxfId="11" text="▼">
      <formula>NOT(ISERROR(SEARCH("▼",Z236)))</formula>
    </cfRule>
  </conditionalFormatting>
  <conditionalFormatting sqref="Z232">
    <cfRule type="containsText" priority="347" operator="containsText" dxfId="12" text="▲">
      <formula>NOT(ISERROR(SEARCH("▲",Z232)))</formula>
    </cfRule>
    <cfRule type="containsText" priority="348" operator="containsText" dxfId="11" text="▼">
      <formula>NOT(ISERROR(SEARCH("▼",Z232)))</formula>
    </cfRule>
  </conditionalFormatting>
  <conditionalFormatting sqref="Z244">
    <cfRule type="containsText" priority="345" operator="containsText" dxfId="12" text="▲">
      <formula>NOT(ISERROR(SEARCH("▲",Z244)))</formula>
    </cfRule>
    <cfRule type="containsText" priority="346" operator="containsText" dxfId="11" text="▼">
      <formula>NOT(ISERROR(SEARCH("▼",Z244)))</formula>
    </cfRule>
  </conditionalFormatting>
  <conditionalFormatting sqref="Z243:Z249">
    <cfRule type="containsText" priority="343" operator="containsText" dxfId="12" text="▲">
      <formula>NOT(ISERROR(SEARCH("▲",Z243)))</formula>
    </cfRule>
    <cfRule type="containsText" priority="344" operator="containsText" dxfId="11" text="▼">
      <formula>NOT(ISERROR(SEARCH("▼",Z243)))</formula>
    </cfRule>
  </conditionalFormatting>
  <conditionalFormatting sqref="Z247:Z249">
    <cfRule type="containsText" priority="341" operator="containsText" dxfId="12" text="▲">
      <formula>NOT(ISERROR(SEARCH("▲",Z247)))</formula>
    </cfRule>
    <cfRule type="containsText" priority="342" operator="containsText" dxfId="11" text="▼">
      <formula>NOT(ISERROR(SEARCH("▼",Z247)))</formula>
    </cfRule>
  </conditionalFormatting>
  <conditionalFormatting sqref="Z259:Z270">
    <cfRule type="cellIs" priority="339" operator="lessThan" dxfId="8">
      <formula>0</formula>
    </cfRule>
    <cfRule type="cellIs" priority="340" operator="greaterThan" dxfId="7">
      <formula>0</formula>
    </cfRule>
    <cfRule type="containsText" priority="337" operator="containsText" dxfId="12" text="▲">
      <formula>NOT(ISERROR(SEARCH("▲",Z259)))</formula>
    </cfRule>
    <cfRule type="containsText" priority="338" operator="containsText" dxfId="11" text="▼">
      <formula>NOT(ISERROR(SEARCH("▼",Z259)))</formula>
    </cfRule>
  </conditionalFormatting>
  <conditionalFormatting sqref="Z273">
    <cfRule type="cellIs" priority="329" operator="lessThan" dxfId="8">
      <formula>0</formula>
    </cfRule>
    <cfRule type="cellIs" priority="330" operator="greaterThan" dxfId="7">
      <formula>0</formula>
    </cfRule>
  </conditionalFormatting>
  <conditionalFormatting sqref="Z273:AA273">
    <cfRule type="containsText" priority="327" operator="containsText" dxfId="12" text="▲">
      <formula>NOT(ISERROR(SEARCH("▲",Z273)))</formula>
    </cfRule>
    <cfRule type="containsText" priority="328" operator="containsText" dxfId="11" text="▼">
      <formula>NOT(ISERROR(SEARCH("▼",Z273)))</formula>
    </cfRule>
  </conditionalFormatting>
  <conditionalFormatting sqref="Z276:AA276">
    <cfRule type="containsText" priority="317" operator="containsText" dxfId="12" text="▲">
      <formula>NOT(ISERROR(SEARCH("▲",Z276)))</formula>
    </cfRule>
    <cfRule type="containsText" priority="318" operator="containsText" dxfId="11" text="▼">
      <formula>NOT(ISERROR(SEARCH("▼",Z276)))</formula>
    </cfRule>
  </conditionalFormatting>
  <conditionalFormatting sqref="Z277:AA277">
    <cfRule type="containsText" priority="315" operator="containsText" dxfId="12" text="▲">
      <formula>NOT(ISERROR(SEARCH("▲",Z277)))</formula>
    </cfRule>
    <cfRule type="containsText" priority="316" operator="containsText" dxfId="11" text="▼">
      <formula>NOT(ISERROR(SEARCH("▼",Z277)))</formula>
    </cfRule>
  </conditionalFormatting>
  <conditionalFormatting sqref="Z281:AA281">
    <cfRule type="containsText" priority="311" operator="containsText" dxfId="12" text="▲">
      <formula>NOT(ISERROR(SEARCH("▲",Z281)))</formula>
    </cfRule>
    <cfRule type="containsText" priority="312" operator="containsText" dxfId="11" text="▼">
      <formula>NOT(ISERROR(SEARCH("▼",Z281)))</formula>
    </cfRule>
  </conditionalFormatting>
  <conditionalFormatting sqref="Z282:AA282">
    <cfRule type="containsText" priority="309" operator="containsText" dxfId="12" text="▲">
      <formula>NOT(ISERROR(SEARCH("▲",Z282)))</formula>
    </cfRule>
    <cfRule type="containsText" priority="310" operator="containsText" dxfId="11" text="▼">
      <formula>NOT(ISERROR(SEARCH("▼",Z282)))</formula>
    </cfRule>
  </conditionalFormatting>
  <conditionalFormatting sqref="Z283:AA283">
    <cfRule type="containsText" priority="307" operator="containsText" dxfId="12" text="▲">
      <formula>NOT(ISERROR(SEARCH("▲",Z283)))</formula>
    </cfRule>
    <cfRule type="containsText" priority="308" operator="containsText" dxfId="11" text="▼">
      <formula>NOT(ISERROR(SEARCH("▼",Z283)))</formula>
    </cfRule>
  </conditionalFormatting>
  <conditionalFormatting sqref="Z283">
    <cfRule type="containsText" priority="305" operator="containsText" dxfId="12" text="▲">
      <formula>NOT(ISERROR(SEARCH("▲",Z283)))</formula>
    </cfRule>
    <cfRule type="containsText" priority="306" operator="containsText" dxfId="11" text="▼">
      <formula>NOT(ISERROR(SEARCH("▼",Z283)))</formula>
    </cfRule>
    <cfRule type="cellIs" priority="299" operator="lessThan" dxfId="8">
      <formula>0</formula>
    </cfRule>
    <cfRule type="cellIs" priority="300" operator="greaterThan" dxfId="7">
      <formula>0</formula>
    </cfRule>
  </conditionalFormatting>
  <conditionalFormatting sqref="AA283">
    <cfRule type="containsText" priority="303" operator="containsText" dxfId="12" text="△">
      <formula>NOT(ISERROR(SEARCH("△",AA283)))</formula>
    </cfRule>
    <cfRule type="containsText" priority="304" operator="containsText" dxfId="11" text="▽">
      <formula>NOT(ISERROR(SEARCH("▽",AA283)))</formula>
    </cfRule>
    <cfRule type="containsText" priority="301" operator="containsText" dxfId="12" text="△">
      <formula>NOT(ISERROR(SEARCH("△",AA283)))</formula>
    </cfRule>
    <cfRule type="containsText" priority="302" operator="containsText" dxfId="11" text="▽">
      <formula>NOT(ISERROR(SEARCH("▽",AA283)))</formula>
    </cfRule>
  </conditionalFormatting>
  <conditionalFormatting sqref="Z294:Z306">
    <cfRule type="cellIs" priority="277" operator="lessThan" dxfId="8">
      <formula>0</formula>
    </cfRule>
    <cfRule type="cellIs" priority="278" operator="greaterThan" dxfId="7">
      <formula>0</formula>
    </cfRule>
  </conditionalFormatting>
  <conditionalFormatting sqref="Z290:AA295 Z300:AA301 AA148 AA270">
    <cfRule type="containsText" priority="275" operator="containsText" dxfId="12" text="▲">
      <formula>NOT(ISERROR(SEARCH("▲",Z148)))</formula>
    </cfRule>
    <cfRule type="containsText" priority="276" operator="containsText" dxfId="11" text="▼">
      <formula>NOT(ISERROR(SEARCH("▼",Z148)))</formula>
    </cfRule>
  </conditionalFormatting>
  <conditionalFormatting sqref="Z290:Z293 AA148">
    <cfRule type="containsText" priority="273" operator="containsText" dxfId="12" text="▲">
      <formula>NOT(ISERROR(SEARCH("▲",Z148)))</formula>
    </cfRule>
    <cfRule type="containsText" priority="274" operator="containsText" dxfId="11" text="▼">
      <formula>NOT(ISERROR(SEARCH("▼",Z148)))</formula>
    </cfRule>
  </conditionalFormatting>
  <conditionalFormatting sqref="AA290">
    <cfRule type="containsText" priority="271" operator="containsText" dxfId="12" text="△">
      <formula>NOT(ISERROR(SEARCH("△",AA290)))</formula>
    </cfRule>
    <cfRule type="containsText" priority="272" operator="containsText" dxfId="11" text="▽">
      <formula>NOT(ISERROR(SEARCH("▽",AA290)))</formula>
    </cfRule>
    <cfRule type="containsText" priority="269" operator="containsText" dxfId="12" text="△">
      <formula>NOT(ISERROR(SEARCH("△",AA290)))</formula>
    </cfRule>
    <cfRule type="containsText" priority="270" operator="containsText" dxfId="11" text="▽">
      <formula>NOT(ISERROR(SEARCH("▽",AA290)))</formula>
    </cfRule>
  </conditionalFormatting>
  <conditionalFormatting sqref="AA292">
    <cfRule type="containsText" priority="267" operator="containsText" dxfId="12" text="△">
      <formula>NOT(ISERROR(SEARCH("△",AA292)))</formula>
    </cfRule>
    <cfRule type="containsText" priority="268" operator="containsText" dxfId="11" text="▽">
      <formula>NOT(ISERROR(SEARCH("▽",AA292)))</formula>
    </cfRule>
    <cfRule type="containsText" priority="265" operator="containsText" dxfId="12" text="△">
      <formula>NOT(ISERROR(SEARCH("△",AA292)))</formula>
    </cfRule>
    <cfRule type="containsText" priority="266" operator="containsText" dxfId="11" text="▽">
      <formula>NOT(ISERROR(SEARCH("▽",AA292)))</formula>
    </cfRule>
  </conditionalFormatting>
  <conditionalFormatting sqref="AA291">
    <cfRule type="containsText" priority="263" operator="containsText" dxfId="12" text="△">
      <formula>NOT(ISERROR(SEARCH("△",AA291)))</formula>
    </cfRule>
    <cfRule type="containsText" priority="264" operator="containsText" dxfId="11" text="▽">
      <formula>NOT(ISERROR(SEARCH("▽",AA291)))</formula>
    </cfRule>
    <cfRule type="containsText" priority="261" operator="containsText" dxfId="12" text="△">
      <formula>NOT(ISERROR(SEARCH("△",AA291)))</formula>
    </cfRule>
    <cfRule type="containsText" priority="262" operator="containsText" dxfId="11" text="▽">
      <formula>NOT(ISERROR(SEARCH("▽",AA291)))</formula>
    </cfRule>
  </conditionalFormatting>
  <conditionalFormatting sqref="AA293">
    <cfRule type="containsText" priority="259" operator="containsText" dxfId="12" text="△">
      <formula>NOT(ISERROR(SEARCH("△",AA293)))</formula>
    </cfRule>
    <cfRule type="containsText" priority="260" operator="containsText" dxfId="11" text="▽">
      <formula>NOT(ISERROR(SEARCH("▽",AA293)))</formula>
    </cfRule>
    <cfRule type="containsText" priority="257" operator="containsText" dxfId="12" text="△">
      <formula>NOT(ISERROR(SEARCH("△",AA293)))</formula>
    </cfRule>
    <cfRule type="containsText" priority="258" operator="containsText" dxfId="11" text="▽">
      <formula>NOT(ISERROR(SEARCH("▽",AA293)))</formula>
    </cfRule>
  </conditionalFormatting>
  <conditionalFormatting sqref="Z290:Z293">
    <cfRule type="cellIs" priority="255" operator="lessThan" dxfId="8">
      <formula>0</formula>
    </cfRule>
    <cfRule type="cellIs" priority="256" operator="greaterThan" dxfId="7">
      <formula>0</formula>
    </cfRule>
  </conditionalFormatting>
  <conditionalFormatting sqref="Z294:AA294">
    <cfRule type="containsText" priority="249" operator="containsText" dxfId="12" text="▲">
      <formula>NOT(ISERROR(SEARCH("▲",Z294)))</formula>
    </cfRule>
    <cfRule type="containsText" priority="250" operator="containsText" dxfId="11" text="▼">
      <formula>NOT(ISERROR(SEARCH("▼",Z294)))</formula>
    </cfRule>
  </conditionalFormatting>
  <conditionalFormatting sqref="Z297:AA297">
    <cfRule type="containsText" priority="245" operator="containsText" dxfId="12" text="▲">
      <formula>NOT(ISERROR(SEARCH("▲",Z297)))</formula>
    </cfRule>
    <cfRule type="containsText" priority="246" operator="containsText" dxfId="11" text="▼">
      <formula>NOT(ISERROR(SEARCH("▼",Z297)))</formula>
    </cfRule>
  </conditionalFormatting>
  <conditionalFormatting sqref="Z296:AA296">
    <cfRule type="containsText" priority="243" operator="containsText" dxfId="12" text="▲">
      <formula>NOT(ISERROR(SEARCH("▲",Z296)))</formula>
    </cfRule>
    <cfRule type="containsText" priority="244" operator="containsText" dxfId="11" text="▼">
      <formula>NOT(ISERROR(SEARCH("▼",Z296)))</formula>
    </cfRule>
  </conditionalFormatting>
  <conditionalFormatting sqref="Z299:AA299">
    <cfRule type="containsText" priority="241" operator="containsText" dxfId="12" text="▲">
      <formula>NOT(ISERROR(SEARCH("▲",Z299)))</formula>
    </cfRule>
    <cfRule type="containsText" priority="242" operator="containsText" dxfId="11" text="▼">
      <formula>NOT(ISERROR(SEARCH("▼",Z299)))</formula>
    </cfRule>
  </conditionalFormatting>
  <conditionalFormatting sqref="AA285:AA289">
    <cfRule type="containsText" priority="239" operator="containsText" dxfId="12" text="▲">
      <formula>NOT(ISERROR(SEARCH("▲",AA285)))</formula>
    </cfRule>
    <cfRule type="containsText" priority="240" operator="containsText" dxfId="11" text="▼">
      <formula>NOT(ISERROR(SEARCH("▼",AA285)))</formula>
    </cfRule>
  </conditionalFormatting>
  <conditionalFormatting sqref="AA286:AA289">
    <cfRule type="containsText" priority="237" operator="containsText" dxfId="12" text="▲">
      <formula>NOT(ISERROR(SEARCH("▲",AA286)))</formula>
    </cfRule>
    <cfRule type="containsText" priority="238" operator="containsText" dxfId="11" text="▼">
      <formula>NOT(ISERROR(SEARCH("▼",AA286)))</formula>
    </cfRule>
  </conditionalFormatting>
  <conditionalFormatting sqref="Z303:AA303">
    <cfRule type="containsText" priority="235" operator="containsText" dxfId="12" text="▲">
      <formula>NOT(ISERROR(SEARCH("▲",Z303)))</formula>
    </cfRule>
    <cfRule type="containsText" priority="236" operator="containsText" dxfId="11" text="▼">
      <formula>NOT(ISERROR(SEARCH("▼",Z303)))</formula>
    </cfRule>
  </conditionalFormatting>
  <conditionalFormatting sqref="Z302:AA302">
    <cfRule type="containsText" priority="233" operator="containsText" dxfId="12" text="▲">
      <formula>NOT(ISERROR(SEARCH("▲",Z302)))</formula>
    </cfRule>
    <cfRule type="containsText" priority="234" operator="containsText" dxfId="11" text="▼">
      <formula>NOT(ISERROR(SEARCH("▼",Z302)))</formula>
    </cfRule>
  </conditionalFormatting>
  <conditionalFormatting sqref="Z304:AA304">
    <cfRule type="containsText" priority="231" operator="containsText" dxfId="12" text="▲">
      <formula>NOT(ISERROR(SEARCH("▲",Z304)))</formula>
    </cfRule>
    <cfRule type="containsText" priority="232" operator="containsText" dxfId="11" text="▼">
      <formula>NOT(ISERROR(SEARCH("▼",Z304)))</formula>
    </cfRule>
  </conditionalFormatting>
  <conditionalFormatting sqref="Z298:AA298">
    <cfRule type="containsText" priority="229" operator="containsText" dxfId="12" text="▲">
      <formula>NOT(ISERROR(SEARCH("▲",Z298)))</formula>
    </cfRule>
    <cfRule type="containsText" priority="230" operator="containsText" dxfId="11" text="▼">
      <formula>NOT(ISERROR(SEARCH("▼",Z298)))</formula>
    </cfRule>
  </conditionalFormatting>
  <conditionalFormatting sqref="AA287:AA289">
    <cfRule type="containsText" priority="227" operator="containsText" dxfId="12" text="▲">
      <formula>NOT(ISERROR(SEARCH("▲",AA287)))</formula>
    </cfRule>
    <cfRule type="containsText" priority="228" operator="containsText" dxfId="11" text="▼">
      <formula>NOT(ISERROR(SEARCH("▼",AA287)))</formula>
    </cfRule>
  </conditionalFormatting>
  <conditionalFormatting sqref="Z305:AA305">
    <cfRule type="containsText" priority="225" operator="containsText" dxfId="12" text="▲">
      <formula>NOT(ISERROR(SEARCH("▲",Z305)))</formula>
    </cfRule>
    <cfRule type="containsText" priority="226" operator="containsText" dxfId="11" text="▼">
      <formula>NOT(ISERROR(SEARCH("▼",Z305)))</formula>
    </cfRule>
  </conditionalFormatting>
  <conditionalFormatting sqref="Z306:AA306">
    <cfRule type="containsText" priority="223" operator="containsText" dxfId="12" text="▲">
      <formula>NOT(ISERROR(SEARCH("▲",Z306)))</formula>
    </cfRule>
    <cfRule type="containsText" priority="224" operator="containsText" dxfId="11" text="▼">
      <formula>NOT(ISERROR(SEARCH("▼",Z306)))</formula>
    </cfRule>
  </conditionalFormatting>
  <conditionalFormatting sqref="Z307:AA307">
    <cfRule type="containsText" priority="221" operator="containsText" dxfId="12" text="▲">
      <formula>NOT(ISERROR(SEARCH("▲",Z307)))</formula>
    </cfRule>
    <cfRule type="containsText" priority="222" operator="containsText" dxfId="11" text="▼">
      <formula>NOT(ISERROR(SEARCH("▼",Z307)))</formula>
    </cfRule>
  </conditionalFormatting>
  <conditionalFormatting sqref="Z307">
    <cfRule type="containsText" priority="219" operator="containsText" dxfId="12" text="▲">
      <formula>NOT(ISERROR(SEARCH("▲",Z307)))</formula>
    </cfRule>
    <cfRule type="containsText" priority="220" operator="containsText" dxfId="11" text="▼">
      <formula>NOT(ISERROR(SEARCH("▼",Z307)))</formula>
    </cfRule>
    <cfRule type="cellIs" priority="213" operator="lessThan" dxfId="8">
      <formula>0</formula>
    </cfRule>
    <cfRule type="cellIs" priority="214" operator="greaterThan" dxfId="7">
      <formula>0</formula>
    </cfRule>
  </conditionalFormatting>
  <conditionalFormatting sqref="AA307">
    <cfRule type="containsText" priority="217" operator="containsText" dxfId="12" text="△">
      <formula>NOT(ISERROR(SEARCH("△",AA307)))</formula>
    </cfRule>
    <cfRule type="containsText" priority="218" operator="containsText" dxfId="11" text="▽">
      <formula>NOT(ISERROR(SEARCH("▽",AA307)))</formula>
    </cfRule>
    <cfRule type="containsText" priority="215" operator="containsText" dxfId="12" text="△">
      <formula>NOT(ISERROR(SEARCH("△",AA307)))</formula>
    </cfRule>
    <cfRule type="containsText" priority="216" operator="containsText" dxfId="11" text="▽">
      <formula>NOT(ISERROR(SEARCH("▽",AA307)))</formula>
    </cfRule>
  </conditionalFormatting>
  <conditionalFormatting sqref="Z308:AA308">
    <cfRule type="containsText" priority="211" operator="containsText" dxfId="12" text="▲">
      <formula>NOT(ISERROR(SEARCH("▲",Z308)))</formula>
    </cfRule>
    <cfRule type="containsText" priority="212" operator="containsText" dxfId="11" text="▼">
      <formula>NOT(ISERROR(SEARCH("▼",Z308)))</formula>
    </cfRule>
  </conditionalFormatting>
  <conditionalFormatting sqref="Z309:AA309">
    <cfRule type="containsText" priority="209" operator="containsText" dxfId="12" text="▲">
      <formula>NOT(ISERROR(SEARCH("▲",Z309)))</formula>
    </cfRule>
    <cfRule type="containsText" priority="210" operator="containsText" dxfId="11" text="▼">
      <formula>NOT(ISERROR(SEARCH("▼",Z309)))</formula>
    </cfRule>
  </conditionalFormatting>
  <conditionalFormatting sqref="Z310:AA310">
    <cfRule type="containsText" priority="207" operator="containsText" dxfId="12" text="▲">
      <formula>NOT(ISERROR(SEARCH("▲",Z310)))</formula>
    </cfRule>
    <cfRule type="containsText" priority="208" operator="containsText" dxfId="11" text="▼">
      <formula>NOT(ISERROR(SEARCH("▼",Z310)))</formula>
    </cfRule>
  </conditionalFormatting>
  <conditionalFormatting sqref="Z311:AA311">
    <cfRule type="containsText" priority="205" operator="containsText" dxfId="12" text="▲">
      <formula>NOT(ISERROR(SEARCH("▲",Z311)))</formula>
    </cfRule>
    <cfRule type="containsText" priority="206" operator="containsText" dxfId="11" text="▼">
      <formula>NOT(ISERROR(SEARCH("▼",Z311)))</formula>
    </cfRule>
  </conditionalFormatting>
  <conditionalFormatting sqref="AA289">
    <cfRule type="containsText" priority="203" operator="containsText" dxfId="12" text="▲">
      <formula>NOT(ISERROR(SEARCH("▲",AA289)))</formula>
    </cfRule>
    <cfRule type="containsText" priority="204" operator="containsText" dxfId="11" text="▼">
      <formula>NOT(ISERROR(SEARCH("▼",AA289)))</formula>
    </cfRule>
  </conditionalFormatting>
  <conditionalFormatting sqref="AA313">
    <cfRule type="containsText" priority="201" operator="containsText" dxfId="12" text="▲">
      <formula>NOT(ISERROR(SEARCH("▲",AA313)))</formula>
    </cfRule>
    <cfRule type="containsText" priority="202" operator="containsText" dxfId="11" text="▼">
      <formula>NOT(ISERROR(SEARCH("▼",AA313)))</formula>
    </cfRule>
  </conditionalFormatting>
  <conditionalFormatting sqref="Z327:Z328">
    <cfRule type="cellIs" priority="199" operator="lessThan" dxfId="8">
      <formula>0</formula>
    </cfRule>
    <cfRule type="cellIs" priority="200" operator="greaterThan" dxfId="7">
      <formula>0</formula>
    </cfRule>
    <cfRule type="containsText" priority="197" operator="containsText" dxfId="12" text="▲">
      <formula>NOT(ISERROR(SEARCH("▲",Z327)))</formula>
    </cfRule>
    <cfRule type="containsText" priority="198" operator="containsText" dxfId="11" text="▼">
      <formula>NOT(ISERROR(SEARCH("▼",Z327)))</formula>
    </cfRule>
  </conditionalFormatting>
  <conditionalFormatting sqref="Z327">
    <cfRule type="containsText" priority="195" operator="containsText" dxfId="12" text="△">
      <formula>NOT(ISERROR(SEARCH("△",Z327)))</formula>
    </cfRule>
    <cfRule type="containsText" priority="196" operator="containsText" dxfId="11" text="▽">
      <formula>NOT(ISERROR(SEARCH("▽",Z327)))</formula>
    </cfRule>
  </conditionalFormatting>
  <conditionalFormatting sqref="Z225">
    <cfRule type="cellIs" priority="193" operator="lessThan" dxfId="8">
      <formula>0</formula>
    </cfRule>
    <cfRule type="cellIs" priority="194" operator="greaterThan" dxfId="7">
      <formula>0</formula>
    </cfRule>
    <cfRule type="containsText" priority="191" operator="containsText" dxfId="12" text="▲">
      <formula>NOT(ISERROR(SEARCH("▲",Z225)))</formula>
    </cfRule>
    <cfRule type="containsText" priority="192" operator="containsText" dxfId="11" text="▼">
      <formula>NOT(ISERROR(SEARCH("▼",Z225)))</formula>
    </cfRule>
    <cfRule type="containsText" priority="189" operator="containsText" dxfId="12" text="▲">
      <formula>NOT(ISERROR(SEARCH("▲",Z225)))</formula>
    </cfRule>
    <cfRule type="containsText" priority="190" operator="containsText" dxfId="11" text="▼">
      <formula>NOT(ISERROR(SEARCH("▼",Z225)))</formula>
    </cfRule>
  </conditionalFormatting>
  <conditionalFormatting sqref="Z285:Z288">
    <cfRule type="containsText" priority="187" operator="containsText" dxfId="12" text="△">
      <formula>NOT(ISERROR(SEARCH("△",Z285)))</formula>
    </cfRule>
    <cfRule type="containsText" priority="188" operator="containsText" dxfId="11" text="▽">
      <formula>NOT(ISERROR(SEARCH("▽",Z285)))</formula>
    </cfRule>
    <cfRule type="cellIs" priority="185" operator="lessThan" dxfId="8">
      <formula>0</formula>
    </cfRule>
    <cfRule type="cellIs" priority="186" operator="greaterThan" dxfId="7">
      <formula>0</formula>
    </cfRule>
    <cfRule type="containsText" priority="183" operator="containsText" dxfId="12" text="▲">
      <formula>NOT(ISERROR(SEARCH("▲",Z285)))</formula>
    </cfRule>
    <cfRule type="containsText" priority="184" operator="containsText" dxfId="11" text="▼">
      <formula>NOT(ISERROR(SEARCH("▼",Z285)))</formula>
    </cfRule>
    <cfRule type="cellIs" priority="181" operator="lessThan" dxfId="8">
      <formula>0</formula>
    </cfRule>
    <cfRule type="cellIs" priority="182" operator="greaterThan" dxfId="7">
      <formula>0</formula>
    </cfRule>
    <cfRule type="containsText" priority="179" operator="containsText" dxfId="12" text="▲">
      <formula>NOT(ISERROR(SEARCH("▲",Z285)))</formula>
    </cfRule>
    <cfRule type="containsText" priority="180" operator="containsText" dxfId="11" text="▼">
      <formula>NOT(ISERROR(SEARCH("▼",Z285)))</formula>
    </cfRule>
    <cfRule type="cellIs" priority="177" operator="lessThan" dxfId="8">
      <formula>0</formula>
    </cfRule>
    <cfRule type="cellIs" priority="178" operator="greaterThan" dxfId="7">
      <formula>0</formula>
    </cfRule>
    <cfRule type="containsText" priority="175" operator="containsText" dxfId="12" text="▲">
      <formula>NOT(ISERROR(SEARCH("▲",Z285)))</formula>
    </cfRule>
    <cfRule type="containsText" priority="176" operator="containsText" dxfId="11" text="▼">
      <formula>NOT(ISERROR(SEARCH("▼",Z285)))</formula>
    </cfRule>
    <cfRule type="containsText" priority="173" operator="containsText" dxfId="12" text="▲">
      <formula>NOT(ISERROR(SEARCH("▲",Z285)))</formula>
    </cfRule>
    <cfRule type="containsText" priority="174" operator="containsText" dxfId="11" text="▼">
      <formula>NOT(ISERROR(SEARCH("▼",Z285)))</formula>
    </cfRule>
    <cfRule type="containsText" priority="171" operator="containsText" dxfId="12" text="▲">
      <formula>NOT(ISERROR(SEARCH("▲",Z285)))</formula>
    </cfRule>
    <cfRule type="containsText" priority="172" operator="containsText" dxfId="11" text="▼">
      <formula>NOT(ISERROR(SEARCH("▼",Z285)))</formula>
    </cfRule>
    <cfRule type="containsText" priority="169" operator="containsText" dxfId="12" text="▲">
      <formula>NOT(ISERROR(SEARCH("▲",Z285)))</formula>
    </cfRule>
    <cfRule type="containsText" priority="170" operator="containsText" dxfId="11" text="▼">
      <formula>NOT(ISERROR(SEARCH("▼",Z285)))</formula>
    </cfRule>
  </conditionalFormatting>
  <conditionalFormatting sqref="Z173">
    <cfRule type="containsText" priority="161" operator="containsText" dxfId="12" text="▲">
      <formula>NOT(ISERROR(SEARCH("▲",Z173)))</formula>
    </cfRule>
    <cfRule type="containsText" priority="162" operator="containsText" dxfId="11" text="▼">
      <formula>NOT(ISERROR(SEARCH("▼",Z173)))</formula>
    </cfRule>
    <cfRule type="containsText" priority="159" operator="containsText" dxfId="12" text="▲">
      <formula>NOT(ISERROR(SEARCH("▲",Z173)))</formula>
    </cfRule>
    <cfRule type="containsText" priority="160" operator="containsText" dxfId="11" text="▼">
      <formula>NOT(ISERROR(SEARCH("▼",Z173)))</formula>
    </cfRule>
    <cfRule type="cellIs" priority="157" operator="lessThan" dxfId="8">
      <formula>0</formula>
    </cfRule>
    <cfRule type="cellIs" priority="158" operator="greaterThan" dxfId="7">
      <formula>0</formula>
    </cfRule>
  </conditionalFormatting>
  <conditionalFormatting sqref="Z286:Z288">
    <cfRule type="containsText" priority="155" operator="containsText" dxfId="12" text="△">
      <formula>NOT(ISERROR(SEARCH("△",Z286)))</formula>
    </cfRule>
    <cfRule type="containsText" priority="156" operator="containsText" dxfId="11" text="▽">
      <formula>NOT(ISERROR(SEARCH("▽",Z286)))</formula>
    </cfRule>
    <cfRule type="cellIs" priority="153" operator="lessThan" dxfId="8">
      <formula>0</formula>
    </cfRule>
    <cfRule type="cellIs" priority="154" operator="greaterThan" dxfId="7">
      <formula>0</formula>
    </cfRule>
    <cfRule type="containsText" priority="151" operator="containsText" dxfId="12" text="▲">
      <formula>NOT(ISERROR(SEARCH("▲",Z286)))</formula>
    </cfRule>
    <cfRule type="containsText" priority="152" operator="containsText" dxfId="11" text="▼">
      <formula>NOT(ISERROR(SEARCH("▼",Z286)))</formula>
    </cfRule>
    <cfRule type="cellIs" priority="149" operator="lessThan" dxfId="8">
      <formula>0</formula>
    </cfRule>
    <cfRule type="cellIs" priority="150" operator="greaterThan" dxfId="7">
      <formula>0</formula>
    </cfRule>
    <cfRule type="containsText" priority="147" operator="containsText" dxfId="12" text="▲">
      <formula>NOT(ISERROR(SEARCH("▲",Z286)))</formula>
    </cfRule>
    <cfRule type="containsText" priority="148" operator="containsText" dxfId="11" text="▼">
      <formula>NOT(ISERROR(SEARCH("▼",Z286)))</formula>
    </cfRule>
    <cfRule type="cellIs" priority="145" operator="lessThan" dxfId="8">
      <formula>0</formula>
    </cfRule>
    <cfRule type="cellIs" priority="146" operator="greaterThan" dxfId="7">
      <formula>0</formula>
    </cfRule>
    <cfRule type="containsText" priority="143" operator="containsText" dxfId="12" text="▲">
      <formula>NOT(ISERROR(SEARCH("▲",Z286)))</formula>
    </cfRule>
    <cfRule type="containsText" priority="144" operator="containsText" dxfId="11" text="▼">
      <formula>NOT(ISERROR(SEARCH("▼",Z286)))</formula>
    </cfRule>
    <cfRule type="containsText" priority="141" operator="containsText" dxfId="12" text="▲">
      <formula>NOT(ISERROR(SEARCH("▲",Z286)))</formula>
    </cfRule>
    <cfRule type="containsText" priority="142" operator="containsText" dxfId="11" text="▼">
      <formula>NOT(ISERROR(SEARCH("▼",Z286)))</formula>
    </cfRule>
    <cfRule type="containsText" priority="139" operator="containsText" dxfId="12" text="▲">
      <formula>NOT(ISERROR(SEARCH("▲",Z286)))</formula>
    </cfRule>
    <cfRule type="containsText" priority="140" operator="containsText" dxfId="11" text="▼">
      <formula>NOT(ISERROR(SEARCH("▼",Z286)))</formula>
    </cfRule>
    <cfRule type="containsText" priority="137" operator="containsText" dxfId="12" text="▲">
      <formula>NOT(ISERROR(SEARCH("▲",Z286)))</formula>
    </cfRule>
    <cfRule type="containsText" priority="138" operator="containsText" dxfId="11" text="▼">
      <formula>NOT(ISERROR(SEARCH("▼",Z286)))</formula>
    </cfRule>
    <cfRule type="containsText" priority="135" operator="containsText" dxfId="12" text="▲">
      <formula>NOT(ISERROR(SEARCH("▲",Z286)))</formula>
    </cfRule>
    <cfRule type="containsText" priority="136" operator="containsText" dxfId="11" text="▼">
      <formula>NOT(ISERROR(SEARCH("▼",Z286)))</formula>
    </cfRule>
  </conditionalFormatting>
  <conditionalFormatting sqref="Z287:Z288">
    <cfRule type="containsText" priority="127" operator="containsText" dxfId="12" text="△">
      <formula>NOT(ISERROR(SEARCH("△",Z287)))</formula>
    </cfRule>
    <cfRule type="containsText" priority="128" operator="containsText" dxfId="11" text="▽">
      <formula>NOT(ISERROR(SEARCH("▽",Z287)))</formula>
    </cfRule>
    <cfRule type="cellIs" priority="125" operator="lessThan" dxfId="8">
      <formula>0</formula>
    </cfRule>
    <cfRule type="cellIs" priority="126" operator="greaterThan" dxfId="7">
      <formula>0</formula>
    </cfRule>
    <cfRule type="containsText" priority="123" operator="containsText" dxfId="12" text="▲">
      <formula>NOT(ISERROR(SEARCH("▲",Z287)))</formula>
    </cfRule>
    <cfRule type="containsText" priority="124" operator="containsText" dxfId="11" text="▼">
      <formula>NOT(ISERROR(SEARCH("▼",Z287)))</formula>
    </cfRule>
    <cfRule type="cellIs" priority="121" operator="lessThan" dxfId="8">
      <formula>0</formula>
    </cfRule>
    <cfRule type="cellIs" priority="122" operator="greaterThan" dxfId="7">
      <formula>0</formula>
    </cfRule>
    <cfRule type="containsText" priority="119" operator="containsText" dxfId="12" text="▲">
      <formula>NOT(ISERROR(SEARCH("▲",Z287)))</formula>
    </cfRule>
    <cfRule type="containsText" priority="120" operator="containsText" dxfId="11" text="▼">
      <formula>NOT(ISERROR(SEARCH("▼",Z287)))</formula>
    </cfRule>
    <cfRule type="cellIs" priority="117" operator="lessThan" dxfId="8">
      <formula>0</formula>
    </cfRule>
    <cfRule type="cellIs" priority="118" operator="greaterThan" dxfId="7">
      <formula>0</formula>
    </cfRule>
    <cfRule type="containsText" priority="115" operator="containsText" dxfId="12" text="▲">
      <formula>NOT(ISERROR(SEARCH("▲",Z287)))</formula>
    </cfRule>
    <cfRule type="containsText" priority="116" operator="containsText" dxfId="11" text="▼">
      <formula>NOT(ISERROR(SEARCH("▼",Z287)))</formula>
    </cfRule>
    <cfRule type="containsText" priority="113" operator="containsText" dxfId="12" text="▲">
      <formula>NOT(ISERROR(SEARCH("▲",Z287)))</formula>
    </cfRule>
    <cfRule type="containsText" priority="114" operator="containsText" dxfId="11" text="▼">
      <formula>NOT(ISERROR(SEARCH("▼",Z287)))</formula>
    </cfRule>
    <cfRule type="containsText" priority="111" operator="containsText" dxfId="12" text="▲">
      <formula>NOT(ISERROR(SEARCH("▲",Z287)))</formula>
    </cfRule>
    <cfRule type="containsText" priority="112" operator="containsText" dxfId="11" text="▼">
      <formula>NOT(ISERROR(SEARCH("▼",Z287)))</formula>
    </cfRule>
    <cfRule type="containsText" priority="109" operator="containsText" dxfId="12" text="▲">
      <formula>NOT(ISERROR(SEARCH("▲",Z287)))</formula>
    </cfRule>
    <cfRule type="containsText" priority="110" operator="containsText" dxfId="11" text="▼">
      <formula>NOT(ISERROR(SEARCH("▼",Z287)))</formula>
    </cfRule>
    <cfRule type="containsText" priority="107" operator="containsText" dxfId="12" text="▲">
      <formula>NOT(ISERROR(SEARCH("▲",Z287)))</formula>
    </cfRule>
    <cfRule type="containsText" priority="108" operator="containsText" dxfId="11" text="▼">
      <formula>NOT(ISERROR(SEARCH("▼",Z287)))</formula>
    </cfRule>
    <cfRule type="containsText" priority="105" operator="containsText" dxfId="12" text="▲">
      <formula>NOT(ISERROR(SEARCH("▲",Z287)))</formula>
    </cfRule>
    <cfRule type="containsText" priority="106" operator="containsText" dxfId="11" text="▼">
      <formula>NOT(ISERROR(SEARCH("▼",Z287)))</formula>
    </cfRule>
  </conditionalFormatting>
  <conditionalFormatting sqref="Z270">
    <cfRule type="cellIs" priority="103" operator="lessThan" dxfId="8">
      <formula>0</formula>
    </cfRule>
    <cfRule type="cellIs" priority="104" operator="greaterThan" dxfId="7">
      <formula>0</formula>
    </cfRule>
    <cfRule type="containsText" priority="101" operator="containsText" dxfId="12" text="▲">
      <formula>NOT(ISERROR(SEARCH("▲",Z270)))</formula>
    </cfRule>
    <cfRule type="containsText" priority="102" operator="containsText" dxfId="11" text="▼">
      <formula>NOT(ISERROR(SEARCH("▼",Z270)))</formula>
    </cfRule>
  </conditionalFormatting>
  <conditionalFormatting sqref="Z312:AA312">
    <cfRule type="containsText" priority="99" operator="containsText" dxfId="12" text="▲">
      <formula>NOT(ISERROR(SEARCH("▲",Z312)))</formula>
    </cfRule>
    <cfRule type="containsText" priority="100" operator="containsText" dxfId="11" text="▼">
      <formula>NOT(ISERROR(SEARCH("▼",Z312)))</formula>
    </cfRule>
  </conditionalFormatting>
  <conditionalFormatting sqref="Z313">
    <cfRule type="cellIs" priority="97" operator="lessThan" dxfId="8">
      <formula>0</formula>
    </cfRule>
    <cfRule type="cellIs" priority="98" operator="greaterThan" dxfId="7">
      <formula>0</formula>
    </cfRule>
    <cfRule type="containsText" priority="95" operator="containsText" dxfId="12" text="▲">
      <formula>NOT(ISERROR(SEARCH("▲",Z313)))</formula>
    </cfRule>
    <cfRule type="containsText" priority="96" operator="containsText" dxfId="11" text="▼">
      <formula>NOT(ISERROR(SEARCH("▼",Z313)))</formula>
    </cfRule>
  </conditionalFormatting>
  <conditionalFormatting sqref="Z148">
    <cfRule type="containsText" priority="93" operator="containsText" dxfId="12" text="▲">
      <formula>NOT(ISERROR(SEARCH("▲",Z148)))</formula>
    </cfRule>
    <cfRule type="containsText" priority="94" operator="containsText" dxfId="11" text="▼">
      <formula>NOT(ISERROR(SEARCH("▼",Z148)))</formula>
    </cfRule>
    <cfRule type="containsText" priority="91" operator="containsText" dxfId="12" text="▲">
      <formula>NOT(ISERROR(SEARCH("▲",Z148)))</formula>
    </cfRule>
    <cfRule type="containsText" priority="92" operator="containsText" dxfId="11" text="▼">
      <formula>NOT(ISERROR(SEARCH("▼",Z148)))</formula>
    </cfRule>
    <cfRule type="cellIs" priority="89" operator="lessThan" dxfId="8">
      <formula>0</formula>
    </cfRule>
    <cfRule type="cellIs" priority="90" operator="greaterThan" dxfId="7">
      <formula>0</formula>
    </cfRule>
  </conditionalFormatting>
  <conditionalFormatting sqref="Z314:Z318">
    <cfRule type="cellIs" priority="87" operator="lessThan" dxfId="8">
      <formula>0</formula>
    </cfRule>
    <cfRule type="cellIs" priority="88" operator="greaterThan" dxfId="7">
      <formula>0</formula>
    </cfRule>
  </conditionalFormatting>
  <conditionalFormatting sqref="Z314:AA314">
    <cfRule type="containsText" priority="85" operator="containsText" dxfId="12" text="▲">
      <formula>NOT(ISERROR(SEARCH("▲",Z314)))</formula>
    </cfRule>
    <cfRule type="containsText" priority="86" operator="containsText" dxfId="11" text="▼">
      <formula>NOT(ISERROR(SEARCH("▼",Z314)))</formula>
    </cfRule>
  </conditionalFormatting>
  <conditionalFormatting sqref="Z317:AA317">
    <cfRule type="containsText" priority="83" operator="containsText" dxfId="12" text="▲">
      <formula>NOT(ISERROR(SEARCH("▲",Z317)))</formula>
    </cfRule>
    <cfRule type="containsText" priority="84" operator="containsText" dxfId="11" text="▼">
      <formula>NOT(ISERROR(SEARCH("▼",Z317)))</formula>
    </cfRule>
  </conditionalFormatting>
  <conditionalFormatting sqref="Z315:AA315">
    <cfRule type="containsText" priority="81" operator="containsText" dxfId="12" text="▲">
      <formula>NOT(ISERROR(SEARCH("▲",Z315)))</formula>
    </cfRule>
    <cfRule type="containsText" priority="82" operator="containsText" dxfId="11" text="▼">
      <formula>NOT(ISERROR(SEARCH("▼",Z315)))</formula>
    </cfRule>
  </conditionalFormatting>
  <conditionalFormatting sqref="Z316:AA316">
    <cfRule type="containsText" priority="79" operator="containsText" dxfId="12" text="▲">
      <formula>NOT(ISERROR(SEARCH("▲",Z316)))</formula>
    </cfRule>
    <cfRule type="containsText" priority="80" operator="containsText" dxfId="11" text="▼">
      <formula>NOT(ISERROR(SEARCH("▼",Z316)))</formula>
    </cfRule>
  </conditionalFormatting>
  <conditionalFormatting sqref="Z318:AA318">
    <cfRule type="containsText" priority="77" operator="containsText" dxfId="12" text="▲">
      <formula>NOT(ISERROR(SEARCH("▲",Z318)))</formula>
    </cfRule>
    <cfRule type="containsText" priority="78" operator="containsText" dxfId="11" text="▼">
      <formula>NOT(ISERROR(SEARCH("▼",Z318)))</formula>
    </cfRule>
  </conditionalFormatting>
  <conditionalFormatting sqref="Z319:Z322">
    <cfRule type="cellIs" priority="73" operator="lessThan" dxfId="8">
      <formula>0</formula>
    </cfRule>
    <cfRule type="cellIs" priority="74" operator="greaterThan" dxfId="7">
      <formula>0</formula>
    </cfRule>
  </conditionalFormatting>
  <conditionalFormatting sqref="Z321:AA321">
    <cfRule type="containsText" priority="71" operator="containsText" dxfId="12" text="▲">
      <formula>NOT(ISERROR(SEARCH("▲",Z321)))</formula>
    </cfRule>
    <cfRule type="containsText" priority="72" operator="containsText" dxfId="11" text="▼">
      <formula>NOT(ISERROR(SEARCH("▼",Z321)))</formula>
    </cfRule>
  </conditionalFormatting>
  <conditionalFormatting sqref="Z319:AA319">
    <cfRule type="containsText" priority="69" operator="containsText" dxfId="12" text="▲">
      <formula>NOT(ISERROR(SEARCH("▲",Z319)))</formula>
    </cfRule>
    <cfRule type="containsText" priority="70" operator="containsText" dxfId="11" text="▼">
      <formula>NOT(ISERROR(SEARCH("▼",Z319)))</formula>
    </cfRule>
  </conditionalFormatting>
  <conditionalFormatting sqref="Z320:AA320">
    <cfRule type="containsText" priority="67" operator="containsText" dxfId="12" text="▲">
      <formula>NOT(ISERROR(SEARCH("▲",Z320)))</formula>
    </cfRule>
    <cfRule type="containsText" priority="68" operator="containsText" dxfId="11" text="▼">
      <formula>NOT(ISERROR(SEARCH("▼",Z320)))</formula>
    </cfRule>
  </conditionalFormatting>
  <conditionalFormatting sqref="Z322:AA322">
    <cfRule type="containsText" priority="65" operator="containsText" dxfId="12" text="▲">
      <formula>NOT(ISERROR(SEARCH("▲",Z322)))</formula>
    </cfRule>
    <cfRule type="containsText" priority="66" operator="containsText" dxfId="11" text="▼">
      <formula>NOT(ISERROR(SEARCH("▼",Z322)))</formula>
    </cfRule>
  </conditionalFormatting>
  <conditionalFormatting sqref="Z288:AA288 AA289">
    <cfRule type="containsText" priority="63" operator="containsText" dxfId="12" text="△">
      <formula>NOT(ISERROR(SEARCH("△",Z288)))</formula>
    </cfRule>
    <cfRule type="containsText" priority="64" operator="containsText" dxfId="11" text="▽">
      <formula>NOT(ISERROR(SEARCH("▽",Z288)))</formula>
    </cfRule>
    <cfRule type="containsText" priority="59" operator="containsText" dxfId="12" text="▲">
      <formula>NOT(ISERROR(SEARCH("▲",Z288)))</formula>
    </cfRule>
    <cfRule type="containsText" priority="60" operator="containsText" dxfId="11" text="▼">
      <formula>NOT(ISERROR(SEARCH("▼",Z288)))</formula>
    </cfRule>
    <cfRule type="containsText" priority="55" operator="containsText" dxfId="12" text="▲">
      <formula>NOT(ISERROR(SEARCH("▲",Z288)))</formula>
    </cfRule>
    <cfRule type="containsText" priority="56" operator="containsText" dxfId="11" text="▼">
      <formula>NOT(ISERROR(SEARCH("▼",Z288)))</formula>
    </cfRule>
    <cfRule type="containsText" priority="51" operator="containsText" dxfId="12" text="▲">
      <formula>NOT(ISERROR(SEARCH("▲",Z288)))</formula>
    </cfRule>
    <cfRule type="containsText" priority="52" operator="containsText" dxfId="11" text="▼">
      <formula>NOT(ISERROR(SEARCH("▼",Z288)))</formula>
    </cfRule>
    <cfRule type="containsText" priority="49" operator="containsText" dxfId="12" text="▲">
      <formula>NOT(ISERROR(SEARCH("▲",Z288)))</formula>
    </cfRule>
    <cfRule type="containsText" priority="50" operator="containsText" dxfId="11" text="▼">
      <formula>NOT(ISERROR(SEARCH("▼",Z288)))</formula>
    </cfRule>
    <cfRule type="containsText" priority="47" operator="containsText" dxfId="12" text="▲">
      <formula>NOT(ISERROR(SEARCH("▲",Z288)))</formula>
    </cfRule>
    <cfRule type="containsText" priority="48" operator="containsText" dxfId="11" text="▼">
      <formula>NOT(ISERROR(SEARCH("▼",Z288)))</formula>
    </cfRule>
    <cfRule type="containsText" priority="45" operator="containsText" dxfId="12" text="▲">
      <formula>NOT(ISERROR(SEARCH("▲",Z288)))</formula>
    </cfRule>
    <cfRule type="containsText" priority="46" operator="containsText" dxfId="11" text="▼">
      <formula>NOT(ISERROR(SEARCH("▼",Z288)))</formula>
    </cfRule>
    <cfRule type="containsText" priority="43" operator="containsText" dxfId="12" text="▲">
      <formula>NOT(ISERROR(SEARCH("▲",Z288)))</formula>
    </cfRule>
    <cfRule type="containsText" priority="44" operator="containsText" dxfId="11" text="▼">
      <formula>NOT(ISERROR(SEARCH("▼",Z288)))</formula>
    </cfRule>
    <cfRule type="containsText" priority="41" operator="containsText" dxfId="12" text="▲">
      <formula>NOT(ISERROR(SEARCH("▲",Z288)))</formula>
    </cfRule>
    <cfRule type="containsText" priority="42" operator="containsText" dxfId="11" text="▼">
      <formula>NOT(ISERROR(SEARCH("▼",Z288)))</formula>
    </cfRule>
    <cfRule type="containsText" priority="39" operator="containsText" dxfId="12" text="▲">
      <formula>NOT(ISERROR(SEARCH("▲",Z288)))</formula>
    </cfRule>
    <cfRule type="containsText" priority="40" operator="containsText" dxfId="11" text="▼">
      <formula>NOT(ISERROR(SEARCH("▼",Z288)))</formula>
    </cfRule>
  </conditionalFormatting>
  <conditionalFormatting sqref="Z288">
    <cfRule type="cellIs" priority="61" operator="lessThan" dxfId="8">
      <formula>0</formula>
    </cfRule>
    <cfRule type="cellIs" priority="62" operator="greaterThan" dxfId="7">
      <formula>0</formula>
    </cfRule>
    <cfRule type="cellIs" priority="57" operator="lessThan" dxfId="8">
      <formula>0</formula>
    </cfRule>
    <cfRule type="cellIs" priority="58" operator="greaterThan" dxfId="7">
      <formula>0</formula>
    </cfRule>
    <cfRule type="cellIs" priority="53" operator="lessThan" dxfId="8">
      <formula>0</formula>
    </cfRule>
    <cfRule type="cellIs" priority="54" operator="greaterThan" dxfId="7">
      <formula>0</formula>
    </cfRule>
  </conditionalFormatting>
  <conditionalFormatting sqref="Z323:Z326">
    <cfRule type="cellIs" priority="37" operator="lessThan" dxfId="8">
      <formula>0</formula>
    </cfRule>
    <cfRule type="cellIs" priority="38" operator="greaterThan" dxfId="7">
      <formula>0</formula>
    </cfRule>
  </conditionalFormatting>
  <conditionalFormatting sqref="Z323:AA323">
    <cfRule type="containsText" priority="35" operator="containsText" dxfId="12" text="▲">
      <formula>NOT(ISERROR(SEARCH("▲",Z323)))</formula>
    </cfRule>
    <cfRule type="containsText" priority="36" operator="containsText" dxfId="11" text="▼">
      <formula>NOT(ISERROR(SEARCH("▼",Z323)))</formula>
    </cfRule>
  </conditionalFormatting>
  <conditionalFormatting sqref="Z324:AA324">
    <cfRule type="containsText" priority="33" operator="containsText" dxfId="12" text="▲">
      <formula>NOT(ISERROR(SEARCH("▲",Z324)))</formula>
    </cfRule>
    <cfRule type="containsText" priority="34" operator="containsText" dxfId="11" text="▼">
      <formula>NOT(ISERROR(SEARCH("▼",Z324)))</formula>
    </cfRule>
  </conditionalFormatting>
  <conditionalFormatting sqref="Z325:AA325">
    <cfRule type="containsText" priority="31" operator="containsText" dxfId="12" text="▲">
      <formula>NOT(ISERROR(SEARCH("▲",Z325)))</formula>
    </cfRule>
    <cfRule type="containsText" priority="32" operator="containsText" dxfId="11" text="▼">
      <formula>NOT(ISERROR(SEARCH("▼",Z325)))</formula>
    </cfRule>
  </conditionalFormatting>
  <conditionalFormatting sqref="Z326:AA326">
    <cfRule type="containsText" priority="29" operator="containsText" dxfId="12" text="▲">
      <formula>NOT(ISERROR(SEARCH("▲",Z326)))</formula>
    </cfRule>
    <cfRule type="containsText" priority="30" operator="containsText" dxfId="11" text="▼">
      <formula>NOT(ISERROR(SEARCH("▼",Z326)))</formula>
    </cfRule>
  </conditionalFormatting>
  <conditionalFormatting sqref="Z289">
    <cfRule type="containsText" priority="27" operator="containsText" dxfId="12" text="△">
      <formula>NOT(ISERROR(SEARCH("△",Z289)))</formula>
    </cfRule>
    <cfRule type="containsText" priority="28" operator="containsText" dxfId="11" text="▽">
      <formula>NOT(ISERROR(SEARCH("▽",Z289)))</formula>
    </cfRule>
    <cfRule type="cellIs" priority="25" operator="lessThan" dxfId="8">
      <formula>0</formula>
    </cfRule>
    <cfRule type="cellIs" priority="26" operator="greaterThan" dxfId="7">
      <formula>0</formula>
    </cfRule>
    <cfRule type="containsText" priority="23" operator="containsText" dxfId="12" text="▲">
      <formula>NOT(ISERROR(SEARCH("▲",Z289)))</formula>
    </cfRule>
    <cfRule type="containsText" priority="24" operator="containsText" dxfId="11" text="▼">
      <formula>NOT(ISERROR(SEARCH("▼",Z289)))</formula>
    </cfRule>
    <cfRule type="cellIs" priority="21" operator="lessThan" dxfId="8">
      <formula>0</formula>
    </cfRule>
    <cfRule type="cellIs" priority="22" operator="greaterThan" dxfId="7">
      <formula>0</formula>
    </cfRule>
    <cfRule type="containsText" priority="19" operator="containsText" dxfId="12" text="▲">
      <formula>NOT(ISERROR(SEARCH("▲",Z289)))</formula>
    </cfRule>
    <cfRule type="containsText" priority="20" operator="containsText" dxfId="11" text="▼">
      <formula>NOT(ISERROR(SEARCH("▼",Z289)))</formula>
    </cfRule>
    <cfRule type="cellIs" priority="17" operator="lessThan" dxfId="8">
      <formula>0</formula>
    </cfRule>
    <cfRule type="cellIs" priority="18" operator="greaterThan" dxfId="7">
      <formula>0</formula>
    </cfRule>
    <cfRule type="containsText" priority="15" operator="containsText" dxfId="12" text="▲">
      <formula>NOT(ISERROR(SEARCH("▲",Z289)))</formula>
    </cfRule>
    <cfRule type="containsText" priority="16" operator="containsText" dxfId="11" text="▼">
      <formula>NOT(ISERROR(SEARCH("▼",Z289)))</formula>
    </cfRule>
    <cfRule type="containsText" priority="13" operator="containsText" dxfId="12" text="▲">
      <formula>NOT(ISERROR(SEARCH("▲",Z289)))</formula>
    </cfRule>
    <cfRule type="containsText" priority="14" operator="containsText" dxfId="11" text="▼">
      <formula>NOT(ISERROR(SEARCH("▼",Z289)))</formula>
    </cfRule>
    <cfRule type="containsText" priority="11" operator="containsText" dxfId="12" text="▲">
      <formula>NOT(ISERROR(SEARCH("▲",Z289)))</formula>
    </cfRule>
    <cfRule type="containsText" priority="12" operator="containsText" dxfId="11" text="▼">
      <formula>NOT(ISERROR(SEARCH("▼",Z289)))</formula>
    </cfRule>
    <cfRule type="containsText" priority="9" operator="containsText" dxfId="12" text="▲">
      <formula>NOT(ISERROR(SEARCH("▲",Z289)))</formula>
    </cfRule>
    <cfRule type="containsText" priority="10" operator="containsText" dxfId="11" text="▼">
      <formula>NOT(ISERROR(SEARCH("▼",Z289)))</formula>
    </cfRule>
    <cfRule type="containsText" priority="7" operator="containsText" dxfId="12" text="▲">
      <formula>NOT(ISERROR(SEARCH("▲",Z289)))</formula>
    </cfRule>
    <cfRule type="containsText" priority="8" operator="containsText" dxfId="11" text="▼">
      <formula>NOT(ISERROR(SEARCH("▼",Z289)))</formula>
    </cfRule>
    <cfRule type="containsText" priority="5" operator="containsText" dxfId="12" text="▲">
      <formula>NOT(ISERROR(SEARCH("▲",Z289)))</formula>
    </cfRule>
    <cfRule type="containsText" priority="6" operator="containsText" dxfId="11" text="▼">
      <formula>NOT(ISERROR(SEARCH("▼",Z289)))</formula>
    </cfRule>
    <cfRule type="containsText" priority="3" operator="containsText" dxfId="12" text="▲">
      <formula>NOT(ISERROR(SEARCH("▲",Z289)))</formula>
    </cfRule>
    <cfRule type="containsText" priority="4" operator="containsText" dxfId="11" text="▼">
      <formula>NOT(ISERROR(SEARCH("▼",Z289)))</formula>
    </cfRule>
    <cfRule type="containsText" priority="1" operator="containsText" dxfId="12" text="▲">
      <formula>NOT(ISERROR(SEARCH("▲",Z289)))</formula>
    </cfRule>
    <cfRule type="containsText" priority="2" operator="containsText" dxfId="11" text="▼">
      <formula>NOT(ISERROR(SEARCH("▼",Z289)))</formula>
    </cfRule>
  </conditionalFormatting>
  <pageMargins left="0.7" right="0.7" top="0.75" bottom="0.75" header="0.3" footer="0.3"/>
  <pageSetup orientation="portrait" paperSize="9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 codeName="Sheet21">
    <outlinePr summaryBelow="0" summaryRight="0"/>
    <pageSetUpPr/>
  </sheetPr>
  <dimension ref="A1:AD114"/>
  <sheetViews>
    <sheetView zoomScale="85" zoomScaleNormal="85" workbookViewId="0">
      <pane xSplit="4" ySplit="1" topLeftCell="E59" activePane="bottomRight" state="frozen"/>
      <selection activeCell="F42" sqref="F42"/>
      <selection pane="topRight" activeCell="F42" sqref="F42"/>
      <selection pane="bottomLeft" activeCell="F42" sqref="F42"/>
      <selection pane="bottomRight" activeCell="O96" sqref="O96"/>
    </sheetView>
  </sheetViews>
  <sheetFormatPr baseColWidth="8" defaultColWidth="9" defaultRowHeight="16.5" outlineLevelRow="2"/>
  <cols>
    <col width="11.125" customWidth="1" style="9" min="1" max="1"/>
    <col hidden="1" width="10" customWidth="1" style="9" min="2" max="2"/>
    <col width="11.375" customWidth="1" style="9" min="3" max="3"/>
    <col width="19.25" bestFit="1" customWidth="1" style="194" min="4" max="4"/>
    <col width="7.125" customWidth="1" style="9" min="5" max="5"/>
    <col width="9.125" customWidth="1" style="9" min="6" max="6"/>
    <col width="12.625" bestFit="1" customWidth="1" style="9" min="7" max="7"/>
    <col width="9.125" customWidth="1" style="9" min="8" max="8"/>
    <col collapsed="1" width="11.5" bestFit="1" customWidth="1" style="9" min="9" max="9"/>
    <col hidden="1" outlineLevel="1" width="9.375" customWidth="1" style="9" min="10" max="10"/>
    <col hidden="1" outlineLevel="1" width="13" customWidth="1" style="9" min="11" max="11"/>
    <col hidden="1" outlineLevel="1" width="9.625" customWidth="1" style="9" min="12" max="13"/>
    <col hidden="1" outlineLevel="1" width="9.125" customWidth="1" style="9" min="14" max="14"/>
    <col width="11.375" customWidth="1" style="9" min="15" max="15"/>
    <col width="13.375" customWidth="1" style="9" min="16" max="16"/>
    <col width="13.125" customWidth="1" style="9" min="17" max="17"/>
    <col collapsed="1" width="9.5" bestFit="1" customWidth="1" style="9" min="18" max="18"/>
    <col hidden="1" outlineLevel="1" width="11.625" customWidth="1" style="9" min="19" max="19"/>
    <col hidden="1" outlineLevel="1" width="18.625" customWidth="1" style="9" min="20" max="20"/>
    <col hidden="1" collapsed="1" width="18.625" customWidth="1" style="9" min="21" max="21"/>
    <col hidden="1" outlineLevel="1" width="12.375" customWidth="1" style="9" min="22" max="23"/>
    <col width="13.875" customWidth="1" style="9" min="24" max="24"/>
    <col width="13.375" bestFit="1" customWidth="1" style="9" min="25" max="25"/>
    <col width="14.5" bestFit="1" customWidth="1" style="9" min="26" max="26"/>
    <col width="12.875" customWidth="1" style="9" min="27" max="27"/>
    <col width="10" bestFit="1" customWidth="1" style="28" min="28" max="28"/>
    <col width="19.25" bestFit="1" customWidth="1" style="28" min="29" max="29"/>
    <col width="35.375" bestFit="1" customWidth="1" style="9" min="30" max="30"/>
    <col width="9" customWidth="1" style="9" min="31" max="16384"/>
  </cols>
  <sheetData>
    <row r="1" customFormat="1" s="8">
      <c r="A1" s="1" t="inlineStr">
        <is>
          <t>買進日期</t>
        </is>
      </c>
      <c r="B1" s="2" t="inlineStr">
        <is>
          <t>種類</t>
        </is>
      </c>
      <c r="C1" s="3" t="inlineStr">
        <is>
          <t>股票代號</t>
        </is>
      </c>
      <c r="D1" s="190" t="inlineStr">
        <is>
          <t>股票名稱</t>
        </is>
      </c>
      <c r="E1" s="4" t="inlineStr">
        <is>
          <t>股數</t>
        </is>
      </c>
      <c r="F1" s="4" t="inlineStr">
        <is>
          <t>買進價</t>
        </is>
      </c>
      <c r="G1" s="4" t="inlineStr">
        <is>
          <t>成交金額</t>
        </is>
      </c>
      <c r="H1" s="432" t="inlineStr">
        <is>
          <t>手續費</t>
        </is>
      </c>
      <c r="I1" s="210" t="inlineStr">
        <is>
          <t>賣出日期</t>
        </is>
      </c>
      <c r="J1" s="4" t="inlineStr">
        <is>
          <t>賣出價</t>
        </is>
      </c>
      <c r="K1" s="4" t="inlineStr">
        <is>
          <t>成交金額</t>
        </is>
      </c>
      <c r="L1" s="432" t="inlineStr">
        <is>
          <t>手續費</t>
        </is>
      </c>
      <c r="M1" s="432" t="inlineStr">
        <is>
          <t>交易稅</t>
        </is>
      </c>
      <c r="N1" s="3" t="inlineStr">
        <is>
          <t>證所稅</t>
        </is>
      </c>
      <c r="O1" s="4" t="inlineStr">
        <is>
          <t>參考現值</t>
        </is>
      </c>
      <c r="P1" s="433" t="inlineStr">
        <is>
          <t>已實現損益</t>
        </is>
      </c>
      <c r="Q1" s="4" t="inlineStr">
        <is>
          <t>未實現損益</t>
        </is>
      </c>
      <c r="R1" s="4" t="inlineStr">
        <is>
          <t>除息</t>
        </is>
      </c>
      <c r="S1" s="68" t="inlineStr">
        <is>
          <t>手續費</t>
        </is>
      </c>
      <c r="T1" s="68" t="inlineStr">
        <is>
          <t>健保補充保費</t>
        </is>
      </c>
      <c r="U1" s="68" t="inlineStr">
        <is>
          <t>實質扣抵稅率</t>
        </is>
      </c>
      <c r="V1" s="68" t="inlineStr">
        <is>
          <t>扣抵稅率</t>
        </is>
      </c>
      <c r="W1" s="68" t="inlineStr">
        <is>
          <t>所得稅率</t>
        </is>
      </c>
      <c r="X1" s="4" t="inlineStr">
        <is>
          <t>投資報酬率</t>
        </is>
      </c>
      <c r="Y1" s="4" t="inlineStr">
        <is>
          <t>今日股價</t>
        </is>
      </c>
      <c r="Z1" s="7" t="inlineStr">
        <is>
          <t>漲跌</t>
        </is>
      </c>
      <c r="AA1" s="89" t="n"/>
      <c r="AB1" s="276" t="inlineStr">
        <is>
          <t>分類</t>
        </is>
      </c>
      <c r="AC1" s="86" t="inlineStr">
        <is>
          <t>買進理由</t>
        </is>
      </c>
      <c r="AD1" s="86" t="inlineStr">
        <is>
          <t>賣出理由</t>
        </is>
      </c>
    </row>
    <row r="2" outlineLevel="1">
      <c r="A2" s="99" t="n">
        <v>45145</v>
      </c>
      <c r="B2" s="11" t="inlineStr">
        <is>
          <t>普通買進</t>
        </is>
      </c>
      <c r="C2" s="181" t="n">
        <v>6443</v>
      </c>
      <c r="D2" s="189">
        <f>VLOOKUP(C2,台股行情!A:B,2,FALSE)</f>
        <v/>
      </c>
      <c r="E2" s="11" t="n">
        <v>1000</v>
      </c>
      <c r="F2" s="11" t="n">
        <v>27.1</v>
      </c>
      <c r="G2" s="11">
        <f>E2*F2</f>
        <v/>
      </c>
      <c r="H2" s="11" t="n">
        <v>70</v>
      </c>
      <c r="I2" s="104" t="n">
        <v>45145</v>
      </c>
      <c r="J2" s="16" t="n">
        <v>30.6</v>
      </c>
      <c r="K2" s="11">
        <f>E2*J2</f>
        <v/>
      </c>
      <c r="L2" s="17" t="n">
        <v>43</v>
      </c>
      <c r="M2" s="11" t="n">
        <v>91</v>
      </c>
      <c r="N2" s="11" t="n">
        <v>0</v>
      </c>
      <c r="O2" s="434">
        <f>IF(I2="",E2*Y2,0)</f>
        <v/>
      </c>
      <c r="P2" s="435">
        <f>IF(I2="",R2-H2,(K2-H2-SUM(L2:N2)+R2-S2-T2)-G2)+(ROUND(R2*V2,0)-ROUND(R2*(1+V2),0)*W2)</f>
        <v/>
      </c>
      <c r="Q2" s="435">
        <f>IF(I2="",(O2-G2-(O2*0.1425%*0.65)-(O2*0.3%)-S2-T2),0)</f>
        <v/>
      </c>
      <c r="R2" s="435" t="n"/>
      <c r="S2" s="435" t="n">
        <v>50</v>
      </c>
      <c r="T2" s="435">
        <f>IF(ROUND(R2*(1+V2),0)&gt;20000,ROUND(ROUND(R2*(1+V2),0)*2%,0),0)</f>
        <v/>
      </c>
      <c r="U2" s="69">
        <f>(V2*50%)/(1+50%*V2)</f>
        <v/>
      </c>
      <c r="V2" s="69" t="n"/>
      <c r="W2" s="70" t="n"/>
      <c r="X2" s="436">
        <f>(P2+Q2)/G2</f>
        <v/>
      </c>
      <c r="Y2" s="16">
        <f>VLOOKUP(C2,台股行情!A:D,4,FALSE)</f>
        <v/>
      </c>
      <c r="Z2" s="437">
        <f>VLOOKUP(C2,台股行情!A:E,5,FALSE)</f>
        <v/>
      </c>
      <c r="AA2" s="500">
        <f>IF(I2="",((TODAY()-A2)*G2)/365.24,((1)*G2)/365.24)</f>
        <v/>
      </c>
      <c r="AB2" s="103" t="inlineStr">
        <is>
          <t>台股</t>
        </is>
      </c>
      <c r="AC2" s="103" t="inlineStr">
        <is>
          <t>抽籤</t>
        </is>
      </c>
    </row>
    <row r="3" outlineLevel="1">
      <c r="A3" s="99" t="n">
        <v>44551</v>
      </c>
      <c r="B3" s="11" t="inlineStr">
        <is>
          <t>普通買進</t>
        </is>
      </c>
      <c r="C3" s="11" t="n">
        <v>2330</v>
      </c>
      <c r="D3" s="189">
        <f>VLOOKUP(C3,台股行情!A:B,2,FALSE)</f>
        <v/>
      </c>
      <c r="E3" s="11" t="n">
        <v>100</v>
      </c>
      <c r="F3" s="11" t="n">
        <v>600</v>
      </c>
      <c r="G3" s="11">
        <f>E3*F3</f>
        <v/>
      </c>
      <c r="H3" s="11" t="n">
        <v>85</v>
      </c>
      <c r="I3" s="104" t="n">
        <v>45393</v>
      </c>
      <c r="J3" s="16" t="n">
        <v>815</v>
      </c>
      <c r="K3" s="11">
        <f>E3*J3</f>
        <v/>
      </c>
      <c r="L3" s="17" t="n">
        <v>116</v>
      </c>
      <c r="M3" s="11" t="n">
        <v>244</v>
      </c>
      <c r="N3" s="11" t="n">
        <v>0</v>
      </c>
      <c r="O3" s="434">
        <f>IF(I3="",E3*Y3,0)</f>
        <v/>
      </c>
      <c r="P3" s="435">
        <f>IF(I3="",R3-H3,(K3-H3-SUM(L3:N3)+R3-S3-T3)-G3)+(ROUND(R3*V3,0)-ROUND(R3*(1+V3),0)*W3)</f>
        <v/>
      </c>
      <c r="Q3" s="435">
        <f>IF(I3="",(O3-G3-(O3*0.1425%*0.65)-(O3*0.3%)-S3-T3),0)</f>
        <v/>
      </c>
      <c r="R3" s="435">
        <f>280+280+280+280+550+550+600+600+1049</f>
        <v/>
      </c>
      <c r="S3" s="435" t="n">
        <v>20</v>
      </c>
      <c r="T3" s="435">
        <f>IF(ROUND(R3*(1+V3),0)&gt;20000,ROUND(ROUND(R3*(1+V3),0)*2%,0),0)</f>
        <v/>
      </c>
      <c r="U3" s="69">
        <f>(V3*50%)/(1+50%*V3)</f>
        <v/>
      </c>
      <c r="V3" s="69" t="n"/>
      <c r="W3" s="70" t="n"/>
      <c r="X3" s="436">
        <f>(P3+Q3)/G3</f>
        <v/>
      </c>
      <c r="Y3" s="16">
        <f>VLOOKUP(C3,台股行情!A:D,4,FALSE)</f>
        <v/>
      </c>
      <c r="Z3" s="437">
        <f>VLOOKUP(C3,台股行情!A:E,5,FALSE)</f>
        <v/>
      </c>
      <c r="AA3" s="438">
        <f>IF(I3="",((TODAY()-A3)*G3)/365.24,((I3-A3)*G3)/365.24)</f>
        <v/>
      </c>
      <c r="AB3" s="103" t="inlineStr">
        <is>
          <t>台股</t>
        </is>
      </c>
      <c r="AC3" s="103" t="inlineStr">
        <is>
          <t>生日禮物</t>
        </is>
      </c>
    </row>
    <row r="4" outlineLevel="1">
      <c r="A4" s="99" t="n">
        <v>45279</v>
      </c>
      <c r="B4" s="11" t="inlineStr">
        <is>
          <t>普通買進</t>
        </is>
      </c>
      <c r="C4" s="11" t="n">
        <v>2330</v>
      </c>
      <c r="D4" s="189">
        <f>VLOOKUP(C4,台股行情!A:B,2,FALSE)</f>
        <v/>
      </c>
      <c r="E4" s="11" t="n">
        <v>100</v>
      </c>
      <c r="F4" s="11" t="n">
        <v>583</v>
      </c>
      <c r="G4" s="11">
        <f>E4*F4</f>
        <v/>
      </c>
      <c r="H4" s="11" t="n">
        <v>83</v>
      </c>
      <c r="I4" s="104" t="n">
        <v>45393</v>
      </c>
      <c r="J4" s="16" t="n">
        <v>815</v>
      </c>
      <c r="K4" s="11">
        <f>E4*J4</f>
        <v/>
      </c>
      <c r="L4" s="17" t="n">
        <v>116</v>
      </c>
      <c r="M4" s="11" t="n">
        <v>245</v>
      </c>
      <c r="N4" s="11" t="n">
        <v>0</v>
      </c>
      <c r="O4" s="434">
        <f>IF(I4="",E4*Y4,0)</f>
        <v/>
      </c>
      <c r="P4" s="435">
        <f>IF(I4="",R4-H4,(K4-H4-SUM(L4:N4)+R4-S4-T4)-G4)+(ROUND(R4*V4,0)-ROUND(R4*(1+V4),0)*W4)</f>
        <v/>
      </c>
      <c r="Q4" s="435">
        <f>IF(I4="",(O4-G4-(O4*0.1425%*0.65)-(O4*0.3%)-S4-T4),0)</f>
        <v/>
      </c>
      <c r="R4" s="435" t="n"/>
      <c r="S4" s="435" t="n">
        <v>20</v>
      </c>
      <c r="T4" s="435">
        <f>IF(ROUND(R4*(1+V4),0)&gt;20000,ROUND(ROUND(R4*(1+V4),0)*2%,0),0)</f>
        <v/>
      </c>
      <c r="U4" s="69">
        <f>(V4*50%)/(1+50%*V4)</f>
        <v/>
      </c>
      <c r="V4" s="69" t="n"/>
      <c r="W4" s="70" t="n"/>
      <c r="X4" s="436">
        <f>(P4+Q4)/G4</f>
        <v/>
      </c>
      <c r="Y4" s="16">
        <f>VLOOKUP(C4,台股行情!A:D,4,FALSE)</f>
        <v/>
      </c>
      <c r="Z4" s="437">
        <f>VLOOKUP(C4,台股行情!A:E,5,FALSE)</f>
        <v/>
      </c>
      <c r="AA4" s="438">
        <f>IF(I4="",((TODAY()-A4)*G4)/365.24,((I4-A4)*G4)/365.24)</f>
        <v/>
      </c>
      <c r="AB4" s="103" t="inlineStr">
        <is>
          <t>台股</t>
        </is>
      </c>
      <c r="AC4" s="103" t="inlineStr">
        <is>
          <t>生日禮物</t>
        </is>
      </c>
    </row>
    <row r="5" outlineLevel="1">
      <c r="A5" s="99" t="n">
        <v>44930</v>
      </c>
      <c r="B5" s="11" t="inlineStr">
        <is>
          <t>普通買進</t>
        </is>
      </c>
      <c r="C5" s="11" t="n">
        <v>2330</v>
      </c>
      <c r="D5" s="189">
        <f>VLOOKUP(C5,台股行情!A:B,2,FALSE)</f>
        <v/>
      </c>
      <c r="E5" s="11" t="n">
        <v>100</v>
      </c>
      <c r="F5" s="11" t="n">
        <v>451.5</v>
      </c>
      <c r="G5" s="11">
        <f>E5*F5</f>
        <v/>
      </c>
      <c r="H5" s="11" t="n">
        <v>64</v>
      </c>
      <c r="I5" s="104" t="n">
        <v>45601</v>
      </c>
      <c r="J5" s="16" t="n">
        <v>1050</v>
      </c>
      <c r="K5" s="11">
        <f>E5*J5</f>
        <v/>
      </c>
      <c r="L5" s="17" t="n">
        <v>149</v>
      </c>
      <c r="M5" s="11" t="n">
        <v>315</v>
      </c>
      <c r="N5" s="11" t="n">
        <v>0</v>
      </c>
      <c r="O5" s="434">
        <f>IF(I5="",E5*Y5,0)</f>
        <v/>
      </c>
      <c r="P5" s="435">
        <f>IF(I5="",R5-H5,(K5-H5-SUM(L5:N5)+R5-S5-T5)-G5)+(ROUND(R5*V5,0)-ROUND(R5*(1+V5),0)*W5)</f>
        <v/>
      </c>
      <c r="Q5" s="435">
        <f>IF(I5="",(O5-G5-(O5*0.1425%*0.65)-(O5*0.3%)-S5-T5),0)</f>
        <v/>
      </c>
      <c r="R5" s="435">
        <f>349+400</f>
        <v/>
      </c>
      <c r="S5" s="435" t="n">
        <v>40</v>
      </c>
      <c r="T5" s="435">
        <f>IF(ROUND(R5*(1+V5),0)&gt;20000,ROUND(ROUND(R5*(1+V5),0)*2%,0),0)</f>
        <v/>
      </c>
      <c r="U5" s="69">
        <f>(V5*50%)/(1+50%*V5)</f>
        <v/>
      </c>
      <c r="V5" s="69" t="n"/>
      <c r="W5" s="70" t="n"/>
      <c r="X5" s="436">
        <f>(P5+Q5)/G5</f>
        <v/>
      </c>
      <c r="Y5" s="16">
        <f>VLOOKUP(C5,台股行情!A:D,4,FALSE)</f>
        <v/>
      </c>
      <c r="Z5" s="437">
        <f>VLOOKUP(C5,台股行情!A:E,5,FALSE)</f>
        <v/>
      </c>
      <c r="AA5" s="438">
        <f>IF(I5="",((TODAY()-A5)*G5)/365.24,((I5-A5)*G5)/365.24)</f>
        <v/>
      </c>
      <c r="AB5" s="103" t="inlineStr">
        <is>
          <t>台股</t>
        </is>
      </c>
      <c r="AC5" s="103" t="inlineStr">
        <is>
          <t>生日禮物</t>
        </is>
      </c>
    </row>
    <row r="6" outlineLevel="1">
      <c r="A6" s="99" t="n">
        <v>45140</v>
      </c>
      <c r="B6" s="11" t="inlineStr">
        <is>
          <t>普通買進</t>
        </is>
      </c>
      <c r="C6" s="181" t="n">
        <v>929</v>
      </c>
      <c r="D6" s="189">
        <f>VLOOKUP(C6,台股行情!A:B,2,FALSE)</f>
        <v/>
      </c>
      <c r="E6" s="11" t="n">
        <v>1000</v>
      </c>
      <c r="F6" s="11" t="n">
        <v>16.5</v>
      </c>
      <c r="G6" s="11">
        <f>E6*F6</f>
        <v/>
      </c>
      <c r="H6" s="11" t="n">
        <v>23</v>
      </c>
      <c r="I6" s="104" t="n">
        <v>45664</v>
      </c>
      <c r="J6" s="16" t="n">
        <v>18.32</v>
      </c>
      <c r="K6" s="11">
        <f>E6*J6</f>
        <v/>
      </c>
      <c r="L6" s="17" t="n">
        <v>26</v>
      </c>
      <c r="M6" s="11" t="n">
        <v>18</v>
      </c>
      <c r="N6" s="11" t="n">
        <v>0</v>
      </c>
      <c r="O6" s="434">
        <f>IF(I6="",E6*Y6,0)</f>
        <v/>
      </c>
      <c r="P6" s="435">
        <f>IF(I6="",R6-H6,(K6-H6-SUM(L6:N6)+R6-S6-T6)-G6)+(ROUND(R6*V6,0)-ROUND(R6*(1+V6),0)*W6)</f>
        <v/>
      </c>
      <c r="Q6" s="435">
        <f>IF(I6="",(O6-G6-(O6*0.1425%*0.65)-(O6*0.3%)-S6-T6),0)</f>
        <v/>
      </c>
      <c r="R6" s="435">
        <f>110+110+110+110+110+130+260+260+400+400+400</f>
        <v/>
      </c>
      <c r="S6" s="435" t="n">
        <v>50</v>
      </c>
      <c r="T6" s="435">
        <f>IF(ROUND(R6*(1+V6),0)&gt;20000,ROUND(ROUND(R6*(1+V6),0)*2%,0),0)</f>
        <v/>
      </c>
      <c r="U6" s="69">
        <f>(V6*50%)/(1+50%*V6)</f>
        <v/>
      </c>
      <c r="V6" s="69" t="n"/>
      <c r="W6" s="70" t="n"/>
      <c r="X6" s="436">
        <f>(P6+Q6)/G6</f>
        <v/>
      </c>
      <c r="Y6" s="16">
        <f>VLOOKUP(C6,台股行情!A:D,4,FALSE)</f>
        <v/>
      </c>
      <c r="Z6" s="437">
        <f>VLOOKUP(C6,台股行情!A:E,5,FALSE)</f>
        <v/>
      </c>
      <c r="AA6" s="438">
        <f>IF(I6="",((TODAY()-A6)*G6)/365.24,((I6-A6)*G6)/365.24)</f>
        <v/>
      </c>
      <c r="AB6" s="103" t="inlineStr">
        <is>
          <t>台股 ETF</t>
        </is>
      </c>
      <c r="AC6" s="103" t="inlineStr">
        <is>
          <t>存股</t>
        </is>
      </c>
      <c r="AD6" s="344" t="inlineStr">
        <is>
          <t>殖利率下降，轉換標的</t>
        </is>
      </c>
    </row>
    <row r="7" outlineLevel="1">
      <c r="A7" s="99" t="n">
        <v>45341</v>
      </c>
      <c r="B7" s="11" t="inlineStr">
        <is>
          <t>普通買進</t>
        </is>
      </c>
      <c r="C7" s="181" t="n">
        <v>929</v>
      </c>
      <c r="D7" s="189">
        <f>VLOOKUP(C7,台股行情!A:B,2,FALSE)</f>
        <v/>
      </c>
      <c r="E7" s="11" t="n">
        <v>1000</v>
      </c>
      <c r="F7" s="11" t="n">
        <v>19.06</v>
      </c>
      <c r="G7" s="11">
        <f>E7*F7</f>
        <v/>
      </c>
      <c r="H7" s="11" t="n">
        <v>27</v>
      </c>
      <c r="I7" s="104" t="n">
        <v>45664</v>
      </c>
      <c r="J7" s="16" t="n">
        <v>18.32</v>
      </c>
      <c r="K7" s="11">
        <f>E7*J7</f>
        <v/>
      </c>
      <c r="L7" s="17" t="n">
        <v>26</v>
      </c>
      <c r="M7" s="11" t="n">
        <v>18</v>
      </c>
      <c r="N7" s="11" t="n">
        <v>0</v>
      </c>
      <c r="O7" s="434">
        <f>IF(I7="",E7*Y7,0)</f>
        <v/>
      </c>
      <c r="P7" s="435">
        <f>IF(I7="",R7-H7,(K7-H7-SUM(L7:N7)+R7-S7-T7)-G7)+(ROUND(R7*V7,0)-ROUND(R7*(1+V7),0)*W7)</f>
        <v/>
      </c>
      <c r="Q7" s="435">
        <f>IF(I7="",(O7-G7-(O7*0.1425%*0.65)-(O7*0.3%)-S7-T7),0)</f>
        <v/>
      </c>
      <c r="R7" s="435">
        <f>360+360+320+280+220+100</f>
        <v/>
      </c>
      <c r="S7" s="435" t="n">
        <v>40</v>
      </c>
      <c r="T7" s="435">
        <f>IF(ROUND(R7*(1+V7),0)&gt;20000,ROUND(ROUND(R7*(1+V7),0)*2%,0),0)</f>
        <v/>
      </c>
      <c r="U7" s="69">
        <f>(V7*50%)/(1+50%*V7)</f>
        <v/>
      </c>
      <c r="V7" s="69" t="n"/>
      <c r="W7" s="70" t="n"/>
      <c r="X7" s="436">
        <f>(P7+Q7)/G7</f>
        <v/>
      </c>
      <c r="Y7" s="16">
        <f>VLOOKUP(C7,台股行情!A:D,4,FALSE)</f>
        <v/>
      </c>
      <c r="Z7" s="437">
        <f>VLOOKUP(C7,台股行情!A:E,5,FALSE)</f>
        <v/>
      </c>
      <c r="AA7" s="438">
        <f>IF(I7="",((TODAY()-A7)*G7)/365.24,((I7-A7)*G7)/365.24)</f>
        <v/>
      </c>
      <c r="AB7" s="103" t="inlineStr">
        <is>
          <t>台股 ETF</t>
        </is>
      </c>
      <c r="AC7" s="103" t="inlineStr">
        <is>
          <t>存股</t>
        </is>
      </c>
      <c r="AD7" s="344" t="inlineStr">
        <is>
          <t>殖利率下降，轉換標的</t>
        </is>
      </c>
    </row>
    <row r="8" outlineLevel="1">
      <c r="A8" s="99" t="n">
        <v>45645</v>
      </c>
      <c r="B8" s="11" t="inlineStr">
        <is>
          <t>普通買進</t>
        </is>
      </c>
      <c r="C8" s="181" t="n">
        <v>929</v>
      </c>
      <c r="D8" s="189">
        <f>VLOOKUP(C8,台股行情!A:B,2,FALSE)</f>
        <v/>
      </c>
      <c r="E8" s="11" t="n">
        <v>2000</v>
      </c>
      <c r="F8" s="11" t="n">
        <v>17.86</v>
      </c>
      <c r="G8" s="11">
        <f>E8*F8</f>
        <v/>
      </c>
      <c r="H8" s="11" t="n">
        <v>50</v>
      </c>
      <c r="I8" s="104" t="n">
        <v>45664</v>
      </c>
      <c r="J8" s="16" t="n">
        <v>18.32</v>
      </c>
      <c r="K8" s="11">
        <f>E8*J8</f>
        <v/>
      </c>
      <c r="L8" s="17" t="n">
        <v>26</v>
      </c>
      <c r="M8" s="11" t="n">
        <v>19</v>
      </c>
      <c r="N8" s="11" t="n">
        <v>0</v>
      </c>
      <c r="O8" s="434">
        <f>IF(I8="",E8*Y8,0)</f>
        <v/>
      </c>
      <c r="P8" s="435">
        <f>IF(I8="",R8-H8,(K8-H8-SUM(L8:N8)+R8-S8-T8)-G8)+(ROUND(R8*V8,0)-ROUND(R8*(1+V8),0)*W8)</f>
        <v/>
      </c>
      <c r="Q8" s="435">
        <f>IF(I8="",(O8-G8-(O8*0.1425%*0.65)-(O8*0.3%)-S8-T8),0)</f>
        <v/>
      </c>
      <c r="R8" s="435" t="n"/>
      <c r="S8" s="435" t="n">
        <v>40</v>
      </c>
      <c r="T8" s="435">
        <f>IF(ROUND(R8*(1+V8),0)&gt;20000,ROUND(ROUND(R8*(1+V8),0)*2%,0),0)</f>
        <v/>
      </c>
      <c r="U8" s="69">
        <f>(V8*50%)/(1+50%*V8)</f>
        <v/>
      </c>
      <c r="V8" s="69" t="n"/>
      <c r="W8" s="70" t="n"/>
      <c r="X8" s="436">
        <f>(P8+Q8)/G8</f>
        <v/>
      </c>
      <c r="Y8" s="16">
        <f>VLOOKUP(C8,台股行情!A:D,4,FALSE)</f>
        <v/>
      </c>
      <c r="Z8" s="437">
        <f>VLOOKUP(C8,台股行情!A:E,5,FALSE)</f>
        <v/>
      </c>
      <c r="AA8" s="438">
        <f>IF(I8="",((TODAY()-A8)*G8)/365.24,((I8-A8)*G8)/365.24)</f>
        <v/>
      </c>
      <c r="AB8" s="103" t="inlineStr">
        <is>
          <t>台股 ETF</t>
        </is>
      </c>
      <c r="AC8" s="103" t="inlineStr">
        <is>
          <t>生日禮物</t>
        </is>
      </c>
      <c r="AD8" s="344" t="inlineStr">
        <is>
          <t>殖利率下降，轉換標的</t>
        </is>
      </c>
    </row>
    <row r="9" outlineLevel="1">
      <c r="A9" s="99" t="n">
        <v>45673</v>
      </c>
      <c r="B9" s="11" t="inlineStr">
        <is>
          <t>普通買進</t>
        </is>
      </c>
      <c r="C9" s="181" t="n">
        <v>50</v>
      </c>
      <c r="D9" s="189">
        <f>VLOOKUP(C9,台股行情!A:B,2,FALSE)</f>
        <v/>
      </c>
      <c r="E9" s="11">
        <f>25*4</f>
        <v/>
      </c>
      <c r="F9" s="11" t="n">
        <v>198.46</v>
      </c>
      <c r="G9" s="183" t="n">
        <v>4961</v>
      </c>
      <c r="H9" s="11" t="n">
        <v>1</v>
      </c>
      <c r="I9" s="104" t="n">
        <v>46050</v>
      </c>
      <c r="J9" s="16" t="n">
        <v>74</v>
      </c>
      <c r="K9" s="11">
        <f>E9*J9</f>
        <v/>
      </c>
      <c r="L9" s="11">
        <f>ROUND(J9*E9*0.1425%,0)</f>
        <v/>
      </c>
      <c r="M9" s="11">
        <f>ROUND(J9*E9*0.3%,0)/2</f>
        <v/>
      </c>
      <c r="N9" s="11" t="n">
        <v>0</v>
      </c>
      <c r="O9" s="434">
        <f>IF(I9="",E9*Y9,0)</f>
        <v/>
      </c>
      <c r="P9" s="435">
        <f>IF(I9="",R9-H9,(K9-H9-SUM(L9:N9)+R9-S9-T9)-G9)+(ROUND(R9*V9,0)-ROUND(R9*(1+V9),0)*W9)</f>
        <v/>
      </c>
      <c r="Q9" s="435">
        <f>IF(I9="",(O9-G9-(O9*0.1425%*0.65)-(O9*0.3%)-S9-T9),0)</f>
        <v/>
      </c>
      <c r="R9" s="435">
        <f>68+100</f>
        <v/>
      </c>
      <c r="S9" s="435" t="n">
        <v>20</v>
      </c>
      <c r="T9" s="435">
        <f>IF(ROUND(R9*(1+V9),0)&gt;20000,ROUND(ROUND(R9*(1+V9),0)*2%,0),0)</f>
        <v/>
      </c>
      <c r="U9" s="69" t="n"/>
      <c r="V9" s="69" t="n"/>
      <c r="W9" s="70" t="n"/>
      <c r="X9" s="436">
        <f>(P9+Q9)/G9</f>
        <v/>
      </c>
      <c r="Y9" s="16">
        <f>VLOOKUP(C9,台股行情!A:D,4,FALSE)</f>
        <v/>
      </c>
      <c r="Z9" s="437">
        <f>VLOOKUP(C9,台股行情!A:E,5,FALSE)</f>
        <v/>
      </c>
      <c r="AA9" s="438">
        <f>IF(I9="",((TODAY()-A9)*G9)/365.24,((I9-A9)*G9)/365.24)</f>
        <v/>
      </c>
      <c r="AB9" s="103" t="inlineStr">
        <is>
          <t>台股 ETF</t>
        </is>
      </c>
      <c r="AC9" s="103" t="inlineStr">
        <is>
          <t>定期定額</t>
        </is>
      </c>
      <c r="AD9" s="344" t="inlineStr">
        <is>
          <t>獲利了結，轉攻主動式 ETF</t>
        </is>
      </c>
    </row>
    <row r="10" outlineLevel="2">
      <c r="A10" s="99" t="n">
        <v>45705</v>
      </c>
      <c r="B10" s="11" t="inlineStr">
        <is>
          <t>普通買進</t>
        </is>
      </c>
      <c r="C10" s="181" t="n">
        <v>50</v>
      </c>
      <c r="D10" s="189">
        <f>VLOOKUP(C10,台股行情!A:B,2,FALSE)</f>
        <v/>
      </c>
      <c r="E10" s="11">
        <f>25*4</f>
        <v/>
      </c>
      <c r="F10" s="11" t="n">
        <v>196.33</v>
      </c>
      <c r="G10" s="183" t="n">
        <v>4908</v>
      </c>
      <c r="H10" s="11" t="n">
        <v>1</v>
      </c>
      <c r="I10" s="104" t="n">
        <v>46050</v>
      </c>
      <c r="J10" s="16" t="n">
        <v>74</v>
      </c>
      <c r="K10" s="11">
        <f>E10*J10</f>
        <v/>
      </c>
      <c r="L10" s="11">
        <f>ROUND(J10*E10*0.1425%,0)</f>
        <v/>
      </c>
      <c r="M10" s="11">
        <f>ROUND(J10*E10*0.3%,0)/2</f>
        <v/>
      </c>
      <c r="N10" s="11" t="n">
        <v>0</v>
      </c>
      <c r="O10" s="434">
        <f>IF(I10="",E10*Y10,0)</f>
        <v/>
      </c>
      <c r="P10" s="435">
        <f>IF(I10="",R10-H10,(K10-H10-SUM(L10:N10)+R10-S10-T10)-G10)+(ROUND(R10*V10,0)-ROUND(R10*(1+V10),0)*W10)</f>
        <v/>
      </c>
      <c r="Q10" s="435">
        <f>IF(I10="",(O10-G10-(O10*0.1425%*0.65)-(O10*0.3%)-S10-T10),0)</f>
        <v/>
      </c>
      <c r="R10" s="435" t="n">
        <v>100</v>
      </c>
      <c r="S10" s="435" t="n">
        <v>10</v>
      </c>
      <c r="T10" s="435">
        <f>IF(ROUND(R10*(1+V10),0)&gt;20000,ROUND(ROUND(R10*(1+V10),0)*2%,0),0)</f>
        <v/>
      </c>
      <c r="U10" s="69" t="n"/>
      <c r="V10" s="69" t="n"/>
      <c r="W10" s="70" t="n"/>
      <c r="X10" s="436">
        <f>(P10+Q10)/G10</f>
        <v/>
      </c>
      <c r="Y10" s="16">
        <f>VLOOKUP(C10,台股行情!A:D,4,FALSE)</f>
        <v/>
      </c>
      <c r="Z10" s="437">
        <f>VLOOKUP(C10,台股行情!A:E,5,FALSE)</f>
        <v/>
      </c>
      <c r="AA10" s="438">
        <f>IF(I10="",((TODAY()-A10)*G10)/365.24,((I10-A10)*G10)/365.24)</f>
        <v/>
      </c>
      <c r="AB10" s="103" t="inlineStr">
        <is>
          <t>台股 ETF</t>
        </is>
      </c>
      <c r="AC10" s="103" t="inlineStr">
        <is>
          <t>定期定額</t>
        </is>
      </c>
      <c r="AD10" s="344" t="inlineStr">
        <is>
          <t>獲利了結，轉攻主動式 ETF</t>
        </is>
      </c>
    </row>
    <row r="11" outlineLevel="2">
      <c r="A11" s="99" t="n">
        <v>45733</v>
      </c>
      <c r="B11" s="11" t="inlineStr">
        <is>
          <t>普通買進</t>
        </is>
      </c>
      <c r="C11" s="181" t="n">
        <v>50</v>
      </c>
      <c r="D11" s="189">
        <f>VLOOKUP(C11,台股行情!A:B,2,FALSE)</f>
        <v/>
      </c>
      <c r="E11" s="11">
        <f>27*4</f>
        <v/>
      </c>
      <c r="F11" s="11" t="n">
        <v>182.63</v>
      </c>
      <c r="G11" s="183" t="n">
        <v>4931</v>
      </c>
      <c r="H11" s="11" t="n">
        <v>1</v>
      </c>
      <c r="I11" s="104" t="n">
        <v>46050</v>
      </c>
      <c r="J11" s="16" t="n">
        <v>74</v>
      </c>
      <c r="K11" s="11">
        <f>E11*J11</f>
        <v/>
      </c>
      <c r="L11" s="11">
        <f>ROUND(J11*E11*0.1425%,0)</f>
        <v/>
      </c>
      <c r="M11" s="11">
        <f>ROUND(J11*E11*0.3%,0)/2</f>
        <v/>
      </c>
      <c r="N11" s="11" t="n">
        <v>0</v>
      </c>
      <c r="O11" s="434">
        <f>IF(I11="",E11*Y11,0)</f>
        <v/>
      </c>
      <c r="P11" s="435">
        <f>IF(I11="",R11-H11,(K11-H11-SUM(L11:N11)+R11-S11-T11)-G11)+(ROUND(R11*V11,0)-ROUND(R11*(1+V11),0)*W11)</f>
        <v/>
      </c>
      <c r="Q11" s="435">
        <f>IF(I11="",(O11-G11-(O11*0.1425%*0.65)-(O11*0.3%)-S11-T11),0)</f>
        <v/>
      </c>
      <c r="R11" s="435" t="n">
        <v>108</v>
      </c>
      <c r="S11" s="435" t="n">
        <v>10</v>
      </c>
      <c r="T11" s="435">
        <f>IF(ROUND(R11*(1+V11),0)&gt;20000,ROUND(ROUND(R11*(1+V11),0)*2%,0),0)</f>
        <v/>
      </c>
      <c r="U11" s="69" t="n"/>
      <c r="V11" s="69" t="n"/>
      <c r="W11" s="70" t="n"/>
      <c r="X11" s="436">
        <f>(P11+Q11)/G11</f>
        <v/>
      </c>
      <c r="Y11" s="16">
        <f>VLOOKUP(C11,台股行情!A:D,4,FALSE)</f>
        <v/>
      </c>
      <c r="Z11" s="437">
        <f>VLOOKUP(C11,台股行情!A:E,5,FALSE)</f>
        <v/>
      </c>
      <c r="AA11" s="438">
        <f>IF(I11="",((TODAY()-A11)*G11)/365.24,((I11-A11)*G11)/365.24)</f>
        <v/>
      </c>
      <c r="AB11" s="103" t="inlineStr">
        <is>
          <t>台股 ETF</t>
        </is>
      </c>
      <c r="AC11" s="103" t="inlineStr">
        <is>
          <t>定期定額</t>
        </is>
      </c>
      <c r="AD11" s="344" t="inlineStr">
        <is>
          <t>獲利了結，轉攻主動式 ETF</t>
        </is>
      </c>
    </row>
    <row r="12" outlineLevel="2">
      <c r="A12" s="99" t="n">
        <v>45763</v>
      </c>
      <c r="B12" s="11" t="inlineStr">
        <is>
          <t>普通買進</t>
        </is>
      </c>
      <c r="C12" s="181" t="n">
        <v>50</v>
      </c>
      <c r="D12" s="189">
        <f>VLOOKUP(C12,台股行情!A:B,2,FALSE)</f>
        <v/>
      </c>
      <c r="E12" s="11">
        <f>30*4</f>
        <v/>
      </c>
      <c r="F12" s="11" t="n">
        <v>162.38</v>
      </c>
      <c r="G12" s="183" t="n">
        <v>4871</v>
      </c>
      <c r="H12" s="11" t="n">
        <v>1</v>
      </c>
      <c r="I12" s="104" t="n">
        <v>46050</v>
      </c>
      <c r="J12" s="16" t="n">
        <v>74</v>
      </c>
      <c r="K12" s="11">
        <f>E12*J12</f>
        <v/>
      </c>
      <c r="L12" s="11">
        <f>ROUND(J12*E12*0.1425%,0)</f>
        <v/>
      </c>
      <c r="M12" s="11">
        <f>ROUND(J12*E12*0.3%,0)/2</f>
        <v/>
      </c>
      <c r="N12" s="11" t="n">
        <v>0</v>
      </c>
      <c r="O12" s="434">
        <f>IF(I12="",E12*Y12,0)</f>
        <v/>
      </c>
      <c r="P12" s="435">
        <f>IF(I12="",R12-H12,(K12-H12-SUM(L12:N12)+R12-S12-T12)-G12)+(ROUND(R12*V12,0)-ROUND(R12*(1+V12),0)*W12)</f>
        <v/>
      </c>
      <c r="Q12" s="435">
        <f>IF(I12="",(O12-G12-(O12*0.1425%*0.65)-(O12*0.3%)-S12-T12),0)</f>
        <v/>
      </c>
      <c r="R12" s="435" t="n">
        <v>120</v>
      </c>
      <c r="S12" s="435" t="n">
        <v>10</v>
      </c>
      <c r="T12" s="435">
        <f>IF(ROUND(R12*(1+V12),0)&gt;20000,ROUND(ROUND(R12*(1+V12),0)*2%,0),0)</f>
        <v/>
      </c>
      <c r="U12" s="69" t="n"/>
      <c r="V12" s="69" t="n"/>
      <c r="W12" s="70" t="n"/>
      <c r="X12" s="436">
        <f>(P12+Q12)/G12</f>
        <v/>
      </c>
      <c r="Y12" s="16">
        <f>VLOOKUP(C12,台股行情!A:D,4,FALSE)</f>
        <v/>
      </c>
      <c r="Z12" s="437">
        <f>VLOOKUP(C12,台股行情!A:E,5,FALSE)</f>
        <v/>
      </c>
      <c r="AA12" s="438">
        <f>IF(I12="",((TODAY()-A12)*G12)/365.24,((I12-A12)*G12)/365.24)</f>
        <v/>
      </c>
      <c r="AB12" s="103" t="inlineStr">
        <is>
          <t>台股 ETF</t>
        </is>
      </c>
      <c r="AC12" s="103" t="inlineStr">
        <is>
          <t>定期定額</t>
        </is>
      </c>
      <c r="AD12" s="344" t="inlineStr">
        <is>
          <t>獲利了結，轉攻主動式 ETF</t>
        </is>
      </c>
    </row>
    <row r="13" outlineLevel="2">
      <c r="A13" s="99" t="n">
        <v>45793</v>
      </c>
      <c r="B13" s="11" t="inlineStr">
        <is>
          <t>普通買進</t>
        </is>
      </c>
      <c r="C13" s="181" t="n">
        <v>50</v>
      </c>
      <c r="D13" s="189">
        <f>VLOOKUP(C13,台股行情!A:B,2,FALSE)</f>
        <v/>
      </c>
      <c r="E13" s="11">
        <f>27*4</f>
        <v/>
      </c>
      <c r="F13" s="11" t="n">
        <v>182.74</v>
      </c>
      <c r="G13" s="183" t="n">
        <v>4933</v>
      </c>
      <c r="H13" s="11" t="n">
        <v>1</v>
      </c>
      <c r="I13" s="104" t="n">
        <v>46050</v>
      </c>
      <c r="J13" s="16" t="n">
        <v>74</v>
      </c>
      <c r="K13" s="11">
        <f>E13*J13</f>
        <v/>
      </c>
      <c r="L13" s="11">
        <f>ROUND(J13*E13*0.1425%,0)</f>
        <v/>
      </c>
      <c r="M13" s="11">
        <f>ROUND(J13*E13*0.3%,0)/2</f>
        <v/>
      </c>
      <c r="N13" s="11" t="n">
        <v>0</v>
      </c>
      <c r="O13" s="434">
        <f>IF(I13="",E13*Y13,0)</f>
        <v/>
      </c>
      <c r="P13" s="435">
        <f>IF(I13="",R13-H13,(K13-H13-SUM(L13:N13)+R13-S13-T13)-G13)+(ROUND(R13*V13,0)-ROUND(R13*(1+V13),0)*W13)</f>
        <v/>
      </c>
      <c r="Q13" s="435">
        <f>IF(I13="",(O13-G13-(O13*0.1425%*0.65)-(O13*0.3%)-S13-T13),0)</f>
        <v/>
      </c>
      <c r="R13" s="435">
        <f>228+108</f>
        <v/>
      </c>
      <c r="S13" s="435" t="n">
        <v>20</v>
      </c>
      <c r="T13" s="435">
        <f>IF(ROUND(R13*(1+V13),0)&gt;20000,ROUND(ROUND(R13*(1+V13),0)*2%,0),0)</f>
        <v/>
      </c>
      <c r="U13" s="69" t="n"/>
      <c r="V13" s="69" t="n"/>
      <c r="W13" s="70" t="n"/>
      <c r="X13" s="436">
        <f>(P13+Q13)/G13</f>
        <v/>
      </c>
      <c r="Y13" s="16">
        <f>VLOOKUP(C13,台股行情!A:D,4,FALSE)</f>
        <v/>
      </c>
      <c r="Z13" s="437">
        <f>VLOOKUP(C13,台股行情!A:E,5,FALSE)</f>
        <v/>
      </c>
      <c r="AA13" s="438">
        <f>IF(I13="",((TODAY()-A13)*G13)/365.24,((I13-A13)*G13)/365.24)</f>
        <v/>
      </c>
      <c r="AB13" s="103" t="inlineStr">
        <is>
          <t>台股 ETF</t>
        </is>
      </c>
      <c r="AC13" s="103" t="inlineStr">
        <is>
          <t>定期定額</t>
        </is>
      </c>
      <c r="AD13" s="344" t="inlineStr">
        <is>
          <t>獲利了結，轉攻主動式 ETF</t>
        </is>
      </c>
    </row>
    <row r="14" outlineLevel="2">
      <c r="A14" s="99" t="n">
        <v>45854</v>
      </c>
      <c r="B14" s="11" t="inlineStr">
        <is>
          <t>普通買進</t>
        </is>
      </c>
      <c r="C14" s="181" t="n">
        <v>50</v>
      </c>
      <c r="D14" s="189">
        <f>VLOOKUP(C14,台股行情!A:B,2,FALSE)</f>
        <v/>
      </c>
      <c r="E14" s="11" t="n">
        <v>98</v>
      </c>
      <c r="F14" s="11" t="n">
        <v>50.58</v>
      </c>
      <c r="G14" s="183" t="n">
        <v>4956</v>
      </c>
      <c r="H14" s="11" t="n">
        <v>1</v>
      </c>
      <c r="I14" s="104" t="n">
        <v>46050</v>
      </c>
      <c r="J14" s="16" t="n">
        <v>74</v>
      </c>
      <c r="K14" s="11">
        <f>E14*J14</f>
        <v/>
      </c>
      <c r="L14" s="11">
        <f>ROUND(J14*E14*0.1425%,0)</f>
        <v/>
      </c>
      <c r="M14" s="11">
        <f>ROUND(J14*E14*0.3%,0)/2</f>
        <v/>
      </c>
      <c r="N14" s="11" t="n">
        <v>0</v>
      </c>
      <c r="O14" s="434">
        <f>IF(I14="",E14*Y14,0)</f>
        <v/>
      </c>
      <c r="P14" s="435">
        <f>IF(I14="",R14-H14,(K14-H14-SUM(L14:N14)+R14-S14-T14)-G14)+(ROUND(R14*V14,0)-ROUND(R14*(1+V14),0)*W14)</f>
        <v/>
      </c>
      <c r="Q14" s="435">
        <f>IF(I14="",(O14-G14-(O14*0.1425%*0.65)-(O14*0.3%)-S14-T14),0)</f>
        <v/>
      </c>
      <c r="R14" s="435" t="n">
        <v>98</v>
      </c>
      <c r="S14" s="435" t="n">
        <v>10</v>
      </c>
      <c r="T14" s="435">
        <f>IF(ROUND(R14*(1+V14),0)&gt;20000,ROUND(ROUND(R14*(1+V14),0)*2%,0),0)</f>
        <v/>
      </c>
      <c r="U14" s="69" t="n"/>
      <c r="V14" s="69" t="n"/>
      <c r="W14" s="70" t="n"/>
      <c r="X14" s="436">
        <f>(P14+Q14)/G14</f>
        <v/>
      </c>
      <c r="Y14" s="16">
        <f>VLOOKUP(C14,台股行情!A:D,4,FALSE)</f>
        <v/>
      </c>
      <c r="Z14" s="437">
        <f>VLOOKUP(C14,台股行情!A:E,5,FALSE)</f>
        <v/>
      </c>
      <c r="AA14" s="438">
        <f>IF(I14="",((TODAY()-A14)*G14)/365.24,((I14-A14)*G14)/365.24)</f>
        <v/>
      </c>
      <c r="AB14" s="103" t="inlineStr">
        <is>
          <t>台股 ETF</t>
        </is>
      </c>
      <c r="AC14" s="103" t="inlineStr">
        <is>
          <t>定期定額</t>
        </is>
      </c>
      <c r="AD14" s="344" t="inlineStr">
        <is>
          <t>獲利了結，轉攻主動式 ETF</t>
        </is>
      </c>
    </row>
    <row r="15" outlineLevel="2">
      <c r="A15" s="99" t="n">
        <v>45887</v>
      </c>
      <c r="B15" s="11" t="inlineStr">
        <is>
          <t>普通買進</t>
        </is>
      </c>
      <c r="C15" s="181" t="n">
        <v>50</v>
      </c>
      <c r="D15" s="189">
        <f>VLOOKUP(C15,台股行情!A:B,2,FALSE)</f>
        <v/>
      </c>
      <c r="E15" s="11" t="n">
        <v>94</v>
      </c>
      <c r="F15" s="11" t="n">
        <v>53.19</v>
      </c>
      <c r="G15" s="183" t="n">
        <v>4999</v>
      </c>
      <c r="H15" s="11" t="n">
        <v>1</v>
      </c>
      <c r="I15" s="104" t="n">
        <v>46050</v>
      </c>
      <c r="J15" s="16" t="n">
        <v>74</v>
      </c>
      <c r="K15" s="11">
        <f>E15*J15</f>
        <v/>
      </c>
      <c r="L15" s="11">
        <f>ROUND(J15*E15*0.1425%,0)</f>
        <v/>
      </c>
      <c r="M15" s="11">
        <f>ROUND(J15*E15*0.3%,0)/2</f>
        <v/>
      </c>
      <c r="N15" s="11" t="n">
        <v>0</v>
      </c>
      <c r="O15" s="434">
        <f>IF(I15="",E15*Y15,0)</f>
        <v/>
      </c>
      <c r="P15" s="435">
        <f>IF(I15="",R15-H15,(K15-H15-SUM(L15:N15)+R15-S15-T15)-G15)+(ROUND(R15*V15,0)-ROUND(R15*(1+V15),0)*W15)</f>
        <v/>
      </c>
      <c r="Q15" s="435">
        <f>IF(I15="",(O15-G15-(O15*0.1425%*0.65)-(O15*0.3%)-S15-T15),0)</f>
        <v/>
      </c>
      <c r="R15" s="435" t="n">
        <v>94</v>
      </c>
      <c r="S15" s="435" t="n">
        <v>10</v>
      </c>
      <c r="T15" s="435">
        <f>IF(ROUND(R15*(1+V15),0)&gt;20000,ROUND(ROUND(R15*(1+V15),0)*2%,0),0)</f>
        <v/>
      </c>
      <c r="U15" s="69" t="n"/>
      <c r="V15" s="69" t="n"/>
      <c r="W15" s="70" t="n"/>
      <c r="X15" s="436">
        <f>(P15+Q15)/G15</f>
        <v/>
      </c>
      <c r="Y15" s="16">
        <f>VLOOKUP(C15,台股行情!A:D,4,FALSE)</f>
        <v/>
      </c>
      <c r="Z15" s="437">
        <f>VLOOKUP(C15,台股行情!A:E,5,FALSE)</f>
        <v/>
      </c>
      <c r="AA15" s="438">
        <f>IF(I15="",((TODAY()-A15)*G15)/365.24,((I15-A15)*G15)/365.24)</f>
        <v/>
      </c>
      <c r="AB15" s="103" t="inlineStr">
        <is>
          <t>台股 ETF</t>
        </is>
      </c>
      <c r="AC15" s="103" t="inlineStr">
        <is>
          <t>定期定額</t>
        </is>
      </c>
      <c r="AD15" s="344" t="inlineStr">
        <is>
          <t>獲利了結，轉攻主動式 ETF</t>
        </is>
      </c>
    </row>
    <row r="16" outlineLevel="2">
      <c r="A16" s="99" t="n">
        <v>45916</v>
      </c>
      <c r="B16" s="11" t="inlineStr">
        <is>
          <t>普通買進</t>
        </is>
      </c>
      <c r="C16" s="181" t="n">
        <v>50</v>
      </c>
      <c r="D16" s="189">
        <f>VLOOKUP(C16,台股行情!A:B,2,FALSE)</f>
        <v/>
      </c>
      <c r="E16" s="11" t="n">
        <v>88</v>
      </c>
      <c r="F16" s="11" t="n">
        <v>56.7</v>
      </c>
      <c r="G16" s="183" t="n">
        <v>4989</v>
      </c>
      <c r="H16" s="11" t="n">
        <v>1</v>
      </c>
      <c r="I16" s="104" t="n">
        <v>46050</v>
      </c>
      <c r="J16" s="16" t="n">
        <v>74</v>
      </c>
      <c r="K16" s="11">
        <f>E16*J16</f>
        <v/>
      </c>
      <c r="L16" s="11">
        <f>ROUND(J16*E16*0.1425%,0)</f>
        <v/>
      </c>
      <c r="M16" s="11">
        <f>ROUND(J16*E16*0.3%,0)/2</f>
        <v/>
      </c>
      <c r="N16" s="11" t="n">
        <v>0</v>
      </c>
      <c r="O16" s="434">
        <f>IF(I16="",E16*Y16,0)</f>
        <v/>
      </c>
      <c r="P16" s="435">
        <f>IF(I16="",R16-H16,(K16-H16-SUM(L16:N16)+R16-S16-T16)-G16)+(ROUND(R16*V16,0)-ROUND(R16*(1+V16),0)*W16)</f>
        <v/>
      </c>
      <c r="Q16" s="435">
        <f>IF(I16="",(O16-G16-(O16*0.1425%*0.65)-(O16*0.3%)-S16-T16),0)</f>
        <v/>
      </c>
      <c r="R16" s="435" t="n">
        <v>88</v>
      </c>
      <c r="S16" s="435" t="n">
        <v>10</v>
      </c>
      <c r="T16" s="435">
        <f>IF(ROUND(R16*(1+V16),0)&gt;20000,ROUND(ROUND(R16*(1+V16),0)*2%,0),0)</f>
        <v/>
      </c>
      <c r="U16" s="69" t="n"/>
      <c r="V16" s="69" t="n"/>
      <c r="W16" s="70" t="n"/>
      <c r="X16" s="436">
        <f>(P16+Q16)/G16</f>
        <v/>
      </c>
      <c r="Y16" s="16">
        <f>VLOOKUP(C16,台股行情!A:D,4,FALSE)</f>
        <v/>
      </c>
      <c r="Z16" s="437">
        <f>VLOOKUP(C16,台股行情!A:E,5,FALSE)</f>
        <v/>
      </c>
      <c r="AA16" s="438">
        <f>IF(I16="",((TODAY()-A16)*G16)/365.24,((I16-A16)*G16)/365.24)</f>
        <v/>
      </c>
      <c r="AB16" s="103" t="inlineStr">
        <is>
          <t>台股 ETF</t>
        </is>
      </c>
      <c r="AC16" s="103" t="inlineStr">
        <is>
          <t>定期定額</t>
        </is>
      </c>
      <c r="AD16" s="344" t="inlineStr">
        <is>
          <t>獲利了結，轉攻主動式 ETF</t>
        </is>
      </c>
    </row>
    <row r="17" outlineLevel="2">
      <c r="A17" s="99" t="n">
        <v>45946</v>
      </c>
      <c r="B17" s="11" t="inlineStr">
        <is>
          <t>普通買進</t>
        </is>
      </c>
      <c r="C17" s="181" t="n">
        <v>50</v>
      </c>
      <c r="D17" s="189">
        <f>VLOOKUP(C17,台股行情!A:B,2,FALSE)</f>
        <v/>
      </c>
      <c r="E17" s="11" t="n">
        <v>79</v>
      </c>
      <c r="F17" s="11" t="n">
        <v>62.59</v>
      </c>
      <c r="G17" s="183" t="n">
        <v>4944</v>
      </c>
      <c r="H17" s="11" t="n">
        <v>1</v>
      </c>
      <c r="I17" s="104" t="n">
        <v>46050</v>
      </c>
      <c r="J17" s="16" t="n">
        <v>74</v>
      </c>
      <c r="K17" s="11">
        <f>E17*J17</f>
        <v/>
      </c>
      <c r="L17" s="11">
        <f>ROUND(J17*E17*0.1425%,0)</f>
        <v/>
      </c>
      <c r="M17" s="11">
        <f>ROUND(J17*E17*0.3%,0)/2</f>
        <v/>
      </c>
      <c r="N17" s="11" t="n">
        <v>0</v>
      </c>
      <c r="O17" s="434">
        <f>IF(I17="",E17*Y17,0)</f>
        <v/>
      </c>
      <c r="P17" s="435">
        <f>IF(I17="",R17-H17,(K17-H17-SUM(L17:N17)+R17-S17-T17)-G17)+(ROUND(R17*V17,0)-ROUND(R17*(1+V17),0)*W17)</f>
        <v/>
      </c>
      <c r="Q17" s="435">
        <f>IF(I17="",(O17-G17-(O17*0.1425%*0.65)-(O17*0.3%)-S17-T17),0)</f>
        <v/>
      </c>
      <c r="R17" s="435" t="n">
        <v>79</v>
      </c>
      <c r="S17" s="435" t="n">
        <v>10</v>
      </c>
      <c r="T17" s="435">
        <f>IF(ROUND(R17*(1+V17),0)&gt;20000,ROUND(ROUND(R17*(1+V17),0)*2%,0),0)</f>
        <v/>
      </c>
      <c r="U17" s="69" t="n"/>
      <c r="V17" s="69" t="n"/>
      <c r="W17" s="70" t="n"/>
      <c r="X17" s="436">
        <f>(P17+Q17)/G17</f>
        <v/>
      </c>
      <c r="Y17" s="16">
        <f>VLOOKUP(C17,台股行情!A:D,4,FALSE)</f>
        <v/>
      </c>
      <c r="Z17" s="437">
        <f>VLOOKUP(C17,台股行情!A:E,5,FALSE)</f>
        <v/>
      </c>
      <c r="AA17" s="438">
        <f>IF(I17="",((TODAY()-A17)*G17)/365.24,((I17-A17)*G17)/365.24)</f>
        <v/>
      </c>
      <c r="AB17" s="103" t="inlineStr">
        <is>
          <t>台股 ETF</t>
        </is>
      </c>
      <c r="AC17" s="103" t="inlineStr">
        <is>
          <t>定期定額</t>
        </is>
      </c>
      <c r="AD17" s="344" t="inlineStr">
        <is>
          <t>獲利了結，轉攻主動式 ETF</t>
        </is>
      </c>
    </row>
    <row r="18" outlineLevel="2">
      <c r="A18" s="99" t="n">
        <v>45978</v>
      </c>
      <c r="B18" s="11" t="inlineStr">
        <is>
          <t>普通買進</t>
        </is>
      </c>
      <c r="C18" s="181" t="n">
        <v>50</v>
      </c>
      <c r="D18" s="189">
        <f>VLOOKUP(C18,台股行情!A:B,2,FALSE)</f>
        <v/>
      </c>
      <c r="E18" s="11" t="n">
        <v>80</v>
      </c>
      <c r="F18" s="11" t="n">
        <v>62</v>
      </c>
      <c r="G18" s="183" t="n">
        <v>4960</v>
      </c>
      <c r="H18" s="11" t="n">
        <v>1</v>
      </c>
      <c r="I18" s="104" t="n">
        <v>46050</v>
      </c>
      <c r="J18" s="16" t="n">
        <v>74</v>
      </c>
      <c r="K18" s="11">
        <f>E18*J18</f>
        <v/>
      </c>
      <c r="L18" s="11">
        <f>ROUND(J18*E18*0.1425%,0)</f>
        <v/>
      </c>
      <c r="M18" s="11">
        <f>ROUND(J18*E18*0.3%,0)/2</f>
        <v/>
      </c>
      <c r="N18" s="11" t="n">
        <v>0</v>
      </c>
      <c r="O18" s="434">
        <f>IF(I18="",E18*Y18,0)</f>
        <v/>
      </c>
      <c r="P18" s="435">
        <f>IF(I18="",R18-H18,(K18-H18-SUM(L18:N18)+R18-S18-T18)-G18)+(ROUND(R18*V18,0)-ROUND(R18*(1+V18),0)*W18)</f>
        <v/>
      </c>
      <c r="Q18" s="435">
        <f>IF(I18="",(O18-G18-(O18*0.1425%*0.65)-(O18*0.3%)-S18-T18),0)</f>
        <v/>
      </c>
      <c r="R18" s="435" t="n">
        <v>80</v>
      </c>
      <c r="S18" s="435" t="n">
        <v>10</v>
      </c>
      <c r="T18" s="435">
        <f>IF(ROUND(R18*(1+V18),0)&gt;20000,ROUND(ROUND(R18*(1+V18),0)*2%,0),0)</f>
        <v/>
      </c>
      <c r="U18" s="69" t="n"/>
      <c r="V18" s="69" t="n"/>
      <c r="W18" s="70" t="n"/>
      <c r="X18" s="436">
        <f>(P18+Q18)/G18</f>
        <v/>
      </c>
      <c r="Y18" s="16">
        <f>VLOOKUP(C18,台股行情!A:D,4,FALSE)</f>
        <v/>
      </c>
      <c r="Z18" s="437">
        <f>VLOOKUP(C18,台股行情!A:E,5,FALSE)</f>
        <v/>
      </c>
      <c r="AA18" s="438">
        <f>IF(I18="",((TODAY()-A18)*G18)/365.24,((I18-A18)*G18)/365.24)</f>
        <v/>
      </c>
      <c r="AB18" s="103" t="inlineStr">
        <is>
          <t>台股 ETF</t>
        </is>
      </c>
      <c r="AC18" s="103" t="inlineStr">
        <is>
          <t>定期定額</t>
        </is>
      </c>
      <c r="AD18" s="344" t="inlineStr">
        <is>
          <t>獲利了結，轉攻主動式 ETF</t>
        </is>
      </c>
    </row>
    <row r="19" outlineLevel="2">
      <c r="A19" s="99" t="n">
        <v>46042</v>
      </c>
      <c r="B19" s="11" t="inlineStr">
        <is>
          <t>普通買進</t>
        </is>
      </c>
      <c r="C19" s="181" t="n">
        <v>50</v>
      </c>
      <c r="D19" s="189">
        <f>VLOOKUP(C19,台股行情!A:B,2,FALSE)</f>
        <v/>
      </c>
      <c r="E19" s="11" t="n">
        <v>1000</v>
      </c>
      <c r="F19" s="11" t="n">
        <v>72.25</v>
      </c>
      <c r="G19" s="11">
        <f>E19*F19</f>
        <v/>
      </c>
      <c r="H19" s="11" t="n">
        <v>102</v>
      </c>
      <c r="I19" s="104" t="n">
        <v>46050</v>
      </c>
      <c r="J19" s="16" t="n">
        <v>74</v>
      </c>
      <c r="K19" s="11">
        <f>E19*J19</f>
        <v/>
      </c>
      <c r="L19" s="11">
        <f>ROUND(J19*E19*0.1425%,0)</f>
        <v/>
      </c>
      <c r="M19" s="11">
        <f>ROUND(J19*E19*0.3%,0)/2</f>
        <v/>
      </c>
      <c r="N19" s="11" t="n">
        <v>0</v>
      </c>
      <c r="O19" s="434">
        <f>IF(I19="",E19*Y19,0)</f>
        <v/>
      </c>
      <c r="P19" s="435">
        <f>IF(I19="",R19-H19,(K19-H19-SUM(L19:N19)+R19-S19-T19)-G19)+(ROUND(R19*V19,0)-ROUND(R19*(1+V19),0)*W19)</f>
        <v/>
      </c>
      <c r="Q19" s="435">
        <f>IF(I19="",(O19-G19-(O19*0.1425%*0.65)-(O19*0.3%)-S19-T19),0)</f>
        <v/>
      </c>
      <c r="R19" s="435" t="n">
        <v>1000</v>
      </c>
      <c r="S19" s="435" t="n">
        <v>10</v>
      </c>
      <c r="T19" s="435">
        <f>IF(ROUND(R19*(1+V19),0)&gt;20000,ROUND(ROUND(R19*(1+V19),0)*2%,0),0)</f>
        <v/>
      </c>
      <c r="U19" s="69" t="n"/>
      <c r="V19" s="69" t="n"/>
      <c r="W19" s="70" t="n"/>
      <c r="X19" s="436">
        <f>(P19+Q19)/G19</f>
        <v/>
      </c>
      <c r="Y19" s="16">
        <f>VLOOKUP(C19,台股行情!A:D,4,FALSE)</f>
        <v/>
      </c>
      <c r="Z19" s="437">
        <f>VLOOKUP(C19,台股行情!A:E,5,FALSE)</f>
        <v/>
      </c>
      <c r="AA19" s="438">
        <f>IF(I19="",((TODAY()-A19)*G19)/365.24,((I19-A19)*G19)/365.24)</f>
        <v/>
      </c>
      <c r="AB19" s="103" t="inlineStr">
        <is>
          <t>台股 ETF</t>
        </is>
      </c>
      <c r="AC19" s="103" t="inlineStr">
        <is>
          <t>除息</t>
        </is>
      </c>
      <c r="AD19" s="345" t="inlineStr">
        <is>
          <t>已填息，獲利了結</t>
        </is>
      </c>
    </row>
    <row r="20" outlineLevel="2">
      <c r="A20" s="99" t="n">
        <v>46043</v>
      </c>
      <c r="B20" s="11" t="inlineStr">
        <is>
          <t>普通買進</t>
        </is>
      </c>
      <c r="C20" s="181" t="n">
        <v>50</v>
      </c>
      <c r="D20" s="189">
        <f>VLOOKUP(C20,台股行情!A:B,2,FALSE)</f>
        <v/>
      </c>
      <c r="E20" s="11" t="n">
        <v>1000</v>
      </c>
      <c r="F20" s="11" t="n">
        <v>72.45</v>
      </c>
      <c r="G20" s="11">
        <f>E20*F20</f>
        <v/>
      </c>
      <c r="H20" s="11" t="n">
        <v>103</v>
      </c>
      <c r="I20" s="104" t="n">
        <v>46050</v>
      </c>
      <c r="J20" s="16" t="n">
        <v>74</v>
      </c>
      <c r="K20" s="11">
        <f>E20*J20</f>
        <v/>
      </c>
      <c r="L20" s="11">
        <f>ROUND(J20*E20*0.1425%,0)</f>
        <v/>
      </c>
      <c r="M20" s="11">
        <f>ROUND(J20*E20*0.3%,0)/2</f>
        <v/>
      </c>
      <c r="N20" s="11" t="n">
        <v>0</v>
      </c>
      <c r="O20" s="434">
        <f>IF(I20="",E20*Y20,0)</f>
        <v/>
      </c>
      <c r="P20" s="435">
        <f>IF(I20="",R20-H20,(K20-H20-SUM(L20:N20)+R20-S20-T20)-G20)+(ROUND(R20*V20,0)-ROUND(R20*(1+V20),0)*W20)</f>
        <v/>
      </c>
      <c r="Q20" s="435">
        <f>IF(I20="",(O20-G20-(O20*0.1425%*0.65)-(O20*0.3%)-S20-T20),0)</f>
        <v/>
      </c>
      <c r="R20" s="435" t="n">
        <v>1000</v>
      </c>
      <c r="S20" s="435" t="n">
        <v>10</v>
      </c>
      <c r="T20" s="435">
        <f>IF(ROUND(R20*(1+V20),0)&gt;20000,ROUND(ROUND(R20*(1+V20),0)*2%,0),0)</f>
        <v/>
      </c>
      <c r="U20" s="69" t="n"/>
      <c r="V20" s="69" t="n"/>
      <c r="W20" s="70" t="n"/>
      <c r="X20" s="436">
        <f>(P20+Q20)/G20</f>
        <v/>
      </c>
      <c r="Y20" s="16">
        <f>VLOOKUP(C20,台股行情!A:D,4,FALSE)</f>
        <v/>
      </c>
      <c r="Z20" s="437">
        <f>VLOOKUP(C20,台股行情!A:E,5,FALSE)</f>
        <v/>
      </c>
      <c r="AA20" s="438">
        <f>IF(I20="",((TODAY()-A20)*G20)/365.24,((I20-A20)*G20)/365.24)</f>
        <v/>
      </c>
      <c r="AB20" s="103" t="inlineStr">
        <is>
          <t>台股 ETF</t>
        </is>
      </c>
      <c r="AC20" s="103" t="inlineStr">
        <is>
          <t>除息</t>
        </is>
      </c>
      <c r="AD20" s="345" t="inlineStr">
        <is>
          <t>已填息，獲利了結</t>
        </is>
      </c>
    </row>
    <row r="21" outlineLevel="2">
      <c r="A21" s="99" t="n">
        <v>46007</v>
      </c>
      <c r="B21" s="11" t="inlineStr">
        <is>
          <t>普通買進</t>
        </is>
      </c>
      <c r="C21" s="181" t="n">
        <v>50</v>
      </c>
      <c r="D21" s="189">
        <f>VLOOKUP(C21,台股行情!A:B,2,FALSE)</f>
        <v/>
      </c>
      <c r="E21" s="11" t="n">
        <v>80</v>
      </c>
      <c r="F21" s="11" t="n">
        <v>61.94</v>
      </c>
      <c r="G21" s="183" t="n">
        <v>4955</v>
      </c>
      <c r="H21" s="11" t="n">
        <v>1</v>
      </c>
      <c r="I21" s="104" t="n">
        <v>46051</v>
      </c>
      <c r="J21" s="16" t="n">
        <v>73.90000000000001</v>
      </c>
      <c r="K21" s="11">
        <f>E21*J21</f>
        <v/>
      </c>
      <c r="L21" s="11">
        <f>ROUND(J21*E21*0.1425%,0)</f>
        <v/>
      </c>
      <c r="M21" s="11">
        <f>ROUND(J21*E21*0.3%,0)</f>
        <v/>
      </c>
      <c r="N21" s="11" t="n">
        <v>0</v>
      </c>
      <c r="O21" s="434">
        <f>IF(I21="",E21*Y21,0)</f>
        <v/>
      </c>
      <c r="P21" s="435">
        <f>IF(I21="",R21-H21,(K21-H21-SUM(L21:N21)+R21-S21-T21)-G21)+(ROUND(R21*V21,0)-ROUND(R21*(1+V21),0)*W21)</f>
        <v/>
      </c>
      <c r="Q21" s="435">
        <f>IF(I21="",(O21-G21-(O21*0.1425%*0.65)-(O21*0.3%)-S21-T21),0)</f>
        <v/>
      </c>
      <c r="R21" s="435" t="n">
        <v>80</v>
      </c>
      <c r="S21" s="435" t="n">
        <v>10</v>
      </c>
      <c r="T21" s="435">
        <f>IF(ROUND(R21*(1+V21),0)&gt;20000,ROUND(ROUND(R21*(1+V21),0)*2%,0),0)</f>
        <v/>
      </c>
      <c r="U21" s="69" t="n"/>
      <c r="V21" s="69" t="n"/>
      <c r="W21" s="70" t="n"/>
      <c r="X21" s="436">
        <f>(P21+Q21)/G21</f>
        <v/>
      </c>
      <c r="Y21" s="16">
        <f>VLOOKUP(C21,台股行情!A:D,4,FALSE)</f>
        <v/>
      </c>
      <c r="Z21" s="437">
        <f>VLOOKUP(C21,台股行情!A:E,5,FALSE)</f>
        <v/>
      </c>
      <c r="AA21" s="438">
        <f>IF(I21="",((TODAY()-A21)*G21)/365.24,((I21-A21)*G21)/365.24)</f>
        <v/>
      </c>
      <c r="AB21" s="103" t="inlineStr">
        <is>
          <t>台股 ETF</t>
        </is>
      </c>
      <c r="AC21" s="103" t="inlineStr">
        <is>
          <t>定期定額</t>
        </is>
      </c>
      <c r="AD21" s="344" t="inlineStr">
        <is>
          <t>獲利了結，轉攻主動式 ETF</t>
        </is>
      </c>
    </row>
    <row r="22" outlineLevel="2">
      <c r="A22" s="99" t="n">
        <v>46038</v>
      </c>
      <c r="B22" s="11" t="inlineStr">
        <is>
          <t>普通買進</t>
        </is>
      </c>
      <c r="C22" s="181" t="n">
        <v>50</v>
      </c>
      <c r="D22" s="189">
        <f>VLOOKUP(C22,台股行情!A:B,2,FALSE)</f>
        <v/>
      </c>
      <c r="E22" s="11" t="n">
        <v>69</v>
      </c>
      <c r="F22" s="11" t="n">
        <v>71.69</v>
      </c>
      <c r="G22" s="183" t="n">
        <v>4946</v>
      </c>
      <c r="H22" s="11" t="n">
        <v>1</v>
      </c>
      <c r="I22" s="104" t="n">
        <v>46051</v>
      </c>
      <c r="J22" s="16" t="n">
        <v>73.90000000000001</v>
      </c>
      <c r="K22" s="11">
        <f>E22*J22</f>
        <v/>
      </c>
      <c r="L22" s="11">
        <f>ROUND(J22*E22*0.1425%,0)</f>
        <v/>
      </c>
      <c r="M22" s="11">
        <f>ROUND(J22*E22*0.3%,0)</f>
        <v/>
      </c>
      <c r="N22" s="11" t="n">
        <v>0</v>
      </c>
      <c r="O22" s="434">
        <f>IF(I22="",E22*Y22,0)</f>
        <v/>
      </c>
      <c r="P22" s="435">
        <f>IF(I22="",R22-H22,(K22-H22-SUM(L22:N22)+R22-S22-T22)-G22)+(ROUND(R22*V22,0)-ROUND(R22*(1+V22),0)*W22)</f>
        <v/>
      </c>
      <c r="Q22" s="435">
        <f>IF(I22="",(O22-G22-(O22*0.1425%*0.65)-(O22*0.3%)-S22-T22),0)</f>
        <v/>
      </c>
      <c r="R22" s="435" t="n">
        <v>69</v>
      </c>
      <c r="S22" s="435" t="n">
        <v>10</v>
      </c>
      <c r="T22" s="435">
        <f>IF(ROUND(R22*(1+V22),0)&gt;20000,ROUND(ROUND(R22*(1+V22),0)*2%,0),0)</f>
        <v/>
      </c>
      <c r="U22" s="69" t="n"/>
      <c r="V22" s="69" t="n"/>
      <c r="W22" s="70" t="n"/>
      <c r="X22" s="436">
        <f>(P22+Q22)/G22</f>
        <v/>
      </c>
      <c r="Y22" s="16">
        <f>VLOOKUP(C22,台股行情!A:D,4,FALSE)</f>
        <v/>
      </c>
      <c r="Z22" s="437">
        <f>VLOOKUP(C22,台股行情!A:E,5,FALSE)</f>
        <v/>
      </c>
      <c r="AA22" s="438">
        <f>IF(I22="",((TODAY()-A22)*G22)/365.24,((I22-A22)*G22)/365.24)</f>
        <v/>
      </c>
      <c r="AB22" s="103" t="inlineStr">
        <is>
          <t>台股 ETF</t>
        </is>
      </c>
      <c r="AC22" s="103" t="inlineStr">
        <is>
          <t>定期定額</t>
        </is>
      </c>
      <c r="AD22" s="344" t="inlineStr">
        <is>
          <t>獲利了結，轉攻主動式 ETF</t>
        </is>
      </c>
    </row>
    <row r="23">
      <c r="A23" s="99" t="n">
        <v>46010</v>
      </c>
      <c r="B23" s="11" t="inlineStr">
        <is>
          <t>普通買進</t>
        </is>
      </c>
      <c r="C23" s="181" t="n">
        <v>3004</v>
      </c>
      <c r="D23" s="189">
        <f>VLOOKUP(C23,台股行情!A:B,2,FALSE)</f>
        <v/>
      </c>
      <c r="E23" s="11" t="n">
        <v>1000</v>
      </c>
      <c r="F23" s="11" t="n">
        <v>80</v>
      </c>
      <c r="G23" s="11">
        <f>E23*F23</f>
        <v/>
      </c>
      <c r="H23" s="11" t="n">
        <v>70</v>
      </c>
      <c r="I23" s="99" t="n">
        <v>46051</v>
      </c>
      <c r="J23" s="16" t="n">
        <v>113.5</v>
      </c>
      <c r="K23" s="11">
        <f>E23*J23</f>
        <v/>
      </c>
      <c r="L23" s="11">
        <f>ROUND(J23*E23*0.1425%,0)</f>
        <v/>
      </c>
      <c r="M23" s="11">
        <f>ROUND(J23*E23*0.3%,0)</f>
        <v/>
      </c>
      <c r="N23" s="11" t="n">
        <v>0</v>
      </c>
      <c r="O23" s="434">
        <f>IF(I23="",E23*Y23,0)</f>
        <v/>
      </c>
      <c r="P23" s="435">
        <f>IF(I23="",R23-H23,(K23-H23-SUM(L23:N23)+R23-S23-T23)-G23)+(ROUND(R23*V23,0)-ROUND(R23*(1+V23),0)*W23)</f>
        <v/>
      </c>
      <c r="Q23" s="435">
        <f>IF(I23="",(O23-G23-(O23*0.1425%*0.65)-(O23*0.3%)-S23-T23),0)</f>
        <v/>
      </c>
      <c r="R23" s="435" t="n"/>
      <c r="S23" s="435" t="n">
        <v>0</v>
      </c>
      <c r="T23" s="435">
        <f>IF(ROUND(R23*(1+V23),0)&gt;20000,ROUND(ROUND(R23*(1+V23),0)*2%,0),0)</f>
        <v/>
      </c>
      <c r="U23" s="69" t="n"/>
      <c r="V23" s="69" t="n"/>
      <c r="W23" s="70" t="n"/>
      <c r="X23" s="436">
        <f>(P23+Q23)/G23</f>
        <v/>
      </c>
      <c r="Y23" s="16">
        <f>VLOOKUP(C23,台股行情!A:D,4,FALSE)</f>
        <v/>
      </c>
      <c r="Z23" s="437">
        <f>VLOOKUP(C23,台股行情!A:E,5,FALSE)</f>
        <v/>
      </c>
      <c r="AA23" s="438">
        <f>IF(I23="",((TODAY()-A23)*G23)/365.24,((I23-A23)*G23)/365.24)</f>
        <v/>
      </c>
      <c r="AB23" s="103" t="inlineStr">
        <is>
          <t>台股</t>
        </is>
      </c>
      <c r="AC23" s="103" t="inlineStr">
        <is>
          <t>抽籤</t>
        </is>
      </c>
      <c r="AD23" s="354" t="inlineStr">
        <is>
          <t>破10MA, 獲利了結，</t>
        </is>
      </c>
    </row>
    <row r="24">
      <c r="A24" s="99" t="n">
        <v>44551</v>
      </c>
      <c r="B24" s="11" t="inlineStr">
        <is>
          <t>普通買進</t>
        </is>
      </c>
      <c r="C24" s="181" t="n">
        <v>692</v>
      </c>
      <c r="D24" s="189">
        <f>VLOOKUP(C24,台股行情!A:B,2,FALSE)</f>
        <v/>
      </c>
      <c r="E24" s="11" t="n">
        <v>1000</v>
      </c>
      <c r="F24" s="11" t="n">
        <v>35.14</v>
      </c>
      <c r="G24" s="11">
        <f>E24*F24</f>
        <v/>
      </c>
      <c r="H24" s="11" t="n">
        <v>50</v>
      </c>
      <c r="I24" s="104" t="n">
        <v>46090</v>
      </c>
      <c r="J24" s="16" t="n">
        <v>64.15000000000001</v>
      </c>
      <c r="K24" s="11">
        <f>E24*J24</f>
        <v/>
      </c>
      <c r="L24" s="11">
        <f>ROUND(J24*E24*0.1425%,0)</f>
        <v/>
      </c>
      <c r="M24" s="11" t="n">
        <v>64</v>
      </c>
      <c r="N24" s="11" t="n">
        <v>0</v>
      </c>
      <c r="O24" s="434">
        <f>IF(I24="",E24*Y24,0)</f>
        <v/>
      </c>
      <c r="P24" s="435">
        <f>IF(I24="",R24-H24,(K24-H24-SUM(L24:N24)+R24-S24-T24)-G24)+(ROUND(R24*V24,0)-ROUND(R24*(1+V24),0)*W24)</f>
        <v/>
      </c>
      <c r="Q24" s="435">
        <f>IF(I24="",(O24-G24-(O24*0.1425%*0.65)-(O24*0.3%)-S24-T24),0)</f>
        <v/>
      </c>
      <c r="R24" s="435">
        <f>1483+550+732+1062+415+600</f>
        <v/>
      </c>
      <c r="S24" s="435" t="n">
        <v>40</v>
      </c>
      <c r="T24" s="435">
        <f>IF(ROUND(R24*(1+V24),0)&gt;20000,ROUND(ROUND(R24*(1+V24),0)*2%,0),0)</f>
        <v/>
      </c>
      <c r="U24" s="69">
        <f>(V24*50%)/(1+50%*V24)</f>
        <v/>
      </c>
      <c r="V24" s="69" t="n"/>
      <c r="W24" s="70" t="n"/>
      <c r="X24" s="436">
        <f>(P24+Q24)/G24</f>
        <v/>
      </c>
      <c r="Y24" s="16">
        <f>VLOOKUP(C24,台股行情!A:D,4,FALSE)</f>
        <v/>
      </c>
      <c r="Z24" s="437">
        <f>VLOOKUP(C24,台股行情!A:E,5,FALSE)</f>
        <v/>
      </c>
      <c r="AA24" s="438">
        <f>IF(I24="",((TODAY()-A24)*G24)/365.24,((I24-A24)*G24)/365.24)</f>
        <v/>
      </c>
      <c r="AB24" s="103" t="inlineStr">
        <is>
          <t>台股 ETF</t>
        </is>
      </c>
      <c r="AC24" s="103" t="inlineStr">
        <is>
          <t>生日禮物</t>
        </is>
      </c>
      <c r="AD24" s="354" t="inlineStr">
        <is>
          <t>美伊戰爭，憂心崩盤，獲利了結。</t>
        </is>
      </c>
    </row>
    <row r="25" outlineLevel="1">
      <c r="A25" s="99" t="n">
        <v>44931</v>
      </c>
      <c r="B25" s="11" t="inlineStr">
        <is>
          <t>普通買進</t>
        </is>
      </c>
      <c r="C25" s="181" t="n">
        <v>692</v>
      </c>
      <c r="D25" s="189">
        <f>VLOOKUP(C25,台股行情!A:B,2,FALSE)</f>
        <v/>
      </c>
      <c r="E25" s="11" t="n">
        <v>1000</v>
      </c>
      <c r="F25" s="11" t="n">
        <v>27.07</v>
      </c>
      <c r="G25" s="11">
        <f>E25*F25</f>
        <v/>
      </c>
      <c r="H25" s="11" t="n">
        <v>38</v>
      </c>
      <c r="I25" s="104" t="n">
        <v>46090</v>
      </c>
      <c r="J25" s="16" t="n">
        <v>64.15000000000001</v>
      </c>
      <c r="K25" s="11">
        <f>E25*J25</f>
        <v/>
      </c>
      <c r="L25" s="11">
        <f>ROUND(J25*E25*0.1425%,0)</f>
        <v/>
      </c>
      <c r="M25" s="11" t="n">
        <v>64</v>
      </c>
      <c r="N25" s="11" t="n">
        <v>0</v>
      </c>
      <c r="O25" s="434">
        <f>IF(I25="",E25*Y25,0)</f>
        <v/>
      </c>
      <c r="P25" s="435">
        <f>IF(I25="",R25-H25,(K25-H25-SUM(L25:N25)+R25-S25-T25)-G25)+(ROUND(R25*V25,0)-ROUND(R25*(1+V25),0)*W25)</f>
        <v/>
      </c>
      <c r="Q25" s="435">
        <f>IF(I25="",(O25-G25-(O25*0.1425%*0.65)-(O25*0.3%)-S25-T25),0)</f>
        <v/>
      </c>
      <c r="R25" s="435">
        <f>732+1062+415+600</f>
        <v/>
      </c>
      <c r="S25" s="435" t="n">
        <v>40</v>
      </c>
      <c r="T25" s="435">
        <f>IF(ROUND(R25*(1+V25),0)&gt;20000,ROUND(ROUND(R25*(1+V25),0)*2%,0),0)</f>
        <v/>
      </c>
      <c r="U25" s="69">
        <f>(V25*50%)/(1+50%*V25)</f>
        <v/>
      </c>
      <c r="V25" s="69" t="n"/>
      <c r="W25" s="70" t="n"/>
      <c r="X25" s="436">
        <f>(P25+Q25)/G25</f>
        <v/>
      </c>
      <c r="Y25" s="16">
        <f>VLOOKUP(C25,台股行情!A:D,4,FALSE)</f>
        <v/>
      </c>
      <c r="Z25" s="437">
        <f>VLOOKUP(C25,台股行情!A:E,5,FALSE)</f>
        <v/>
      </c>
      <c r="AA25" s="438">
        <f>IF(I25="",((TODAY()-A25)*G25)/365.24,((I25-A25)*G25)/365.24)</f>
        <v/>
      </c>
      <c r="AB25" s="103" t="inlineStr">
        <is>
          <t>台股 ETF</t>
        </is>
      </c>
      <c r="AC25" s="103" t="inlineStr">
        <is>
          <t>生日禮物</t>
        </is>
      </c>
      <c r="AD25" s="354" t="inlineStr">
        <is>
          <t>美伊戰爭，憂心崩盤，獲利了結。</t>
        </is>
      </c>
    </row>
    <row r="26">
      <c r="A26" s="99" t="n">
        <v>45622</v>
      </c>
      <c r="B26" s="11" t="inlineStr">
        <is>
          <t>普通買進</t>
        </is>
      </c>
      <c r="C26" s="181" t="n">
        <v>713</v>
      </c>
      <c r="D26" s="189">
        <f>VLOOKUP(C26,台股行情!A:B,2,FALSE)</f>
        <v/>
      </c>
      <c r="E26" s="11" t="n">
        <v>35</v>
      </c>
      <c r="F26" s="11" t="n">
        <v>55.6</v>
      </c>
      <c r="G26" s="183" t="n">
        <v>1946</v>
      </c>
      <c r="H26" s="11" t="n">
        <v>1</v>
      </c>
      <c r="I26" s="104" t="n">
        <v>46090</v>
      </c>
      <c r="J26" s="16" t="n">
        <v>51.65</v>
      </c>
      <c r="K26" s="11">
        <f>E26*J26</f>
        <v/>
      </c>
      <c r="L26" s="11">
        <f>ROUND(J26*E26*0.1425%,0)</f>
        <v/>
      </c>
      <c r="M26" s="11">
        <f>ROUND(J26*E26*0.3%,0)</f>
        <v/>
      </c>
      <c r="N26" s="11" t="n">
        <v>0</v>
      </c>
      <c r="O26" s="434">
        <f>IF(I26="",E26*Y26,0)</f>
        <v/>
      </c>
      <c r="P26" s="435">
        <f>IF(I26="",R26-H26,(K26-H26-SUM(L26:N26)+R26-S26-T26)-G26)+(ROUND(R26*V26,0)-ROUND(R26*(1+V26),0)*W26)</f>
        <v/>
      </c>
      <c r="Q26" s="435">
        <f>IF(I26="",(O26-G26-(O26*0.1425%*0.65)-(O26*0.3%)-S26-T26),0)</f>
        <v/>
      </c>
      <c r="R26" s="435" t="n">
        <v>49</v>
      </c>
      <c r="S26" s="435" t="n">
        <v>10</v>
      </c>
      <c r="T26" s="435">
        <f>IF(ROUND(R26*(1+V26),0)&gt;20000,ROUND(ROUND(R26*(1+V26),0)*2%,0),0)</f>
        <v/>
      </c>
      <c r="U26" s="69">
        <f>(V26*50%)/(1+50%*V26)</f>
        <v/>
      </c>
      <c r="V26" s="69" t="n"/>
      <c r="W26" s="70" t="n"/>
      <c r="X26" s="436">
        <f>(P26+Q26)/G26</f>
        <v/>
      </c>
      <c r="Y26" s="16">
        <f>VLOOKUP(C26,台股行情!A:D,4,FALSE)</f>
        <v/>
      </c>
      <c r="Z26" s="437">
        <f>VLOOKUP(C26,台股行情!A:E,5,FALSE)</f>
        <v/>
      </c>
      <c r="AA26" s="438">
        <f>IF(I26="",((TODAY()-A26)*G26)/365.24,((I26-A26)*G26)/365.24)</f>
        <v/>
      </c>
      <c r="AB26" s="103" t="inlineStr">
        <is>
          <t>台股 ETF</t>
        </is>
      </c>
      <c r="AC26" s="103" t="inlineStr">
        <is>
          <t>定期定額</t>
        </is>
      </c>
      <c r="AD26" s="355" t="inlineStr">
        <is>
          <t>美伊戰爭，憂心崩盤，出清持股。</t>
        </is>
      </c>
    </row>
    <row r="27" outlineLevel="1">
      <c r="A27" s="99" t="n">
        <v>45652</v>
      </c>
      <c r="B27" s="11" t="inlineStr">
        <is>
          <t>普通買進</t>
        </is>
      </c>
      <c r="C27" s="181" t="n">
        <v>713</v>
      </c>
      <c r="D27" s="189">
        <f>VLOOKUP(C27,台股行情!A:B,2,FALSE)</f>
        <v/>
      </c>
      <c r="E27" s="11" t="n">
        <v>37</v>
      </c>
      <c r="F27" s="11" t="n">
        <v>53.92</v>
      </c>
      <c r="G27" s="183" t="n">
        <v>1995</v>
      </c>
      <c r="H27" s="11" t="n">
        <v>1</v>
      </c>
      <c r="I27" s="104" t="n">
        <v>46090</v>
      </c>
      <c r="J27" s="16" t="n">
        <v>51.65</v>
      </c>
      <c r="K27" s="11">
        <f>E27*J27</f>
        <v/>
      </c>
      <c r="L27" s="11">
        <f>ROUND(J27*E27*0.1425%,0)</f>
        <v/>
      </c>
      <c r="M27" s="11">
        <f>ROUND(J27*E27*0.3%,0)</f>
        <v/>
      </c>
      <c r="N27" s="11" t="n">
        <v>0</v>
      </c>
      <c r="O27" s="434">
        <f>IF(I27="",E27*Y27,0)</f>
        <v/>
      </c>
      <c r="P27" s="435">
        <f>IF(I27="",R27-H27,(K27-H27-SUM(L27:N27)+R27-S27-T27)-G27)+(ROUND(R27*V27,0)-ROUND(R27*(1+V27),0)*W27)</f>
        <v/>
      </c>
      <c r="Q27" s="435">
        <f>IF(I27="",(O27-G27-(O27*0.1425%*0.65)-(O27*0.3%)-S27-T27),0)</f>
        <v/>
      </c>
      <c r="R27" s="435" t="n"/>
      <c r="S27" s="435" t="n">
        <v>0</v>
      </c>
      <c r="T27" s="435">
        <f>IF(ROUND(R27*(1+V27),0)&gt;20000,ROUND(ROUND(R27*(1+V27),0)*2%,0),0)</f>
        <v/>
      </c>
      <c r="U27" s="69" t="n"/>
      <c r="V27" s="69" t="n"/>
      <c r="W27" s="70" t="n"/>
      <c r="X27" s="436">
        <f>(P27+Q27)/G27</f>
        <v/>
      </c>
      <c r="Y27" s="16">
        <f>VLOOKUP(C27,台股行情!A:D,4,FALSE)</f>
        <v/>
      </c>
      <c r="Z27" s="437">
        <f>VLOOKUP(C27,台股行情!A:E,5,FALSE)</f>
        <v/>
      </c>
      <c r="AA27" s="438">
        <f>IF(I27="",((TODAY()-A27)*G27)/365.24,((I27-A27)*G27)/365.24)</f>
        <v/>
      </c>
      <c r="AB27" s="103" t="inlineStr">
        <is>
          <t>台股 ETF</t>
        </is>
      </c>
      <c r="AC27" s="103" t="inlineStr">
        <is>
          <t>定期定額</t>
        </is>
      </c>
      <c r="AD27" s="355" t="inlineStr">
        <is>
          <t>美伊戰爭，憂心崩盤，出清持股。</t>
        </is>
      </c>
    </row>
    <row r="28" outlineLevel="1">
      <c r="A28" s="99" t="n">
        <v>45691</v>
      </c>
      <c r="B28" s="11" t="inlineStr">
        <is>
          <t>普通買進</t>
        </is>
      </c>
      <c r="C28" s="181" t="n">
        <v>713</v>
      </c>
      <c r="D28" s="189">
        <f>VLOOKUP(C28,台股行情!A:B,2,FALSE)</f>
        <v/>
      </c>
      <c r="E28" s="11" t="n">
        <v>93</v>
      </c>
      <c r="F28" s="11" t="n">
        <v>53.49</v>
      </c>
      <c r="G28" s="183" t="n">
        <v>4974</v>
      </c>
      <c r="H28" s="11" t="n">
        <v>1</v>
      </c>
      <c r="I28" s="104" t="n">
        <v>46090</v>
      </c>
      <c r="J28" s="16" t="n">
        <v>51.65</v>
      </c>
      <c r="K28" s="11">
        <f>E28*J28</f>
        <v/>
      </c>
      <c r="L28" s="11">
        <f>ROUND(J28*E28*0.1425%,0)</f>
        <v/>
      </c>
      <c r="M28" s="11">
        <f>ROUND(J28*E28*0.3%,0)</f>
        <v/>
      </c>
      <c r="N28" s="11" t="n">
        <v>0</v>
      </c>
      <c r="O28" s="434">
        <f>IF(I28="",E28*Y28,0)</f>
        <v/>
      </c>
      <c r="P28" s="435">
        <f>IF(I28="",R28-H28,(K28-H28-SUM(L28:N28)+R28-S28-T28)-G28)+(ROUND(R28*V28,0)-ROUND(R28*(1+V28),0)*W28)</f>
        <v/>
      </c>
      <c r="Q28" s="435">
        <f>IF(I28="",(O28-G28-(O28*0.1425%*0.65)-(O28*0.3%)-S28-T28),0)</f>
        <v/>
      </c>
      <c r="R28" s="435" t="n"/>
      <c r="S28" s="435" t="n">
        <v>0</v>
      </c>
      <c r="T28" s="435">
        <f>IF(ROUND(R28*(1+V28),0)&gt;20000,ROUND(ROUND(R28*(1+V28),0)*2%,0),0)</f>
        <v/>
      </c>
      <c r="U28" s="69" t="n"/>
      <c r="V28" s="69" t="n"/>
      <c r="W28" s="70" t="n"/>
      <c r="X28" s="436">
        <f>(P28+Q28)/G28</f>
        <v/>
      </c>
      <c r="Y28" s="16">
        <f>VLOOKUP(C28,台股行情!A:D,4,FALSE)</f>
        <v/>
      </c>
      <c r="Z28" s="437">
        <f>VLOOKUP(C28,台股行情!A:E,5,FALSE)</f>
        <v/>
      </c>
      <c r="AA28" s="438">
        <f>IF(I28="",((TODAY()-A28)*G28)/365.24,((I28-A28)*G28)/365.24)</f>
        <v/>
      </c>
      <c r="AB28" s="103" t="inlineStr">
        <is>
          <t>台股 ETF</t>
        </is>
      </c>
      <c r="AC28" s="103" t="inlineStr">
        <is>
          <t>定期定額</t>
        </is>
      </c>
      <c r="AD28" s="355" t="inlineStr">
        <is>
          <t>美伊戰爭，憂心崩盤，出清持股。</t>
        </is>
      </c>
    </row>
    <row r="29" outlineLevel="1">
      <c r="A29" s="99" t="n">
        <v>45714</v>
      </c>
      <c r="B29" s="11" t="inlineStr">
        <is>
          <t>普通買進</t>
        </is>
      </c>
      <c r="C29" s="181" t="n">
        <v>713</v>
      </c>
      <c r="D29" s="189">
        <f>VLOOKUP(C29,台股行情!A:B,2,FALSE)</f>
        <v/>
      </c>
      <c r="E29" s="11" t="n">
        <v>90</v>
      </c>
      <c r="F29" s="11" t="n">
        <v>55.06</v>
      </c>
      <c r="G29" s="183" t="n">
        <v>4955</v>
      </c>
      <c r="H29" s="11" t="n">
        <v>1</v>
      </c>
      <c r="I29" s="104" t="n">
        <v>46090</v>
      </c>
      <c r="J29" s="16" t="n">
        <v>51.65</v>
      </c>
      <c r="K29" s="11">
        <f>E29*J29</f>
        <v/>
      </c>
      <c r="L29" s="11">
        <f>ROUND(J29*E29*0.1425%,0)</f>
        <v/>
      </c>
      <c r="M29" s="11">
        <f>ROUND(J29*E29*0.3%,0)</f>
        <v/>
      </c>
      <c r="N29" s="11" t="n">
        <v>0</v>
      </c>
      <c r="O29" s="434">
        <f>IF(I29="",E29*Y29,0)</f>
        <v/>
      </c>
      <c r="P29" s="435">
        <f>IF(I29="",R29-H29,(K29-H29-SUM(L29:N29)+R29-S29-T29)-G29)+(ROUND(R29*V29,0)-ROUND(R29*(1+V29),0)*W29)</f>
        <v/>
      </c>
      <c r="Q29" s="435">
        <f>IF(I29="",(O29-G29-(O29*0.1425%*0.65)-(O29*0.3%)-S29-T29),0)</f>
        <v/>
      </c>
      <c r="R29" s="435" t="n">
        <v>357</v>
      </c>
      <c r="S29" s="435" t="n">
        <v>10</v>
      </c>
      <c r="T29" s="435">
        <f>IF(ROUND(R29*(1+V29),0)&gt;20000,ROUND(ROUND(R29*(1+V29),0)*2%,0),0)</f>
        <v/>
      </c>
      <c r="U29" s="69" t="n"/>
      <c r="V29" s="69" t="n"/>
      <c r="W29" s="70" t="n"/>
      <c r="X29" s="436">
        <f>(P29+Q29)/G29</f>
        <v/>
      </c>
      <c r="Y29" s="16">
        <f>VLOOKUP(C29,台股行情!A:D,4,FALSE)</f>
        <v/>
      </c>
      <c r="Z29" s="437">
        <f>VLOOKUP(C29,台股行情!A:E,5,FALSE)</f>
        <v/>
      </c>
      <c r="AA29" s="438">
        <f>IF(I29="",((TODAY()-A29)*G29)/365.24,((I29-A29)*G29)/365.24)</f>
        <v/>
      </c>
      <c r="AB29" s="103" t="inlineStr">
        <is>
          <t>台股 ETF</t>
        </is>
      </c>
      <c r="AC29" s="103" t="inlineStr">
        <is>
          <t>定期定額</t>
        </is>
      </c>
      <c r="AD29" s="354" t="inlineStr">
        <is>
          <t>美伊戰爭，憂心崩盤，獲利了結。</t>
        </is>
      </c>
    </row>
    <row r="30" outlineLevel="1">
      <c r="A30" s="99" t="n">
        <v>45742</v>
      </c>
      <c r="B30" s="11" t="inlineStr">
        <is>
          <t>普通買進</t>
        </is>
      </c>
      <c r="C30" s="181" t="n">
        <v>713</v>
      </c>
      <c r="D30" s="189">
        <f>VLOOKUP(C30,台股行情!A:B,2,FALSE)</f>
        <v/>
      </c>
      <c r="E30" s="11" t="n">
        <v>91</v>
      </c>
      <c r="F30" s="11" t="n">
        <v>53.74</v>
      </c>
      <c r="G30" s="183" t="n">
        <v>4997</v>
      </c>
      <c r="H30" s="11" t="n">
        <v>1</v>
      </c>
      <c r="I30" s="104" t="n">
        <v>46090</v>
      </c>
      <c r="J30" s="16" t="n">
        <v>51.65</v>
      </c>
      <c r="K30" s="11">
        <f>E30*J30</f>
        <v/>
      </c>
      <c r="L30" s="11">
        <f>ROUND(J30*E30*0.1425%,0)</f>
        <v/>
      </c>
      <c r="M30" s="11">
        <f>ROUND(J30*E30*0.3%,0)</f>
        <v/>
      </c>
      <c r="N30" s="11" t="n">
        <v>0</v>
      </c>
      <c r="O30" s="434">
        <f>IF(I30="",E30*Y30,0)</f>
        <v/>
      </c>
      <c r="P30" s="435">
        <f>IF(I30="",R30-H30,(K30-H30-SUM(L30:N30)+R30-S30-T30)-G30)+(ROUND(R30*V30,0)-ROUND(R30*(1+V30),0)*W30)</f>
        <v/>
      </c>
      <c r="Q30" s="435">
        <f>IF(I30="",(O30-G30-(O30*0.1425%*0.65)-(O30*0.3%)-S30-T30),0)</f>
        <v/>
      </c>
      <c r="R30" s="435" t="n"/>
      <c r="S30" s="435" t="n">
        <v>0</v>
      </c>
      <c r="T30" s="435">
        <f>IF(ROUND(R30*(1+V30),0)&gt;20000,ROUND(ROUND(R30*(1+V30),0)*2%,0),0)</f>
        <v/>
      </c>
      <c r="U30" s="69" t="n"/>
      <c r="V30" s="69" t="n"/>
      <c r="W30" s="70" t="n"/>
      <c r="X30" s="436">
        <f>(P30+Q30)/G30</f>
        <v/>
      </c>
      <c r="Y30" s="16">
        <f>VLOOKUP(C30,台股行情!A:D,4,FALSE)</f>
        <v/>
      </c>
      <c r="Z30" s="437">
        <f>VLOOKUP(C30,台股行情!A:E,5,FALSE)</f>
        <v/>
      </c>
      <c r="AA30" s="438">
        <f>IF(I30="",((TODAY()-A30)*G30)/365.24,((I30-A30)*G30)/365.24)</f>
        <v/>
      </c>
      <c r="AB30" s="103" t="inlineStr">
        <is>
          <t>台股 ETF</t>
        </is>
      </c>
      <c r="AC30" s="103" t="inlineStr">
        <is>
          <t>定期定額</t>
        </is>
      </c>
      <c r="AD30" s="355" t="inlineStr">
        <is>
          <t>美伊戰爭，憂心崩盤，出清持股。</t>
        </is>
      </c>
    </row>
    <row r="31" outlineLevel="1">
      <c r="A31" s="99" t="n">
        <v>45775</v>
      </c>
      <c r="B31" s="11" t="inlineStr">
        <is>
          <t>普通買進</t>
        </is>
      </c>
      <c r="C31" s="181" t="n">
        <v>713</v>
      </c>
      <c r="D31" s="189">
        <f>VLOOKUP(C31,台股行情!A:B,2,FALSE)</f>
        <v/>
      </c>
      <c r="E31" s="11" t="n">
        <v>100</v>
      </c>
      <c r="F31" s="11" t="n">
        <v>50</v>
      </c>
      <c r="G31" s="183" t="n">
        <v>5000</v>
      </c>
      <c r="H31" s="11" t="n">
        <v>1</v>
      </c>
      <c r="I31" s="104" t="n">
        <v>46090</v>
      </c>
      <c r="J31" s="16" t="n">
        <v>51.45</v>
      </c>
      <c r="K31" s="11">
        <f>E31*J31</f>
        <v/>
      </c>
      <c r="L31" s="11" t="n">
        <v>10</v>
      </c>
      <c r="M31" s="11" t="n">
        <v>5</v>
      </c>
      <c r="N31" s="11" t="n">
        <v>0</v>
      </c>
      <c r="O31" s="434">
        <f>IF(I31="",E31*Y31,0)</f>
        <v/>
      </c>
      <c r="P31" s="435">
        <f>IF(I31="",R31-H31,(K31-H31-SUM(L31:N31)+R31-S31-T31)-G31)+(ROUND(R31*V31,0)-ROUND(R31*(1+V31),0)*W31)</f>
        <v/>
      </c>
      <c r="Q31" s="435">
        <f>IF(I31="",(O31-G31-(O31*0.1425%*0.65)-(O31*0.3%)-S31-T31),0)</f>
        <v/>
      </c>
      <c r="R31" s="435" t="n"/>
      <c r="S31" s="435" t="n">
        <v>0</v>
      </c>
      <c r="T31" s="435">
        <f>IF(ROUND(R31*(1+V31),0)&gt;20000,ROUND(ROUND(R31*(1+V31),0)*2%,0),0)</f>
        <v/>
      </c>
      <c r="U31" s="69" t="n"/>
      <c r="V31" s="69" t="n"/>
      <c r="W31" s="70" t="n"/>
      <c r="X31" s="436">
        <f>(P31+Q31)/G31</f>
        <v/>
      </c>
      <c r="Y31" s="16">
        <f>VLOOKUP(C31,台股行情!A:D,4,FALSE)</f>
        <v/>
      </c>
      <c r="Z31" s="437">
        <f>VLOOKUP(C31,台股行情!A:E,5,FALSE)</f>
        <v/>
      </c>
      <c r="AA31" s="438">
        <f>IF(I31="",((TODAY()-A31)*G31)/365.24,((I31-A31)*G31)/365.24)</f>
        <v/>
      </c>
      <c r="AB31" s="103" t="inlineStr">
        <is>
          <t>台股 ETF</t>
        </is>
      </c>
      <c r="AC31" s="103" t="inlineStr">
        <is>
          <t>定期定額</t>
        </is>
      </c>
      <c r="AD31" s="354" t="inlineStr">
        <is>
          <t>美伊戰爭，憂心崩盤，獲利了結。</t>
        </is>
      </c>
    </row>
    <row r="32" outlineLevel="1">
      <c r="A32" s="99" t="n">
        <v>45803</v>
      </c>
      <c r="B32" s="11" t="inlineStr">
        <is>
          <t>普通買進</t>
        </is>
      </c>
      <c r="C32" s="181" t="n">
        <v>713</v>
      </c>
      <c r="D32" s="189">
        <f>VLOOKUP(C32,台股行情!A:B,2,FALSE)</f>
        <v/>
      </c>
      <c r="E32" s="11" t="n">
        <v>95</v>
      </c>
      <c r="F32" s="11" t="n">
        <v>52.1</v>
      </c>
      <c r="G32" s="183" t="n">
        <v>4949</v>
      </c>
      <c r="H32" s="11" t="n">
        <v>1</v>
      </c>
      <c r="I32" s="104" t="n">
        <v>46090</v>
      </c>
      <c r="J32" s="16" t="n">
        <v>51.45</v>
      </c>
      <c r="K32" s="11">
        <f>E32*J32</f>
        <v/>
      </c>
      <c r="L32" s="11">
        <f>ROUND(J32*E32*0.1425%,0)</f>
        <v/>
      </c>
      <c r="M32" s="11" t="n">
        <v>5</v>
      </c>
      <c r="N32" s="11" t="n">
        <v>0</v>
      </c>
      <c r="O32" s="434">
        <f>IF(I32="",E32*Y32,0)</f>
        <v/>
      </c>
      <c r="P32" s="435">
        <f>IF(I32="",R32-H32,(K32-H32-SUM(L32:N32)+R32-S32-T32)-G32)+(ROUND(R32*V32,0)-ROUND(R32*(1+V32),0)*W32)</f>
        <v/>
      </c>
      <c r="Q32" s="435">
        <f>IF(I32="",(O32-G32-(O32*0.1425%*0.65)-(O32*0.3%)-S32-T32),0)</f>
        <v/>
      </c>
      <c r="R32" s="435" t="n">
        <v>597.3</v>
      </c>
      <c r="S32" s="435" t="n">
        <v>10</v>
      </c>
      <c r="T32" s="435">
        <f>IF(ROUND(R32*(1+V32),0)&gt;20000,ROUND(ROUND(R32*(1+V32),0)*2%,0),0)</f>
        <v/>
      </c>
      <c r="U32" s="69" t="n"/>
      <c r="V32" s="69" t="n"/>
      <c r="W32" s="70" t="n"/>
      <c r="X32" s="436">
        <f>(P32+Q32)/G32</f>
        <v/>
      </c>
      <c r="Y32" s="16">
        <f>VLOOKUP(C32,台股行情!A:D,4,FALSE)</f>
        <v/>
      </c>
      <c r="Z32" s="437">
        <f>VLOOKUP(C32,台股行情!A:E,5,FALSE)</f>
        <v/>
      </c>
      <c r="AA32" s="438">
        <f>IF(I32="",((TODAY()-A32)*G32)/365.24,((I32-A32)*G32)/365.24)</f>
        <v/>
      </c>
      <c r="AB32" s="103" t="inlineStr">
        <is>
          <t>台股 ETF</t>
        </is>
      </c>
      <c r="AC32" s="103" t="inlineStr">
        <is>
          <t>定期定額</t>
        </is>
      </c>
      <c r="AD32" s="354" t="inlineStr">
        <is>
          <t>美伊戰爭，憂心崩盤，獲利了結。</t>
        </is>
      </c>
    </row>
    <row r="33" outlineLevel="1">
      <c r="A33" s="99" t="n">
        <v>45834</v>
      </c>
      <c r="B33" s="11" t="inlineStr">
        <is>
          <t>普通買進</t>
        </is>
      </c>
      <c r="C33" s="181" t="n">
        <v>713</v>
      </c>
      <c r="D33" s="189">
        <f>VLOOKUP(C33,台股行情!A:B,2,FALSE)</f>
        <v/>
      </c>
      <c r="E33" s="11" t="n">
        <v>99</v>
      </c>
      <c r="F33" s="11" t="n">
        <v>50.31</v>
      </c>
      <c r="G33" s="183" t="n">
        <v>4980</v>
      </c>
      <c r="H33" s="11" t="n">
        <v>1</v>
      </c>
      <c r="I33" s="104" t="n">
        <v>46090</v>
      </c>
      <c r="J33" s="16" t="n">
        <v>51.45</v>
      </c>
      <c r="K33" s="11">
        <f>E33*J33</f>
        <v/>
      </c>
      <c r="L33" s="11">
        <f>ROUND(J33*E33*0.1425%,0)</f>
        <v/>
      </c>
      <c r="M33" s="11" t="n">
        <v>5</v>
      </c>
      <c r="N33" s="11" t="n">
        <v>0</v>
      </c>
      <c r="O33" s="434">
        <f>IF(I33="",E33*Y33,0)</f>
        <v/>
      </c>
      <c r="P33" s="435">
        <f>IF(I33="",R33-H33,(K33-H33-SUM(L33:N33)+R33-S33-T33)-G33)+(ROUND(R33*V33,0)-ROUND(R33*(1+V33),0)*W33)</f>
        <v/>
      </c>
      <c r="Q33" s="435">
        <f>IF(I33="",(O33-G33-(O33*0.1425%*0.65)-(O33*0.3%)-S33-T33),0)</f>
        <v/>
      </c>
      <c r="R33" s="435" t="n">
        <v>652</v>
      </c>
      <c r="S33" s="435" t="n">
        <v>10</v>
      </c>
      <c r="T33" s="435">
        <f>IF(ROUND(R33*(1+V33),0)&gt;20000,ROUND(ROUND(R33*(1+V33),0)*2%,0),0)</f>
        <v/>
      </c>
      <c r="U33" s="69" t="n"/>
      <c r="V33" s="69" t="n"/>
      <c r="W33" s="70" t="n"/>
      <c r="X33" s="436">
        <f>(P33+Q33)/G33</f>
        <v/>
      </c>
      <c r="Y33" s="16">
        <f>VLOOKUP(C33,台股行情!A:D,4,FALSE)</f>
        <v/>
      </c>
      <c r="Z33" s="437">
        <f>VLOOKUP(C33,台股行情!A:E,5,FALSE)</f>
        <v/>
      </c>
      <c r="AA33" s="438">
        <f>IF(I33="",((TODAY()-A33)*G33)/365.24,((I33-A33)*G33)/365.24)</f>
        <v/>
      </c>
      <c r="AB33" s="103" t="inlineStr">
        <is>
          <t>台股 ETF</t>
        </is>
      </c>
      <c r="AC33" s="103" t="inlineStr">
        <is>
          <t>定期定額</t>
        </is>
      </c>
      <c r="AD33" s="354" t="inlineStr">
        <is>
          <t>美伊戰爭，憂心崩盤，獲利了結。</t>
        </is>
      </c>
    </row>
    <row r="34" outlineLevel="1">
      <c r="A34" s="99" t="n">
        <v>45866</v>
      </c>
      <c r="B34" s="11" t="inlineStr">
        <is>
          <t>普通買進</t>
        </is>
      </c>
      <c r="C34" s="181" t="n">
        <v>713</v>
      </c>
      <c r="D34" s="189">
        <f>VLOOKUP(C34,台股行情!A:B,2,FALSE)</f>
        <v/>
      </c>
      <c r="E34" s="11" t="n">
        <v>97</v>
      </c>
      <c r="F34" s="11" t="n">
        <v>51.1</v>
      </c>
      <c r="G34" s="183" t="n">
        <v>4956</v>
      </c>
      <c r="H34" s="11" t="n">
        <v>1</v>
      </c>
      <c r="I34" s="104" t="n">
        <v>46090</v>
      </c>
      <c r="J34" s="16" t="n">
        <v>51.45</v>
      </c>
      <c r="K34" s="11">
        <f>E34*J34</f>
        <v/>
      </c>
      <c r="L34" s="11">
        <f>ROUND(J34*E34*0.1425%,0)</f>
        <v/>
      </c>
      <c r="M34" s="11" t="n">
        <v>5</v>
      </c>
      <c r="N34" s="11" t="n">
        <v>0</v>
      </c>
      <c r="O34" s="434">
        <f>IF(I34="",E34*Y34,0)</f>
        <v/>
      </c>
      <c r="P34" s="435">
        <f>IF(I34="",R34-H34,(K34-H34-SUM(L34:N34)+R34-S34-T34)-G34)+(ROUND(R34*V34,0)-ROUND(R34*(1+V34),0)*W34)</f>
        <v/>
      </c>
      <c r="Q34" s="435">
        <f>IF(I34="",(O34-G34-(O34*0.1425%*0.65)-(O34*0.3%)-S34-T34),0)</f>
        <v/>
      </c>
      <c r="R34" s="435" t="n"/>
      <c r="S34" s="435" t="n">
        <v>0</v>
      </c>
      <c r="T34" s="435">
        <f>IF(ROUND(R34*(1+V34),0)&gt;20000,ROUND(ROUND(R34*(1+V34),0)*2%,0),0)</f>
        <v/>
      </c>
      <c r="U34" s="69" t="n"/>
      <c r="V34" s="69" t="n"/>
      <c r="W34" s="70" t="n"/>
      <c r="X34" s="436">
        <f>(P34+Q34)/G34</f>
        <v/>
      </c>
      <c r="Y34" s="16">
        <f>VLOOKUP(C34,台股行情!A:D,4,FALSE)</f>
        <v/>
      </c>
      <c r="Z34" s="437">
        <f>VLOOKUP(C34,台股行情!A:E,5,FALSE)</f>
        <v/>
      </c>
      <c r="AA34" s="438">
        <f>IF(I34="",((TODAY()-A34)*G34)/365.24,((I34-A34)*G34)/365.24)</f>
        <v/>
      </c>
      <c r="AB34" s="103" t="inlineStr">
        <is>
          <t>台股 ETF</t>
        </is>
      </c>
      <c r="AC34" s="103" t="inlineStr">
        <is>
          <t>定期定額</t>
        </is>
      </c>
      <c r="AD34" s="354" t="inlineStr">
        <is>
          <t>美伊戰爭，憂心崩盤，獲利了結。</t>
        </is>
      </c>
    </row>
    <row r="35" outlineLevel="1">
      <c r="A35" s="99" t="n">
        <v>45895</v>
      </c>
      <c r="B35" s="11" t="inlineStr">
        <is>
          <t>普通買進</t>
        </is>
      </c>
      <c r="C35" s="181" t="n">
        <v>713</v>
      </c>
      <c r="D35" s="189">
        <f>VLOOKUP(C35,台股行情!A:B,2,FALSE)</f>
        <v/>
      </c>
      <c r="E35" s="11" t="n">
        <v>97</v>
      </c>
      <c r="F35" s="11" t="n">
        <v>51.06</v>
      </c>
      <c r="G35" s="183" t="n">
        <v>4952</v>
      </c>
      <c r="H35" s="11" t="n">
        <v>1</v>
      </c>
      <c r="I35" s="104" t="n">
        <v>46090</v>
      </c>
      <c r="J35" s="16" t="n">
        <v>51.45</v>
      </c>
      <c r="K35" s="11">
        <f>E35*J35</f>
        <v/>
      </c>
      <c r="L35" s="11">
        <f>ROUND(J35*E35*0.1425%,0)</f>
        <v/>
      </c>
      <c r="M35" s="11" t="n">
        <v>5</v>
      </c>
      <c r="N35" s="11" t="n">
        <v>0</v>
      </c>
      <c r="O35" s="434">
        <f>IF(I35="",E35*Y35,0)</f>
        <v/>
      </c>
      <c r="P35" s="435">
        <f>IF(I35="",R35-H35,(K35-H35-SUM(L35:N35)+R35-S35-T35)-G35)+(ROUND(R35*V35,0)-ROUND(R35*(1+V35),0)*W35)</f>
        <v/>
      </c>
      <c r="Q35" s="435">
        <f>IF(I35="",(O35-G35-(O35*0.1425%*0.65)-(O35*0.3%)-S35-T35),0)</f>
        <v/>
      </c>
      <c r="R35" s="435" t="n"/>
      <c r="S35" s="435" t="n">
        <v>0</v>
      </c>
      <c r="T35" s="435">
        <f>IF(ROUND(R35*(1+V35),0)&gt;20000,ROUND(ROUND(R35*(1+V35),0)*2%,0),0)</f>
        <v/>
      </c>
      <c r="U35" s="69" t="n"/>
      <c r="V35" s="69" t="n"/>
      <c r="W35" s="70" t="n"/>
      <c r="X35" s="436">
        <f>(P35+Q35)/G35</f>
        <v/>
      </c>
      <c r="Y35" s="16">
        <f>VLOOKUP(C35,台股行情!A:D,4,FALSE)</f>
        <v/>
      </c>
      <c r="Z35" s="437">
        <f>VLOOKUP(C35,台股行情!A:E,5,FALSE)</f>
        <v/>
      </c>
      <c r="AA35" s="438">
        <f>IF(I35="",((TODAY()-A35)*G35)/365.24,((I35-A35)*G35)/365.24)</f>
        <v/>
      </c>
      <c r="AB35" s="103" t="inlineStr">
        <is>
          <t>台股 ETF</t>
        </is>
      </c>
      <c r="AC35" s="103" t="inlineStr">
        <is>
          <t>定期定額</t>
        </is>
      </c>
      <c r="AD35" s="354" t="inlineStr">
        <is>
          <t>美伊戰爭，憂心崩盤，獲利了結。</t>
        </is>
      </c>
    </row>
    <row r="36" outlineLevel="1">
      <c r="A36" s="99" t="n">
        <v>45926</v>
      </c>
      <c r="B36" s="11" t="inlineStr">
        <is>
          <t>普通買進</t>
        </is>
      </c>
      <c r="C36" s="181" t="n">
        <v>713</v>
      </c>
      <c r="D36" s="189">
        <f>VLOOKUP(C36,台股行情!A:B,2,FALSE)</f>
        <v/>
      </c>
      <c r="E36" s="11" t="n">
        <v>97</v>
      </c>
      <c r="F36" s="11" t="n">
        <v>51.14</v>
      </c>
      <c r="G36" s="183" t="n">
        <v>4960</v>
      </c>
      <c r="H36" s="11" t="n">
        <v>1</v>
      </c>
      <c r="I36" s="104" t="n">
        <v>46090</v>
      </c>
      <c r="J36" s="16" t="n">
        <v>51.45</v>
      </c>
      <c r="K36" s="11">
        <f>E36*J36</f>
        <v/>
      </c>
      <c r="L36" s="11">
        <f>ROUND(J36*E36*0.1425%,0)</f>
        <v/>
      </c>
      <c r="M36" s="11" t="n">
        <v>5</v>
      </c>
      <c r="N36" s="11" t="n">
        <v>0</v>
      </c>
      <c r="O36" s="434">
        <f>IF(I36="",E36*Y36,0)</f>
        <v/>
      </c>
      <c r="P36" s="435">
        <f>IF(I36="",R36-H36,(K36-H36-SUM(L36:N36)+R36-S36-T36)-G36)+(ROUND(R36*V36,0)-ROUND(R36*(1+V36),0)*W36)</f>
        <v/>
      </c>
      <c r="Q36" s="435">
        <f>IF(I36="",(O36-G36-(O36*0.1425%*0.65)-(O36*0.3%)-S36-T36),0)</f>
        <v/>
      </c>
      <c r="R36" s="435" t="n"/>
      <c r="S36" s="435" t="n">
        <v>0</v>
      </c>
      <c r="T36" s="435">
        <f>IF(ROUND(R36*(1+V36),0)&gt;20000,ROUND(ROUND(R36*(1+V36),0)*2%,0),0)</f>
        <v/>
      </c>
      <c r="U36" s="69" t="n"/>
      <c r="V36" s="69" t="n"/>
      <c r="W36" s="70" t="n"/>
      <c r="X36" s="436">
        <f>(P36+Q36)/G36</f>
        <v/>
      </c>
      <c r="Y36" s="16">
        <f>VLOOKUP(C36,台股行情!A:D,4,FALSE)</f>
        <v/>
      </c>
      <c r="Z36" s="437">
        <f>VLOOKUP(C36,台股行情!A:E,5,FALSE)</f>
        <v/>
      </c>
      <c r="AA36" s="438">
        <f>IF(I36="",((TODAY()-A36)*G36)/365.24,((I36-A36)*G36)/365.24)</f>
        <v/>
      </c>
      <c r="AB36" s="103" t="inlineStr">
        <is>
          <t>台股 ETF</t>
        </is>
      </c>
      <c r="AC36" s="103" t="inlineStr">
        <is>
          <t>定期定額</t>
        </is>
      </c>
      <c r="AD36" s="354" t="inlineStr">
        <is>
          <t>美伊戰爭，憂心崩盤，獲利了結。</t>
        </is>
      </c>
    </row>
    <row r="37" outlineLevel="1">
      <c r="A37" s="99" t="n">
        <v>45957</v>
      </c>
      <c r="B37" s="11" t="inlineStr">
        <is>
          <t>普通買進</t>
        </is>
      </c>
      <c r="C37" s="181" t="n">
        <v>713</v>
      </c>
      <c r="D37" s="189">
        <f>VLOOKUP(C37,台股行情!A:B,2,FALSE)</f>
        <v/>
      </c>
      <c r="E37" s="11" t="n">
        <v>96</v>
      </c>
      <c r="F37" s="11" t="n">
        <v>51.75</v>
      </c>
      <c r="G37" s="183" t="n">
        <v>4968</v>
      </c>
      <c r="H37" s="11" t="n">
        <v>1</v>
      </c>
      <c r="I37" s="104" t="n">
        <v>46090</v>
      </c>
      <c r="J37" s="16" t="n">
        <v>51.45</v>
      </c>
      <c r="K37" s="11">
        <f>E37*J37</f>
        <v/>
      </c>
      <c r="L37" s="11">
        <f>ROUND(J37*E37*0.1425%,0)</f>
        <v/>
      </c>
      <c r="M37" s="11" t="n">
        <v>5</v>
      </c>
      <c r="N37" s="11" t="n">
        <v>0</v>
      </c>
      <c r="O37" s="434">
        <f>IF(I37="",E37*Y37,0)</f>
        <v/>
      </c>
      <c r="P37" s="435">
        <f>IF(I37="",R37-H37,(K37-H37-SUM(L37:N37)+R37-S37-T37)-G37)+(ROUND(R37*V37,0)-ROUND(R37*(1+V37),0)*W37)</f>
        <v/>
      </c>
      <c r="Q37" s="435">
        <f>IF(I37="",(O37-G37-(O37*0.1425%*0.65)-(O37*0.3%)-S37-T37),0)</f>
        <v/>
      </c>
      <c r="R37" s="435" t="n"/>
      <c r="S37" s="435" t="n">
        <v>0</v>
      </c>
      <c r="T37" s="435">
        <f>IF(ROUND(R37*(1+V37),0)&gt;20000,ROUND(ROUND(R37*(1+V37),0)*2%,0),0)</f>
        <v/>
      </c>
      <c r="U37" s="69" t="n"/>
      <c r="V37" s="69" t="n"/>
      <c r="W37" s="70" t="n"/>
      <c r="X37" s="436">
        <f>(P37+Q37)/G37</f>
        <v/>
      </c>
      <c r="Y37" s="16">
        <f>VLOOKUP(C37,台股行情!A:D,4,FALSE)</f>
        <v/>
      </c>
      <c r="Z37" s="437">
        <f>VLOOKUP(C37,台股行情!A:E,5,FALSE)</f>
        <v/>
      </c>
      <c r="AA37" s="438">
        <f>IF(I37="",((TODAY()-A37)*G37)/365.24,((I37-A37)*G37)/365.24)</f>
        <v/>
      </c>
      <c r="AB37" s="103" t="inlineStr">
        <is>
          <t>台股 ETF</t>
        </is>
      </c>
      <c r="AC37" s="103" t="inlineStr">
        <is>
          <t>定期定額</t>
        </is>
      </c>
      <c r="AD37" s="355" t="inlineStr">
        <is>
          <t>美伊戰爭，憂心崩盤，出清持股。</t>
        </is>
      </c>
    </row>
    <row r="38" outlineLevel="1">
      <c r="A38" s="99" t="n">
        <v>45987</v>
      </c>
      <c r="B38" s="11" t="inlineStr">
        <is>
          <t>普通買進</t>
        </is>
      </c>
      <c r="C38" s="181" t="n">
        <v>713</v>
      </c>
      <c r="D38" s="189">
        <f>VLOOKUP(C38,台股行情!A:B,2,FALSE)</f>
        <v/>
      </c>
      <c r="E38" s="11" t="n">
        <v>99</v>
      </c>
      <c r="F38" s="11" t="n">
        <v>50.35</v>
      </c>
      <c r="G38" s="183" t="n">
        <v>4984</v>
      </c>
      <c r="H38" s="11" t="n">
        <v>1</v>
      </c>
      <c r="I38" s="104" t="n">
        <v>46090</v>
      </c>
      <c r="J38" s="16" t="n">
        <v>51.45</v>
      </c>
      <c r="K38" s="11">
        <f>E38*J38</f>
        <v/>
      </c>
      <c r="L38" s="11">
        <f>ROUND(J38*E38*0.1425%,0)</f>
        <v/>
      </c>
      <c r="M38" s="11" t="n">
        <v>5</v>
      </c>
      <c r="N38" s="11" t="n">
        <v>0</v>
      </c>
      <c r="O38" s="434">
        <f>IF(I38="",E38*Y38,0)</f>
        <v/>
      </c>
      <c r="P38" s="435">
        <f>IF(I38="",R38-H38,(K38-H38-SUM(L38:N38)+R38-S38-T38)-G38)+(ROUND(R38*V38,0)-ROUND(R38*(1+V38),0)*W38)</f>
        <v/>
      </c>
      <c r="Q38" s="435">
        <f>IF(I38="",(O38-G38-(O38*0.1425%*0.65)-(O38*0.3%)-S38-T38),0)</f>
        <v/>
      </c>
      <c r="R38" s="435" t="n">
        <v>880</v>
      </c>
      <c r="S38" s="435" t="n">
        <v>10</v>
      </c>
      <c r="T38" s="435">
        <f>IF(ROUND(R38*(1+V38),0)&gt;20000,ROUND(ROUND(R38*(1+V38),0)*2%,0),0)</f>
        <v/>
      </c>
      <c r="U38" s="69" t="n"/>
      <c r="V38" s="69" t="n"/>
      <c r="W38" s="70" t="n"/>
      <c r="X38" s="436">
        <f>(P38+Q38)/G38</f>
        <v/>
      </c>
      <c r="Y38" s="16">
        <f>VLOOKUP(C38,台股行情!A:D,4,FALSE)</f>
        <v/>
      </c>
      <c r="Z38" s="437">
        <f>VLOOKUP(C38,台股行情!A:E,5,FALSE)</f>
        <v/>
      </c>
      <c r="AA38" s="438">
        <f>IF(I38="",((TODAY()-A38)*G38)/365.24,((I38-A38)*G38)/365.24)</f>
        <v/>
      </c>
      <c r="AB38" s="103" t="inlineStr">
        <is>
          <t>台股 ETF</t>
        </is>
      </c>
      <c r="AC38" s="103" t="inlineStr">
        <is>
          <t>定期定額</t>
        </is>
      </c>
      <c r="AD38" s="354" t="inlineStr">
        <is>
          <t>美伊戰爭，憂心崩盤，獲利了結。</t>
        </is>
      </c>
    </row>
    <row r="39" outlineLevel="1">
      <c r="A39" s="99" t="n">
        <v>46017</v>
      </c>
      <c r="B39" s="11" t="inlineStr">
        <is>
          <t>普通買進</t>
        </is>
      </c>
      <c r="C39" s="181" t="n">
        <v>713</v>
      </c>
      <c r="D39" s="189">
        <f>VLOOKUP(C39,台股行情!A:B,2,FALSE)</f>
        <v/>
      </c>
      <c r="E39" s="11" t="n">
        <v>98</v>
      </c>
      <c r="F39" s="11" t="n">
        <v>50.84</v>
      </c>
      <c r="G39" s="183" t="n">
        <v>4982</v>
      </c>
      <c r="H39" s="11" t="n">
        <v>1</v>
      </c>
      <c r="I39" s="104" t="n">
        <v>46090</v>
      </c>
      <c r="J39" s="16" t="n">
        <v>51.45</v>
      </c>
      <c r="K39" s="11">
        <f>E39*J39</f>
        <v/>
      </c>
      <c r="L39" s="11">
        <f>ROUND(J39*E39*0.1425%,0)</f>
        <v/>
      </c>
      <c r="M39" s="11" t="n">
        <v>5</v>
      </c>
      <c r="N39" s="11" t="n">
        <v>0</v>
      </c>
      <c r="O39" s="434">
        <f>IF(I39="",E39*Y39,0)</f>
        <v/>
      </c>
      <c r="P39" s="435">
        <f>IF(I39="",R39-H39,(K39-H39-SUM(L39:N39)+R39-S39-T39)-G39)+(ROUND(R39*V39,0)-ROUND(R39*(1+V39),0)*W39)</f>
        <v/>
      </c>
      <c r="Q39" s="435">
        <f>IF(I39="",(O39-G39-(O39*0.1425%*0.65)-(O39*0.3%)-S39-T39),0)</f>
        <v/>
      </c>
      <c r="R39" s="435" t="n"/>
      <c r="S39" s="435" t="n">
        <v>0</v>
      </c>
      <c r="T39" s="435">
        <f>IF(ROUND(R39*(1+V39),0)&gt;20000,ROUND(ROUND(R39*(1+V39),0)*2%,0),0)</f>
        <v/>
      </c>
      <c r="U39" s="69" t="n"/>
      <c r="V39" s="69" t="n"/>
      <c r="W39" s="70" t="n"/>
      <c r="X39" s="436">
        <f>(P39+Q39)/G39</f>
        <v/>
      </c>
      <c r="Y39" s="16">
        <f>VLOOKUP(C39,台股行情!A:D,4,FALSE)</f>
        <v/>
      </c>
      <c r="Z39" s="437">
        <f>VLOOKUP(C39,台股行情!A:E,5,FALSE)</f>
        <v/>
      </c>
      <c r="AA39" s="438">
        <f>IF(I39="",((TODAY()-A39)*G39)/365.24,((I39-A39)*G39)/365.24)</f>
        <v/>
      </c>
      <c r="AB39" s="103" t="inlineStr">
        <is>
          <t>台股 ETF</t>
        </is>
      </c>
      <c r="AC39" s="103" t="inlineStr">
        <is>
          <t>定期定額</t>
        </is>
      </c>
      <c r="AD39" s="354" t="inlineStr">
        <is>
          <t>美伊戰爭，憂心崩盤，獲利了結。</t>
        </is>
      </c>
    </row>
    <row r="40" outlineLevel="1">
      <c r="A40" s="99" t="n">
        <v>46048</v>
      </c>
      <c r="B40" s="11" t="inlineStr">
        <is>
          <t>普通買進</t>
        </is>
      </c>
      <c r="C40" s="181" t="n">
        <v>713</v>
      </c>
      <c r="D40" s="189">
        <f>VLOOKUP(C40,台股行情!A:B,2,FALSE)</f>
        <v/>
      </c>
      <c r="E40" s="11" t="n">
        <v>96</v>
      </c>
      <c r="F40" s="11" t="n">
        <v>51.95</v>
      </c>
      <c r="G40" s="183" t="n">
        <v>4987</v>
      </c>
      <c r="H40" s="11" t="n">
        <v>1</v>
      </c>
      <c r="I40" s="104" t="n">
        <v>46090</v>
      </c>
      <c r="J40" s="16" t="n">
        <v>51.45</v>
      </c>
      <c r="K40" s="11">
        <f>E40*J40</f>
        <v/>
      </c>
      <c r="L40" s="11">
        <f>ROUND(J40*E40*0.1425%,0)</f>
        <v/>
      </c>
      <c r="M40" s="11" t="n">
        <v>5</v>
      </c>
      <c r="N40" s="11" t="n">
        <v>0</v>
      </c>
      <c r="O40" s="434">
        <f>IF(I40="",E40*Y40,0)</f>
        <v/>
      </c>
      <c r="P40" s="435">
        <f>IF(I40="",R40-H40,(K40-H40-SUM(L40:N40)+R40-S40-T40)-G40)+(ROUND(R40*V40,0)-ROUND(R40*(1+V40),0)*W40)</f>
        <v/>
      </c>
      <c r="Q40" s="435">
        <f>IF(I40="",(O40-G40-(O40*0.1425%*0.65)-(O40*0.3%)-S40-T40),0)</f>
        <v/>
      </c>
      <c r="R40" s="435" t="n"/>
      <c r="S40" s="435" t="n">
        <v>0</v>
      </c>
      <c r="T40" s="435">
        <f>IF(ROUND(R40*(1+V40),0)&gt;20000,ROUND(ROUND(R40*(1+V40),0)*2%,0),0)</f>
        <v/>
      </c>
      <c r="U40" s="69" t="n"/>
      <c r="V40" s="69" t="n"/>
      <c r="W40" s="70" t="n"/>
      <c r="X40" s="436">
        <f>(P40+Q40)/G40</f>
        <v/>
      </c>
      <c r="Y40" s="16">
        <f>VLOOKUP(C40,台股行情!A:D,4,FALSE)</f>
        <v/>
      </c>
      <c r="Z40" s="437">
        <f>VLOOKUP(C40,台股行情!A:E,5,FALSE)</f>
        <v/>
      </c>
      <c r="AA40" s="438">
        <f>IF(I40="",((TODAY()-A40)*G40)/365.24,((I40-A40)*G40)/365.24)</f>
        <v/>
      </c>
      <c r="AB40" s="103" t="inlineStr">
        <is>
          <t>台股 ETF</t>
        </is>
      </c>
      <c r="AC40" s="103" t="inlineStr">
        <is>
          <t>定期定額</t>
        </is>
      </c>
      <c r="AD40" s="355" t="inlineStr">
        <is>
          <t>美伊戰爭，憂心崩盤，出清持股。</t>
        </is>
      </c>
    </row>
    <row r="41" outlineLevel="1">
      <c r="A41" s="99" t="n">
        <v>46079</v>
      </c>
      <c r="B41" s="11" t="inlineStr">
        <is>
          <t>普通買進</t>
        </is>
      </c>
      <c r="C41" s="181" t="n">
        <v>713</v>
      </c>
      <c r="D41" s="189">
        <f>VLOOKUP(C41,台股行情!A:B,2,FALSE)</f>
        <v/>
      </c>
      <c r="E41" s="11" t="n">
        <v>92</v>
      </c>
      <c r="F41" s="11" t="n">
        <v>53.98</v>
      </c>
      <c r="G41" s="183" t="n">
        <v>4966</v>
      </c>
      <c r="H41" s="11" t="n">
        <v>1</v>
      </c>
      <c r="I41" s="104" t="n">
        <v>46090</v>
      </c>
      <c r="J41" s="16" t="n">
        <v>51.45</v>
      </c>
      <c r="K41" s="11">
        <f>E41*J41</f>
        <v/>
      </c>
      <c r="L41" s="11">
        <f>ROUND(J41*E41*0.1425%,0)</f>
        <v/>
      </c>
      <c r="M41" s="11" t="n">
        <v>5</v>
      </c>
      <c r="N41" s="11" t="n">
        <v>0</v>
      </c>
      <c r="O41" s="434">
        <f>IF(I41="",E41*Y41,0)</f>
        <v/>
      </c>
      <c r="P41" s="435">
        <f>IF(I41="",R41-H41,(K41-H41-SUM(L41:N41)+R41-S41-T41)-G41)+(ROUND(R41*V41,0)-ROUND(R41*(1+V41),0)*W41)</f>
        <v/>
      </c>
      <c r="Q41" s="435">
        <f>IF(I41="",(O41-G41-(O41*0.1425%*0.65)-(O41*0.3%)-S41-T41),0)</f>
        <v/>
      </c>
      <c r="R41" s="435" t="n"/>
      <c r="S41" s="435" t="n">
        <v>0</v>
      </c>
      <c r="T41" s="435">
        <f>IF(ROUND(R41*(1+V41),0)&gt;20000,ROUND(ROUND(R41*(1+V41),0)*2%,0),0)</f>
        <v/>
      </c>
      <c r="U41" s="69" t="n"/>
      <c r="V41" s="69" t="n"/>
      <c r="W41" s="70" t="n"/>
      <c r="X41" s="436">
        <f>(P41+Q41)/G41</f>
        <v/>
      </c>
      <c r="Y41" s="16">
        <f>VLOOKUP(C41,台股行情!A:D,4,FALSE)</f>
        <v/>
      </c>
      <c r="Z41" s="437">
        <f>VLOOKUP(C41,台股行情!A:E,5,FALSE)</f>
        <v/>
      </c>
      <c r="AA41" s="438">
        <f>IF(I41="",((TODAY()-A41)*G41)/365.24,((I41-A41)*G41)/365.24)</f>
        <v/>
      </c>
      <c r="AB41" s="103" t="inlineStr">
        <is>
          <t>台股 ETF</t>
        </is>
      </c>
      <c r="AC41" s="103" t="inlineStr">
        <is>
          <t>定期定額</t>
        </is>
      </c>
      <c r="AD41" s="356" t="inlineStr">
        <is>
          <t>美伊戰爭，憂心崩盤，出清持股。</t>
        </is>
      </c>
    </row>
    <row r="42" outlineLevel="1">
      <c r="A42" s="99" t="n">
        <v>45814</v>
      </c>
      <c r="B42" s="11" t="inlineStr">
        <is>
          <t>普通買進</t>
        </is>
      </c>
      <c r="C42" s="181" t="n">
        <v>918</v>
      </c>
      <c r="D42" s="189">
        <f>VLOOKUP(C42,台股行情!A:B,2,FALSE)</f>
        <v/>
      </c>
      <c r="E42" s="11" t="n">
        <v>5000</v>
      </c>
      <c r="F42" s="11" t="n">
        <v>21.98</v>
      </c>
      <c r="G42" s="11">
        <f>E42*F42</f>
        <v/>
      </c>
      <c r="H42" s="11" t="n">
        <v>156</v>
      </c>
      <c r="I42" s="104" t="n">
        <v>46090</v>
      </c>
      <c r="J42" s="16" t="n">
        <v>22.51</v>
      </c>
      <c r="K42" s="11">
        <f>E42*J42</f>
        <v/>
      </c>
      <c r="L42" s="11">
        <f>ROUND(J42*E42*0.1425%,0)</f>
        <v/>
      </c>
      <c r="M42" s="11" t="n">
        <v>112</v>
      </c>
      <c r="N42" s="11" t="n">
        <v>0</v>
      </c>
      <c r="O42" s="434">
        <f>IF(I42="",E42*Y42,0)</f>
        <v/>
      </c>
      <c r="P42" s="435">
        <f>IF(I42="",R42-H42,(K42-H42-SUM(L42:N42)+R42-S42-T42)-G42)+(ROUND(R42*V42,0)-ROUND(R42*(1+V42),0)*W42)</f>
        <v/>
      </c>
      <c r="Q42" s="435">
        <f>IF(I42="",(O42-G42-(O42*0.1425%*0.65)-(O42*0.3%)-S42-T42),0)</f>
        <v/>
      </c>
      <c r="R42" s="435">
        <f>3500+2600+2825</f>
        <v/>
      </c>
      <c r="S42" s="435" t="n">
        <v>30</v>
      </c>
      <c r="T42" s="435">
        <f>IF(ROUND(R42*(1+V42),0)&gt;20000,ROUND(ROUND(R42*(1+V42),0)*2%,0),0)</f>
        <v/>
      </c>
      <c r="U42" s="69" t="n"/>
      <c r="V42" s="69" t="n"/>
      <c r="W42" s="70" t="n"/>
      <c r="X42" s="436">
        <f>(P42+Q42)/G42</f>
        <v/>
      </c>
      <c r="Y42" s="16">
        <f>VLOOKUP(C42,台股行情!A:D,4,FALSE)</f>
        <v/>
      </c>
      <c r="Z42" s="437">
        <f>VLOOKUP(C42,台股行情!A:E,5,FALSE)</f>
        <v/>
      </c>
      <c r="AA42" s="438">
        <f>IF(I42="",((TODAY()-A42)*G42)/365.24,((I42-A42)*G42)/365.24)</f>
        <v/>
      </c>
      <c r="AB42" s="103" t="inlineStr">
        <is>
          <t>台股 ETF</t>
        </is>
      </c>
      <c r="AC42" s="103" t="inlineStr">
        <is>
          <t>存股</t>
        </is>
      </c>
      <c r="AD42" s="354" t="inlineStr">
        <is>
          <t>美伊戰爭，憂心崩盤，獲利了結。</t>
        </is>
      </c>
    </row>
    <row r="43" outlineLevel="1">
      <c r="A43" s="99" t="n">
        <v>45814</v>
      </c>
      <c r="B43" s="11" t="inlineStr">
        <is>
          <t>普通買進</t>
        </is>
      </c>
      <c r="C43" s="181" t="n">
        <v>919</v>
      </c>
      <c r="D43" s="189">
        <f>VLOOKUP(C43,台股行情!A:B,2,FALSE)</f>
        <v/>
      </c>
      <c r="E43" s="11" t="n">
        <v>5000</v>
      </c>
      <c r="F43" s="11" t="n">
        <v>21.98</v>
      </c>
      <c r="G43" s="11">
        <f>E43*F43</f>
        <v/>
      </c>
      <c r="H43" s="11" t="n">
        <v>156</v>
      </c>
      <c r="I43" s="104" t="n">
        <v>46090</v>
      </c>
      <c r="J43" s="16" t="n">
        <v>22.94</v>
      </c>
      <c r="K43" s="11">
        <f>E43*J43</f>
        <v/>
      </c>
      <c r="L43" s="11">
        <f>ROUND(J43*E43*0.1425%,0)</f>
        <v/>
      </c>
      <c r="M43" s="11" t="n">
        <v>114</v>
      </c>
      <c r="N43" s="11" t="n">
        <v>0</v>
      </c>
      <c r="O43" s="434">
        <f>IF(I43="",E43*Y43,0)</f>
        <v/>
      </c>
      <c r="P43" s="435">
        <f>IF(I43="",R43-H43,(K43-H43-SUM(L43:N43)+R43-S43-T43)-G43)+(ROUND(R43*V43,0)-ROUND(R43*(1+V43),0)*W43)</f>
        <v/>
      </c>
      <c r="Q43" s="435">
        <f>IF(I43="",(O43-G43-(O43*0.1425%*0.65)-(O43*0.3%)-S43-T43),0)</f>
        <v/>
      </c>
      <c r="R43" s="435">
        <f>3600+2700+2700</f>
        <v/>
      </c>
      <c r="S43" s="435" t="n">
        <v>30</v>
      </c>
      <c r="T43" s="435">
        <f>IF(ROUND(R43*(1+V43),0)&gt;20000,ROUND(ROUND(R43*(1+V43),0)*2%,0),0)</f>
        <v/>
      </c>
      <c r="U43" s="69" t="n"/>
      <c r="V43" s="69" t="n"/>
      <c r="W43" s="70" t="n"/>
      <c r="X43" s="436">
        <f>(P43+Q43)/G43</f>
        <v/>
      </c>
      <c r="Y43" s="16">
        <f>VLOOKUP(C43,台股行情!A:D,4,FALSE)</f>
        <v/>
      </c>
      <c r="Z43" s="437">
        <f>VLOOKUP(C43,台股行情!A:E,5,FALSE)</f>
        <v/>
      </c>
      <c r="AA43" s="438">
        <f>IF(I43="",((TODAY()-A43)*G43)/365.24,((I43-A43)*G43)/365.24)</f>
        <v/>
      </c>
      <c r="AB43" s="103" t="inlineStr">
        <is>
          <t>台股 ETF</t>
        </is>
      </c>
      <c r="AC43" s="103" t="inlineStr">
        <is>
          <t>存股</t>
        </is>
      </c>
      <c r="AD43" s="354" t="inlineStr">
        <is>
          <t>美伊戰爭，憂心崩盤，獲利了結。</t>
        </is>
      </c>
    </row>
    <row r="44">
      <c r="A44" s="99" t="n">
        <v>45622</v>
      </c>
      <c r="B44" s="11" t="inlineStr">
        <is>
          <t>普通買進</t>
        </is>
      </c>
      <c r="C44" s="181" t="n">
        <v>56</v>
      </c>
      <c r="D44" s="189">
        <f>VLOOKUP(C44,台股行情!A:B,2,FALSE)</f>
        <v/>
      </c>
      <c r="E44" s="11" t="n">
        <v>53</v>
      </c>
      <c r="F44" s="11" t="n">
        <v>37.38</v>
      </c>
      <c r="G44" s="183" t="n">
        <v>1981</v>
      </c>
      <c r="H44" s="11" t="n">
        <v>1</v>
      </c>
      <c r="I44" s="104" t="n">
        <v>46090</v>
      </c>
      <c r="J44" s="16" t="n">
        <v>37.8</v>
      </c>
      <c r="K44" s="11">
        <f>E44*J44</f>
        <v/>
      </c>
      <c r="L44" s="11">
        <f>ROUND(J44*E44*0.1425%,0)</f>
        <v/>
      </c>
      <c r="M44" s="11" t="n">
        <v>2</v>
      </c>
      <c r="N44" s="11" t="n">
        <v>0</v>
      </c>
      <c r="O44" s="434">
        <f>IF(I44="",E44*Y44,0)</f>
        <v/>
      </c>
      <c r="P44" s="435">
        <f>IF(I44="",R44-H44,(K44-H44-SUM(L44:N44)+R44-S44-T44)-G44)+(ROUND(R44*V44,0)-ROUND(R44*(1+V44),0)*W44)</f>
        <v/>
      </c>
      <c r="Q44" s="435">
        <f>IF(I44="",(O44-G44-(O44*0.1425%*0.65)-(O44*0.3%)-S44-T44),0)</f>
        <v/>
      </c>
      <c r="R44" s="435">
        <f>113+92</f>
        <v/>
      </c>
      <c r="S44" s="435" t="n">
        <v>20</v>
      </c>
      <c r="T44" s="435">
        <f>IF(ROUND(R44*(1+V44),0)&gt;20000,ROUND(ROUND(R44*(1+V44),0)*2%,0),0)</f>
        <v/>
      </c>
      <c r="U44" s="69">
        <f>(V44*50%)/(1+50%*V44)</f>
        <v/>
      </c>
      <c r="V44" s="69" t="n"/>
      <c r="W44" s="70" t="n"/>
      <c r="X44" s="436">
        <f>(P44+Q44)/G44</f>
        <v/>
      </c>
      <c r="Y44" s="16">
        <f>VLOOKUP(C44,台股行情!A:D,4,FALSE)</f>
        <v/>
      </c>
      <c r="Z44" s="437">
        <f>VLOOKUP(C44,台股行情!A:E,5,FALSE)</f>
        <v/>
      </c>
      <c r="AA44" s="438">
        <f>IF(I44="",((TODAY()-A44)*G44)/365.24,((I44-A44)*G44)/365.24)</f>
        <v/>
      </c>
      <c r="AB44" s="103" t="inlineStr">
        <is>
          <t>台股 ETF</t>
        </is>
      </c>
      <c r="AC44" s="103" t="inlineStr">
        <is>
          <t>定期定額</t>
        </is>
      </c>
      <c r="AD44" s="354" t="inlineStr">
        <is>
          <t>美伊戰爭，憂心崩盤，獲利了結。</t>
        </is>
      </c>
    </row>
    <row r="45" outlineLevel="1">
      <c r="A45" s="99" t="n">
        <v>45652</v>
      </c>
      <c r="B45" s="11" t="inlineStr">
        <is>
          <t>普通買進</t>
        </is>
      </c>
      <c r="C45" s="181" t="n">
        <v>56</v>
      </c>
      <c r="D45" s="189">
        <f>VLOOKUP(C45,台股行情!A:B,2,FALSE)</f>
        <v/>
      </c>
      <c r="E45" s="11" t="n">
        <v>53</v>
      </c>
      <c r="F45" s="11" t="n">
        <v>37.08</v>
      </c>
      <c r="G45" s="183" t="n">
        <v>1965</v>
      </c>
      <c r="H45" s="11" t="n">
        <v>1</v>
      </c>
      <c r="I45" s="104" t="n">
        <v>46090</v>
      </c>
      <c r="J45" s="16" t="n">
        <v>37.8</v>
      </c>
      <c r="K45" s="11">
        <f>E45*J45</f>
        <v/>
      </c>
      <c r="L45" s="11" t="n">
        <v>2</v>
      </c>
      <c r="M45" s="11" t="n">
        <v>2</v>
      </c>
      <c r="N45" s="11" t="n">
        <v>0</v>
      </c>
      <c r="O45" s="434">
        <f>IF(I45="",E45*Y45,0)</f>
        <v/>
      </c>
      <c r="P45" s="435">
        <f>IF(I45="",R45-H45,(K45-H45-SUM(L45:N45)+R45-S45-T45)-G45)+(ROUND(R45*V45,0)-ROUND(R45*(1+V45),0)*W45)</f>
        <v/>
      </c>
      <c r="Q45" s="435">
        <f>IF(I45="",(O45-G45-(O45*0.1425%*0.65)-(O45*0.3%)-S45-T45),0)</f>
        <v/>
      </c>
      <c r="R45" s="435">
        <f>113+92+72+91</f>
        <v/>
      </c>
      <c r="S45" s="435" t="n">
        <v>40</v>
      </c>
      <c r="T45" s="435">
        <f>IF(ROUND(R45*(1+V45),0)&gt;20000,ROUND(ROUND(R45*(1+V45),0)*2%,0),0)</f>
        <v/>
      </c>
      <c r="U45" s="69" t="n"/>
      <c r="V45" s="69" t="n"/>
      <c r="W45" s="70" t="n"/>
      <c r="X45" s="436">
        <f>(P45+Q45)/G45</f>
        <v/>
      </c>
      <c r="Y45" s="16">
        <f>VLOOKUP(C45,台股行情!A:D,4,FALSE)</f>
        <v/>
      </c>
      <c r="Z45" s="437">
        <f>VLOOKUP(C45,台股行情!A:E,5,FALSE)</f>
        <v/>
      </c>
      <c r="AA45" s="438">
        <f>IF(I45="",((TODAY()-A45)*G45)/365.24,((I45-A45)*G45)/365.24)</f>
        <v/>
      </c>
      <c r="AB45" s="103" t="inlineStr">
        <is>
          <t>台股 ETF</t>
        </is>
      </c>
      <c r="AC45" s="103" t="inlineStr">
        <is>
          <t>定期定額</t>
        </is>
      </c>
      <c r="AD45" s="354" t="inlineStr">
        <is>
          <t>美伊戰爭，憂心崩盤，獲利了結。</t>
        </is>
      </c>
    </row>
    <row r="46">
      <c r="A46" s="99" t="n">
        <v>45622</v>
      </c>
      <c r="B46" s="11" t="inlineStr">
        <is>
          <t>普通買進</t>
        </is>
      </c>
      <c r="C46" s="181" t="n">
        <v>878</v>
      </c>
      <c r="D46" s="189">
        <f>VLOOKUP(C46,台股行情!A:B,2,FALSE)</f>
        <v/>
      </c>
      <c r="E46" s="11" t="n">
        <v>90</v>
      </c>
      <c r="F46" s="11" t="n">
        <v>22.22</v>
      </c>
      <c r="G46" s="183" t="n">
        <v>1999</v>
      </c>
      <c r="H46" s="11" t="n">
        <v>1</v>
      </c>
      <c r="I46" s="104" t="n">
        <v>46090</v>
      </c>
      <c r="J46" s="16" t="n">
        <v>21.96</v>
      </c>
      <c r="K46" s="11">
        <f>E46*J46</f>
        <v/>
      </c>
      <c r="L46" s="11">
        <f>ROUND(J46*E46*0.1425%,0)</f>
        <v/>
      </c>
      <c r="M46" s="11" t="n">
        <v>2</v>
      </c>
      <c r="N46" s="11" t="n">
        <v>0</v>
      </c>
      <c r="O46" s="434">
        <f>IF(I46="",E46*Y46,0)</f>
        <v/>
      </c>
      <c r="P46" s="435">
        <f>IF(I46="",R46-H46,(K46-H46-SUM(L46:N46)+R46-S46-T46)-G46)+(ROUND(R46*V46,0)-ROUND(R46*(1+V46),0)*W46)</f>
        <v/>
      </c>
      <c r="Q46" s="435">
        <f>IF(I46="",(O46-G46-(O46*0.1425%*0.65)-(O46*0.3%)-S46-T46),0)</f>
        <v/>
      </c>
      <c r="R46" s="435" t="n">
        <v>90</v>
      </c>
      <c r="S46" s="435" t="n">
        <v>10</v>
      </c>
      <c r="T46" s="435">
        <f>IF(ROUND(R46*(1+V46),0)&gt;20000,ROUND(ROUND(R46*(1+V46),0)*2%,0),0)</f>
        <v/>
      </c>
      <c r="U46" s="69" t="n"/>
      <c r="V46" s="69" t="n"/>
      <c r="W46" s="70" t="n"/>
      <c r="X46" s="436">
        <f>(P46+Q46)/G46</f>
        <v/>
      </c>
      <c r="Y46" s="16">
        <f>VLOOKUP(C46,台股行情!A:D,4,FALSE)</f>
        <v/>
      </c>
      <c r="Z46" s="437">
        <f>VLOOKUP(C46,台股行情!A:E,5,FALSE)</f>
        <v/>
      </c>
      <c r="AA46" s="438">
        <f>IF(I46="",((TODAY()-A46)*G46)/365.24,((I46-A46)*G46)/365.24)</f>
        <v/>
      </c>
      <c r="AB46" s="103" t="inlineStr">
        <is>
          <t>台股 ETF</t>
        </is>
      </c>
      <c r="AC46" s="103" t="inlineStr">
        <is>
          <t>定期定額</t>
        </is>
      </c>
      <c r="AD46" s="354" t="inlineStr">
        <is>
          <t>美伊戰爭，憂心崩盤，獲利了結。</t>
        </is>
      </c>
    </row>
    <row r="47" outlineLevel="1">
      <c r="A47" s="99" t="n">
        <v>45652</v>
      </c>
      <c r="B47" s="11" t="inlineStr">
        <is>
          <t>普通買進</t>
        </is>
      </c>
      <c r="C47" s="181" t="n">
        <v>878</v>
      </c>
      <c r="D47" s="189">
        <f>VLOOKUP(C47,台股行情!A:B,2,FALSE)</f>
        <v/>
      </c>
      <c r="E47" s="11" t="n">
        <v>89</v>
      </c>
      <c r="F47" s="11" t="n">
        <v>22.39</v>
      </c>
      <c r="G47" s="183" t="n">
        <v>1992</v>
      </c>
      <c r="H47" s="11" t="n">
        <v>1</v>
      </c>
      <c r="I47" s="104" t="n">
        <v>46090</v>
      </c>
      <c r="J47" s="16" t="n">
        <v>21.96</v>
      </c>
      <c r="K47" s="11">
        <f>E47*J47</f>
        <v/>
      </c>
      <c r="L47" s="11" t="n">
        <v>2</v>
      </c>
      <c r="M47" s="11" t="n">
        <v>1</v>
      </c>
      <c r="N47" s="11" t="n">
        <v>0</v>
      </c>
      <c r="O47" s="434">
        <f>IF(I47="",E47*Y47,0)</f>
        <v/>
      </c>
      <c r="P47" s="435">
        <f>IF(I47="",R47-H47,(K47-H47-SUM(L47:N47)+R47-S47-T47)-G47)+(ROUND(R47*V47,0)-ROUND(R47*(1+V47),0)*W47)</f>
        <v/>
      </c>
      <c r="Q47" s="435">
        <f>IF(I47="",(O47-G47-(O47*0.1425%*0.65)-(O47*0.3%)-S47-T47),0)</f>
        <v/>
      </c>
      <c r="R47" s="435">
        <f>84+72+75</f>
        <v/>
      </c>
      <c r="S47" s="435" t="n">
        <v>30</v>
      </c>
      <c r="T47" s="435">
        <f>IF(ROUND(R47*(1+V47),0)&gt;20000,ROUND(ROUND(R47*(1+V47),0)*2%,0),0)</f>
        <v/>
      </c>
      <c r="U47" s="69" t="n"/>
      <c r="V47" s="69" t="n"/>
      <c r="W47" s="70" t="n"/>
      <c r="X47" s="436">
        <f>(P47+Q47)/G47</f>
        <v/>
      </c>
      <c r="Y47" s="16">
        <f>VLOOKUP(C47,台股行情!A:D,4,FALSE)</f>
        <v/>
      </c>
      <c r="Z47" s="437">
        <f>VLOOKUP(C47,台股行情!A:E,5,FALSE)</f>
        <v/>
      </c>
      <c r="AA47" s="438">
        <f>IF(I47="",((TODAY()-A47)*G47)/365.24,((I47-A47)*G47)/365.24)</f>
        <v/>
      </c>
      <c r="AB47" s="103" t="inlineStr">
        <is>
          <t>台股 ETF</t>
        </is>
      </c>
      <c r="AC47" s="103" t="inlineStr">
        <is>
          <t>定期定額</t>
        </is>
      </c>
      <c r="AD47" s="354" t="inlineStr">
        <is>
          <t>美伊戰爭，憂心崩盤，獲利了結。</t>
        </is>
      </c>
    </row>
    <row r="48">
      <c r="A48" s="99" t="n">
        <v>45614</v>
      </c>
      <c r="B48" s="11" t="inlineStr">
        <is>
          <t>普通買進</t>
        </is>
      </c>
      <c r="C48" s="181" t="n">
        <v>895</v>
      </c>
      <c r="D48" s="189">
        <f>VLOOKUP(C48,台股行情!A:B,2,FALSE)</f>
        <v/>
      </c>
      <c r="E48" s="11" t="n">
        <v>160</v>
      </c>
      <c r="F48" s="11" t="n">
        <v>31.12</v>
      </c>
      <c r="G48" s="183" t="n">
        <v>4979</v>
      </c>
      <c r="H48" s="11" t="n">
        <v>1</v>
      </c>
      <c r="I48" s="104" t="n">
        <v>46090</v>
      </c>
      <c r="J48" s="16" t="n">
        <v>38.55</v>
      </c>
      <c r="K48" s="11">
        <f>E48*J48</f>
        <v/>
      </c>
      <c r="L48" s="11">
        <f>ROUND(J48*E48*0.1425%,0)</f>
        <v/>
      </c>
      <c r="M48" s="11" t="n">
        <v>6</v>
      </c>
      <c r="N48" s="11" t="n">
        <v>0</v>
      </c>
      <c r="O48" s="434">
        <f>IF(I48="",E48*Y48,0)</f>
        <v/>
      </c>
      <c r="P48" s="435">
        <f>IF(I48="",R48-H48,(K48-H48-SUM(L48:N48)+R48-S48-T48)-G48)+(ROUND(R48*V48,0)-ROUND(R48*(1+V48),0)*W48)</f>
        <v/>
      </c>
      <c r="Q48" s="435">
        <f>IF(I48="",(O48-G48-(O48*0.1425%*0.65)-(O48*0.3%)-S48-T48),0)</f>
        <v/>
      </c>
      <c r="R48" s="435" t="n"/>
      <c r="S48" s="435" t="n">
        <v>0</v>
      </c>
      <c r="T48" s="435">
        <f>IF(ROUND(R48*(1+V48),0)&gt;20000,ROUND(ROUND(R48*(1+V48),0)*2%,0),0)</f>
        <v/>
      </c>
      <c r="U48" s="69">
        <f>(V48*50%)/(1+50%*V48)</f>
        <v/>
      </c>
      <c r="V48" s="69" t="n"/>
      <c r="W48" s="70" t="n"/>
      <c r="X48" s="436">
        <f>(P48+Q48)/G48</f>
        <v/>
      </c>
      <c r="Y48" s="16">
        <f>VLOOKUP(C48,台股行情!A:D,4,FALSE)</f>
        <v/>
      </c>
      <c r="Z48" s="437">
        <f>VLOOKUP(C48,台股行情!A:E,5,FALSE)</f>
        <v/>
      </c>
      <c r="AA48" s="438">
        <f>IF(I48="",((TODAY()-A48)*G48)/365.24,((I48-A48)*G48)/365.24)</f>
        <v/>
      </c>
      <c r="AB48" s="103" t="inlineStr">
        <is>
          <t>台股 ETF</t>
        </is>
      </c>
      <c r="AC48" s="103" t="inlineStr">
        <is>
          <t>老爸幫你儲備未來</t>
        </is>
      </c>
      <c r="AD48" s="354" t="inlineStr">
        <is>
          <t>美伊戰爭，憂心崩盤，獲利了結。</t>
        </is>
      </c>
    </row>
    <row r="49" outlineLevel="1">
      <c r="A49" s="99" t="n">
        <v>45642</v>
      </c>
      <c r="B49" s="11" t="inlineStr">
        <is>
          <t>普通買進</t>
        </is>
      </c>
      <c r="C49" s="181" t="n">
        <v>895</v>
      </c>
      <c r="D49" s="189">
        <f>VLOOKUP(C49,台股行情!A:B,2,FALSE)</f>
        <v/>
      </c>
      <c r="E49" s="11" t="n">
        <v>154</v>
      </c>
      <c r="F49" s="11" t="n">
        <v>32.37</v>
      </c>
      <c r="G49" s="183" t="n">
        <v>4984</v>
      </c>
      <c r="H49" s="11" t="n">
        <v>1</v>
      </c>
      <c r="I49" s="104" t="n">
        <v>46090</v>
      </c>
      <c r="J49" s="16" t="n">
        <v>38.55</v>
      </c>
      <c r="K49" s="11">
        <f>E49*J49</f>
        <v/>
      </c>
      <c r="L49" s="11">
        <f>ROUND(J49*E49*0.1425%,0)</f>
        <v/>
      </c>
      <c r="M49" s="11" t="n">
        <v>6</v>
      </c>
      <c r="N49" s="11" t="n">
        <v>0</v>
      </c>
      <c r="O49" s="434">
        <f>IF(I49="",E49*Y49,0)</f>
        <v/>
      </c>
      <c r="P49" s="435">
        <f>IF(I49="",R49-H49,(K49-H49-SUM(L49:N49)+R49-S49-T49)-G49)+(ROUND(R49*V49,0)-ROUND(R49*(1+V49),0)*W49)</f>
        <v/>
      </c>
      <c r="Q49" s="435">
        <f>IF(I49="",(O49-G49-(O49*0.1425%*0.65)-(O49*0.3%)-S49-T49),0)</f>
        <v/>
      </c>
      <c r="R49" s="435" t="n"/>
      <c r="S49" s="435" t="n">
        <v>0</v>
      </c>
      <c r="T49" s="435">
        <f>IF(ROUND(R49*(1+V49),0)&gt;20000,ROUND(ROUND(R49*(1+V49),0)*2%,0),0)</f>
        <v/>
      </c>
      <c r="U49" s="69" t="n"/>
      <c r="V49" s="69" t="n"/>
      <c r="W49" s="70" t="n"/>
      <c r="X49" s="436">
        <f>(P49+Q49)/G49</f>
        <v/>
      </c>
      <c r="Y49" s="16">
        <f>VLOOKUP(C49,台股行情!A:D,4,FALSE)</f>
        <v/>
      </c>
      <c r="Z49" s="437">
        <f>VLOOKUP(C49,台股行情!A:E,5,FALSE)</f>
        <v/>
      </c>
      <c r="AA49" s="438">
        <f>IF(I49="",((TODAY()-A49)*G49)/365.24,((I49-A49)*G49)/365.24)</f>
        <v/>
      </c>
      <c r="AB49" s="103" t="inlineStr">
        <is>
          <t>台股 ETF</t>
        </is>
      </c>
      <c r="AC49" s="103" t="inlineStr">
        <is>
          <t>老爸幫你儲備未來</t>
        </is>
      </c>
      <c r="AD49" s="354" t="inlineStr">
        <is>
          <t>美伊戰爭，憂心崩盤，獲利了結。</t>
        </is>
      </c>
    </row>
    <row r="50" outlineLevel="1">
      <c r="A50" s="99" t="n">
        <v>45673</v>
      </c>
      <c r="B50" s="11" t="inlineStr">
        <is>
          <t>普通買進</t>
        </is>
      </c>
      <c r="C50" s="181" t="n">
        <v>895</v>
      </c>
      <c r="D50" s="189">
        <f>VLOOKUP(C50,台股行情!A:B,2,FALSE)</f>
        <v/>
      </c>
      <c r="E50" s="11" t="n">
        <v>155</v>
      </c>
      <c r="F50" s="11" t="n">
        <v>32.2</v>
      </c>
      <c r="G50" s="183" t="n">
        <v>4991</v>
      </c>
      <c r="H50" s="11" t="n">
        <v>1</v>
      </c>
      <c r="I50" s="104" t="n">
        <v>46090</v>
      </c>
      <c r="J50" s="16" t="n">
        <v>38.55</v>
      </c>
      <c r="K50" s="11">
        <f>E50*J50</f>
        <v/>
      </c>
      <c r="L50" s="11">
        <f>ROUND(J50*E50*0.1425%,0)</f>
        <v/>
      </c>
      <c r="M50" s="11" t="n">
        <v>6</v>
      </c>
      <c r="N50" s="11" t="n">
        <v>0</v>
      </c>
      <c r="O50" s="434">
        <f>IF(I50="",E50*Y50,0)</f>
        <v/>
      </c>
      <c r="P50" s="435">
        <f>IF(I50="",R50-H50,(K50-H50-SUM(L50:N50)+R50-S50-T50)-G50)+(ROUND(R50*V50,0)-ROUND(R50*(1+V50),0)*W50)</f>
        <v/>
      </c>
      <c r="Q50" s="435">
        <f>IF(I50="",(O50-G50-(O50*0.1425%*0.65)-(O50*0.3%)-S50-T50),0)</f>
        <v/>
      </c>
      <c r="R50" s="435" t="n"/>
      <c r="S50" s="435" t="n">
        <v>0</v>
      </c>
      <c r="T50" s="435">
        <f>IF(ROUND(R50*(1+V50),0)&gt;20000,ROUND(ROUND(R50*(1+V50),0)*2%,0),0)</f>
        <v/>
      </c>
      <c r="U50" s="69" t="n"/>
      <c r="V50" s="69" t="n"/>
      <c r="W50" s="70" t="n"/>
      <c r="X50" s="436">
        <f>(P50+Q50)/G50</f>
        <v/>
      </c>
      <c r="Y50" s="16">
        <f>VLOOKUP(C50,台股行情!A:D,4,FALSE)</f>
        <v/>
      </c>
      <c r="Z50" s="437">
        <f>VLOOKUP(C50,台股行情!A:E,5,FALSE)</f>
        <v/>
      </c>
      <c r="AA50" s="438">
        <f>IF(I50="",((TODAY()-A50)*G50)/365.24,((I50-A50)*G50)/365.24)</f>
        <v/>
      </c>
      <c r="AB50" s="103" t="inlineStr">
        <is>
          <t>台股 ETF</t>
        </is>
      </c>
      <c r="AC50" s="103" t="inlineStr">
        <is>
          <t>老爸幫你儲備未來</t>
        </is>
      </c>
      <c r="AD50" s="354" t="inlineStr">
        <is>
          <t>美伊戰爭，憂心崩盤，獲利了結。</t>
        </is>
      </c>
    </row>
    <row r="51" outlineLevel="1">
      <c r="A51" s="99" t="n">
        <v>45705</v>
      </c>
      <c r="B51" s="11" t="inlineStr">
        <is>
          <t>普通買進</t>
        </is>
      </c>
      <c r="C51" s="181" t="n">
        <v>895</v>
      </c>
      <c r="D51" s="189">
        <f>VLOOKUP(C51,台股行情!A:B,2,FALSE)</f>
        <v/>
      </c>
      <c r="E51" s="11" t="n">
        <v>157</v>
      </c>
      <c r="F51" s="11" t="n">
        <v>31.68</v>
      </c>
      <c r="G51" s="183" t="n">
        <v>4973</v>
      </c>
      <c r="H51" s="11" t="n">
        <v>1</v>
      </c>
      <c r="I51" s="104" t="n">
        <v>46090</v>
      </c>
      <c r="J51" s="16" t="n">
        <v>38.55</v>
      </c>
      <c r="K51" s="11">
        <f>E51*J51</f>
        <v/>
      </c>
      <c r="L51" s="11">
        <f>ROUND(J51*E51*0.1425%,0)</f>
        <v/>
      </c>
      <c r="M51" s="11" t="n">
        <v>6</v>
      </c>
      <c r="N51" s="11" t="n">
        <v>0</v>
      </c>
      <c r="O51" s="434">
        <f>IF(I51="",E51*Y51,0)</f>
        <v/>
      </c>
      <c r="P51" s="435">
        <f>IF(I51="",R51-H51,(K51-H51-SUM(L51:N51)+R51-S51-T51)-G51)+(ROUND(R51*V51,0)-ROUND(R51*(1+V51),0)*W51)</f>
        <v/>
      </c>
      <c r="Q51" s="435">
        <f>IF(I51="",(O51-G51-(O51*0.1425%*0.65)-(O51*0.3%)-S51-T51),0)</f>
        <v/>
      </c>
      <c r="R51" s="435" t="n"/>
      <c r="S51" s="435" t="n">
        <v>0</v>
      </c>
      <c r="T51" s="435">
        <f>IF(ROUND(R51*(1+V51),0)&gt;20000,ROUND(ROUND(R51*(1+V51),0)*2%,0),0)</f>
        <v/>
      </c>
      <c r="U51" s="69" t="n"/>
      <c r="V51" s="69" t="n"/>
      <c r="W51" s="70" t="n"/>
      <c r="X51" s="436">
        <f>(P51+Q51)/G51</f>
        <v/>
      </c>
      <c r="Y51" s="16">
        <f>VLOOKUP(C51,台股行情!A:D,4,FALSE)</f>
        <v/>
      </c>
      <c r="Z51" s="437">
        <f>VLOOKUP(C51,台股行情!A:E,5,FALSE)</f>
        <v/>
      </c>
      <c r="AA51" s="438">
        <f>IF(I51="",((TODAY()-A51)*G51)/365.24,((I51-A51)*G51)/365.24)</f>
        <v/>
      </c>
      <c r="AB51" s="103" t="inlineStr">
        <is>
          <t>台股 ETF</t>
        </is>
      </c>
      <c r="AC51" s="103" t="inlineStr">
        <is>
          <t>老爸幫你儲備未來</t>
        </is>
      </c>
      <c r="AD51" s="354" t="inlineStr">
        <is>
          <t>美伊戰爭，憂心崩盤，獲利了結。</t>
        </is>
      </c>
    </row>
    <row r="52" outlineLevel="1">
      <c r="A52" s="99" t="n">
        <v>45733</v>
      </c>
      <c r="B52" s="11" t="inlineStr">
        <is>
          <t>普通買進</t>
        </is>
      </c>
      <c r="C52" s="181" t="n">
        <v>895</v>
      </c>
      <c r="D52" s="189">
        <f>VLOOKUP(C52,台股行情!A:B,2,FALSE)</f>
        <v/>
      </c>
      <c r="E52" s="11" t="n">
        <v>176</v>
      </c>
      <c r="F52" s="11" t="n">
        <v>28.3</v>
      </c>
      <c r="G52" s="183" t="n">
        <v>4980</v>
      </c>
      <c r="H52" s="11" t="n">
        <v>1</v>
      </c>
      <c r="I52" s="104" t="n">
        <v>46090</v>
      </c>
      <c r="J52" s="16" t="n">
        <v>38.55</v>
      </c>
      <c r="K52" s="11">
        <f>E52*J52</f>
        <v/>
      </c>
      <c r="L52" s="11" t="n">
        <v>9</v>
      </c>
      <c r="M52" s="11" t="n">
        <v>7</v>
      </c>
      <c r="N52" s="11" t="n">
        <v>0</v>
      </c>
      <c r="O52" s="434">
        <f>IF(I52="",E52*Y52,0)</f>
        <v/>
      </c>
      <c r="P52" s="435">
        <f>IF(I52="",R52-H52,(K52-H52-SUM(L52:N52)+R52-S52-T52)-G52)+(ROUND(R52*V52,0)-ROUND(R52*(1+V52),0)*W52)</f>
        <v/>
      </c>
      <c r="Q52" s="435">
        <f>IF(I52="",(O52-G52-(O52*0.1425%*0.65)-(O52*0.3%)-S52-T52),0)</f>
        <v/>
      </c>
      <c r="R52" s="435" t="n"/>
      <c r="S52" s="435" t="n">
        <v>0</v>
      </c>
      <c r="T52" s="435">
        <f>IF(ROUND(R52*(1+V52),0)&gt;20000,ROUND(ROUND(R52*(1+V52),0)*2%,0),0)</f>
        <v/>
      </c>
      <c r="U52" s="69" t="n"/>
      <c r="V52" s="69" t="n"/>
      <c r="W52" s="70" t="n"/>
      <c r="X52" s="436">
        <f>(P52+Q52)/G52</f>
        <v/>
      </c>
      <c r="Y52" s="16">
        <f>VLOOKUP(C52,台股行情!A:D,4,FALSE)</f>
        <v/>
      </c>
      <c r="Z52" s="437">
        <f>VLOOKUP(C52,台股行情!A:E,5,FALSE)</f>
        <v/>
      </c>
      <c r="AA52" s="438">
        <f>IF(I52="",((TODAY()-A52)*G52)/365.24,((I52-A52)*G52)/365.24)</f>
        <v/>
      </c>
      <c r="AB52" s="103" t="inlineStr">
        <is>
          <t>台股 ETF</t>
        </is>
      </c>
      <c r="AC52" s="103" t="inlineStr">
        <is>
          <t>老爸幫你儲備未來</t>
        </is>
      </c>
      <c r="AD52" s="357" t="inlineStr">
        <is>
          <t>美伊戰爭，憂心崩盤，獲利了結。</t>
        </is>
      </c>
    </row>
    <row r="53" outlineLevel="1">
      <c r="A53" s="99" t="n">
        <v>45763</v>
      </c>
      <c r="B53" s="11" t="inlineStr">
        <is>
          <t>普通買進</t>
        </is>
      </c>
      <c r="C53" s="181" t="n">
        <v>895</v>
      </c>
      <c r="D53" s="189">
        <f>VLOOKUP(C53,台股行情!A:B,2,FALSE)</f>
        <v/>
      </c>
      <c r="E53" s="11" t="n">
        <v>193</v>
      </c>
      <c r="F53" s="11" t="n">
        <v>25.84</v>
      </c>
      <c r="G53" s="183" t="n">
        <v>4987</v>
      </c>
      <c r="H53" s="11" t="n">
        <v>1</v>
      </c>
      <c r="I53" s="104" t="n">
        <v>46090</v>
      </c>
      <c r="J53" s="16" t="n">
        <v>38.55</v>
      </c>
      <c r="K53" s="11">
        <f>E53*J53</f>
        <v/>
      </c>
      <c r="L53" s="11" t="n">
        <v>10</v>
      </c>
      <c r="M53" s="11" t="n">
        <v>7</v>
      </c>
      <c r="N53" s="11" t="n">
        <v>0</v>
      </c>
      <c r="O53" s="434">
        <f>IF(I53="",E53*Y53,0)</f>
        <v/>
      </c>
      <c r="P53" s="435">
        <f>IF(I53="",R53-H53,(K53-H53-SUM(L53:N53)+R53-S53-T53)-G53)+(ROUND(R53*V53,0)-ROUND(R53*(1+V53),0)*W53)</f>
        <v/>
      </c>
      <c r="Q53" s="435">
        <f>IF(I53="",(O53-G53-(O53*0.1425%*0.65)-(O53*0.3%)-S53-T53),0)</f>
        <v/>
      </c>
      <c r="R53" s="435" t="n"/>
      <c r="S53" s="435" t="n">
        <v>0</v>
      </c>
      <c r="T53" s="435">
        <f>IF(ROUND(R53*(1+V53),0)&gt;20000,ROUND(ROUND(R53*(1+V53),0)*2%,0),0)</f>
        <v/>
      </c>
      <c r="U53" s="69" t="n"/>
      <c r="V53" s="69" t="n"/>
      <c r="W53" s="70" t="n"/>
      <c r="X53" s="436">
        <f>(P53+Q53)/G53</f>
        <v/>
      </c>
      <c r="Y53" s="16">
        <f>VLOOKUP(C53,台股行情!A:D,4,FALSE)</f>
        <v/>
      </c>
      <c r="Z53" s="437">
        <f>VLOOKUP(C53,台股行情!A:E,5,FALSE)</f>
        <v/>
      </c>
      <c r="AA53" s="438">
        <f>IF(I53="",((TODAY()-A53)*G53)/365.24,((I53-A53)*G53)/365.24)</f>
        <v/>
      </c>
      <c r="AB53" s="103" t="inlineStr">
        <is>
          <t>台股 ETF</t>
        </is>
      </c>
      <c r="AC53" s="103" t="inlineStr">
        <is>
          <t>老爸幫你儲備未來</t>
        </is>
      </c>
      <c r="AD53" s="354" t="inlineStr">
        <is>
          <t>美伊戰爭，憂心崩盤，獲利了結。</t>
        </is>
      </c>
    </row>
    <row r="54">
      <c r="A54" s="99" t="n"/>
      <c r="B54" s="11" t="n"/>
      <c r="C54" s="181" t="n"/>
      <c r="D54" s="189" t="n"/>
      <c r="E54" s="11" t="n"/>
      <c r="F54" s="11" t="n"/>
      <c r="G54" s="11" t="n"/>
      <c r="H54" s="11" t="n"/>
      <c r="I54" s="202" t="n"/>
      <c r="J54" s="16" t="n"/>
      <c r="K54" s="11" t="n"/>
      <c r="L54" s="17" t="n"/>
      <c r="M54" s="17" t="n"/>
      <c r="N54" s="11" t="n"/>
      <c r="O54" s="434" t="n"/>
      <c r="P54" s="435" t="n"/>
      <c r="Q54" s="435" t="n"/>
      <c r="R54" s="435" t="n"/>
      <c r="S54" s="435" t="n"/>
      <c r="T54" s="435" t="n"/>
      <c r="U54" s="69" t="n"/>
      <c r="V54" s="69" t="n"/>
      <c r="W54" s="70" t="n"/>
      <c r="X54" s="436" t="n"/>
      <c r="Y54" s="16" t="n"/>
      <c r="Z54" s="437" t="n"/>
      <c r="AA54" s="438" t="n"/>
      <c r="AB54" s="103" t="n"/>
      <c r="AC54" s="103" t="n"/>
    </row>
    <row r="55">
      <c r="A55" s="18">
        <f>MIN(A81:A81)</f>
        <v/>
      </c>
      <c r="B55" s="19" t="n"/>
      <c r="C55" s="20" t="n"/>
      <c r="D55" s="192" t="n"/>
      <c r="E55" s="19" t="n"/>
      <c r="F55" s="19" t="n"/>
      <c r="G55" s="19" t="n"/>
      <c r="H55" s="19" t="n"/>
      <c r="I55" s="21" t="n"/>
      <c r="J55" s="22" t="n"/>
      <c r="K55" s="19" t="n"/>
      <c r="L55" s="443" t="n"/>
      <c r="M55" s="19" t="n"/>
      <c r="N55" s="19" t="n"/>
      <c r="O55" s="444" t="n"/>
      <c r="P55" s="445" t="n"/>
      <c r="Q55" s="445" t="n"/>
      <c r="R55" s="445" t="n"/>
      <c r="S55" s="445" t="n"/>
      <c r="T55" s="445" t="n"/>
      <c r="U55" s="445" t="n"/>
      <c r="V55" s="74" t="n"/>
      <c r="W55" s="77" t="n"/>
      <c r="X55" s="446" t="n"/>
      <c r="Y55" s="22" t="n"/>
      <c r="Z55" s="27" t="n"/>
      <c r="AA55" s="438" t="n"/>
    </row>
    <row r="56">
      <c r="A56" s="99" t="n">
        <v>45278</v>
      </c>
      <c r="B56" s="11" t="inlineStr">
        <is>
          <t>普通買進</t>
        </is>
      </c>
      <c r="C56" s="181" t="n">
        <v>692</v>
      </c>
      <c r="D56" s="189">
        <f>VLOOKUP(C56,台股行情!A:B,2,FALSE)</f>
        <v/>
      </c>
      <c r="E56" s="11" t="n">
        <v>1000</v>
      </c>
      <c r="F56" s="11" t="n">
        <v>32.04</v>
      </c>
      <c r="G56" s="11">
        <f>E56*F56</f>
        <v/>
      </c>
      <c r="H56" s="11" t="n">
        <v>45</v>
      </c>
      <c r="I56" s="104" t="n"/>
      <c r="J56" s="16" t="n"/>
      <c r="K56" s="11">
        <f>E56*J56</f>
        <v/>
      </c>
      <c r="L56" s="11">
        <f>ROUND(J56*E56*0.1425%,0)</f>
        <v/>
      </c>
      <c r="M56" s="11">
        <f>ROUND(J56*E56*0.3%,0)</f>
        <v/>
      </c>
      <c r="N56" s="11" t="n">
        <v>0</v>
      </c>
      <c r="O56" s="434">
        <f>IF(I56="",E56*Y56,0)</f>
        <v/>
      </c>
      <c r="P56" s="435">
        <f>IF(I56="",R56-H56,(K56-H56-SUM(L56:N56)+R56-S56-T56)-G56)+(ROUND(R56*V56,0)-ROUND(R56*(1+V56),0)*W56)</f>
        <v/>
      </c>
      <c r="Q56" s="435">
        <f>IF(I56="",(O56-G56-(O56*0.1425%*0.65)-(O56*0.3%)-S56-T56),0)</f>
        <v/>
      </c>
      <c r="R56" s="435">
        <f>415+600+2512</f>
        <v/>
      </c>
      <c r="S56" s="435" t="n">
        <v>30</v>
      </c>
      <c r="T56" s="435">
        <f>IF(ROUND(R56*(1+V56),0)&gt;20000,ROUND(ROUND(R56*(1+V56),0)*2%,0),0)</f>
        <v/>
      </c>
      <c r="U56" s="69">
        <f>(V56*50%)/(1+50%*V56)</f>
        <v/>
      </c>
      <c r="V56" s="69" t="n"/>
      <c r="W56" s="70" t="n"/>
      <c r="X56" s="436">
        <f>(P56+Q56)/G56</f>
        <v/>
      </c>
      <c r="Y56" s="16">
        <f>VLOOKUP(C56,台股行情!A:D,4,FALSE)</f>
        <v/>
      </c>
      <c r="Z56" s="437">
        <f>VLOOKUP(C56,台股行情!A:E,5,FALSE)</f>
        <v/>
      </c>
      <c r="AA56" s="438">
        <f>IF(I56="",((TODAY()-A56)*G56)/365.24,((I56-A56)*G56)/365.24)</f>
        <v/>
      </c>
      <c r="AB56" s="103" t="inlineStr">
        <is>
          <t>台股 ETF</t>
        </is>
      </c>
      <c r="AC56" s="103" t="inlineStr">
        <is>
          <t>生日禮物</t>
        </is>
      </c>
    </row>
    <row r="57" outlineLevel="1">
      <c r="A57" s="99" t="n">
        <v>45645</v>
      </c>
      <c r="B57" s="11" t="inlineStr">
        <is>
          <t>普通買進</t>
        </is>
      </c>
      <c r="C57" s="181" t="n">
        <v>692</v>
      </c>
      <c r="D57" s="189">
        <f>VLOOKUP(C57,台股行情!A:B,2,FALSE)</f>
        <v/>
      </c>
      <c r="E57" s="11" t="n">
        <v>1000</v>
      </c>
      <c r="F57" s="11" t="n">
        <v>44.53</v>
      </c>
      <c r="G57" s="11">
        <f>E57*F57</f>
        <v/>
      </c>
      <c r="H57" s="11" t="n">
        <v>63</v>
      </c>
      <c r="I57" s="104" t="n"/>
      <c r="J57" s="16" t="n"/>
      <c r="K57" s="11">
        <f>E57*J57</f>
        <v/>
      </c>
      <c r="L57" s="11">
        <f>ROUND(J57*E57*0.1425%,0)</f>
        <v/>
      </c>
      <c r="M57" s="11">
        <f>ROUND(J57*E57*0.3%,0)</f>
        <v/>
      </c>
      <c r="N57" s="11" t="n">
        <v>0</v>
      </c>
      <c r="O57" s="434">
        <f>IF(I57="",E57*Y57,0)</f>
        <v/>
      </c>
      <c r="P57" s="435">
        <f>IF(I57="",R57-H57,(K57-H57-SUM(L57:N57)+R57-S57-T57)-G57)+(ROUND(R57*V57,0)-ROUND(R57*(1+V57),0)*W57)</f>
        <v/>
      </c>
      <c r="Q57" s="435">
        <f>IF(I57="",(O57-G57-(O57*0.1425%*0.65)-(O57*0.3%)-S57-T57),0)</f>
        <v/>
      </c>
      <c r="R57" s="435">
        <f>5008</f>
        <v/>
      </c>
      <c r="S57" s="435" t="n">
        <v>40</v>
      </c>
      <c r="T57" s="435">
        <f>IF(ROUND(R57*(1+V57),0)&gt;20000,ROUND(ROUND(R57*(1+V57),0)*2%,0),0)</f>
        <v/>
      </c>
      <c r="U57" s="69" t="n"/>
      <c r="V57" s="69" t="n"/>
      <c r="W57" s="70" t="n"/>
      <c r="X57" s="436">
        <f>(P57+Q57)/G57</f>
        <v/>
      </c>
      <c r="Y57" s="16">
        <f>VLOOKUP(C57,台股行情!A:D,4,FALSE)</f>
        <v/>
      </c>
      <c r="Z57" s="437">
        <f>VLOOKUP(C57,台股行情!A:E,5,FALSE)</f>
        <v/>
      </c>
      <c r="AA57" s="438">
        <f>IF(I57="",((TODAY()-A57)*G57)/365.24,((I57-A57)*G57)/365.24)</f>
        <v/>
      </c>
      <c r="AB57" s="103" t="inlineStr">
        <is>
          <t>台股 ETF</t>
        </is>
      </c>
      <c r="AC57" s="103" t="inlineStr">
        <is>
          <t>生日禮物</t>
        </is>
      </c>
      <c r="AD57" s="209" t="n"/>
    </row>
    <row r="58">
      <c r="A58" s="99" t="n">
        <v>45793</v>
      </c>
      <c r="B58" s="11" t="inlineStr">
        <is>
          <t>普通買進</t>
        </is>
      </c>
      <c r="C58" s="181" t="n">
        <v>895</v>
      </c>
      <c r="D58" s="189">
        <f>VLOOKUP(C58,台股行情!A:B,2,FALSE)</f>
        <v/>
      </c>
      <c r="E58" s="11" t="n">
        <v>171</v>
      </c>
      <c r="F58" s="11" t="n">
        <v>29.12</v>
      </c>
      <c r="G58" s="183" t="n">
        <v>4979</v>
      </c>
      <c r="H58" s="11" t="n">
        <v>1</v>
      </c>
      <c r="I58" s="104" t="n"/>
      <c r="J58" s="16" t="n"/>
      <c r="K58" s="11">
        <f>E58*J58</f>
        <v/>
      </c>
      <c r="L58" s="11">
        <f>ROUND(J58*E58*0.1425%,0)</f>
        <v/>
      </c>
      <c r="M58" s="11">
        <f>ROUND(J58*E58*0.3%,0)</f>
        <v/>
      </c>
      <c r="N58" s="11" t="n">
        <v>0</v>
      </c>
      <c r="O58" s="434">
        <f>IF(I58="",E58*Y58,0)</f>
        <v/>
      </c>
      <c r="P58" s="435">
        <f>IF(I58="",R58-H58,(K58-H58-SUM(L58:N58)+R58-S58-T58)-G58)+(ROUND(R58*V58,0)-ROUND(R58*(1+V58),0)*W58)</f>
        <v/>
      </c>
      <c r="Q58" s="435">
        <f>IF(I58="",(O58-G58-(O58*0.1425%*0.65)-(O58*0.3%)-S58-T58),0)</f>
        <v/>
      </c>
      <c r="R58" s="435" t="n"/>
      <c r="S58" s="435" t="n">
        <v>0</v>
      </c>
      <c r="T58" s="435">
        <f>IF(ROUND(R58*(1+V58),0)&gt;20000,ROUND(ROUND(R58*(1+V58),0)*2%,0),0)</f>
        <v/>
      </c>
      <c r="U58" s="69" t="n"/>
      <c r="V58" s="69" t="n"/>
      <c r="W58" s="70" t="n"/>
      <c r="X58" s="436">
        <f>(P58+Q58)/G58</f>
        <v/>
      </c>
      <c r="Y58" s="16">
        <f>VLOOKUP(C58,台股行情!A:D,4,FALSE)</f>
        <v/>
      </c>
      <c r="Z58" s="437">
        <f>VLOOKUP(C58,台股行情!A:E,5,FALSE)</f>
        <v/>
      </c>
      <c r="AA58" s="438">
        <f>IF(I58="",((TODAY()-A58)*G58)/365.24,((I58-A58)*G58)/365.24)</f>
        <v/>
      </c>
      <c r="AB58" s="103" t="inlineStr">
        <is>
          <t>台股 ETF</t>
        </is>
      </c>
      <c r="AC58" s="103" t="inlineStr">
        <is>
          <t>老爸幫你儲備未來</t>
        </is>
      </c>
      <c r="AD58" s="209" t="n"/>
    </row>
    <row r="59" outlineLevel="1">
      <c r="A59" s="99" t="n">
        <v>45824</v>
      </c>
      <c r="B59" s="11" t="inlineStr">
        <is>
          <t>普通買進</t>
        </is>
      </c>
      <c r="C59" s="181" t="n">
        <v>895</v>
      </c>
      <c r="D59" s="189">
        <f>VLOOKUP(C59,台股行情!A:B,2,FALSE)</f>
        <v/>
      </c>
      <c r="E59" s="11" t="n">
        <v>172</v>
      </c>
      <c r="F59" s="11" t="n">
        <v>29</v>
      </c>
      <c r="G59" s="183" t="n">
        <v>4988</v>
      </c>
      <c r="H59" s="11" t="n">
        <v>1</v>
      </c>
      <c r="I59" s="104" t="n"/>
      <c r="J59" s="16" t="n"/>
      <c r="K59" s="11">
        <f>E59*J59</f>
        <v/>
      </c>
      <c r="L59" s="11">
        <f>ROUND(J59*E59*0.1425%,0)</f>
        <v/>
      </c>
      <c r="M59" s="11">
        <f>ROUND(J59*E59*0.3%,0)</f>
        <v/>
      </c>
      <c r="N59" s="11" t="n">
        <v>0</v>
      </c>
      <c r="O59" s="434">
        <f>IF(I59="",E59*Y59,0)</f>
        <v/>
      </c>
      <c r="P59" s="435">
        <f>IF(I59="",R59-H59,(K59-H59-SUM(L59:N59)+R59-S59-T59)-G59)+(ROUND(R59*V59,0)-ROUND(R59*(1+V59),0)*W59)</f>
        <v/>
      </c>
      <c r="Q59" s="435">
        <f>IF(I59="",(O59-G59-(O59*0.1425%*0.65)-(O59*0.3%)-S59-T59),0)</f>
        <v/>
      </c>
      <c r="R59" s="435" t="n"/>
      <c r="S59" s="435" t="n">
        <v>0</v>
      </c>
      <c r="T59" s="435">
        <f>IF(ROUND(R59*(1+V59),0)&gt;20000,ROUND(ROUND(R59*(1+V59),0)*2%,0),0)</f>
        <v/>
      </c>
      <c r="U59" s="69" t="n"/>
      <c r="V59" s="69" t="n"/>
      <c r="W59" s="70" t="n"/>
      <c r="X59" s="436">
        <f>(P59+Q59)/G59</f>
        <v/>
      </c>
      <c r="Y59" s="16">
        <f>VLOOKUP(C59,台股行情!A:D,4,FALSE)</f>
        <v/>
      </c>
      <c r="Z59" s="437">
        <f>VLOOKUP(C59,台股行情!A:E,5,FALSE)</f>
        <v/>
      </c>
      <c r="AA59" s="438">
        <f>IF(I59="",((TODAY()-A59)*G59)/365.24,((I59-A59)*G59)/365.24)</f>
        <v/>
      </c>
      <c r="AB59" s="103" t="inlineStr">
        <is>
          <t>台股 ETF</t>
        </is>
      </c>
      <c r="AC59" s="103" t="inlineStr">
        <is>
          <t>老爸幫你儲備未來</t>
        </is>
      </c>
      <c r="AD59" s="209" t="n"/>
    </row>
    <row r="60" outlineLevel="1">
      <c r="A60" s="99" t="n">
        <v>45854</v>
      </c>
      <c r="B60" s="11" t="inlineStr">
        <is>
          <t>普通買進</t>
        </is>
      </c>
      <c r="C60" s="181" t="n">
        <v>895</v>
      </c>
      <c r="D60" s="189">
        <f>VLOOKUP(C60,台股行情!A:B,2,FALSE)</f>
        <v/>
      </c>
      <c r="E60" s="11" t="n">
        <v>160</v>
      </c>
      <c r="F60" s="11" t="n">
        <v>31.14</v>
      </c>
      <c r="G60" s="183" t="n">
        <v>4982</v>
      </c>
      <c r="H60" s="11" t="n">
        <v>1</v>
      </c>
      <c r="I60" s="104" t="n"/>
      <c r="J60" s="16" t="n"/>
      <c r="K60" s="11">
        <f>E60*J60</f>
        <v/>
      </c>
      <c r="L60" s="11">
        <f>ROUND(J60*E60*0.1425%,0)</f>
        <v/>
      </c>
      <c r="M60" s="11">
        <f>ROUND(J60*E60*0.3%,0)</f>
        <v/>
      </c>
      <c r="N60" s="11" t="n">
        <v>0</v>
      </c>
      <c r="O60" s="434">
        <f>IF(I60="",E60*Y60,0)</f>
        <v/>
      </c>
      <c r="P60" s="435">
        <f>IF(I60="",R60-H60,(K60-H60-SUM(L60:N60)+R60-S60-T60)-G60)+(ROUND(R60*V60,0)-ROUND(R60*(1+V60),0)*W60)</f>
        <v/>
      </c>
      <c r="Q60" s="435">
        <f>IF(I60="",(O60-G60-(O60*0.1425%*0.65)-(O60*0.3%)-S60-T60),0)</f>
        <v/>
      </c>
      <c r="R60" s="435" t="n"/>
      <c r="S60" s="435" t="n">
        <v>0</v>
      </c>
      <c r="T60" s="435">
        <f>IF(ROUND(R60*(1+V60),0)&gt;20000,ROUND(ROUND(R60*(1+V60),0)*2%,0),0)</f>
        <v/>
      </c>
      <c r="U60" s="69" t="n"/>
      <c r="V60" s="69" t="n"/>
      <c r="W60" s="70" t="n"/>
      <c r="X60" s="436">
        <f>(P60+Q60)/G60</f>
        <v/>
      </c>
      <c r="Y60" s="16">
        <f>VLOOKUP(C60,台股行情!A:D,4,FALSE)</f>
        <v/>
      </c>
      <c r="Z60" s="437">
        <f>VLOOKUP(C60,台股行情!A:E,5,FALSE)</f>
        <v/>
      </c>
      <c r="AA60" s="438">
        <f>IF(I60="",((TODAY()-A60)*G60)/365.24,((I60-A60)*G60)/365.24)</f>
        <v/>
      </c>
      <c r="AB60" s="103" t="inlineStr">
        <is>
          <t>台股 ETF</t>
        </is>
      </c>
      <c r="AC60" s="103" t="inlineStr">
        <is>
          <t>老爸幫你儲備未來</t>
        </is>
      </c>
      <c r="AD60" s="209" t="n"/>
    </row>
    <row r="61" outlineLevel="1">
      <c r="A61" s="99" t="n">
        <v>45887</v>
      </c>
      <c r="B61" s="11" t="inlineStr">
        <is>
          <t>普通買進</t>
        </is>
      </c>
      <c r="C61" s="181" t="n">
        <v>895</v>
      </c>
      <c r="D61" s="189">
        <f>VLOOKUP(C61,台股行情!A:B,2,FALSE)</f>
        <v/>
      </c>
      <c r="E61" s="11" t="n">
        <v>150</v>
      </c>
      <c r="F61" s="11" t="n">
        <v>33.15</v>
      </c>
      <c r="G61" s="183" t="n">
        <v>4972</v>
      </c>
      <c r="H61" s="11" t="n">
        <v>1</v>
      </c>
      <c r="I61" s="104" t="n"/>
      <c r="J61" s="16" t="n"/>
      <c r="K61" s="11">
        <f>E61*J61</f>
        <v/>
      </c>
      <c r="L61" s="11">
        <f>ROUND(J61*E61*0.1425%,0)</f>
        <v/>
      </c>
      <c r="M61" s="11">
        <f>ROUND(J61*E61*0.3%,0)</f>
        <v/>
      </c>
      <c r="N61" s="11" t="n">
        <v>0</v>
      </c>
      <c r="O61" s="434">
        <f>IF(I61="",E61*Y61,0)</f>
        <v/>
      </c>
      <c r="P61" s="435">
        <f>IF(I61="",R61-H61,(K61-H61-SUM(L61:N61)+R61-S61-T61)-G61)+(ROUND(R61*V61,0)-ROUND(R61*(1+V61),0)*W61)</f>
        <v/>
      </c>
      <c r="Q61" s="435">
        <f>IF(I61="",(O61-G61-(O61*0.1425%*0.65)-(O61*0.3%)-S61-T61),0)</f>
        <v/>
      </c>
      <c r="R61" s="435" t="n"/>
      <c r="S61" s="435" t="n">
        <v>0</v>
      </c>
      <c r="T61" s="435">
        <f>IF(ROUND(R61*(1+V61),0)&gt;20000,ROUND(ROUND(R61*(1+V61),0)*2%,0),0)</f>
        <v/>
      </c>
      <c r="U61" s="69" t="n"/>
      <c r="V61" s="69" t="n"/>
      <c r="W61" s="70" t="n"/>
      <c r="X61" s="436">
        <f>(P61+Q61)/G61</f>
        <v/>
      </c>
      <c r="Y61" s="16">
        <f>VLOOKUP(C61,台股行情!A:D,4,FALSE)</f>
        <v/>
      </c>
      <c r="Z61" s="437">
        <f>VLOOKUP(C61,台股行情!A:E,5,FALSE)</f>
        <v/>
      </c>
      <c r="AA61" s="438">
        <f>IF(I61="",((TODAY()-A61)*G61)/365.24,((I61-A61)*G61)/365.24)</f>
        <v/>
      </c>
      <c r="AB61" s="103" t="inlineStr">
        <is>
          <t>台股 ETF</t>
        </is>
      </c>
      <c r="AC61" s="103" t="inlineStr">
        <is>
          <t>老爸幫你儲備未來</t>
        </is>
      </c>
      <c r="AD61" s="209" t="n"/>
    </row>
    <row r="62" outlineLevel="1">
      <c r="A62" s="99" t="n">
        <v>45916</v>
      </c>
      <c r="B62" s="11" t="inlineStr">
        <is>
          <t>普通買進</t>
        </is>
      </c>
      <c r="C62" s="181" t="n">
        <v>895</v>
      </c>
      <c r="D62" s="189">
        <f>VLOOKUP(C62,台股行情!A:B,2,FALSE)</f>
        <v/>
      </c>
      <c r="E62" s="11" t="n">
        <v>144</v>
      </c>
      <c r="F62" s="11" t="n">
        <v>34.64</v>
      </c>
      <c r="G62" s="183" t="n">
        <v>4988</v>
      </c>
      <c r="H62" s="11" t="n">
        <v>1</v>
      </c>
      <c r="I62" s="104" t="n"/>
      <c r="J62" s="16" t="n"/>
      <c r="K62" s="11">
        <f>E62*J62</f>
        <v/>
      </c>
      <c r="L62" s="11">
        <f>ROUND(J62*E62*0.1425%,0)</f>
        <v/>
      </c>
      <c r="M62" s="11">
        <f>ROUND(J62*E62*0.3%,0)</f>
        <v/>
      </c>
      <c r="N62" s="11" t="n">
        <v>0</v>
      </c>
      <c r="O62" s="434">
        <f>IF(I62="",E62*Y62,0)</f>
        <v/>
      </c>
      <c r="P62" s="435">
        <f>IF(I62="",R62-H62,(K62-H62-SUM(L62:N62)+R62-S62-T62)-G62)+(ROUND(R62*V62,0)-ROUND(R62*(1+V62),0)*W62)</f>
        <v/>
      </c>
      <c r="Q62" s="435">
        <f>IF(I62="",(O62-G62-(O62*0.1425%*0.65)-(O62*0.3%)-S62-T62),0)</f>
        <v/>
      </c>
      <c r="R62" s="435" t="n"/>
      <c r="S62" s="435" t="n">
        <v>0</v>
      </c>
      <c r="T62" s="435">
        <f>IF(ROUND(R62*(1+V62),0)&gt;20000,ROUND(ROUND(R62*(1+V62),0)*2%,0),0)</f>
        <v/>
      </c>
      <c r="U62" s="69" t="n"/>
      <c r="V62" s="69" t="n"/>
      <c r="W62" s="70" t="n"/>
      <c r="X62" s="436">
        <f>(P62+Q62)/G62</f>
        <v/>
      </c>
      <c r="Y62" s="16">
        <f>VLOOKUP(C62,台股行情!A:D,4,FALSE)</f>
        <v/>
      </c>
      <c r="Z62" s="437">
        <f>VLOOKUP(C62,台股行情!A:E,5,FALSE)</f>
        <v/>
      </c>
      <c r="AA62" s="438">
        <f>IF(I62="",((TODAY()-A62)*G62)/365.24,((I62-A62)*G62)/365.24)</f>
        <v/>
      </c>
      <c r="AB62" s="103" t="inlineStr">
        <is>
          <t>台股 ETF</t>
        </is>
      </c>
      <c r="AC62" s="103" t="inlineStr">
        <is>
          <t>老爸幫你儲備未來</t>
        </is>
      </c>
      <c r="AD62" s="209" t="n"/>
    </row>
    <row r="63" outlineLevel="1">
      <c r="A63" s="99" t="n">
        <v>45946</v>
      </c>
      <c r="B63" s="11" t="inlineStr">
        <is>
          <t>普通買進</t>
        </is>
      </c>
      <c r="C63" s="181" t="n">
        <v>895</v>
      </c>
      <c r="D63" s="189">
        <f>VLOOKUP(C63,台股行情!A:B,2,FALSE)</f>
        <v/>
      </c>
      <c r="E63" s="11" t="n">
        <v>113</v>
      </c>
      <c r="F63" s="11" t="n">
        <v>37.43</v>
      </c>
      <c r="G63" s="183" t="n">
        <v>4978</v>
      </c>
      <c r="H63" s="11" t="n">
        <v>1</v>
      </c>
      <c r="I63" s="104" t="n"/>
      <c r="J63" s="16" t="n"/>
      <c r="K63" s="11">
        <f>E63*J63</f>
        <v/>
      </c>
      <c r="L63" s="11">
        <f>ROUND(J63*E63*0.1425%,0)</f>
        <v/>
      </c>
      <c r="M63" s="11">
        <f>ROUND(J63*E63*0.3%,0)</f>
        <v/>
      </c>
      <c r="N63" s="11" t="n">
        <v>0</v>
      </c>
      <c r="O63" s="434">
        <f>IF(I63="",E63*Y63,0)</f>
        <v/>
      </c>
      <c r="P63" s="435">
        <f>IF(I63="",R63-H63,(K63-H63-SUM(L63:N63)+R63-S63-T63)-G63)+(ROUND(R63*V63,0)-ROUND(R63*(1+V63),0)*W63)</f>
        <v/>
      </c>
      <c r="Q63" s="435">
        <f>IF(I63="",(O63-G63-(O63*0.1425%*0.65)-(O63*0.3%)-S63-T63),0)</f>
        <v/>
      </c>
      <c r="R63" s="435" t="n"/>
      <c r="S63" s="435" t="n">
        <v>0</v>
      </c>
      <c r="T63" s="435">
        <f>IF(ROUND(R63*(1+V63),0)&gt;20000,ROUND(ROUND(R63*(1+V63),0)*2%,0),0)</f>
        <v/>
      </c>
      <c r="U63" s="69" t="n"/>
      <c r="V63" s="69" t="n"/>
      <c r="W63" s="70" t="n"/>
      <c r="X63" s="436">
        <f>(P63+Q63)/G63</f>
        <v/>
      </c>
      <c r="Y63" s="16">
        <f>VLOOKUP(C63,台股行情!A:D,4,FALSE)</f>
        <v/>
      </c>
      <c r="Z63" s="437">
        <f>VLOOKUP(C63,台股行情!A:E,5,FALSE)</f>
        <v/>
      </c>
      <c r="AA63" s="438">
        <f>IF(I63="",((TODAY()-A63)*G63)/365.24,((I63-A63)*G63)/365.24)</f>
        <v/>
      </c>
      <c r="AB63" s="103" t="inlineStr">
        <is>
          <t>台股 ETF</t>
        </is>
      </c>
      <c r="AC63" s="103" t="inlineStr">
        <is>
          <t>老爸幫你儲備未來</t>
        </is>
      </c>
      <c r="AD63" s="209" t="n"/>
    </row>
    <row r="64" outlineLevel="1">
      <c r="A64" s="99" t="n">
        <v>45978</v>
      </c>
      <c r="B64" s="11" t="inlineStr">
        <is>
          <t>普通買進</t>
        </is>
      </c>
      <c r="C64" s="181" t="n">
        <v>895</v>
      </c>
      <c r="D64" s="189">
        <f>VLOOKUP(C64,台股行情!A:B,2,FALSE)</f>
        <v/>
      </c>
      <c r="E64" s="11" t="n">
        <v>131</v>
      </c>
      <c r="F64" s="11" t="n">
        <v>38.04</v>
      </c>
      <c r="G64" s="183" t="n">
        <v>4983</v>
      </c>
      <c r="H64" s="11" t="n">
        <v>1</v>
      </c>
      <c r="I64" s="104" t="n"/>
      <c r="J64" s="16" t="n"/>
      <c r="K64" s="11">
        <f>E64*J64</f>
        <v/>
      </c>
      <c r="L64" s="11">
        <f>ROUND(J64*E64*0.1425%,0)</f>
        <v/>
      </c>
      <c r="M64" s="11">
        <f>ROUND(J64*E64*0.3%,0)</f>
        <v/>
      </c>
      <c r="N64" s="11" t="n">
        <v>0</v>
      </c>
      <c r="O64" s="434">
        <f>IF(I64="",E64*Y64,0)</f>
        <v/>
      </c>
      <c r="P64" s="435">
        <f>IF(I64="",R64-H64,(K64-H64-SUM(L64:N64)+R64-S64-T64)-G64)+(ROUND(R64*V64,0)-ROUND(R64*(1+V64),0)*W64)</f>
        <v/>
      </c>
      <c r="Q64" s="435">
        <f>IF(I64="",(O64-G64-(O64*0.1425%*0.65)-(O64*0.3%)-S64-T64),0)</f>
        <v/>
      </c>
      <c r="R64" s="435" t="n"/>
      <c r="S64" s="435" t="n">
        <v>0</v>
      </c>
      <c r="T64" s="435">
        <f>IF(ROUND(R64*(1+V64),0)&gt;20000,ROUND(ROUND(R64*(1+V64),0)*2%,0),0)</f>
        <v/>
      </c>
      <c r="U64" s="69" t="n"/>
      <c r="V64" s="69" t="n"/>
      <c r="W64" s="70" t="n"/>
      <c r="X64" s="436">
        <f>(P64+Q64)/G64</f>
        <v/>
      </c>
      <c r="Y64" s="16">
        <f>VLOOKUP(C64,台股行情!A:D,4,FALSE)</f>
        <v/>
      </c>
      <c r="Z64" s="437">
        <f>VLOOKUP(C64,台股行情!A:E,5,FALSE)</f>
        <v/>
      </c>
      <c r="AA64" s="438">
        <f>IF(I64="",((TODAY()-A64)*G64)/365.24,((I64-A64)*G64)/365.24)</f>
        <v/>
      </c>
      <c r="AB64" s="103" t="inlineStr">
        <is>
          <t>台股 ETF</t>
        </is>
      </c>
      <c r="AC64" s="103" t="inlineStr">
        <is>
          <t>老爸幫你儲備未來</t>
        </is>
      </c>
      <c r="AD64" s="209" t="n"/>
    </row>
    <row r="65" outlineLevel="1">
      <c r="A65" s="99" t="n">
        <v>46007</v>
      </c>
      <c r="B65" s="11" t="inlineStr">
        <is>
          <t>普通買進</t>
        </is>
      </c>
      <c r="C65" s="181" t="n">
        <v>895</v>
      </c>
      <c r="D65" s="189">
        <f>VLOOKUP(C65,台股行情!A:B,2,FALSE)</f>
        <v/>
      </c>
      <c r="E65" s="11" t="n">
        <v>130</v>
      </c>
      <c r="F65" s="11" t="n">
        <v>38.32</v>
      </c>
      <c r="G65" s="183" t="n">
        <v>4981</v>
      </c>
      <c r="H65" s="11" t="n">
        <v>1</v>
      </c>
      <c r="I65" s="104" t="n"/>
      <c r="J65" s="16" t="n"/>
      <c r="K65" s="11">
        <f>E65*J65</f>
        <v/>
      </c>
      <c r="L65" s="11">
        <f>ROUND(J65*E65*0.1425%,0)</f>
        <v/>
      </c>
      <c r="M65" s="11">
        <f>ROUND(J65*E65*0.3%,0)</f>
        <v/>
      </c>
      <c r="N65" s="11" t="n">
        <v>0</v>
      </c>
      <c r="O65" s="434">
        <f>IF(I65="",E65*Y65,0)</f>
        <v/>
      </c>
      <c r="P65" s="435">
        <f>IF(I65="",R65-H65,(K65-H65-SUM(L65:N65)+R65-S65-T65)-G65)+(ROUND(R65*V65,0)-ROUND(R65*(1+V65),0)*W65)</f>
        <v/>
      </c>
      <c r="Q65" s="435">
        <f>IF(I65="",(O65-G65-(O65*0.1425%*0.65)-(O65*0.3%)-S65-T65),0)</f>
        <v/>
      </c>
      <c r="R65" s="435" t="n"/>
      <c r="S65" s="435" t="n">
        <v>0</v>
      </c>
      <c r="T65" s="435">
        <f>IF(ROUND(R65*(1+V65),0)&gt;20000,ROUND(ROUND(R65*(1+V65),0)*2%,0),0)</f>
        <v/>
      </c>
      <c r="U65" s="69" t="n"/>
      <c r="V65" s="69" t="n"/>
      <c r="W65" s="70" t="n"/>
      <c r="X65" s="436">
        <f>(P65+Q65)/G65</f>
        <v/>
      </c>
      <c r="Y65" s="16">
        <f>VLOOKUP(C65,台股行情!A:D,4,FALSE)</f>
        <v/>
      </c>
      <c r="Z65" s="437">
        <f>VLOOKUP(C65,台股行情!A:E,5,FALSE)</f>
        <v/>
      </c>
      <c r="AA65" s="438">
        <f>IF(I65="",((TODAY()-A65)*G65)/365.24,((I65-A65)*G65)/365.24)</f>
        <v/>
      </c>
      <c r="AB65" s="103" t="inlineStr">
        <is>
          <t>台股 ETF</t>
        </is>
      </c>
      <c r="AC65" s="103" t="inlineStr">
        <is>
          <t>老爸幫你儲備未來</t>
        </is>
      </c>
      <c r="AD65" s="209" t="n"/>
    </row>
    <row r="66">
      <c r="A66" s="99" t="n">
        <v>46038</v>
      </c>
      <c r="B66" s="11" t="inlineStr">
        <is>
          <t>普通買進</t>
        </is>
      </c>
      <c r="C66" s="181" t="n">
        <v>895</v>
      </c>
      <c r="D66" s="189">
        <f>VLOOKUP(C66,台股行情!A:B,2,FALSE)</f>
        <v/>
      </c>
      <c r="E66" s="11" t="n">
        <v>122</v>
      </c>
      <c r="F66" s="11" t="n">
        <v>40.86</v>
      </c>
      <c r="G66" s="183" t="n">
        <v>4984</v>
      </c>
      <c r="H66" s="11" t="n">
        <v>1</v>
      </c>
      <c r="I66" s="104" t="n"/>
      <c r="J66" s="16" t="n"/>
      <c r="K66" s="11">
        <f>E66*J66</f>
        <v/>
      </c>
      <c r="L66" s="11">
        <f>ROUND(J66*E66*0.1425%,0)</f>
        <v/>
      </c>
      <c r="M66" s="11">
        <f>ROUND(J66*E66*0.3%,0)</f>
        <v/>
      </c>
      <c r="N66" s="11" t="n">
        <v>0</v>
      </c>
      <c r="O66" s="434">
        <f>IF(I66="",E66*Y66,0)</f>
        <v/>
      </c>
      <c r="P66" s="435">
        <f>IF(I66="",R66-H66,(K66-H66-SUM(L66:N66)+R66-S66-T66)-G66)+(ROUND(R66*V66,0)-ROUND(R66*(1+V66),0)*W66)</f>
        <v/>
      </c>
      <c r="Q66" s="435">
        <f>IF(I66="",(O66-G66-(O66*0.1425%*0.65)-(O66*0.3%)-S66-T66),0)</f>
        <v/>
      </c>
      <c r="R66" s="435" t="n"/>
      <c r="S66" s="435" t="n">
        <v>0</v>
      </c>
      <c r="T66" s="435">
        <f>IF(ROUND(R66*(1+V66),0)&gt;20000,ROUND(ROUND(R66*(1+V66),0)*2%,0),0)</f>
        <v/>
      </c>
      <c r="U66" s="69" t="n"/>
      <c r="V66" s="69" t="n"/>
      <c r="W66" s="70" t="n"/>
      <c r="X66" s="436">
        <f>(P66+Q66)/G66</f>
        <v/>
      </c>
      <c r="Y66" s="16">
        <f>VLOOKUP(C66,台股行情!A:D,4,FALSE)</f>
        <v/>
      </c>
      <c r="Z66" s="437">
        <f>VLOOKUP(C66,台股行情!A:E,5,FALSE)</f>
        <v/>
      </c>
      <c r="AA66" s="438">
        <f>IF(I66="",((TODAY()-A66)*G66)/365.24,((I66-A66)*G66)/365.24)</f>
        <v/>
      </c>
      <c r="AB66" s="103" t="inlineStr">
        <is>
          <t>台股 ETF</t>
        </is>
      </c>
      <c r="AC66" s="103" t="inlineStr">
        <is>
          <t>老爸幫你儲備未來</t>
        </is>
      </c>
      <c r="AD66" s="209" t="n"/>
    </row>
    <row r="67">
      <c r="A67" s="99" t="n">
        <v>46051</v>
      </c>
      <c r="B67" s="11" t="inlineStr">
        <is>
          <t>普通買進</t>
        </is>
      </c>
      <c r="C67" s="343" t="inlineStr">
        <is>
          <t>00981A</t>
        </is>
      </c>
      <c r="D67" s="189">
        <f>VLOOKUP(C67,台股行情!A:B,2,FALSE)</f>
        <v/>
      </c>
      <c r="E67" s="11" t="n">
        <v>1000</v>
      </c>
      <c r="F67" s="11" t="n">
        <v>18.21</v>
      </c>
      <c r="G67" s="11">
        <f>E67*F67</f>
        <v/>
      </c>
      <c r="H67" s="11" t="n">
        <v>25</v>
      </c>
      <c r="I67" s="104" t="n"/>
      <c r="J67" s="16" t="n"/>
      <c r="K67" s="11">
        <f>E67*J67</f>
        <v/>
      </c>
      <c r="L67" s="11">
        <f>ROUND(J67*E67*0.1425%,0)</f>
        <v/>
      </c>
      <c r="M67" s="11">
        <f>ROUND(J67*E67*0.3%,0)</f>
        <v/>
      </c>
      <c r="N67" s="11" t="n">
        <v>0</v>
      </c>
      <c r="O67" s="434">
        <f>IF(I67="",E67*Y67,0)</f>
        <v/>
      </c>
      <c r="P67" s="435">
        <f>IF(I67="",R67-H67,(K67-H67-SUM(L67:N67)+R67-S67-T67)-G67)+(ROUND(R67*V67,0)-ROUND(R67*(1+V67),0)*W67)</f>
        <v/>
      </c>
      <c r="Q67" s="435">
        <f>IF(I67="",(O67-G67-(O67*0.1425%*0.65)-(O67*0.3%)-S67-T67),0)</f>
        <v/>
      </c>
      <c r="R67" s="435" t="n">
        <v>410</v>
      </c>
      <c r="S67" s="435" t="n">
        <v>10</v>
      </c>
      <c r="T67" s="435">
        <f>IF(ROUND(R67*(1+V67),0)&gt;20000,ROUND(ROUND(R67*(1+V67),0)*2%,0),0)</f>
        <v/>
      </c>
      <c r="U67" s="69" t="n"/>
      <c r="V67" s="69" t="n"/>
      <c r="W67" s="70" t="n"/>
      <c r="X67" s="436">
        <f>(P67+Q67)/G67</f>
        <v/>
      </c>
      <c r="Y67" s="16">
        <f>VLOOKUP(C67,台股行情!A:D,4,FALSE)</f>
        <v/>
      </c>
      <c r="Z67" s="437">
        <f>VLOOKUP(C67,台股行情!A:E,5,FALSE)</f>
        <v/>
      </c>
      <c r="AA67" s="438">
        <f>IF(I67="",((TODAY()-A67)*G67)/365.24,((I67-A67)*G67)/365.24)</f>
        <v/>
      </c>
      <c r="AB67" s="103" t="inlineStr">
        <is>
          <t>台股 ETF</t>
        </is>
      </c>
      <c r="AC67" s="103" t="inlineStr">
        <is>
          <t>存股</t>
        </is>
      </c>
      <c r="AD67" s="209" t="n"/>
    </row>
    <row r="68">
      <c r="A68" s="99" t="n">
        <v>46058</v>
      </c>
      <c r="B68" s="11" t="inlineStr">
        <is>
          <t>普通買進</t>
        </is>
      </c>
      <c r="C68" s="343" t="inlineStr">
        <is>
          <t>00981A</t>
        </is>
      </c>
      <c r="D68" s="189">
        <f>VLOOKUP(C68,台股行情!A:B,2,FALSE)</f>
        <v/>
      </c>
      <c r="E68" s="11" t="n">
        <v>272</v>
      </c>
      <c r="F68" s="11" t="n">
        <v>18.38</v>
      </c>
      <c r="G68" s="183" t="n">
        <v>4999</v>
      </c>
      <c r="H68" s="11" t="n">
        <v>1</v>
      </c>
      <c r="I68" s="104" t="n"/>
      <c r="J68" s="16" t="n"/>
      <c r="K68" s="11">
        <f>E68*J68</f>
        <v/>
      </c>
      <c r="L68" s="11">
        <f>ROUND(J68*E68*0.1425%,0)</f>
        <v/>
      </c>
      <c r="M68" s="11">
        <f>ROUND(J68*E68*0.3%,0)</f>
        <v/>
      </c>
      <c r="N68" s="11" t="n">
        <v>0</v>
      </c>
      <c r="O68" s="434">
        <f>IF(I68="",E68*Y68,0)</f>
        <v/>
      </c>
      <c r="P68" s="435">
        <f>IF(I68="",R68-H68,(K68-H68-SUM(L68:N68)+R68-S68-T68)-G68)+(ROUND(R68*V68,0)-ROUND(R68*(1+V68),0)*W68)</f>
        <v/>
      </c>
      <c r="Q68" s="435">
        <f>IF(I68="",(O68-G68-(O68*0.1425%*0.65)-(O68*0.3%)-S68-T68),0)</f>
        <v/>
      </c>
      <c r="R68" s="435" t="n">
        <v>112</v>
      </c>
      <c r="S68" s="435" t="n">
        <v>10</v>
      </c>
      <c r="T68" s="435">
        <f>IF(ROUND(R68*(1+V68),0)&gt;20000,ROUND(ROUND(R68*(1+V68),0)*2%,0),0)</f>
        <v/>
      </c>
      <c r="U68" s="69" t="n"/>
      <c r="V68" s="69" t="n"/>
      <c r="W68" s="70" t="n"/>
      <c r="X68" s="436">
        <f>(P68+Q68)/G68</f>
        <v/>
      </c>
      <c r="Y68" s="16">
        <f>VLOOKUP(C68,台股行情!A:D,4,FALSE)</f>
        <v/>
      </c>
      <c r="Z68" s="437">
        <f>VLOOKUP(C68,台股行情!A:E,5,FALSE)</f>
        <v/>
      </c>
      <c r="AA68" s="438">
        <f>IF(I68="",((TODAY()-A68)*G68)/365.24,((I68-A68)*G68)/365.24)</f>
        <v/>
      </c>
      <c r="AB68" s="103" t="inlineStr">
        <is>
          <t>台股 ETF</t>
        </is>
      </c>
      <c r="AC68" s="103" t="inlineStr">
        <is>
          <t>定期定額</t>
        </is>
      </c>
      <c r="AD68" s="344" t="n"/>
    </row>
    <row r="69">
      <c r="A69" s="99" t="n">
        <v>46076</v>
      </c>
      <c r="B69" s="11" t="inlineStr">
        <is>
          <t>普通買進</t>
        </is>
      </c>
      <c r="C69" s="181" t="n">
        <v>895</v>
      </c>
      <c r="D69" s="189">
        <f>VLOOKUP(C69,台股行情!A:B,2,FALSE)</f>
        <v/>
      </c>
      <c r="E69" s="11" t="n">
        <v>119</v>
      </c>
      <c r="F69" s="11" t="n">
        <v>41.74</v>
      </c>
      <c r="G69" s="183" t="n">
        <v>4967</v>
      </c>
      <c r="H69" s="11" t="n">
        <v>1</v>
      </c>
      <c r="I69" s="104" t="n"/>
      <c r="J69" s="16" t="n"/>
      <c r="K69" s="11">
        <f>E69*J69</f>
        <v/>
      </c>
      <c r="L69" s="11">
        <f>ROUND(J69*E69*0.1425%,0)</f>
        <v/>
      </c>
      <c r="M69" s="11">
        <f>ROUND(J69*E69*0.3%,0)</f>
        <v/>
      </c>
      <c r="N69" s="11" t="n">
        <v>0</v>
      </c>
      <c r="O69" s="434">
        <f>IF(I69="",E69*Y69,0)</f>
        <v/>
      </c>
      <c r="P69" s="435">
        <f>IF(I69="",R69-H69,(K69-H69-SUM(L69:N69)+R69-S69-T69)-G69)+(ROUND(R69*V69,0)-ROUND(R69*(1+V69),0)*W69)</f>
        <v/>
      </c>
      <c r="Q69" s="435">
        <f>IF(I69="",(O69-G69-(O69*0.1425%*0.65)-(O69*0.3%)-S69-T69),0)</f>
        <v/>
      </c>
      <c r="R69" s="435" t="n"/>
      <c r="S69" s="435" t="n">
        <v>0</v>
      </c>
      <c r="T69" s="435">
        <f>IF(ROUND(R69*(1+V69),0)&gt;20000,ROUND(ROUND(R69*(1+V69),0)*2%,0),0)</f>
        <v/>
      </c>
      <c r="U69" s="69" t="n"/>
      <c r="V69" s="69" t="n"/>
      <c r="W69" s="70" t="n"/>
      <c r="X69" s="436">
        <f>(P69+Q69)/G69</f>
        <v/>
      </c>
      <c r="Y69" s="16">
        <f>VLOOKUP(C69,台股行情!A:D,4,FALSE)</f>
        <v/>
      </c>
      <c r="Z69" s="437">
        <f>VLOOKUP(C69,台股行情!A:E,5,FALSE)</f>
        <v/>
      </c>
      <c r="AA69" s="438">
        <f>IF(I69="",((TODAY()-A69)*G69)/365.24,((I69-A69)*G69)/365.24)</f>
        <v/>
      </c>
      <c r="AB69" s="103" t="inlineStr">
        <is>
          <t>台股 ETF</t>
        </is>
      </c>
      <c r="AC69" s="103" t="inlineStr">
        <is>
          <t>老爸幫你儲備未來</t>
        </is>
      </c>
      <c r="AD69" s="209" t="n"/>
    </row>
    <row r="70">
      <c r="A70" s="99" t="n">
        <v>46086</v>
      </c>
      <c r="B70" s="11" t="inlineStr">
        <is>
          <t>普通買進</t>
        </is>
      </c>
      <c r="C70" s="343" t="inlineStr">
        <is>
          <t>00981A</t>
        </is>
      </c>
      <c r="D70" s="189">
        <f>VLOOKUP(C70,台股行情!A:B,2,FALSE)</f>
        <v/>
      </c>
      <c r="E70" s="11" t="n">
        <v>256</v>
      </c>
      <c r="F70" s="353" t="inlineStr">
        <is>
          <t>19..49</t>
        </is>
      </c>
      <c r="G70" s="183" t="n">
        <v>4989</v>
      </c>
      <c r="H70" s="11" t="n">
        <v>1</v>
      </c>
      <c r="I70" s="104" t="n"/>
      <c r="J70" s="16" t="n"/>
      <c r="K70" s="11">
        <f>E70*J70</f>
        <v/>
      </c>
      <c r="L70" s="11">
        <f>ROUND(J70*E70*0.1425%,0)</f>
        <v/>
      </c>
      <c r="M70" s="11">
        <f>ROUND(J70*E70*0.3%,0)</f>
        <v/>
      </c>
      <c r="N70" s="11" t="n">
        <v>0</v>
      </c>
      <c r="O70" s="434">
        <f>IF(I70="",E70*Y70,0)</f>
        <v/>
      </c>
      <c r="P70" s="435">
        <f>IF(I70="",R70-H70,(K70-H70-SUM(L70:N70)+R70-S70-T70)-G70)+(ROUND(R70*V70,0)-ROUND(R70*(1+V70),0)*W70)</f>
        <v/>
      </c>
      <c r="Q70" s="435">
        <f>IF(I70="",(O70-G70-(O70*0.1425%*0.65)-(O70*0.3%)-S70-T70),0)</f>
        <v/>
      </c>
      <c r="R70" s="435" t="n">
        <v>105</v>
      </c>
      <c r="S70" s="435" t="n">
        <v>10</v>
      </c>
      <c r="T70" s="435">
        <f>IF(ROUND(R70*(1+V70),0)&gt;20000,ROUND(ROUND(R70*(1+V70),0)*2%,0),0)</f>
        <v/>
      </c>
      <c r="U70" s="69" t="n"/>
      <c r="V70" s="69" t="n"/>
      <c r="W70" s="70" t="n"/>
      <c r="X70" s="436">
        <f>(P70+Q70)/G70</f>
        <v/>
      </c>
      <c r="Y70" s="16">
        <f>VLOOKUP(C70,台股行情!A:D,4,FALSE)</f>
        <v/>
      </c>
      <c r="Z70" s="437">
        <f>VLOOKUP(C70,台股行情!A:E,5,FALSE)</f>
        <v/>
      </c>
      <c r="AA70" s="438">
        <f>IF(I70="",((TODAY()-A70)*G70)/365.24,((I70-A70)*G70)/365.24)</f>
        <v/>
      </c>
      <c r="AB70" s="103" t="inlineStr">
        <is>
          <t>台股 ETF</t>
        </is>
      </c>
      <c r="AC70" s="103" t="inlineStr">
        <is>
          <t>定期定額</t>
        </is>
      </c>
      <c r="AD70" s="344" t="n"/>
    </row>
    <row r="71">
      <c r="A71" s="99" t="n">
        <v>46097</v>
      </c>
      <c r="B71" s="11" t="inlineStr">
        <is>
          <t>普通買進</t>
        </is>
      </c>
      <c r="C71" s="181" t="n">
        <v>895</v>
      </c>
      <c r="D71" s="189">
        <f>VLOOKUP(C71,台股行情!A:B,2,FALSE)</f>
        <v/>
      </c>
      <c r="E71" s="11" t="n">
        <v>125</v>
      </c>
      <c r="F71" s="11" t="n">
        <v>40</v>
      </c>
      <c r="G71" s="183" t="n">
        <v>5000</v>
      </c>
      <c r="H71" s="11" t="n">
        <v>1</v>
      </c>
      <c r="I71" s="104" t="n"/>
      <c r="J71" s="16" t="n"/>
      <c r="K71" s="11">
        <f>E71*J71</f>
        <v/>
      </c>
      <c r="L71" s="11">
        <f>ROUND(J71*E71*0.1425%,0)</f>
        <v/>
      </c>
      <c r="M71" s="11">
        <f>ROUND(J71*E71*0.3%,0)</f>
        <v/>
      </c>
      <c r="N71" s="11" t="n">
        <v>0</v>
      </c>
      <c r="O71" s="434">
        <f>IF(I71="",E71*Y71,0)</f>
        <v/>
      </c>
      <c r="P71" s="435">
        <f>IF(I71="",R71-H71,(K71-H71-SUM(L71:N71)+R71-S71-T71)-G71)+(ROUND(R71*V71,0)-ROUND(R71*(1+V71),0)*W71)</f>
        <v/>
      </c>
      <c r="Q71" s="435">
        <f>IF(I71="",(O71-G71-(O71*0.1425%*0.65)-(O71*0.3%)-S71-T71),0)</f>
        <v/>
      </c>
      <c r="R71" s="435" t="n"/>
      <c r="S71" s="435" t="n">
        <v>0</v>
      </c>
      <c r="T71" s="435">
        <f>IF(ROUND(R71*(1+V71),0)&gt;20000,ROUND(ROUND(R71*(1+V71),0)*2%,0),0)</f>
        <v/>
      </c>
      <c r="U71" s="69" t="n"/>
      <c r="V71" s="69" t="n"/>
      <c r="W71" s="70" t="n"/>
      <c r="X71" s="436">
        <f>(P71+Q71)/G71</f>
        <v/>
      </c>
      <c r="Y71" s="16">
        <f>VLOOKUP(C71,台股行情!A:D,4,FALSE)</f>
        <v/>
      </c>
      <c r="Z71" s="437">
        <f>VLOOKUP(C71,台股行情!A:E,5,FALSE)</f>
        <v/>
      </c>
      <c r="AA71" s="438">
        <f>IF(I71="",((TODAY()-A71)*G71)/365.24,((I71-A71)*G71)/365.24)</f>
        <v/>
      </c>
      <c r="AB71" s="103" t="inlineStr">
        <is>
          <t>台股 ETF</t>
        </is>
      </c>
      <c r="AC71" s="103" t="inlineStr">
        <is>
          <t>老爸幫你儲備未來</t>
        </is>
      </c>
      <c r="AD71" s="209" t="n"/>
    </row>
    <row r="72">
      <c r="A72" s="99" t="n">
        <v>46119</v>
      </c>
      <c r="B72" s="11" t="inlineStr">
        <is>
          <t>普通買進</t>
        </is>
      </c>
      <c r="C72" s="343" t="inlineStr">
        <is>
          <t>00981A</t>
        </is>
      </c>
      <c r="D72" s="189">
        <f>VLOOKUP(C72,台股行情!A:B,2,FALSE)</f>
        <v/>
      </c>
      <c r="E72" s="11" t="n">
        <v>241</v>
      </c>
      <c r="F72" s="353" t="n">
        <v>20.73</v>
      </c>
      <c r="G72" s="183" t="n">
        <v>4995</v>
      </c>
      <c r="H72" s="11" t="n">
        <v>1</v>
      </c>
      <c r="I72" s="104" t="n"/>
      <c r="J72" s="16" t="n"/>
      <c r="K72" s="11">
        <f>E72*J72</f>
        <v/>
      </c>
      <c r="L72" s="11">
        <f>ROUND(J72*E72*0.1425%,0)</f>
        <v/>
      </c>
      <c r="M72" s="11">
        <f>ROUND(J72*E72*0.3%,0)</f>
        <v/>
      </c>
      <c r="N72" s="11" t="n">
        <v>0</v>
      </c>
      <c r="O72" s="434">
        <f>IF(I72="",E72*Y72,0)</f>
        <v/>
      </c>
      <c r="P72" s="435">
        <f>IF(I72="",R72-H72,(K72-H72-SUM(L72:N72)+R72-S72-T72)-G72)+(ROUND(R72*V72,0)-ROUND(R72*(1+V72),0)*W72)</f>
        <v/>
      </c>
      <c r="Q72" s="435">
        <f>IF(I72="",(O72-G72-(O72*0.1425%*0.65)-(O72*0.3%)-S72-T72),0)</f>
        <v/>
      </c>
      <c r="R72" s="435" t="n"/>
      <c r="S72" s="435" t="n">
        <v>0</v>
      </c>
      <c r="T72" s="435">
        <f>IF(ROUND(R72*(1+V72),0)&gt;20000,ROUND(ROUND(R72*(1+V72),0)*2%,0),0)</f>
        <v/>
      </c>
      <c r="U72" s="69" t="n"/>
      <c r="V72" s="69" t="n"/>
      <c r="W72" s="70" t="n"/>
      <c r="X72" s="436">
        <f>(P72+Q72)/G72</f>
        <v/>
      </c>
      <c r="Y72" s="16">
        <f>VLOOKUP(C72,台股行情!A:D,4,FALSE)</f>
        <v/>
      </c>
      <c r="Z72" s="437">
        <f>VLOOKUP(C72,台股行情!A:E,5,FALSE)</f>
        <v/>
      </c>
      <c r="AA72" s="438">
        <f>IF(I72="",((TODAY()-A72)*G72)/365.24,((I72-A72)*G72)/365.24)</f>
        <v/>
      </c>
      <c r="AB72" s="103" t="inlineStr">
        <is>
          <t>台股 ETF</t>
        </is>
      </c>
      <c r="AC72" s="103" t="inlineStr">
        <is>
          <t>定期定額</t>
        </is>
      </c>
      <c r="AD72" s="344" t="n"/>
    </row>
    <row r="73">
      <c r="A73" s="99" t="n">
        <v>46128</v>
      </c>
      <c r="B73" s="11" t="inlineStr">
        <is>
          <t>普通買進</t>
        </is>
      </c>
      <c r="C73" s="181" t="n">
        <v>895</v>
      </c>
      <c r="D73" s="189">
        <f>VLOOKUP(C73,台股行情!A:B,2,FALSE)</f>
        <v/>
      </c>
      <c r="E73" s="11" t="n">
        <v>114</v>
      </c>
      <c r="F73" s="11" t="n">
        <v>43.49</v>
      </c>
      <c r="G73" s="183" t="n">
        <v>4957</v>
      </c>
      <c r="H73" s="11" t="n">
        <v>1</v>
      </c>
      <c r="I73" s="104" t="n"/>
      <c r="J73" s="16" t="n"/>
      <c r="K73" s="11">
        <f>E73*J73</f>
        <v/>
      </c>
      <c r="L73" s="11">
        <f>ROUND(J73*E73*0.1425%,0)</f>
        <v/>
      </c>
      <c r="M73" s="11">
        <f>ROUND(J73*E73*0.3%,0)</f>
        <v/>
      </c>
      <c r="N73" s="11" t="n">
        <v>0</v>
      </c>
      <c r="O73" s="434">
        <f>IF(I73="",E73*Y73,0)</f>
        <v/>
      </c>
      <c r="P73" s="435">
        <f>IF(I73="",R73-H73,(K73-H73-SUM(L73:N73)+R73-S73-T73)-G73)+(ROUND(R73*V73,0)-ROUND(R73*(1+V73),0)*W73)</f>
        <v/>
      </c>
      <c r="Q73" s="435">
        <f>IF(I73="",(O73-G73-(O73*0.1425%*0.65)-(O73*0.3%)-S73-T73),0)</f>
        <v/>
      </c>
      <c r="R73" s="435" t="n"/>
      <c r="S73" s="435" t="n">
        <v>0</v>
      </c>
      <c r="T73" s="435">
        <f>IF(ROUND(R73*(1+V73),0)&gt;20000,ROUND(ROUND(R73*(1+V73),0)*2%,0),0)</f>
        <v/>
      </c>
      <c r="U73" s="69" t="n"/>
      <c r="V73" s="69" t="n"/>
      <c r="W73" s="70" t="n"/>
      <c r="X73" s="436">
        <f>(P73+Q73)/G73</f>
        <v/>
      </c>
      <c r="Y73" s="16">
        <f>VLOOKUP(C73,台股行情!A:D,4,FALSE)</f>
        <v/>
      </c>
      <c r="Z73" s="437">
        <f>VLOOKUP(C73,台股行情!A:E,5,FALSE)</f>
        <v/>
      </c>
      <c r="AA73" s="438">
        <f>IF(I73="",((TODAY()-A73)*G73)/365.24,((I73-A73)*G73)/365.24)</f>
        <v/>
      </c>
      <c r="AB73" s="103" t="inlineStr">
        <is>
          <t>台股 ETF</t>
        </is>
      </c>
      <c r="AC73" s="103" t="inlineStr">
        <is>
          <t>老爸幫你儲備未來</t>
        </is>
      </c>
      <c r="AD73" s="209" t="n"/>
    </row>
    <row r="74">
      <c r="A74" s="99" t="n">
        <v>46132</v>
      </c>
      <c r="B74" s="11" t="inlineStr">
        <is>
          <t>普通買進</t>
        </is>
      </c>
      <c r="C74" s="181" t="n">
        <v>2330</v>
      </c>
      <c r="D74" s="189">
        <f>VLOOKUP(C74,台股行情!A:B,2,FALSE)</f>
        <v/>
      </c>
      <c r="E74" s="11" t="n">
        <v>100</v>
      </c>
      <c r="F74" s="11" t="n">
        <v>2050</v>
      </c>
      <c r="G74" s="11">
        <f>E74*F74</f>
        <v/>
      </c>
      <c r="H74" s="11" t="n">
        <v>292</v>
      </c>
      <c r="I74" s="104" t="n"/>
      <c r="J74" s="16" t="n"/>
      <c r="K74" s="11">
        <f>E74*J74</f>
        <v/>
      </c>
      <c r="L74" s="11">
        <f>ROUND(J74*E74*0.1425%,0)</f>
        <v/>
      </c>
      <c r="M74" s="11">
        <f>ROUND(J74*E74*0.3%,0)</f>
        <v/>
      </c>
      <c r="N74" s="11" t="n">
        <v>0</v>
      </c>
      <c r="O74" s="434">
        <f>IF(I74="",E74*Y74,0)</f>
        <v/>
      </c>
      <c r="P74" s="435">
        <f>IF(I74="",R74-H74,(K74-H74-SUM(L74:N74)+R74-S74-T74)-G74)+(ROUND(R74*V74,0)-ROUND(R74*(1+V74),0)*W74)</f>
        <v/>
      </c>
      <c r="Q74" s="435">
        <f>IF(I74="",(O74-G74-(O74*0.1425%*0.65)-(O74*0.3%)-S74-T74),0)</f>
        <v/>
      </c>
      <c r="R74" s="435" t="n"/>
      <c r="S74" s="435" t="n">
        <v>40</v>
      </c>
      <c r="T74" s="435">
        <f>IF(ROUND(R74*(1+V74),0)&gt;20000,ROUND(ROUND(R74*(1+V74),0)*2%,0),0)</f>
        <v/>
      </c>
      <c r="U74" s="69" t="n"/>
      <c r="V74" s="69" t="n"/>
      <c r="W74" s="70" t="n"/>
      <c r="X74" s="436">
        <f>(P74+Q74)/G74</f>
        <v/>
      </c>
      <c r="Y74" s="16">
        <f>VLOOKUP(C74,台股行情!A:D,4,FALSE)</f>
        <v/>
      </c>
      <c r="Z74" s="437">
        <f>VLOOKUP(C74,台股行情!A:E,5,FALSE)</f>
        <v/>
      </c>
      <c r="AA74" s="438">
        <f>IF(I74="",((TODAY()-A74)*G74)/365.24,((I74-A74)*G74)/365.24)</f>
        <v/>
      </c>
      <c r="AB74" s="103" t="inlineStr">
        <is>
          <t>台股</t>
        </is>
      </c>
      <c r="AC74" s="103" t="inlineStr">
        <is>
          <t>存股</t>
        </is>
      </c>
      <c r="AD74" s="209" t="n"/>
    </row>
    <row r="75">
      <c r="A75" s="99" t="n">
        <v>46136</v>
      </c>
      <c r="B75" s="11" t="inlineStr">
        <is>
          <t>普通買進</t>
        </is>
      </c>
      <c r="C75" s="181" t="n">
        <v>2345</v>
      </c>
      <c r="D75" s="189">
        <f>VLOOKUP(C75,台股行情!A:B,2,FALSE)</f>
        <v/>
      </c>
      <c r="E75" s="11" t="n">
        <v>100</v>
      </c>
      <c r="F75" s="11" t="n">
        <v>2110</v>
      </c>
      <c r="G75" s="11">
        <f>E75*F75</f>
        <v/>
      </c>
      <c r="H75" s="11" t="n">
        <v>300</v>
      </c>
      <c r="I75" s="104" t="n"/>
      <c r="J75" s="16" t="n"/>
      <c r="K75" s="11">
        <f>E75*J75</f>
        <v/>
      </c>
      <c r="L75" s="11">
        <f>ROUND(J75*E75*0.1425%,0)</f>
        <v/>
      </c>
      <c r="M75" s="11">
        <f>ROUND(J75*E75*0.3%,0)</f>
        <v/>
      </c>
      <c r="N75" s="11" t="n">
        <v>0</v>
      </c>
      <c r="O75" s="434">
        <f>IF(I75="",E75*Y75,0)</f>
        <v/>
      </c>
      <c r="P75" s="435">
        <f>IF(I75="",R75-H75,(K75-H75-SUM(L75:N75)+R75-S75-T75)-G75)+(ROUND(R75*V75,0)-ROUND(R75*(1+V75),0)*W75)</f>
        <v/>
      </c>
      <c r="Q75" s="435">
        <f>IF(I75="",(O75-G75-(O75*0.1425%*0.65)-(O75*0.3%)-S75-T75),0)</f>
        <v/>
      </c>
      <c r="R75" s="435" t="n"/>
      <c r="S75" s="435" t="n">
        <v>40</v>
      </c>
      <c r="T75" s="435">
        <f>IF(ROUND(R75*(1+V75),0)&gt;20000,ROUND(ROUND(R75*(1+V75),0)*2%,0),0)</f>
        <v/>
      </c>
      <c r="U75" s="69" t="n"/>
      <c r="V75" s="69" t="n"/>
      <c r="W75" s="70" t="n"/>
      <c r="X75" s="436">
        <f>(P75+Q75)/G75</f>
        <v/>
      </c>
      <c r="Y75" s="16">
        <f>VLOOKUP(C75,台股行情!A:D,4,FALSE)</f>
        <v/>
      </c>
      <c r="Z75" s="437">
        <f>VLOOKUP(C75,台股行情!A:E,5,FALSE)</f>
        <v/>
      </c>
      <c r="AA75" s="438">
        <f>IF(I75="",((TODAY()-A75)*G75)/365.24,((I75-A75)*G75)/365.24)</f>
        <v/>
      </c>
      <c r="AB75" s="103" t="inlineStr">
        <is>
          <t>台股</t>
        </is>
      </c>
      <c r="AC75" s="103" t="inlineStr">
        <is>
          <t>存股</t>
        </is>
      </c>
      <c r="AD75" s="209" t="n"/>
    </row>
    <row r="76">
      <c r="A76" s="99" t="n">
        <v>46136</v>
      </c>
      <c r="B76" s="11" t="inlineStr">
        <is>
          <t>普通買進</t>
        </is>
      </c>
      <c r="C76" s="181" t="n">
        <v>2308</v>
      </c>
      <c r="D76" s="189">
        <f>VLOOKUP(C76,台股行情!A:B,2,FALSE)</f>
        <v/>
      </c>
      <c r="E76" s="11" t="n">
        <v>100</v>
      </c>
      <c r="F76" s="11" t="n">
        <v>2010</v>
      </c>
      <c r="G76" s="11">
        <f>E76*F76</f>
        <v/>
      </c>
      <c r="H76" s="11" t="n">
        <v>286</v>
      </c>
      <c r="I76" s="104" t="n"/>
      <c r="J76" s="16" t="n"/>
      <c r="K76" s="11">
        <f>E76*J76</f>
        <v/>
      </c>
      <c r="L76" s="11">
        <f>ROUND(J76*E76*0.1425%,0)</f>
        <v/>
      </c>
      <c r="M76" s="11">
        <f>ROUND(J76*E76*0.3%,0)</f>
        <v/>
      </c>
      <c r="N76" s="11" t="n">
        <v>0</v>
      </c>
      <c r="O76" s="434">
        <f>IF(I76="",E76*Y76,0)</f>
        <v/>
      </c>
      <c r="P76" s="435">
        <f>IF(I76="",R76-H76,(K76-H76-SUM(L76:N76)+R76-S76-T76)-G76)+(ROUND(R76*V76,0)-ROUND(R76*(1+V76),0)*W76)</f>
        <v/>
      </c>
      <c r="Q76" s="435">
        <f>IF(I76="",(O76-G76-(O76*0.1425%*0.65)-(O76*0.3%)-S76-T76),0)</f>
        <v/>
      </c>
      <c r="R76" s="435" t="n"/>
      <c r="S76" s="435" t="n">
        <v>40</v>
      </c>
      <c r="T76" s="435">
        <f>IF(ROUND(R76*(1+V76),0)&gt;20000,ROUND(ROUND(R76*(1+V76),0)*2%,0),0)</f>
        <v/>
      </c>
      <c r="U76" s="69" t="n"/>
      <c r="V76" s="69" t="n"/>
      <c r="W76" s="70" t="n"/>
      <c r="X76" s="436">
        <f>(P76+Q76)/G76</f>
        <v/>
      </c>
      <c r="Y76" s="16">
        <f>VLOOKUP(C76,台股行情!A:D,4,FALSE)</f>
        <v/>
      </c>
      <c r="Z76" s="437">
        <f>VLOOKUP(C76,台股行情!A:E,5,FALSE)</f>
        <v/>
      </c>
      <c r="AA76" s="438">
        <f>IF(I76="",((TODAY()-A76)*G76)/365.24,((I76-A76)*G76)/365.24)</f>
        <v/>
      </c>
      <c r="AB76" s="103" t="inlineStr">
        <is>
          <t>台股</t>
        </is>
      </c>
      <c r="AC76" s="103" t="inlineStr">
        <is>
          <t>存股</t>
        </is>
      </c>
      <c r="AD76" s="209" t="n"/>
    </row>
    <row r="77">
      <c r="A77" s="99" t="n">
        <v>46136</v>
      </c>
      <c r="B77" s="11" t="inlineStr">
        <is>
          <t>普通買進</t>
        </is>
      </c>
      <c r="C77" s="181" t="n">
        <v>2383</v>
      </c>
      <c r="D77" s="189">
        <f>VLOOKUP(C77,台股行情!A:B,2,FALSE)</f>
        <v/>
      </c>
      <c r="E77" s="11" t="n">
        <v>10</v>
      </c>
      <c r="F77" s="11" t="n">
        <v>4335</v>
      </c>
      <c r="G77" s="11">
        <f>E77*F77</f>
        <v/>
      </c>
      <c r="H77" s="11" t="n">
        <v>61</v>
      </c>
      <c r="I77" s="104" t="n"/>
      <c r="J77" s="16" t="n"/>
      <c r="K77" s="11">
        <f>E77*J77</f>
        <v/>
      </c>
      <c r="L77" s="11">
        <f>ROUND(J77*E77*0.1425%,0)</f>
        <v/>
      </c>
      <c r="M77" s="11">
        <f>ROUND(J77*E77*0.3%,0)</f>
        <v/>
      </c>
      <c r="N77" s="11" t="n">
        <v>0</v>
      </c>
      <c r="O77" s="434">
        <f>IF(I77="",E77*Y77,0)</f>
        <v/>
      </c>
      <c r="P77" s="435">
        <f>IF(I77="",R77-H77,(K77-H77-SUM(L77:N77)+R77-S77-T77)-G77)+(ROUND(R77*V77,0)-ROUND(R77*(1+V77),0)*W77)</f>
        <v/>
      </c>
      <c r="Q77" s="435">
        <f>IF(I77="",(O77-G77-(O77*0.1425%*0.65)-(O77*0.3%)-S77-T77),0)</f>
        <v/>
      </c>
      <c r="R77" s="435" t="n"/>
      <c r="S77" s="435" t="n">
        <v>40</v>
      </c>
      <c r="T77" s="435">
        <f>IF(ROUND(R77*(1+V77),0)&gt;20000,ROUND(ROUND(R77*(1+V77),0)*2%,0),0)</f>
        <v/>
      </c>
      <c r="U77" s="69" t="n"/>
      <c r="V77" s="69" t="n"/>
      <c r="W77" s="70" t="n"/>
      <c r="X77" s="436">
        <f>(P77+Q77)/G77</f>
        <v/>
      </c>
      <c r="Y77" s="16">
        <f>VLOOKUP(C77,台股行情!A:D,4,FALSE)</f>
        <v/>
      </c>
      <c r="Z77" s="437">
        <f>VLOOKUP(C77,台股行情!A:E,5,FALSE)</f>
        <v/>
      </c>
      <c r="AA77" s="438">
        <f>IF(I77="",((TODAY()-A77)*G77)/365.24,((I77-A77)*G77)/365.24)</f>
        <v/>
      </c>
      <c r="AB77" s="103" t="inlineStr">
        <is>
          <t>台股</t>
        </is>
      </c>
      <c r="AC77" s="103" t="inlineStr">
        <is>
          <t>存股</t>
        </is>
      </c>
      <c r="AD77" s="209" t="n"/>
    </row>
    <row r="78">
      <c r="A78" s="99" t="n">
        <v>46147</v>
      </c>
      <c r="B78" s="11" t="inlineStr">
        <is>
          <t>普通買進</t>
        </is>
      </c>
      <c r="C78" s="343" t="inlineStr">
        <is>
          <t>00981A</t>
        </is>
      </c>
      <c r="D78" s="189">
        <f>VLOOKUP(C78,台股行情!A:B,2,FALSE)</f>
        <v/>
      </c>
      <c r="E78" s="11" t="n">
        <v>169</v>
      </c>
      <c r="F78" s="353" t="n">
        <v>29.45</v>
      </c>
      <c r="G78" s="183" t="n">
        <v>4977</v>
      </c>
      <c r="H78" s="11" t="n">
        <v>1</v>
      </c>
      <c r="I78" s="104" t="n"/>
      <c r="J78" s="16" t="n"/>
      <c r="K78" s="11">
        <f>E78*J78</f>
        <v/>
      </c>
      <c r="L78" s="11">
        <f>ROUND(J78*E78*0.1425%,0)</f>
        <v/>
      </c>
      <c r="M78" s="11">
        <f>ROUND(J78*E78*0.3%,0)</f>
        <v/>
      </c>
      <c r="N78" s="11" t="n">
        <v>0</v>
      </c>
      <c r="O78" s="434">
        <f>IF(I78="",E78*Y78,0)</f>
        <v/>
      </c>
      <c r="P78" s="435">
        <f>IF(I78="",R78-H78,(K78-H78-SUM(L78:N78)+R78-S78-T78)-G78)+(ROUND(R78*V78,0)-ROUND(R78*(1+V78),0)*W78)</f>
        <v/>
      </c>
      <c r="Q78" s="435">
        <f>IF(I78="",(O78-G78-(O78*0.1425%*0.65)-(O78*0.3%)-S78-T78),0)</f>
        <v/>
      </c>
      <c r="R78" s="435" t="n"/>
      <c r="S78" s="435" t="n">
        <v>0</v>
      </c>
      <c r="T78" s="435">
        <f>IF(ROUND(R78*(1+V78),0)&gt;20000,ROUND(ROUND(R78*(1+V78),0)*2%,0),0)</f>
        <v/>
      </c>
      <c r="U78" s="69" t="n"/>
      <c r="V78" s="69" t="n"/>
      <c r="W78" s="70" t="n"/>
      <c r="X78" s="436">
        <f>(P78+Q78)/G78</f>
        <v/>
      </c>
      <c r="Y78" s="16">
        <f>VLOOKUP(C78,台股行情!A:D,4,FALSE)</f>
        <v/>
      </c>
      <c r="Z78" s="437">
        <f>VLOOKUP(C78,台股行情!A:E,5,FALSE)</f>
        <v/>
      </c>
      <c r="AA78" s="438">
        <f>IF(I78="",((TODAY()-A78)*G78)/365.24,((I78-A78)*G78)/365.24)</f>
        <v/>
      </c>
      <c r="AB78" s="103" t="inlineStr">
        <is>
          <t>台股 ETF</t>
        </is>
      </c>
      <c r="AC78" s="103" t="inlineStr">
        <is>
          <t>定期定額</t>
        </is>
      </c>
      <c r="AD78" s="344" t="n"/>
    </row>
    <row r="79">
      <c r="A79" s="99" t="n">
        <v>46160</v>
      </c>
      <c r="B79" s="11" t="inlineStr">
        <is>
          <t>普通買進</t>
        </is>
      </c>
      <c r="C79" s="181" t="n">
        <v>895</v>
      </c>
      <c r="D79" s="189">
        <f>VLOOKUP(C79,台股行情!A:B,2,FALSE)</f>
        <v/>
      </c>
      <c r="E79" s="11" t="n">
        <v>101</v>
      </c>
      <c r="F79" s="11" t="n">
        <v>49.19</v>
      </c>
      <c r="G79" s="183" t="n">
        <v>4968</v>
      </c>
      <c r="H79" s="11" t="n">
        <v>1</v>
      </c>
      <c r="I79" s="104" t="n"/>
      <c r="J79" s="16" t="n"/>
      <c r="K79" s="11">
        <f>E79*J79</f>
        <v/>
      </c>
      <c r="L79" s="11">
        <f>ROUND(J79*E79*0.1425%,0)</f>
        <v/>
      </c>
      <c r="M79" s="11">
        <f>ROUND(J79*E79*0.3%,0)</f>
        <v/>
      </c>
      <c r="N79" s="11" t="n">
        <v>0</v>
      </c>
      <c r="O79" s="434">
        <f>IF(I79="",E79*Y79,0)</f>
        <v/>
      </c>
      <c r="P79" s="435">
        <f>IF(I79="",R79-H79,(K79-H79-SUM(L79:N79)+R79-S79-T79)-G79)+(ROUND(R79*V79,0)-ROUND(R79*(1+V79),0)*W79)</f>
        <v/>
      </c>
      <c r="Q79" s="435">
        <f>IF(I79="",(O79-G79-(O79*0.1425%*0.65)-(O79*0.3%)-S79-T79),0)</f>
        <v/>
      </c>
      <c r="R79" s="435" t="n"/>
      <c r="S79" s="435" t="n">
        <v>0</v>
      </c>
      <c r="T79" s="435">
        <f>IF(ROUND(R79*(1+V79),0)&gt;20000,ROUND(ROUND(R79*(1+V79),0)*2%,0),0)</f>
        <v/>
      </c>
      <c r="U79" s="69" t="n"/>
      <c r="V79" s="69" t="n"/>
      <c r="W79" s="70" t="n"/>
      <c r="X79" s="436">
        <f>(P79+Q79)/G79</f>
        <v/>
      </c>
      <c r="Y79" s="16">
        <f>VLOOKUP(C79,台股行情!A:D,4,FALSE)</f>
        <v/>
      </c>
      <c r="Z79" s="437">
        <f>VLOOKUP(C79,台股行情!A:E,5,FALSE)</f>
        <v/>
      </c>
      <c r="AA79" s="438">
        <f>IF(I79="",((TODAY()-A79)*G79)/365.24,((I79-A79)*G79)/365.24)</f>
        <v/>
      </c>
      <c r="AB79" s="103" t="inlineStr">
        <is>
          <t>台股 ETF</t>
        </is>
      </c>
      <c r="AC79" s="103" t="inlineStr">
        <is>
          <t>老爸幫你儲備未來</t>
        </is>
      </c>
      <c r="AD79" s="209" t="n"/>
    </row>
    <row r="80">
      <c r="A80" s="99" t="n"/>
      <c r="B80" s="11" t="n"/>
      <c r="C80" s="181" t="n"/>
      <c r="D80" s="189" t="n"/>
      <c r="E80" s="11" t="n"/>
      <c r="F80" s="11" t="n"/>
      <c r="G80" s="11" t="n"/>
      <c r="H80" s="11" t="n"/>
      <c r="I80" s="104" t="n"/>
      <c r="J80" s="16" t="n"/>
      <c r="K80" s="11" t="n"/>
      <c r="L80" s="11" t="n"/>
      <c r="M80" s="11" t="n"/>
      <c r="N80" s="11" t="n"/>
      <c r="O80" s="434" t="n"/>
      <c r="P80" s="435" t="n"/>
      <c r="Q80" s="435" t="n"/>
      <c r="R80" s="435" t="n"/>
      <c r="S80" s="435" t="n"/>
      <c r="T80" s="435" t="n"/>
      <c r="U80" s="69" t="n"/>
      <c r="V80" s="69" t="n"/>
      <c r="W80" s="70" t="n"/>
      <c r="X80" s="436" t="n"/>
      <c r="Y80" s="16" t="n"/>
      <c r="Z80" s="437" t="n"/>
      <c r="AA80" s="438" t="n"/>
      <c r="AB80" s="103" t="n"/>
      <c r="AC80" s="103" t="n"/>
      <c r="AD80" s="209" t="n"/>
    </row>
    <row r="81" ht="17.25" customHeight="1" thickBot="1">
      <c r="A81" s="48" t="n"/>
      <c r="B81" s="49" t="n"/>
      <c r="C81" s="49" t="n"/>
      <c r="D81" s="193" t="n"/>
      <c r="E81" s="49" t="n"/>
      <c r="F81" s="49" t="n"/>
      <c r="G81" s="49" t="n"/>
      <c r="H81" s="49" t="n"/>
      <c r="I81" s="50" t="n"/>
      <c r="J81" s="51" t="n"/>
      <c r="K81" s="49" t="n"/>
      <c r="L81" s="447" t="n"/>
      <c r="M81" s="49" t="n"/>
      <c r="N81" s="49" t="n"/>
      <c r="O81" s="448" t="n"/>
      <c r="P81" s="449" t="n"/>
      <c r="Q81" s="449" t="n"/>
      <c r="R81" s="449" t="n"/>
      <c r="S81" s="449" t="n"/>
      <c r="T81" s="450" t="n"/>
      <c r="U81" s="449" t="n"/>
      <c r="V81" s="449" t="n"/>
      <c r="W81" s="78" t="n"/>
      <c r="X81" s="451" t="n"/>
      <c r="Y81" s="51" t="n"/>
      <c r="Z81" s="56" t="n"/>
      <c r="AA81" s="438" t="n"/>
    </row>
    <row r="82" ht="17.25" customHeight="1" thickBot="1">
      <c r="A82" s="179" t="n"/>
      <c r="B82" s="456" t="n"/>
      <c r="C82" s="456" t="n"/>
      <c r="D82" s="238" t="inlineStr">
        <is>
          <t>持股小計</t>
        </is>
      </c>
      <c r="E82" s="457" t="n"/>
      <c r="F82" s="458" t="n"/>
      <c r="G82" s="62">
        <f>SUM(G55:G81)</f>
        <v/>
      </c>
      <c r="H82" s="62">
        <f>SUM(H55:H81)</f>
        <v/>
      </c>
      <c r="I82" s="414" t="n"/>
      <c r="J82" s="414" t="n"/>
      <c r="K82" s="62" t="n"/>
      <c r="L82" s="459" t="n"/>
      <c r="M82" s="459" t="n"/>
      <c r="N82" s="460" t="n"/>
      <c r="O82" s="62">
        <f>SUM(O55:O81)</f>
        <v/>
      </c>
      <c r="P82" s="62">
        <f>SUM(P55:P81)</f>
        <v/>
      </c>
      <c r="Q82" s="62">
        <f>SUM(Q55:Q81)</f>
        <v/>
      </c>
      <c r="R82" s="62">
        <f>SUM(R55:R81)</f>
        <v/>
      </c>
      <c r="S82" s="407" t="n"/>
      <c r="T82" s="407" t="n"/>
      <c r="U82" s="407" t="n"/>
      <c r="V82" s="407" t="n"/>
      <c r="W82" s="407" t="n"/>
      <c r="X82" s="462">
        <f>(P82+Q82)/G82</f>
        <v/>
      </c>
      <c r="Y82" s="390" t="inlineStr">
        <is>
          <t>年化報酬率</t>
        </is>
      </c>
      <c r="Z82" s="463">
        <f>IF(AA82=0,0,(P82+Q82)/(AA82))</f>
        <v/>
      </c>
      <c r="AA82" s="438">
        <f>SUM(AA55:AA81)</f>
        <v/>
      </c>
    </row>
    <row r="83" outlineLevel="1" ht="17.25" customFormat="1" customHeight="1" s="36" thickBot="1">
      <c r="A83" s="464" t="n"/>
      <c r="D83" s="501" t="n">
        <v>2021</v>
      </c>
      <c r="E83" s="464" t="n"/>
      <c r="F83" s="465" t="n"/>
      <c r="G83" s="63">
        <f>SUM(G24,G3)</f>
        <v/>
      </c>
      <c r="H83" s="63">
        <f>SUM(H24,H3)</f>
        <v/>
      </c>
      <c r="I83" s="466" t="n"/>
      <c r="J83" s="466" t="n"/>
      <c r="K83" s="63">
        <f>SUM(K24,K3)</f>
        <v/>
      </c>
      <c r="L83" s="63">
        <f>SUM(L24,L3)</f>
        <v/>
      </c>
      <c r="M83" s="63">
        <f>SUM(M24,M3)</f>
        <v/>
      </c>
      <c r="N83" s="63">
        <f>SUM(N24,N3)</f>
        <v/>
      </c>
      <c r="O83" s="63">
        <f>SUM(O24,O3)</f>
        <v/>
      </c>
      <c r="P83" s="63">
        <f>SUM(P24,P3)</f>
        <v/>
      </c>
      <c r="Q83" s="63">
        <f>SUM(Q24,Q3)</f>
        <v/>
      </c>
      <c r="R83" s="63">
        <f>SUM(R24,R3)</f>
        <v/>
      </c>
      <c r="S83" s="72" t="n"/>
      <c r="T83" s="72" t="n"/>
      <c r="U83" s="72" t="n"/>
      <c r="V83" s="72" t="n"/>
      <c r="W83" s="72" t="n"/>
      <c r="X83" s="462">
        <f>(P83+Q83)/G83</f>
        <v/>
      </c>
      <c r="Y83" s="467" t="n"/>
      <c r="Z83" s="463">
        <f>IF(AA83=0,0,(P83+Q83)/(AA83))</f>
        <v/>
      </c>
      <c r="AA83" s="438">
        <f>SUM(AA1,AA3:AA5,AA24:AA25)</f>
        <v/>
      </c>
      <c r="AB83" s="87" t="n"/>
      <c r="AC83" s="88" t="n"/>
    </row>
    <row r="84" outlineLevel="1" ht="17.25" customFormat="1" customHeight="1" s="36" thickBot="1">
      <c r="A84" s="464" t="n"/>
      <c r="D84" s="501" t="n">
        <v>2023</v>
      </c>
      <c r="E84" s="464" t="n"/>
      <c r="F84" s="465" t="n"/>
      <c r="G84" s="63">
        <f>SUM(G2,G4:G6,G25:G56)</f>
        <v/>
      </c>
      <c r="H84" s="63">
        <f>SUM(H2,H4:H6,H25:H56)</f>
        <v/>
      </c>
      <c r="I84" s="466" t="n"/>
      <c r="J84" s="466" t="n"/>
      <c r="K84" s="63">
        <f>SUM(K2,K4:K6,K25:K56)</f>
        <v/>
      </c>
      <c r="L84" s="63">
        <f>SUM(L2,L4:L6,L25:L56)</f>
        <v/>
      </c>
      <c r="M84" s="63">
        <f>SUM(M2,M4:M6,M25:M56)</f>
        <v/>
      </c>
      <c r="N84" s="63">
        <f>SUM(N2,N4:N6,N25:N56)</f>
        <v/>
      </c>
      <c r="O84" s="63">
        <f>SUM(O2,O4:O6,O25:O56)</f>
        <v/>
      </c>
      <c r="P84" s="63">
        <f>SUM(P2,P4:P6,P25:P56)</f>
        <v/>
      </c>
      <c r="Q84" s="63">
        <f>SUM(Q2,Q4:Q6,Q25:Q56)</f>
        <v/>
      </c>
      <c r="R84" s="63">
        <f>SUM(R2,R4:R6,R25:R56)</f>
        <v/>
      </c>
      <c r="S84" s="72" t="n"/>
      <c r="T84" s="72" t="n"/>
      <c r="U84" s="72" t="n"/>
      <c r="V84" s="72" t="n"/>
      <c r="W84" s="72" t="n"/>
      <c r="X84" s="462">
        <f>(P84+Q84)/G84</f>
        <v/>
      </c>
      <c r="Y84" s="467" t="n"/>
      <c r="Z84" s="463">
        <f>IF(AA84=0,0,(P84+Q84)/(AA84))</f>
        <v/>
      </c>
      <c r="AA84" s="438">
        <f>SUM(AA2,AA4:AA6,AA25:AA56)</f>
        <v/>
      </c>
      <c r="AB84" s="87" t="n"/>
      <c r="AC84" s="88" t="n"/>
    </row>
    <row r="85" outlineLevel="1" ht="17.25" customFormat="1" customHeight="1" s="36" thickBot="1">
      <c r="A85" s="464" t="n"/>
      <c r="D85" s="501" t="n">
        <v>2024</v>
      </c>
      <c r="E85" s="464" t="n"/>
      <c r="F85" s="465" t="n"/>
      <c r="G85" s="63">
        <f>SUM(G7:G8,G48:G57)</f>
        <v/>
      </c>
      <c r="H85" s="63">
        <f>SUM(H7:H8,H48:H57)</f>
        <v/>
      </c>
      <c r="I85" s="466" t="n"/>
      <c r="J85" s="466" t="n"/>
      <c r="K85" s="63">
        <f>SUM(K7:K8,K48:K57)</f>
        <v/>
      </c>
      <c r="L85" s="63">
        <f>SUM(L7:L8,L48:L57)</f>
        <v/>
      </c>
      <c r="M85" s="63">
        <f>SUM(M7:M8,M48:M57)</f>
        <v/>
      </c>
      <c r="N85" s="63">
        <f>SUM(N7:N8,N48:N57)</f>
        <v/>
      </c>
      <c r="O85" s="63">
        <f>SUM(O7:O8,O48:O57)</f>
        <v/>
      </c>
      <c r="P85" s="63">
        <f>SUM(P7:P8,P48:P57)</f>
        <v/>
      </c>
      <c r="Q85" s="63">
        <f>SUM(Q7:Q8,Q48:Q57)</f>
        <v/>
      </c>
      <c r="R85" s="63">
        <f>SUM(R7:R8,R48:R57)</f>
        <v/>
      </c>
      <c r="S85" s="72" t="n"/>
      <c r="T85" s="72" t="n"/>
      <c r="U85" s="72" t="n"/>
      <c r="V85" s="72" t="n"/>
      <c r="W85" s="72" t="n"/>
      <c r="X85" s="462">
        <f>(P85+Q85)/G85</f>
        <v/>
      </c>
      <c r="Y85" s="467" t="n"/>
      <c r="Z85" s="463">
        <f>IF(AA85=0,0,(P85+Q85)/(AA85))</f>
        <v/>
      </c>
      <c r="AA85" s="438">
        <f>SUM(AA7:AA8,AA48:AA57)</f>
        <v/>
      </c>
      <c r="AB85" s="87" t="n"/>
      <c r="AC85" s="88" t="n"/>
    </row>
    <row r="86" outlineLevel="1" ht="17.25" customFormat="1" customHeight="1" s="36" thickBot="1">
      <c r="A86" s="464" t="n"/>
      <c r="D86" s="501" t="n">
        <v>2025</v>
      </c>
      <c r="E86" s="464" t="n"/>
      <c r="F86" s="465" t="n"/>
      <c r="G86" s="63">
        <f>SUM(G50:G66,G9:G23)</f>
        <v/>
      </c>
      <c r="H86" s="63">
        <f>SUM(H50:H66,H9:H23)</f>
        <v/>
      </c>
      <c r="I86" s="466" t="n"/>
      <c r="J86" s="466" t="n"/>
      <c r="K86" s="63">
        <f>SUM(K50:K66,K9:K23)</f>
        <v/>
      </c>
      <c r="L86" s="63">
        <f>SUM(L50:L66,L9:L23)</f>
        <v/>
      </c>
      <c r="M86" s="63">
        <f>SUM(M50:M66,M9:M23)</f>
        <v/>
      </c>
      <c r="N86" s="63">
        <f>SUM(N50:N66,N9:N23)</f>
        <v/>
      </c>
      <c r="O86" s="63">
        <f>SUM(O50:O66,O9:O23)</f>
        <v/>
      </c>
      <c r="P86" s="63">
        <f>SUM(P50:P66,P9:P23)</f>
        <v/>
      </c>
      <c r="Q86" s="63">
        <f>SUM(Q50:Q66,Q9:Q23)</f>
        <v/>
      </c>
      <c r="R86" s="63">
        <f>SUM(R50:R66,R9:R23)</f>
        <v/>
      </c>
      <c r="S86" s="72" t="n"/>
      <c r="T86" s="72" t="n"/>
      <c r="U86" s="72" t="n"/>
      <c r="V86" s="72" t="n"/>
      <c r="W86" s="72" t="n"/>
      <c r="X86" s="462">
        <f>(P86+Q86)/G86</f>
        <v/>
      </c>
      <c r="Y86" s="467" t="n"/>
      <c r="Z86" s="463">
        <f>IF(AA86=0,0,(P86+Q86)/(AA86))</f>
        <v/>
      </c>
      <c r="AA86" s="438">
        <f>SUM(AA9:AA65)</f>
        <v/>
      </c>
      <c r="AB86" s="87" t="n"/>
      <c r="AC86" s="88" t="n"/>
    </row>
    <row r="87" outlineLevel="1" ht="17.25" customFormat="1" customHeight="1" s="36" thickBot="1">
      <c r="A87" s="464" t="n"/>
      <c r="D87" s="501" t="n">
        <v>2026</v>
      </c>
      <c r="E87" s="464" t="n"/>
      <c r="F87" s="465" t="n"/>
      <c r="G87" s="63">
        <f>SUM(G66:G81)</f>
        <v/>
      </c>
      <c r="H87" s="63">
        <f>SUM(H66:H81)</f>
        <v/>
      </c>
      <c r="I87" s="466" t="n"/>
      <c r="J87" s="466" t="n"/>
      <c r="K87" s="63">
        <f>SUM(K66:K81)</f>
        <v/>
      </c>
      <c r="L87" s="63">
        <f>SUM(L66:L81)</f>
        <v/>
      </c>
      <c r="M87" s="63">
        <f>SUM(M66:M81)</f>
        <v/>
      </c>
      <c r="N87" s="63">
        <f>SUM(N66:N81)</f>
        <v/>
      </c>
      <c r="O87" s="63">
        <f>SUM(O66:O81)</f>
        <v/>
      </c>
      <c r="P87" s="63">
        <f>SUM(P66:P81)</f>
        <v/>
      </c>
      <c r="Q87" s="63">
        <f>SUM(Q66:Q81)</f>
        <v/>
      </c>
      <c r="R87" s="63">
        <f>SUM(R66:R81)</f>
        <v/>
      </c>
      <c r="S87" s="72" t="n"/>
      <c r="T87" s="72" t="n"/>
      <c r="U87" s="72" t="n"/>
      <c r="V87" s="72" t="n"/>
      <c r="W87" s="72" t="n"/>
      <c r="X87" s="462">
        <f>(P87+Q87)/G87</f>
        <v/>
      </c>
      <c r="Y87" s="467" t="n"/>
      <c r="Z87" s="463">
        <f>IF(AA87=0,0,(P87+Q87)/(AA87))</f>
        <v/>
      </c>
      <c r="AA87" s="438">
        <f>SUM(AA22:AA81)</f>
        <v/>
      </c>
      <c r="AB87" s="87" t="n"/>
      <c r="AC87" s="88" t="n"/>
    </row>
    <row r="88" ht="17.25" customFormat="1" customHeight="1" s="36" thickBot="1">
      <c r="A88" s="468" t="n"/>
      <c r="B88" s="469" t="n"/>
      <c r="C88" s="469" t="n"/>
      <c r="D88" s="238" t="inlineStr">
        <is>
          <t>總計</t>
        </is>
      </c>
      <c r="E88" s="468" t="n"/>
      <c r="F88" s="470" t="n"/>
      <c r="G88" s="63">
        <f>SUM(G2:G81)</f>
        <v/>
      </c>
      <c r="H88" s="63">
        <f>SUM(H2:H81)</f>
        <v/>
      </c>
      <c r="I88" s="471" t="n"/>
      <c r="J88" s="471" t="n"/>
      <c r="K88" s="63">
        <f>SUM(K2:K81)</f>
        <v/>
      </c>
      <c r="L88" s="63">
        <f>SUM(L2:L81)</f>
        <v/>
      </c>
      <c r="M88" s="63">
        <f>SUM(M2:M81)</f>
        <v/>
      </c>
      <c r="N88" s="63">
        <f>SUM(N2:N81)</f>
        <v/>
      </c>
      <c r="O88" s="63">
        <f>SUM(O2:O81)</f>
        <v/>
      </c>
      <c r="P88" s="63">
        <f>SUM(P2:P81)</f>
        <v/>
      </c>
      <c r="Q88" s="63">
        <f>SUM(Q2:Q81)</f>
        <v/>
      </c>
      <c r="R88" s="63">
        <f>SUM(R2:R81)</f>
        <v/>
      </c>
      <c r="S88" s="72" t="n"/>
      <c r="T88" s="72" t="n"/>
      <c r="U88" s="72" t="n"/>
      <c r="V88" s="72" t="n"/>
      <c r="W88" s="72" t="n"/>
      <c r="X88" s="462">
        <f>(P88+Q88)/G88</f>
        <v/>
      </c>
      <c r="Y88" s="473" t="n"/>
      <c r="Z88" s="463">
        <f>IF(AA88=0,0,(P88+Q88)/(AA88))</f>
        <v/>
      </c>
      <c r="AA88" s="438">
        <f>SUM(AA2:AA81)</f>
        <v/>
      </c>
      <c r="AB88" s="87" t="n"/>
      <c r="AC88" s="87" t="n"/>
    </row>
    <row r="89">
      <c r="B89" s="37" t="n"/>
      <c r="C89" s="37" t="n"/>
      <c r="D89" s="28" t="n"/>
    </row>
    <row r="90">
      <c r="A90" s="18">
        <f>MIN(A102:A102)</f>
        <v/>
      </c>
      <c r="B90" s="19" t="n"/>
      <c r="C90" s="20" t="n"/>
      <c r="D90" s="19" t="n"/>
      <c r="E90" s="19" t="n"/>
      <c r="F90" s="19" t="n"/>
      <c r="G90" s="19" t="n"/>
      <c r="H90" s="19" t="n"/>
      <c r="I90" s="21" t="n"/>
      <c r="J90" s="22" t="n"/>
      <c r="K90" s="19" t="n"/>
      <c r="L90" s="443" t="n"/>
      <c r="M90" s="19" t="n"/>
      <c r="N90" s="19" t="n"/>
      <c r="O90" s="444" t="n"/>
      <c r="P90" s="445" t="n"/>
      <c r="Q90" s="445" t="n"/>
      <c r="R90" s="445" t="n"/>
      <c r="S90" s="445" t="n"/>
      <c r="T90" s="445" t="n"/>
      <c r="U90" s="445" t="n"/>
      <c r="V90" s="74" t="n"/>
      <c r="W90" s="77" t="n"/>
      <c r="X90" s="446" t="n"/>
      <c r="Y90" s="22" t="n"/>
      <c r="Z90" s="27" t="n"/>
      <c r="AA90" s="28" t="n"/>
      <c r="AB90" s="9" t="n"/>
      <c r="AC90" s="9" t="n"/>
    </row>
    <row r="91">
      <c r="A91" s="224" t="n">
        <v>45743</v>
      </c>
      <c r="B91" s="11" t="inlineStr">
        <is>
          <t>普通買進</t>
        </is>
      </c>
      <c r="C91" s="300" t="inlineStr">
        <is>
          <t>TSLA</t>
        </is>
      </c>
      <c r="D91" s="189">
        <f>VLOOKUP(C91,美股行情!A:C,2,FALSE)</f>
        <v/>
      </c>
      <c r="E91" s="11" t="n">
        <v>5</v>
      </c>
      <c r="F91" s="11" t="n">
        <v>272</v>
      </c>
      <c r="G91" s="11">
        <f>E91*F91</f>
        <v/>
      </c>
      <c r="H91" s="11">
        <f>G91*0.25%</f>
        <v/>
      </c>
      <c r="I91" s="104" t="n">
        <v>45898</v>
      </c>
      <c r="J91" s="16" t="n">
        <v>339.38</v>
      </c>
      <c r="K91" s="11">
        <f>E91*J91</f>
        <v/>
      </c>
      <c r="L91" s="17" t="n"/>
      <c r="M91" s="11" t="n"/>
      <c r="N91" s="11" t="n">
        <v>0</v>
      </c>
      <c r="O91" s="434">
        <f>IF(I91="",E91*Y91,0)</f>
        <v/>
      </c>
      <c r="P91" s="435">
        <f>IF(I91="",R91-H91,(K91-H91-SUM(L91:N91)+R91-S91-T91)-G91)+(ROUND(R91*V91,0)-ROUND(R91*(1+V91),0)*W91)</f>
        <v/>
      </c>
      <c r="Q91" s="435">
        <f>IF(I91="",(O91-G91-(O91*0.1425%*0.65)-(O91*0.3%)-S91-T91),0)</f>
        <v/>
      </c>
      <c r="R91" s="502" t="n"/>
      <c r="S91" s="435" t="n">
        <v>0</v>
      </c>
      <c r="T91" s="435">
        <f>IF(ROUND(R91*(1+V91),0)&gt;20000,ROUND(ROUND(R91*(1+V91),0)*2%,0),0)</f>
        <v/>
      </c>
      <c r="U91" s="69" t="n"/>
      <c r="V91" s="69" t="n"/>
      <c r="W91" s="70" t="n"/>
      <c r="X91" s="436">
        <f>(P91+Q91)/G91</f>
        <v/>
      </c>
      <c r="Y91" s="16">
        <f>VLOOKUP(C91,美股行情!A:C,3,FALSE)</f>
        <v/>
      </c>
      <c r="Z91" s="437">
        <f>VLOOKUP(C91,美股行情!A:G,7,FALSE)</f>
        <v/>
      </c>
      <c r="AA91" s="438">
        <f>IF(I91="",((TODAY()-A91)*G91)/365.24,((I91-A91)*G91)/365.24)</f>
        <v/>
      </c>
      <c r="AB91" s="276" t="inlineStr">
        <is>
          <t>美股</t>
        </is>
      </c>
      <c r="AC91" s="9" t="n"/>
    </row>
    <row r="92" outlineLevel="1">
      <c r="A92" s="224" t="n">
        <v>45931</v>
      </c>
      <c r="B92" s="11" t="inlineStr">
        <is>
          <t>普通買進</t>
        </is>
      </c>
      <c r="C92" s="316" t="inlineStr">
        <is>
          <t>LLY</t>
        </is>
      </c>
      <c r="D92" s="189">
        <f>VLOOKUP(C92,美股行情!A:C,2,FALSE)</f>
        <v/>
      </c>
      <c r="E92" s="11" t="n">
        <v>1</v>
      </c>
      <c r="F92" s="11" t="n">
        <v>815.85</v>
      </c>
      <c r="G92" s="11">
        <f>E92*F92</f>
        <v/>
      </c>
      <c r="H92" s="11" t="n">
        <v>2.04</v>
      </c>
      <c r="I92" s="104" t="n">
        <v>46087</v>
      </c>
      <c r="J92" s="16" t="n">
        <v>971</v>
      </c>
      <c r="K92" s="11">
        <f>E92*J92</f>
        <v/>
      </c>
      <c r="L92" s="17" t="n">
        <v>2.43</v>
      </c>
      <c r="M92" s="11" t="n"/>
      <c r="N92" s="11" t="n">
        <v>0</v>
      </c>
      <c r="O92" s="434">
        <f>IF(I92="",E92*Y92,0)</f>
        <v/>
      </c>
      <c r="P92" s="435">
        <f>IF(I92="",R92-H92,(K92-H92-SUM(L92:N92)+R92-S92-T92)-G92)+(ROUND(R92*V92,0)-ROUND(R92*(1+V92),0)*W92)</f>
        <v/>
      </c>
      <c r="Q92" s="435">
        <f>IF(I92="",(O92-G92-(O92*0.1425%*0.65)-(O92*0.3%)-S92-T92),0)</f>
        <v/>
      </c>
      <c r="R92" s="502" t="n"/>
      <c r="S92" s="435" t="n">
        <v>0</v>
      </c>
      <c r="T92" s="435">
        <f>IF(ROUND(R92*(1+V92),0)&gt;20000,ROUND(ROUND(R92*(1+V92),0)*2%,0),0)</f>
        <v/>
      </c>
      <c r="U92" s="69" t="n"/>
      <c r="V92" s="69" t="n"/>
      <c r="W92" s="70" t="n"/>
      <c r="X92" s="436">
        <f>(P92+Q92)/G92</f>
        <v/>
      </c>
      <c r="Y92" s="16">
        <f>VLOOKUP(C92,美股行情!A:C,3,FALSE)</f>
        <v/>
      </c>
      <c r="Z92" s="437">
        <f>VLOOKUP(C92,美股行情!A:G,7,FALSE)</f>
        <v/>
      </c>
      <c r="AA92" s="438">
        <f>IF(I92="",((TODAY()-A92)*G92)/365.24,((I92-A92)*G92)/365.24)</f>
        <v/>
      </c>
      <c r="AB92" s="276" t="inlineStr">
        <is>
          <t>美股</t>
        </is>
      </c>
      <c r="AC92" s="9" t="n"/>
    </row>
    <row r="93" outlineLevel="1">
      <c r="A93" s="224" t="n">
        <v>46048</v>
      </c>
      <c r="B93" s="11" t="inlineStr">
        <is>
          <t>普通買進</t>
        </is>
      </c>
      <c r="C93" s="340" t="inlineStr">
        <is>
          <t>IOT</t>
        </is>
      </c>
      <c r="D93" s="189">
        <f>VLOOKUP(C93,美股行情!A:C,2,FALSE)</f>
        <v/>
      </c>
      <c r="E93" s="11" t="n">
        <v>10</v>
      </c>
      <c r="F93" s="11" t="n">
        <v>32.1</v>
      </c>
      <c r="G93" s="11">
        <f>E93*F93</f>
        <v/>
      </c>
      <c r="H93" s="11" t="n">
        <v>2.04</v>
      </c>
      <c r="I93" s="104" t="n">
        <v>46087</v>
      </c>
      <c r="J93" s="16" t="n">
        <v>33.955</v>
      </c>
      <c r="K93" s="11">
        <f>E93*J93</f>
        <v/>
      </c>
      <c r="L93" s="17" t="n">
        <v>0.85</v>
      </c>
      <c r="M93" s="11" t="n"/>
      <c r="N93" s="11" t="n">
        <v>0</v>
      </c>
      <c r="O93" s="434">
        <f>IF(I93="",E93*Y93,0)</f>
        <v/>
      </c>
      <c r="P93" s="435">
        <f>IF(I93="",R93-H93,(K93-H93-SUM(L93:N93)+R93-S93-T93)-G93)+(ROUND(R93*V93,0)-ROUND(R93*(1+V93),0)*W93)</f>
        <v/>
      </c>
      <c r="Q93" s="435">
        <f>IF(I93="",(O93-G93-(O93*0.1425%*0.65)-(O93*0.3%)-S93-T93),0)</f>
        <v/>
      </c>
      <c r="R93" s="502" t="n"/>
      <c r="S93" s="435" t="n">
        <v>0</v>
      </c>
      <c r="T93" s="435">
        <f>IF(ROUND(R93*(1+V93),0)&gt;20000,ROUND(ROUND(R93*(1+V93),0)*2%,0),0)</f>
        <v/>
      </c>
      <c r="U93" s="69" t="n"/>
      <c r="V93" s="69" t="n"/>
      <c r="W93" s="70" t="n"/>
      <c r="X93" s="436">
        <f>(P93+Q93)/G93</f>
        <v/>
      </c>
      <c r="Y93" s="16">
        <f>VLOOKUP(C93,美股行情!A:C,3,FALSE)</f>
        <v/>
      </c>
      <c r="Z93" s="437">
        <f>VLOOKUP(C93,美股行情!A:G,7,FALSE)</f>
        <v/>
      </c>
      <c r="AA93" s="438">
        <f>IF(I93="",((TODAY()-A93)*G93)/365.24,((I93-A93)*G93)/365.24)</f>
        <v/>
      </c>
      <c r="AB93" s="276" t="inlineStr">
        <is>
          <t>美股</t>
        </is>
      </c>
      <c r="AC93" s="9" t="n"/>
    </row>
    <row r="94">
      <c r="A94" s="224" t="n">
        <v>45436</v>
      </c>
      <c r="B94" s="11" t="inlineStr">
        <is>
          <t>普通買進</t>
        </is>
      </c>
      <c r="C94" s="225" t="inlineStr">
        <is>
          <t>NVDA</t>
        </is>
      </c>
      <c r="D94" s="189">
        <f>VLOOKUP(C94,美股行情!A:C,2,FALSE)</f>
        <v/>
      </c>
      <c r="E94" s="11" t="n">
        <v>10</v>
      </c>
      <c r="F94" s="11" t="n">
        <v>103.8</v>
      </c>
      <c r="G94" s="11">
        <f>E94*F94</f>
        <v/>
      </c>
      <c r="H94" s="11">
        <f>G94*0.25%</f>
        <v/>
      </c>
      <c r="I94" s="104" t="n"/>
      <c r="J94" s="16" t="n"/>
      <c r="K94" s="11">
        <f>E94*J94</f>
        <v/>
      </c>
      <c r="L94" s="17" t="n"/>
      <c r="M94" s="11" t="n"/>
      <c r="N94" s="11" t="n">
        <v>0</v>
      </c>
      <c r="O94" s="434">
        <f>IF(I94="",E94*Y94,0)</f>
        <v/>
      </c>
      <c r="P94" s="435">
        <f>IF(I94="",R94-H94,(K94-H94-SUM(L94:N94)+R94-S94-T94)-G94)+(ROUND(R94*V94,0)-ROUND(R94*(1+V94),0)*W94)</f>
        <v/>
      </c>
      <c r="Q94" s="435">
        <f>IF(I94="",(O94-G94-(O94*0.1425%*0.65)-(O94*0.3%)-S94-T94),0)</f>
        <v/>
      </c>
      <c r="R94" s="502">
        <f>0.35+0.35</f>
        <v/>
      </c>
      <c r="S94" s="435" t="n">
        <v>0</v>
      </c>
      <c r="T94" s="435">
        <f>IF(ROUND(R94*(1+V94),0)&gt;20000,ROUND(ROUND(R94*(1+V94),0)*2%,0),0)</f>
        <v/>
      </c>
      <c r="U94" s="69" t="n"/>
      <c r="V94" s="69" t="n"/>
      <c r="W94" s="70" t="n"/>
      <c r="X94" s="436">
        <f>(P94+Q94)/G94</f>
        <v/>
      </c>
      <c r="Y94" s="16">
        <f>VLOOKUP(C94,美股行情!A:C,3,FALSE)</f>
        <v/>
      </c>
      <c r="Z94" s="437">
        <f>VLOOKUP(C94,美股行情!A:G,7,FALSE)</f>
        <v/>
      </c>
      <c r="AA94" s="438">
        <f>IF(I94="",((TODAY()-A94)*G94)/365.24,((I94-A94)*G94)/365.24)</f>
        <v/>
      </c>
      <c r="AB94" s="276" t="inlineStr">
        <is>
          <t>美股</t>
        </is>
      </c>
      <c r="AC94" s="9" t="n"/>
    </row>
    <row r="95" outlineLevel="1">
      <c r="A95" s="224" t="n">
        <v>45441</v>
      </c>
      <c r="B95" s="11" t="inlineStr">
        <is>
          <t>普通買進</t>
        </is>
      </c>
      <c r="C95" s="225" t="inlineStr">
        <is>
          <t>NVDA</t>
        </is>
      </c>
      <c r="D95" s="189">
        <f>VLOOKUP(C95,美股行情!A:C,2,FALSE)</f>
        <v/>
      </c>
      <c r="E95" s="11" t="n">
        <v>40</v>
      </c>
      <c r="F95" s="11" t="n">
        <v>114.3</v>
      </c>
      <c r="G95" s="11">
        <f>E95*F95</f>
        <v/>
      </c>
      <c r="H95" s="11">
        <f>G95*0.25%</f>
        <v/>
      </c>
      <c r="I95" s="104" t="n"/>
      <c r="J95" s="16" t="n"/>
      <c r="K95" s="11">
        <f>E95*J95</f>
        <v/>
      </c>
      <c r="L95" s="17" t="n"/>
      <c r="M95" s="11" t="n"/>
      <c r="N95" s="11" t="n">
        <v>0</v>
      </c>
      <c r="O95" s="434">
        <f>IF(I95="",E95*Y95,0)</f>
        <v/>
      </c>
      <c r="P95" s="435">
        <f>IF(I95="",R95-H95,(K95-H95-SUM(L95:N95)+R95-S95-T95)-G95)+(ROUND(R95*V95,0)-ROUND(R95*(1+V95),0)*W95)</f>
        <v/>
      </c>
      <c r="Q95" s="435">
        <f>IF(I95="",(O95-G95-(O95*0.1425%*0.65)-(O95*0.3%)-S95-T95),0)</f>
        <v/>
      </c>
      <c r="R95" s="502">
        <f>0.35+0.35</f>
        <v/>
      </c>
      <c r="S95" s="435" t="n">
        <v>0</v>
      </c>
      <c r="T95" s="435">
        <f>IF(ROUND(R95*(1+V95),0)&gt;20000,ROUND(ROUND(R95*(1+V95),0)*2%,0),0)</f>
        <v/>
      </c>
      <c r="U95" s="69" t="n"/>
      <c r="V95" s="69" t="n"/>
      <c r="W95" s="70" t="n"/>
      <c r="X95" s="436">
        <f>(P95+Q95)/G95</f>
        <v/>
      </c>
      <c r="Y95" s="16">
        <f>VLOOKUP(C95,美股行情!A:C,3,FALSE)</f>
        <v/>
      </c>
      <c r="Z95" s="437">
        <f>VLOOKUP(C95,美股行情!A:G,7,FALSE)</f>
        <v/>
      </c>
      <c r="AA95" s="438">
        <f>IF(I95="",((TODAY()-A95)*G95)/365.24,((I95-A95)*G95)/365.24)</f>
        <v/>
      </c>
      <c r="AB95" s="276" t="inlineStr">
        <is>
          <t>美股</t>
        </is>
      </c>
      <c r="AC95" s="9" t="n"/>
    </row>
    <row r="96">
      <c r="A96" s="224" t="n">
        <v>46136</v>
      </c>
      <c r="B96" s="11" t="inlineStr">
        <is>
          <t>普通買進</t>
        </is>
      </c>
      <c r="C96" s="358" t="inlineStr">
        <is>
          <t>ASML</t>
        </is>
      </c>
      <c r="D96" s="189">
        <f>VLOOKUP(C96,美股行情!A:C,2,FALSE)</f>
        <v/>
      </c>
      <c r="E96" s="11" t="n">
        <v>0.34717</v>
      </c>
      <c r="F96" s="11" t="n">
        <v>1440.23</v>
      </c>
      <c r="G96" s="11" t="n">
        <v>500</v>
      </c>
      <c r="H96" s="11" t="n">
        <v>0.5</v>
      </c>
      <c r="I96" s="104" t="n"/>
      <c r="J96" s="16" t="n"/>
      <c r="K96" s="11">
        <f>E96*J96</f>
        <v/>
      </c>
      <c r="L96" s="17" t="n"/>
      <c r="M96" s="11" t="n"/>
      <c r="N96" s="11" t="n">
        <v>0</v>
      </c>
      <c r="O96" s="434">
        <f>IF(I96="",E96*Y96,0)</f>
        <v/>
      </c>
      <c r="P96" s="435">
        <f>IF(I96="",R96-H96,(K96-H96-SUM(L96:N96)+R96-S96-T96)-G96)+(ROUND(R96*V96,0)-ROUND(R96*(1+V96),0)*W96)</f>
        <v/>
      </c>
      <c r="Q96" s="435">
        <f>IF(I96="",(O96-G96-(O96*0.1425%*0.65)-(O96*0.3%)-S96-T96),0)</f>
        <v/>
      </c>
      <c r="R96" s="502" t="n">
        <v>0.93</v>
      </c>
      <c r="S96" s="435" t="n">
        <v>0</v>
      </c>
      <c r="T96" s="435">
        <f>IF(ROUND(R96*(1+V96),0)&gt;20000,ROUND(ROUND(R96*(1+V96),0)*2%,0),0)</f>
        <v/>
      </c>
      <c r="U96" s="69" t="n"/>
      <c r="V96" s="69" t="n"/>
      <c r="W96" s="70" t="n"/>
      <c r="X96" s="436">
        <f>(P96+Q96)/G96</f>
        <v/>
      </c>
      <c r="Y96" s="16">
        <f>VLOOKUP(C96,美股行情!A:C,3,FALSE)</f>
        <v/>
      </c>
      <c r="Z96" s="437">
        <f>VLOOKUP(C96,美股行情!A:G,7,FALSE)</f>
        <v/>
      </c>
      <c r="AA96" s="438">
        <f>IF(I96="",((TODAY()-A96)*G96)/365.24,((I96-A96)*G96)/365.24)</f>
        <v/>
      </c>
      <c r="AB96" s="276" t="inlineStr">
        <is>
          <t>美股</t>
        </is>
      </c>
      <c r="AC96" s="9" t="n"/>
    </row>
    <row r="97">
      <c r="A97" s="224" t="n">
        <v>46136</v>
      </c>
      <c r="B97" s="11" t="inlineStr">
        <is>
          <t>普通買進</t>
        </is>
      </c>
      <c r="C97" s="358" t="inlineStr">
        <is>
          <t>MSFT</t>
        </is>
      </c>
      <c r="D97" s="189">
        <f>VLOOKUP(C97,美股行情!A:C,2,FALSE)</f>
        <v/>
      </c>
      <c r="E97" s="11" t="n">
        <v>1.19068</v>
      </c>
      <c r="F97" s="11" t="n">
        <v>419.93</v>
      </c>
      <c r="G97" s="11" t="n">
        <v>500</v>
      </c>
      <c r="H97" s="11" t="n">
        <v>0.5</v>
      </c>
      <c r="I97" s="104" t="n"/>
      <c r="J97" s="16" t="n"/>
      <c r="K97" s="11">
        <f>E97*J97</f>
        <v/>
      </c>
      <c r="L97" s="17" t="n"/>
      <c r="M97" s="11" t="n"/>
      <c r="N97" s="11" t="n">
        <v>0</v>
      </c>
      <c r="O97" s="434">
        <f>IF(I97="",E97*Y97,0)</f>
        <v/>
      </c>
      <c r="P97" s="435">
        <f>IF(I97="",R97-H97,(K97-H97-SUM(L97:N97)+R97-S97-T97)-G97)+(ROUND(R97*V97,0)-ROUND(R97*(1+V97),0)*W97)</f>
        <v/>
      </c>
      <c r="Q97" s="435">
        <f>IF(I97="",(O97-G97-(O97*0.1425%*0.65)-(O97*0.3%)-S97-T97),0)</f>
        <v/>
      </c>
      <c r="R97" s="502" t="n"/>
      <c r="S97" s="435" t="n">
        <v>0</v>
      </c>
      <c r="T97" s="435">
        <f>IF(ROUND(R97*(1+V97),0)&gt;20000,ROUND(ROUND(R97*(1+V97),0)*2%,0),0)</f>
        <v/>
      </c>
      <c r="U97" s="69" t="n"/>
      <c r="V97" s="69" t="n"/>
      <c r="W97" s="70" t="n"/>
      <c r="X97" s="436">
        <f>(P97+Q97)/G97</f>
        <v/>
      </c>
      <c r="Y97" s="16">
        <f>VLOOKUP(C97,美股行情!A:C,3,FALSE)</f>
        <v/>
      </c>
      <c r="Z97" s="437">
        <f>VLOOKUP(C97,美股行情!A:G,7,FALSE)</f>
        <v/>
      </c>
      <c r="AA97" s="438">
        <f>IF(I97="",((TODAY()-A97)*G97)/365.24,((I97-A97)*G97)/365.24)</f>
        <v/>
      </c>
      <c r="AB97" s="276" t="inlineStr">
        <is>
          <t>美股</t>
        </is>
      </c>
      <c r="AC97" s="9" t="n"/>
    </row>
    <row r="98">
      <c r="A98" s="224" t="n">
        <v>46136</v>
      </c>
      <c r="B98" s="11" t="inlineStr">
        <is>
          <t>普通買進</t>
        </is>
      </c>
      <c r="C98" s="358" t="inlineStr">
        <is>
          <t>QQQ</t>
        </is>
      </c>
      <c r="D98" s="189">
        <f>VLOOKUP(C98,美股行情!A:C,2,FALSE)</f>
        <v/>
      </c>
      <c r="E98" s="11" t="n">
        <v>3.51887</v>
      </c>
      <c r="F98" s="11" t="n">
        <v>653.62</v>
      </c>
      <c r="G98" s="11" t="n">
        <v>2300</v>
      </c>
      <c r="H98" s="11" t="n">
        <v>2.3</v>
      </c>
      <c r="I98" s="104" t="n"/>
      <c r="J98" s="16" t="n"/>
      <c r="K98" s="11">
        <f>E98*J98</f>
        <v/>
      </c>
      <c r="L98" s="17" t="n"/>
      <c r="M98" s="11" t="n"/>
      <c r="N98" s="11" t="n">
        <v>0</v>
      </c>
      <c r="O98" s="434">
        <f>IF(I98="",E98*Y98,0)</f>
        <v/>
      </c>
      <c r="P98" s="435">
        <f>IF(I98="",R98-H98,(K98-H98-SUM(L98:N98)+R98-S98-T98)-G98)+(ROUND(R98*V98,0)-ROUND(R98*(1+V98),0)*W98)</f>
        <v/>
      </c>
      <c r="Q98" s="435">
        <f>IF(I98="",(O98-G98-(O98*0.1425%*0.65)-(O98*0.3%)-S98-T98),0)</f>
        <v/>
      </c>
      <c r="R98" s="502" t="n"/>
      <c r="S98" s="435" t="n">
        <v>0</v>
      </c>
      <c r="T98" s="435">
        <f>IF(ROUND(R98*(1+V98),0)&gt;20000,ROUND(ROUND(R98*(1+V98),0)*2%,0),0)</f>
        <v/>
      </c>
      <c r="U98" s="69" t="n"/>
      <c r="V98" s="69" t="n"/>
      <c r="W98" s="70" t="n"/>
      <c r="X98" s="436">
        <f>(P98+Q98)/G98</f>
        <v/>
      </c>
      <c r="Y98" s="16">
        <f>VLOOKUP(C98,美股行情!A:C,3,FALSE)</f>
        <v/>
      </c>
      <c r="Z98" s="437">
        <f>VLOOKUP(C98,美股行情!A:G,7,FALSE)</f>
        <v/>
      </c>
      <c r="AA98" s="438">
        <f>IF(I98="",((TODAY()-A98)*G98)/365.24,((I98-A98)*G98)/365.24)</f>
        <v/>
      </c>
      <c r="AB98" s="276" t="inlineStr">
        <is>
          <t>美股</t>
        </is>
      </c>
      <c r="AC98" s="9" t="n"/>
    </row>
    <row r="99">
      <c r="A99" s="224" t="n">
        <v>46136</v>
      </c>
      <c r="B99" s="11" t="inlineStr">
        <is>
          <t>普通買進</t>
        </is>
      </c>
      <c r="C99" s="358" t="inlineStr">
        <is>
          <t>TSLA</t>
        </is>
      </c>
      <c r="D99" s="189">
        <f>VLOOKUP(C99,美股行情!A:C,2,FALSE)</f>
        <v/>
      </c>
      <c r="E99" s="11" t="n">
        <v>1.12001</v>
      </c>
      <c r="F99" s="11" t="n">
        <v>375</v>
      </c>
      <c r="G99" s="11" t="n">
        <v>420</v>
      </c>
      <c r="H99" s="11" t="n">
        <v>0.42</v>
      </c>
      <c r="I99" s="104" t="n"/>
      <c r="J99" s="16" t="n"/>
      <c r="K99" s="11">
        <f>E99*J99</f>
        <v/>
      </c>
      <c r="L99" s="17" t="n"/>
      <c r="M99" s="11" t="n"/>
      <c r="N99" s="11" t="n">
        <v>0</v>
      </c>
      <c r="O99" s="434">
        <f>IF(I99="",E99*Y99,0)</f>
        <v/>
      </c>
      <c r="P99" s="435">
        <f>IF(I99="",R99-H99,(K99-H99-SUM(L99:N99)+R99-S99-T99)-G99)+(ROUND(R99*V99,0)-ROUND(R99*(1+V99),0)*W99)</f>
        <v/>
      </c>
      <c r="Q99" s="435">
        <f>IF(I99="",(O99-G99-(O99*0.1425%*0.65)-(O99*0.3%)-S99-T99),0)</f>
        <v/>
      </c>
      <c r="R99" s="502" t="n"/>
      <c r="S99" s="435" t="n">
        <v>0</v>
      </c>
      <c r="T99" s="435">
        <f>IF(ROUND(R99*(1+V99),0)&gt;20000,ROUND(ROUND(R99*(1+V99),0)*2%,0),0)</f>
        <v/>
      </c>
      <c r="U99" s="69" t="n"/>
      <c r="V99" s="69" t="n"/>
      <c r="W99" s="70" t="n"/>
      <c r="X99" s="436">
        <f>(P99+Q99)/G99</f>
        <v/>
      </c>
      <c r="Y99" s="16">
        <f>VLOOKUP(C99,美股行情!A:C,3,FALSE)</f>
        <v/>
      </c>
      <c r="Z99" s="437">
        <f>VLOOKUP(C99,美股行情!A:G,7,FALSE)</f>
        <v/>
      </c>
      <c r="AA99" s="438">
        <f>IF(I99="",((TODAY()-A99)*G99)/365.24,((I99-A99)*G99)/365.24)</f>
        <v/>
      </c>
      <c r="AB99" s="276" t="inlineStr">
        <is>
          <t>美股</t>
        </is>
      </c>
      <c r="AC99" s="9" t="n"/>
    </row>
    <row r="100">
      <c r="A100" s="224" t="n">
        <v>46136</v>
      </c>
      <c r="B100" s="11" t="inlineStr">
        <is>
          <t>普通買進</t>
        </is>
      </c>
      <c r="C100" s="358" t="inlineStr">
        <is>
          <t>LLY</t>
        </is>
      </c>
      <c r="D100" s="189">
        <f>VLOOKUP(C100,美股行情!A:C,2,FALSE)</f>
        <v/>
      </c>
      <c r="E100" s="11" t="n">
        <v>0.4852</v>
      </c>
      <c r="F100" s="11" t="n">
        <v>927.45</v>
      </c>
      <c r="G100" s="11" t="n">
        <v>450</v>
      </c>
      <c r="H100" s="11" t="n">
        <v>0.45</v>
      </c>
      <c r="I100" s="104" t="n"/>
      <c r="J100" s="16" t="n"/>
      <c r="K100" s="11">
        <f>E100*J100</f>
        <v/>
      </c>
      <c r="L100" s="17" t="n"/>
      <c r="M100" s="11" t="n"/>
      <c r="N100" s="11" t="n">
        <v>0</v>
      </c>
      <c r="O100" s="434">
        <f>IF(I100="",E100*Y100,0)</f>
        <v/>
      </c>
      <c r="P100" s="435">
        <f>IF(I100="",R100-H100,(K100-H100-SUM(L100:N100)+R100-S100-T100)-G100)+(ROUND(R100*V100,0)-ROUND(R100*(1+V100),0)*W100)</f>
        <v/>
      </c>
      <c r="Q100" s="435">
        <f>IF(I100="",(O100-G100-(O100*0.1425%*0.65)-(O100*0.3%)-S100-T100),0)</f>
        <v/>
      </c>
      <c r="R100" s="502" t="n"/>
      <c r="S100" s="435" t="n">
        <v>0</v>
      </c>
      <c r="T100" s="435">
        <f>IF(ROUND(R100*(1+V100),0)&gt;20000,ROUND(ROUND(R100*(1+V100),0)*2%,0),0)</f>
        <v/>
      </c>
      <c r="U100" s="69" t="n"/>
      <c r="V100" s="69" t="n"/>
      <c r="W100" s="70" t="n"/>
      <c r="X100" s="436">
        <f>(P100+Q100)/G100</f>
        <v/>
      </c>
      <c r="Y100" s="16">
        <f>VLOOKUP(C100,美股行情!A:C,3,FALSE)</f>
        <v/>
      </c>
      <c r="Z100" s="437">
        <f>VLOOKUP(C100,美股行情!A:G,7,FALSE)</f>
        <v/>
      </c>
      <c r="AA100" s="438">
        <f>IF(I100="",((TODAY()-A100)*G100)/365.24,((I100-A100)*G100)/365.24)</f>
        <v/>
      </c>
      <c r="AB100" s="276" t="inlineStr">
        <is>
          <t>美股</t>
        </is>
      </c>
      <c r="AC100" s="9" t="n"/>
    </row>
    <row r="101">
      <c r="A101" s="224" t="n">
        <v>46169</v>
      </c>
      <c r="B101" s="11" t="inlineStr">
        <is>
          <t>普通買進</t>
        </is>
      </c>
      <c r="C101" s="358" t="inlineStr">
        <is>
          <t>QQQ</t>
        </is>
      </c>
      <c r="D101" s="189">
        <f>VLOOKUP(C101,美股行情!A:C,2,FALSE)</f>
        <v/>
      </c>
      <c r="E101" s="11" t="n">
        <v>0.13774</v>
      </c>
      <c r="F101" s="11" t="n">
        <v>726</v>
      </c>
      <c r="G101" s="11" t="n">
        <v>100</v>
      </c>
      <c r="H101" s="11" t="n">
        <v>0.1</v>
      </c>
      <c r="I101" s="104" t="n"/>
      <c r="J101" s="16" t="n"/>
      <c r="K101" s="11">
        <f>E101*J101</f>
        <v/>
      </c>
      <c r="L101" s="17" t="n"/>
      <c r="M101" s="11" t="n"/>
      <c r="N101" s="11" t="n">
        <v>0</v>
      </c>
      <c r="O101" s="434">
        <f>IF(I101="",E101*Y101,0)</f>
        <v/>
      </c>
      <c r="P101" s="435">
        <f>IF(I101="",R101-H101,(K101-H101-SUM(L101:N101)+R101-S101-T101)-G101)+(ROUND(R101*V101,0)-ROUND(R101*(1+V101),0)*W101)</f>
        <v/>
      </c>
      <c r="Q101" s="435">
        <f>IF(I101="",(O101-G101-(O101*0.1425%*0.65)-(O101*0.3%)-S101-T101),0)</f>
        <v/>
      </c>
      <c r="R101" s="502" t="n"/>
      <c r="S101" s="435" t="n">
        <v>0</v>
      </c>
      <c r="T101" s="435">
        <f>IF(ROUND(R101*(1+V101),0)&gt;20000,ROUND(ROUND(R101*(1+V101),0)*2%,0),0)</f>
        <v/>
      </c>
      <c r="U101" s="69" t="n"/>
      <c r="V101" s="69" t="n"/>
      <c r="W101" s="70" t="n"/>
      <c r="X101" s="436">
        <f>(P101+Q101)/G101</f>
        <v/>
      </c>
      <c r="Y101" s="16">
        <f>VLOOKUP(C101,美股行情!A:C,3,FALSE)</f>
        <v/>
      </c>
      <c r="Z101" s="437">
        <f>VLOOKUP(C101,美股行情!A:G,7,FALSE)</f>
        <v/>
      </c>
      <c r="AA101" s="438">
        <f>IF(I101="",((TODAY()-A101)*G101)/365.24,((I101-A101)*G101)/365.24)</f>
        <v/>
      </c>
      <c r="AB101" s="276" t="inlineStr">
        <is>
          <t>美股</t>
        </is>
      </c>
      <c r="AC101" s="9" t="n"/>
    </row>
    <row r="102" ht="17.25" customHeight="1" thickBot="1">
      <c r="A102" s="48" t="n"/>
      <c r="B102" s="49" t="n"/>
      <c r="C102" s="49" t="n"/>
      <c r="D102" s="49" t="n"/>
      <c r="E102" s="49" t="n"/>
      <c r="F102" s="49" t="n"/>
      <c r="G102" s="49" t="n"/>
      <c r="H102" s="49" t="n"/>
      <c r="I102" s="50" t="n"/>
      <c r="J102" s="51" t="n"/>
      <c r="K102" s="49" t="n"/>
      <c r="L102" s="447" t="n"/>
      <c r="M102" s="49" t="n"/>
      <c r="N102" s="49" t="n"/>
      <c r="O102" s="448" t="n"/>
      <c r="P102" s="449" t="n"/>
      <c r="Q102" s="449" t="n"/>
      <c r="R102" s="449" t="n"/>
      <c r="S102" s="449" t="n"/>
      <c r="T102" s="450" t="n"/>
      <c r="U102" s="449" t="n"/>
      <c r="V102" s="449" t="n"/>
      <c r="W102" s="78" t="n"/>
      <c r="X102" s="451" t="n"/>
      <c r="Y102" s="51" t="n"/>
      <c r="Z102" s="56" t="n"/>
      <c r="AA102" s="28" t="n"/>
      <c r="AB102" s="9" t="n"/>
      <c r="AC102" s="9" t="n"/>
    </row>
    <row r="103" ht="17.25" customFormat="1" customHeight="1" s="36" thickBot="1">
      <c r="A103" s="9" t="n"/>
      <c r="B103" s="9" t="n"/>
      <c r="C103" s="9" t="n"/>
      <c r="D103" s="179" t="inlineStr">
        <is>
          <t>外幣總計</t>
        </is>
      </c>
      <c r="E103" s="486" t="n"/>
      <c r="F103" s="460" t="n"/>
      <c r="G103" s="63">
        <f>SUM(G90:G102)</f>
        <v/>
      </c>
      <c r="H103" s="63">
        <f>SUM(H90:H102)</f>
        <v/>
      </c>
      <c r="I103" s="486" t="n"/>
      <c r="J103" s="460" t="n"/>
      <c r="K103" s="63">
        <f>SUM(K90:K102)</f>
        <v/>
      </c>
      <c r="L103" s="63">
        <f>SUM(L90:L102)</f>
        <v/>
      </c>
      <c r="M103" s="63">
        <f>SUM(M90:M102)</f>
        <v/>
      </c>
      <c r="N103" s="63">
        <f>SUM(N90:N102)</f>
        <v/>
      </c>
      <c r="O103" s="63">
        <f>SUM(O90:O102)</f>
        <v/>
      </c>
      <c r="P103" s="472">
        <f>SUM(P90:P102)</f>
        <v/>
      </c>
      <c r="Q103" s="461">
        <f>SUM(Q90:Q102)</f>
        <v/>
      </c>
      <c r="R103" s="63">
        <f>SUM(R90:R102)</f>
        <v/>
      </c>
      <c r="S103" s="72" t="n"/>
      <c r="T103" s="72" t="n"/>
      <c r="U103" s="72" t="n"/>
      <c r="V103" s="72" t="n"/>
      <c r="W103" s="72" t="n"/>
      <c r="X103" s="487">
        <f>(P103+Q103)/G103</f>
        <v/>
      </c>
      <c r="Y103" s="9" t="n"/>
      <c r="Z103" s="9" t="n"/>
      <c r="AA103" s="87" t="n"/>
    </row>
    <row r="104" ht="17.25" customFormat="1" customHeight="1" s="36" thickBot="1">
      <c r="A104" s="9" t="n"/>
      <c r="B104" s="9" t="n"/>
      <c r="C104" s="9" t="n"/>
      <c r="D104" s="179" t="inlineStr">
        <is>
          <t>換算台幣總計</t>
        </is>
      </c>
      <c r="E104" s="486" t="n"/>
      <c r="F104" s="460" t="n"/>
      <c r="G104" s="63">
        <f>G103*匯率!B3</f>
        <v/>
      </c>
      <c r="H104" s="63">
        <f>H103*匯率!B3</f>
        <v/>
      </c>
      <c r="I104" s="486" t="n"/>
      <c r="J104" s="460" t="n"/>
      <c r="K104" s="63">
        <f>SUM(K90:K103)</f>
        <v/>
      </c>
      <c r="L104" s="63">
        <f>SUM(L90:L103)</f>
        <v/>
      </c>
      <c r="M104" s="63">
        <f>SUM(M90:M103)</f>
        <v/>
      </c>
      <c r="N104" s="63">
        <f>SUM(N90:N103)</f>
        <v/>
      </c>
      <c r="O104" s="63">
        <f>O103*匯率!B3</f>
        <v/>
      </c>
      <c r="P104" s="472">
        <f>P103*匯率!B3</f>
        <v/>
      </c>
      <c r="Q104" s="63">
        <f>Q103*匯率!B3</f>
        <v/>
      </c>
      <c r="R104" s="63">
        <f>R103*匯率!B3</f>
        <v/>
      </c>
      <c r="S104" s="72" t="n"/>
      <c r="T104" s="72" t="n"/>
      <c r="U104" s="72" t="n"/>
      <c r="V104" s="72" t="n"/>
      <c r="W104" s="72" t="n"/>
      <c r="X104" s="487">
        <f>(P104+Q104)/G104</f>
        <v/>
      </c>
      <c r="Y104" s="9" t="n"/>
      <c r="Z104" s="9" t="n"/>
      <c r="AA104" s="87" t="n"/>
      <c r="AB104" s="276" t="n"/>
    </row>
    <row r="105" ht="17.25" customHeight="1" thickBot="1">
      <c r="A105" s="37" t="n"/>
      <c r="B105" s="37" t="n"/>
      <c r="C105" s="37" t="n"/>
      <c r="D105" s="28" t="n"/>
    </row>
    <row r="106" ht="17.25" customFormat="1" customHeight="1" s="8" thickBot="1">
      <c r="A106" s="251" t="inlineStr">
        <is>
          <t>分析</t>
        </is>
      </c>
      <c r="B106" s="456" t="n"/>
      <c r="C106" s="474" t="n"/>
      <c r="D106" s="251" t="inlineStr">
        <is>
          <t>分類</t>
        </is>
      </c>
      <c r="E106" s="498" t="n"/>
      <c r="F106" s="456" t="n"/>
      <c r="G106" s="251" t="inlineStr">
        <is>
          <t>成交金額</t>
        </is>
      </c>
      <c r="H106" s="251" t="inlineStr">
        <is>
          <t>手續費</t>
        </is>
      </c>
      <c r="I106" s="251" t="n"/>
      <c r="J106" s="305" t="n"/>
      <c r="K106" s="292" t="n"/>
      <c r="L106" s="292" t="n"/>
      <c r="M106" s="292" t="n"/>
      <c r="N106" s="293" t="n"/>
      <c r="O106" s="251" t="inlineStr">
        <is>
          <t>參考現值</t>
        </is>
      </c>
      <c r="P106" s="251" t="inlineStr">
        <is>
          <t>已實現損益</t>
        </is>
      </c>
      <c r="Q106" s="251" t="inlineStr">
        <is>
          <t>未實現損益</t>
        </is>
      </c>
      <c r="R106" s="251" t="inlineStr">
        <is>
          <t>除息</t>
        </is>
      </c>
      <c r="S106" s="251" t="inlineStr">
        <is>
          <t>手續費</t>
        </is>
      </c>
      <c r="T106" s="251" t="inlineStr">
        <is>
          <t>健保補充保費</t>
        </is>
      </c>
      <c r="U106" s="383" t="n"/>
      <c r="V106" s="383" t="inlineStr">
        <is>
          <t>扣抵稅率</t>
        </is>
      </c>
      <c r="W106" s="383" t="inlineStr">
        <is>
          <t>所得稅率</t>
        </is>
      </c>
      <c r="X106" s="251" t="inlineStr">
        <is>
          <t>投資報酬率</t>
        </is>
      </c>
      <c r="Y106" s="251" t="inlineStr">
        <is>
          <t>年化報酬率</t>
        </is>
      </c>
      <c r="Z106" s="251" t="inlineStr">
        <is>
          <t>勝率</t>
        </is>
      </c>
      <c r="AA106" s="89" t="n"/>
      <c r="AB106" s="86" t="n"/>
      <c r="AC106" s="182" t="n"/>
    </row>
    <row r="107" outlineLevel="1">
      <c r="A107" s="464" t="n"/>
      <c r="C107" s="475" t="n"/>
      <c r="D107" s="383" t="inlineStr">
        <is>
          <t>台幣活儲</t>
        </is>
      </c>
      <c r="G107" s="265" t="n"/>
      <c r="H107" s="265" t="n"/>
      <c r="I107" s="467" t="n"/>
      <c r="J107" s="306" t="n"/>
      <c r="K107" s="294" t="n"/>
      <c r="L107" s="294" t="n"/>
      <c r="M107" s="294" t="n"/>
      <c r="N107" s="295" t="n"/>
      <c r="O107" s="265">
        <f>'Richard-帳戶紀錄'!D285</f>
        <v/>
      </c>
      <c r="P107" s="476" t="n"/>
      <c r="Q107" s="476" t="n"/>
      <c r="R107" s="265" t="n"/>
      <c r="S107" s="304" t="n"/>
      <c r="T107" s="304" t="n"/>
      <c r="U107" s="467" t="n"/>
      <c r="V107" s="257" t="n"/>
      <c r="W107" s="257" t="n"/>
      <c r="X107" s="477" t="n"/>
      <c r="Y107" s="477" t="n"/>
      <c r="Z107" s="268" t="n"/>
      <c r="AA107" s="9">
        <f>SUMIF(AB$2:AB$104,D107,AA$2:AA$104)</f>
        <v/>
      </c>
    </row>
    <row r="108" outlineLevel="1">
      <c r="A108" s="464" t="n"/>
      <c r="C108" s="475" t="n"/>
      <c r="D108" s="385" t="inlineStr">
        <is>
          <t>台股</t>
        </is>
      </c>
      <c r="G108" s="265">
        <f>SUMIF(AB$2:AB$104,D108,G$2:G$104)</f>
        <v/>
      </c>
      <c r="H108" s="265">
        <f>SUMIF(AB$2:AB$104,D108,H$2:H$104)</f>
        <v/>
      </c>
      <c r="I108" s="467" t="n"/>
      <c r="J108" s="306" t="n"/>
      <c r="K108" s="294" t="n"/>
      <c r="L108" s="294" t="n"/>
      <c r="M108" s="294" t="n"/>
      <c r="N108" s="295" t="n"/>
      <c r="O108" s="265">
        <f>SUMIF(AB$2:AB$104,D108,O$2:O$104)</f>
        <v/>
      </c>
      <c r="P108" s="476">
        <f>SUMIF(AB$2:AB$104,D108,P$2:P$104)</f>
        <v/>
      </c>
      <c r="Q108" s="476">
        <f>SUMIF(AB$2:AB$104,"*"&amp;D108&amp;"*",Q$2:Q$104)</f>
        <v/>
      </c>
      <c r="R108" s="265">
        <f>SUMIF(AB$2:AB$104,D108,R$2:R$104)</f>
        <v/>
      </c>
      <c r="S108" s="257" t="n"/>
      <c r="T108" s="257" t="n"/>
      <c r="U108" s="467" t="n"/>
      <c r="V108" s="257" t="n"/>
      <c r="W108" s="257" t="n"/>
      <c r="X108" s="477">
        <f>(SUMIF(AB$2:AB$104,D108,P$2:P$104)+SUMIF(AB$2:AB$104,"*"&amp;D108&amp;"*",Q$2:Q$104))/SUMIF(AB$2:AB$104,D108,G$2:G$104)</f>
        <v/>
      </c>
      <c r="Y108" s="477">
        <f>(P108+Q108)/(AA108)</f>
        <v/>
      </c>
      <c r="Z108" s="268">
        <f>COUNTIFS(X$2:X$104,"&gt;0",AB$2:AB$104,D108)/COUNTIF(AB$2:AB$104,D108)</f>
        <v/>
      </c>
      <c r="AA108" s="9">
        <f>SUMIF(AB$2:AB$104,D108,AA$2:AA$104)</f>
        <v/>
      </c>
    </row>
    <row r="109" outlineLevel="1" ht="17.25" customHeight="1" thickBot="1">
      <c r="A109" s="464" t="n"/>
      <c r="C109" s="475" t="n"/>
      <c r="D109" s="247" t="inlineStr">
        <is>
          <t>台股 ETF</t>
        </is>
      </c>
      <c r="G109" s="265">
        <f>SUMIF(AB$2:AB$104,D109,G$2:G$104)</f>
        <v/>
      </c>
      <c r="H109" s="265">
        <f>SUMIF(AB$2:AB$104,D109,H$2:H$104)</f>
        <v/>
      </c>
      <c r="I109" s="467" t="n"/>
      <c r="J109" s="306" t="n"/>
      <c r="K109" s="294" t="n"/>
      <c r="L109" s="294" t="n"/>
      <c r="M109" s="294" t="n"/>
      <c r="N109" s="295" t="n"/>
      <c r="O109" s="265">
        <f>SUMIF(AB$2:AB$104,D109,O$2:O$104)</f>
        <v/>
      </c>
      <c r="P109" s="476">
        <f>SUMIF(AB$2:AB$104,D109,P$2:P$104)</f>
        <v/>
      </c>
      <c r="Q109" s="476">
        <f>SUMIF(AB$2:AB$104,"*"&amp;D109&amp;"*",Q$2:Q$104)</f>
        <v/>
      </c>
      <c r="R109" s="265">
        <f>SUMIF(AB$2:AB$104,D109,R$2:R$104)</f>
        <v/>
      </c>
      <c r="S109" s="303" t="n"/>
      <c r="T109" s="303" t="n"/>
      <c r="U109" s="467" t="n"/>
      <c r="V109" s="261" t="n"/>
      <c r="W109" s="261" t="n"/>
      <c r="X109" s="477">
        <f>(SUMIF(AB$2:AB$104,D109,P$2:P$104)+SUMIF(AB$2:AB$104,"*"&amp;D109&amp;"*",Q$2:Q$104))/SUMIF(AB$2:AB$104,D109,G$2:G$104)</f>
        <v/>
      </c>
      <c r="Y109" s="477">
        <f>(P109+Q109)/(AA109)</f>
        <v/>
      </c>
      <c r="Z109" s="268">
        <f>COUNTIFS(X$2:X$104,"&gt;0",AB$2:AB$104,D109)/COUNTIF(AB$2:AB$104,D109)</f>
        <v/>
      </c>
      <c r="AA109" s="9">
        <f>SUMIF(AB$2:AB$104,D109,AA$2:AA$104)</f>
        <v/>
      </c>
    </row>
    <row r="110" outlineLevel="1">
      <c r="A110" s="464" t="n"/>
      <c r="C110" s="475" t="n"/>
      <c r="D110" s="269" t="inlineStr">
        <is>
          <t>美股</t>
        </is>
      </c>
      <c r="G110" s="265">
        <f>SUMIF(AB$2:AB$104,D110,G$2:G$104)</f>
        <v/>
      </c>
      <c r="H110" s="265">
        <f>SUMIF(AB$2:AB$104,D110,H$2:H$104)</f>
        <v/>
      </c>
      <c r="I110" s="467" t="n"/>
      <c r="J110" s="306" t="n"/>
      <c r="K110" s="294" t="n"/>
      <c r="L110" s="294" t="n"/>
      <c r="M110" s="294" t="n"/>
      <c r="N110" s="295" t="n"/>
      <c r="O110" s="265">
        <f>SUMIF(AB$2:AB$104,D110,O$2:O$104)*匯率!B3</f>
        <v/>
      </c>
      <c r="P110" s="476">
        <f>SUMIF(AB$2:AB$104,D110,P$2:P$104)</f>
        <v/>
      </c>
      <c r="Q110" s="476">
        <f>SUMIF(AB$2:AB$104,"*"&amp;D110&amp;"*",Q$2:Q$104)</f>
        <v/>
      </c>
      <c r="R110" s="265">
        <f>SUMIF(AB$2:AB$104,D110,R$2:R$104)</f>
        <v/>
      </c>
      <c r="S110" s="257" t="n"/>
      <c r="T110" s="257" t="n"/>
      <c r="U110" s="467" t="n"/>
      <c r="V110" s="257" t="n"/>
      <c r="W110" s="257" t="n"/>
      <c r="X110" s="477">
        <f>(SUMIF(AB$2:AB$104,D110,P$2:P$104)+SUMIF(AB$2:AB$104,"*"&amp;D110&amp;"*",Q$2:Q$104))/SUMIF(AB$2:AB$104,D110,G$2:G$104)</f>
        <v/>
      </c>
      <c r="Y110" s="477">
        <f>(P110+Q110)/(AA110)</f>
        <v/>
      </c>
      <c r="Z110" s="268">
        <f>COUNTIFS(X$2:X$104,"&gt;0",AB$2:AB$104,D110)/COUNTIF(AB$2:AB$104,D110)</f>
        <v/>
      </c>
      <c r="AA110" s="9">
        <f>SUMIF(AB$2:AB$104,D110,AA$2:AA$104)</f>
        <v/>
      </c>
    </row>
    <row r="111" outlineLevel="1" ht="17.25" customHeight="1" thickBot="1">
      <c r="A111" s="464" t="n"/>
      <c r="C111" s="475" t="n"/>
      <c r="D111" s="248" t="inlineStr">
        <is>
          <t>美金儲蓄</t>
        </is>
      </c>
      <c r="G111" s="252" t="n"/>
      <c r="H111" s="252" t="n"/>
      <c r="I111" s="467" t="n"/>
      <c r="J111" s="307" t="n"/>
      <c r="K111" s="296" t="n"/>
      <c r="L111" s="296" t="n"/>
      <c r="M111" s="296" t="n"/>
      <c r="N111" s="297" t="n"/>
      <c r="O111" s="252">
        <f>'Richard-帳戶紀錄'!G285</f>
        <v/>
      </c>
      <c r="P111" s="482" t="n"/>
      <c r="Q111" s="482" t="n"/>
      <c r="R111" s="252" t="n"/>
      <c r="S111" s="261" t="n"/>
      <c r="T111" s="261" t="n"/>
      <c r="U111" s="481" t="n"/>
      <c r="V111" s="261" t="n"/>
      <c r="W111" s="261" t="n"/>
      <c r="X111" s="483" t="n"/>
      <c r="Y111" s="483" t="n"/>
      <c r="Z111" s="255" t="n"/>
      <c r="AA111" s="9">
        <f>SUMIF(AB$2:AB$104,D111,AA$2:AA$104)</f>
        <v/>
      </c>
    </row>
    <row r="112" outlineLevel="1" ht="17.25" customHeight="1" thickBot="1">
      <c r="A112" s="468" t="n"/>
      <c r="B112" s="469" t="n"/>
      <c r="C112" s="499" t="n"/>
      <c r="D112" s="248" t="inlineStr">
        <is>
          <t>總計</t>
        </is>
      </c>
      <c r="E112" s="469" t="n"/>
      <c r="F112" s="469" t="n"/>
      <c r="G112" s="252">
        <f>SUM(G107:G111)</f>
        <v/>
      </c>
      <c r="H112" s="252">
        <f>SUM(H107:H111)</f>
        <v/>
      </c>
      <c r="I112" s="473" t="n"/>
      <c r="J112" s="301" t="n"/>
      <c r="K112" s="302" t="n"/>
      <c r="L112" s="302" t="n"/>
      <c r="M112" s="302" t="n"/>
      <c r="N112" s="302" t="n"/>
      <c r="O112" s="252">
        <f>SUM(O107:O111)</f>
        <v/>
      </c>
      <c r="P112" s="252">
        <f>SUM(P107:P111)</f>
        <v/>
      </c>
      <c r="Q112" s="252">
        <f>SUM(Q107:Q111)</f>
        <v/>
      </c>
      <c r="R112" s="252">
        <f>SUM(R107:R111)</f>
        <v/>
      </c>
      <c r="S112" s="252" t="n"/>
      <c r="T112" s="252" t="n"/>
      <c r="U112" s="252">
        <f>SUM(U107:U111)</f>
        <v/>
      </c>
      <c r="V112" s="252">
        <f>SUM(V107:V111)</f>
        <v/>
      </c>
      <c r="W112" s="252">
        <f>SUM(W107:W111)</f>
        <v/>
      </c>
      <c r="X112" s="483">
        <f>(P112+Q112)/G112</f>
        <v/>
      </c>
      <c r="Y112" s="483" t="n"/>
      <c r="Z112" s="252" t="n"/>
    </row>
    <row r="113">
      <c r="B113" s="37" t="n"/>
      <c r="C113" s="37" t="n"/>
      <c r="D113" s="28" t="n"/>
    </row>
    <row r="114">
      <c r="B114" s="37" t="n"/>
      <c r="C114" s="37" t="n"/>
      <c r="D114" s="28" t="n"/>
    </row>
  </sheetData>
  <autoFilter ref="A1:AA116"/>
  <mergeCells count="14">
    <mergeCell ref="I106:I112"/>
    <mergeCell ref="J82:J88"/>
    <mergeCell ref="Y82:Y88"/>
    <mergeCell ref="A106:C112"/>
    <mergeCell ref="E104:F104"/>
    <mergeCell ref="E103:F103"/>
    <mergeCell ref="K82:N82"/>
    <mergeCell ref="I82:I88"/>
    <mergeCell ref="I104:J104"/>
    <mergeCell ref="E106:F112"/>
    <mergeCell ref="I103:J103"/>
    <mergeCell ref="A82:C88"/>
    <mergeCell ref="U106:U111"/>
    <mergeCell ref="E82:F88"/>
  </mergeCells>
  <conditionalFormatting sqref="Z1:AA55 Z81:AA81 Z82:Z88 Z89:AA89 Z90:Z93 Z98 Z105:AA111 Z113:AA1048576 AA112">
    <cfRule type="containsText" priority="325" operator="containsText" dxfId="12" text="△">
      <formula>NOT(ISERROR(SEARCH("△",Z1)))</formula>
    </cfRule>
    <cfRule type="containsText" priority="326" operator="containsText" dxfId="11" text="▽">
      <formula>NOT(ISERROR(SEARCH("▽",Z1)))</formula>
    </cfRule>
  </conditionalFormatting>
  <conditionalFormatting sqref="I55 I81 I90">
    <cfRule type="expression" priority="323" dxfId="204">
      <formula>$I55&gt;(TODAY()-7)</formula>
    </cfRule>
    <cfRule type="expression" priority="324" dxfId="203">
      <formula>$I55&gt;(TODAY()-30)</formula>
    </cfRule>
  </conditionalFormatting>
  <conditionalFormatting sqref="Z2:Z81 Z90:Z102">
    <cfRule type="cellIs" priority="321" operator="lessThan" dxfId="8">
      <formula>0</formula>
    </cfRule>
    <cfRule type="cellIs" priority="322" operator="greaterThan" dxfId="7">
      <formula>0</formula>
    </cfRule>
  </conditionalFormatting>
  <conditionalFormatting sqref="Z2:AA54 Z56:AA80 Z91:AA101">
    <cfRule type="containsText" priority="317" operator="containsText" dxfId="12" text="▲">
      <formula>NOT(ISERROR(SEARCH("▲",Z2)))</formula>
    </cfRule>
    <cfRule type="containsText" priority="318" operator="containsText" dxfId="11" text="▼">
      <formula>NOT(ISERROR(SEARCH("▼",Z2)))</formula>
    </cfRule>
  </conditionalFormatting>
  <conditionalFormatting sqref="Z102:Z103">
    <cfRule type="containsText" priority="307" operator="containsText" dxfId="12" text="△">
      <formula>NOT(ISERROR(SEARCH("△",Z102)))</formula>
    </cfRule>
    <cfRule type="containsText" priority="308" operator="containsText" dxfId="11" text="▽">
      <formula>NOT(ISERROR(SEARCH("▽",Z102)))</formula>
    </cfRule>
  </conditionalFormatting>
  <conditionalFormatting sqref="I102">
    <cfRule type="expression" priority="305" dxfId="204">
      <formula>$I102&gt;(TODAY()-7)</formula>
    </cfRule>
    <cfRule type="expression" priority="306" dxfId="203">
      <formula>$I102&gt;(TODAY()-30)</formula>
    </cfRule>
  </conditionalFormatting>
  <conditionalFormatting sqref="Z104">
    <cfRule type="containsText" priority="301" operator="containsText" dxfId="12" text="△">
      <formula>NOT(ISERROR(SEARCH("△",Z104)))</formula>
    </cfRule>
    <cfRule type="containsText" priority="302" operator="containsText" dxfId="11" text="▽">
      <formula>NOT(ISERROR(SEARCH("▽",Z104)))</formula>
    </cfRule>
  </conditionalFormatting>
  <conditionalFormatting sqref="AA106">
    <cfRule type="containsText" priority="299" operator="containsText" dxfId="12" text="△">
      <formula>NOT(ISERROR(SEARCH("△",AA106)))</formula>
    </cfRule>
    <cfRule type="containsText" priority="300" operator="containsText" dxfId="11" text="▽">
      <formula>NOT(ISERROR(SEARCH("▽",AA106)))</formula>
    </cfRule>
  </conditionalFormatting>
  <conditionalFormatting sqref="Z3:AA3">
    <cfRule type="containsText" priority="293" operator="containsText" dxfId="12" text="▲">
      <formula>NOT(ISERROR(SEARCH("▲",Z3)))</formula>
    </cfRule>
    <cfRule type="containsText" priority="294" operator="containsText" dxfId="11" text="▼">
      <formula>NOT(ISERROR(SEARCH("▼",Z3)))</formula>
    </cfRule>
  </conditionalFormatting>
  <conditionalFormatting sqref="AA2:AA3">
    <cfRule type="containsText" priority="291" operator="containsText" dxfId="12" text="△">
      <formula>NOT(ISERROR(SEARCH("△",AA2)))</formula>
    </cfRule>
    <cfRule type="containsText" priority="292" operator="containsText" dxfId="11" text="▽">
      <formula>NOT(ISERROR(SEARCH("▽",AA2)))</formula>
    </cfRule>
    <cfRule type="containsText" priority="289" operator="containsText" dxfId="12" text="△">
      <formula>NOT(ISERROR(SEARCH("△",AA2)))</formula>
    </cfRule>
    <cfRule type="containsText" priority="290" operator="containsText" dxfId="11" text="▽">
      <formula>NOT(ISERROR(SEARCH("▽",AA2)))</formula>
    </cfRule>
  </conditionalFormatting>
  <conditionalFormatting sqref="AA6">
    <cfRule type="containsText" priority="287" operator="containsText" dxfId="12" text="△">
      <formula>NOT(ISERROR(SEARCH("△",AA6)))</formula>
    </cfRule>
    <cfRule type="containsText" priority="288" operator="containsText" dxfId="11" text="▽">
      <formula>NOT(ISERROR(SEARCH("▽",AA6)))</formula>
    </cfRule>
    <cfRule type="containsText" priority="285" operator="containsText" dxfId="12" text="△">
      <formula>NOT(ISERROR(SEARCH("△",AA6)))</formula>
    </cfRule>
    <cfRule type="containsText" priority="286" operator="containsText" dxfId="11" text="▽">
      <formula>NOT(ISERROR(SEARCH("▽",AA6)))</formula>
    </cfRule>
  </conditionalFormatting>
  <conditionalFormatting sqref="AA4">
    <cfRule type="containsText" priority="283" operator="containsText" dxfId="12" text="△">
      <formula>NOT(ISERROR(SEARCH("△",AA4)))</formula>
    </cfRule>
    <cfRule type="containsText" priority="284" operator="containsText" dxfId="11" text="▽">
      <formula>NOT(ISERROR(SEARCH("▽",AA4)))</formula>
    </cfRule>
    <cfRule type="containsText" priority="281" operator="containsText" dxfId="12" text="△">
      <formula>NOT(ISERROR(SEARCH("△",AA4)))</formula>
    </cfRule>
    <cfRule type="containsText" priority="282" operator="containsText" dxfId="11" text="▽">
      <formula>NOT(ISERROR(SEARCH("▽",AA4)))</formula>
    </cfRule>
  </conditionalFormatting>
  <conditionalFormatting sqref="AA5">
    <cfRule type="containsText" priority="279" operator="containsText" dxfId="12" text="△">
      <formula>NOT(ISERROR(SEARCH("△",AA5)))</formula>
    </cfRule>
    <cfRule type="containsText" priority="280" operator="containsText" dxfId="11" text="▽">
      <formula>NOT(ISERROR(SEARCH("▽",AA5)))</formula>
    </cfRule>
    <cfRule type="containsText" priority="277" operator="containsText" dxfId="12" text="△">
      <formula>NOT(ISERROR(SEARCH("△",AA5)))</formula>
    </cfRule>
    <cfRule type="containsText" priority="278" operator="containsText" dxfId="11" text="▽">
      <formula>NOT(ISERROR(SEARCH("▽",AA5)))</formula>
    </cfRule>
  </conditionalFormatting>
  <conditionalFormatting sqref="AA7">
    <cfRule type="containsText" priority="275" operator="containsText" dxfId="12" text="△">
      <formula>NOT(ISERROR(SEARCH("△",AA7)))</formula>
    </cfRule>
    <cfRule type="containsText" priority="276" operator="containsText" dxfId="11" text="▽">
      <formula>NOT(ISERROR(SEARCH("▽",AA7)))</formula>
    </cfRule>
    <cfRule type="containsText" priority="273" operator="containsText" dxfId="12" text="△">
      <formula>NOT(ISERROR(SEARCH("△",AA7)))</formula>
    </cfRule>
    <cfRule type="containsText" priority="274" operator="containsText" dxfId="11" text="▽">
      <formula>NOT(ISERROR(SEARCH("▽",AA7)))</formula>
    </cfRule>
  </conditionalFormatting>
  <conditionalFormatting sqref="AA24">
    <cfRule type="containsText" priority="271" operator="containsText" dxfId="12" text="△">
      <formula>NOT(ISERROR(SEARCH("△",AA24)))</formula>
    </cfRule>
    <cfRule type="containsText" priority="272" operator="containsText" dxfId="11" text="▽">
      <formula>NOT(ISERROR(SEARCH("▽",AA24)))</formula>
    </cfRule>
    <cfRule type="containsText" priority="269" operator="containsText" dxfId="12" text="△">
      <formula>NOT(ISERROR(SEARCH("△",AA24)))</formula>
    </cfRule>
    <cfRule type="containsText" priority="270" operator="containsText" dxfId="11" text="▽">
      <formula>NOT(ISERROR(SEARCH("▽",AA24)))</formula>
    </cfRule>
  </conditionalFormatting>
  <conditionalFormatting sqref="AA25:AA53">
    <cfRule type="containsText" priority="267" operator="containsText" dxfId="12" text="△">
      <formula>NOT(ISERROR(SEARCH("△",AA25)))</formula>
    </cfRule>
    <cfRule type="containsText" priority="268" operator="containsText" dxfId="11" text="▽">
      <formula>NOT(ISERROR(SEARCH("▽",AA25)))</formula>
    </cfRule>
    <cfRule type="containsText" priority="265" operator="containsText" dxfId="12" text="△">
      <formula>NOT(ISERROR(SEARCH("△",AA25)))</formula>
    </cfRule>
    <cfRule type="containsText" priority="266" operator="containsText" dxfId="11" text="▽">
      <formula>NOT(ISERROR(SEARCH("▽",AA25)))</formula>
    </cfRule>
  </conditionalFormatting>
  <conditionalFormatting sqref="AA56">
    <cfRule type="containsText" priority="263" operator="containsText" dxfId="12" text="△">
      <formula>NOT(ISERROR(SEARCH("△",AA56)))</formula>
    </cfRule>
    <cfRule type="containsText" priority="264" operator="containsText" dxfId="11" text="▽">
      <formula>NOT(ISERROR(SEARCH("▽",AA56)))</formula>
    </cfRule>
    <cfRule type="containsText" priority="261" operator="containsText" dxfId="12" text="△">
      <formula>NOT(ISERROR(SEARCH("△",AA56)))</formula>
    </cfRule>
    <cfRule type="containsText" priority="262" operator="containsText" dxfId="11" text="▽">
      <formula>NOT(ISERROR(SEARCH("▽",AA56)))</formula>
    </cfRule>
  </conditionalFormatting>
  <conditionalFormatting sqref="Z48:AA48">
    <cfRule type="containsText" priority="257" operator="containsText" dxfId="12" text="▲">
      <formula>NOT(ISERROR(SEARCH("▲",Z48)))</formula>
    </cfRule>
    <cfRule type="containsText" priority="258" operator="containsText" dxfId="11" text="▼">
      <formula>NOT(ISERROR(SEARCH("▼",Z48)))</formula>
    </cfRule>
  </conditionalFormatting>
  <conditionalFormatting sqref="Z48">
    <cfRule type="cellIs" priority="255" operator="lessThan" dxfId="8">
      <formula>0</formula>
    </cfRule>
    <cfRule type="cellIs" priority="256" operator="greaterThan" dxfId="7">
      <formula>0</formula>
    </cfRule>
  </conditionalFormatting>
  <conditionalFormatting sqref="Z44:Z53">
    <cfRule type="cellIs" priority="253" operator="lessThan" dxfId="8">
      <formula>0</formula>
    </cfRule>
    <cfRule type="cellIs" priority="254" operator="greaterThan" dxfId="7">
      <formula>0</formula>
    </cfRule>
  </conditionalFormatting>
  <conditionalFormatting sqref="Z44:AA53">
    <cfRule type="containsText" priority="251" operator="containsText" dxfId="12" text="▲">
      <formula>NOT(ISERROR(SEARCH("▲",Z44)))</formula>
    </cfRule>
    <cfRule type="containsText" priority="252" operator="containsText" dxfId="11" text="▼">
      <formula>NOT(ISERROR(SEARCH("▼",Z44)))</formula>
    </cfRule>
  </conditionalFormatting>
  <conditionalFormatting sqref="Z26:AA53">
    <cfRule type="containsText" priority="249" operator="containsText" dxfId="12" text="▲">
      <formula>NOT(ISERROR(SEARCH("▲",Z26)))</formula>
    </cfRule>
    <cfRule type="containsText" priority="250" operator="containsText" dxfId="11" text="▼">
      <formula>NOT(ISERROR(SEARCH("▼",Z26)))</formula>
    </cfRule>
  </conditionalFormatting>
  <conditionalFormatting sqref="Z46:AA53">
    <cfRule type="containsText" priority="247" operator="containsText" dxfId="12" text="▲">
      <formula>NOT(ISERROR(SEARCH("▲",Z46)))</formula>
    </cfRule>
    <cfRule type="containsText" priority="248" operator="containsText" dxfId="11" text="▼">
      <formula>NOT(ISERROR(SEARCH("▼",Z46)))</formula>
    </cfRule>
  </conditionalFormatting>
  <conditionalFormatting sqref="Z49:AA53">
    <cfRule type="containsText" priority="245" operator="containsText" dxfId="12" text="▲">
      <formula>NOT(ISERROR(SEARCH("▲",Z49)))</formula>
    </cfRule>
    <cfRule type="containsText" priority="246" operator="containsText" dxfId="11" text="▼">
      <formula>NOT(ISERROR(SEARCH("▼",Z49)))</formula>
    </cfRule>
  </conditionalFormatting>
  <conditionalFormatting sqref="Z57:AA57">
    <cfRule type="containsText" priority="243" operator="containsText" dxfId="12" text="▲">
      <formula>NOT(ISERROR(SEARCH("▲",Z57)))</formula>
    </cfRule>
    <cfRule type="containsText" priority="244" operator="containsText" dxfId="11" text="▼">
      <formula>NOT(ISERROR(SEARCH("▼",Z57)))</formula>
    </cfRule>
  </conditionalFormatting>
  <conditionalFormatting sqref="Z80:AA80">
    <cfRule type="containsText" priority="241" operator="containsText" dxfId="12" text="▲">
      <formula>NOT(ISERROR(SEARCH("▲",Z80)))</formula>
    </cfRule>
    <cfRule type="containsText" priority="242" operator="containsText" dxfId="11" text="▼">
      <formula>NOT(ISERROR(SEARCH("▼",Z80)))</formula>
    </cfRule>
  </conditionalFormatting>
  <conditionalFormatting sqref="Z52:AA52">
    <cfRule type="containsText" priority="237" operator="containsText" dxfId="12" text="▲">
      <formula>NOT(ISERROR(SEARCH("▲",Z52)))</formula>
    </cfRule>
    <cfRule type="containsText" priority="238" operator="containsText" dxfId="11" text="▼">
      <formula>NOT(ISERROR(SEARCH("▼",Z52)))</formula>
    </cfRule>
  </conditionalFormatting>
  <conditionalFormatting sqref="Z47:AA53">
    <cfRule type="containsText" priority="165" operator="containsText" dxfId="12" text="▲">
      <formula>NOT(ISERROR(SEARCH("▲",Z47)))</formula>
    </cfRule>
    <cfRule type="containsText" priority="166" operator="containsText" dxfId="11" text="▼">
      <formula>NOT(ISERROR(SEARCH("▼",Z47)))</formula>
    </cfRule>
  </conditionalFormatting>
  <conditionalFormatting sqref="Z45:AA53">
    <cfRule type="containsText" priority="163" operator="containsText" dxfId="12" text="▲">
      <formula>NOT(ISERROR(SEARCH("▲",Z45)))</formula>
    </cfRule>
    <cfRule type="containsText" priority="164" operator="containsText" dxfId="11" text="▼">
      <formula>NOT(ISERROR(SEARCH("▼",Z45)))</formula>
    </cfRule>
  </conditionalFormatting>
  <conditionalFormatting sqref="Z27:AA53">
    <cfRule type="containsText" priority="161" operator="containsText" dxfId="12" text="▲">
      <formula>NOT(ISERROR(SEARCH("▲",Z27)))</formula>
    </cfRule>
    <cfRule type="containsText" priority="162" operator="containsText" dxfId="11" text="▼">
      <formula>NOT(ISERROR(SEARCH("▼",Z27)))</formula>
    </cfRule>
  </conditionalFormatting>
  <conditionalFormatting sqref="Z28:AA53">
    <cfRule type="containsText" priority="159" operator="containsText" dxfId="12" text="▲">
      <formula>NOT(ISERROR(SEARCH("▲",Z28)))</formula>
    </cfRule>
    <cfRule type="containsText" priority="160" operator="containsText" dxfId="11" text="▼">
      <formula>NOT(ISERROR(SEARCH("▼",Z28)))</formula>
    </cfRule>
  </conditionalFormatting>
  <conditionalFormatting sqref="Z50:AA50">
    <cfRule type="containsText" priority="155" operator="containsText" dxfId="12" text="▲">
      <formula>NOT(ISERROR(SEARCH("▲",Z50)))</formula>
    </cfRule>
    <cfRule type="containsText" priority="156" operator="containsText" dxfId="11" text="▼">
      <formula>NOT(ISERROR(SEARCH("▼",Z50)))</formula>
    </cfRule>
  </conditionalFormatting>
  <conditionalFormatting sqref="Z51:AA51">
    <cfRule type="containsText" priority="151" operator="containsText" dxfId="12" text="▲">
      <formula>NOT(ISERROR(SEARCH("▲",Z51)))</formula>
    </cfRule>
    <cfRule type="containsText" priority="152" operator="containsText" dxfId="11" text="▼">
      <formula>NOT(ISERROR(SEARCH("▼",Z51)))</formula>
    </cfRule>
  </conditionalFormatting>
  <conditionalFormatting sqref="Z30:AA53">
    <cfRule type="containsText" priority="149" operator="containsText" dxfId="12" text="▲">
      <formula>NOT(ISERROR(SEARCH("▲",Z30)))</formula>
    </cfRule>
    <cfRule type="containsText" priority="150" operator="containsText" dxfId="11" text="▼">
      <formula>NOT(ISERROR(SEARCH("▼",Z30)))</formula>
    </cfRule>
  </conditionalFormatting>
  <conditionalFormatting sqref="Z53:AA53">
    <cfRule type="containsText" priority="145" operator="containsText" dxfId="12" text="▲">
      <formula>NOT(ISERROR(SEARCH("▲",Z53)))</formula>
    </cfRule>
    <cfRule type="containsText" priority="146" operator="containsText" dxfId="11" text="▼">
      <formula>NOT(ISERROR(SEARCH("▼",Z53)))</formula>
    </cfRule>
  </conditionalFormatting>
  <conditionalFormatting sqref="Z31:AA53">
    <cfRule type="containsText" priority="143" operator="containsText" dxfId="12" text="▲">
      <formula>NOT(ISERROR(SEARCH("▲",Z31)))</formula>
    </cfRule>
    <cfRule type="containsText" priority="144" operator="containsText" dxfId="11" text="▼">
      <formula>NOT(ISERROR(SEARCH("▼",Z31)))</formula>
    </cfRule>
  </conditionalFormatting>
  <conditionalFormatting sqref="Z58:AA58">
    <cfRule type="containsText" priority="139" operator="containsText" dxfId="12" text="▲">
      <formula>NOT(ISERROR(SEARCH("▲",Z58)))</formula>
    </cfRule>
    <cfRule type="containsText" priority="140" operator="containsText" dxfId="11" text="▼">
      <formula>NOT(ISERROR(SEARCH("▼",Z58)))</formula>
    </cfRule>
  </conditionalFormatting>
  <conditionalFormatting sqref="Z32:AA53">
    <cfRule type="containsText" priority="137" operator="containsText" dxfId="12" text="▲">
      <formula>NOT(ISERROR(SEARCH("▲",Z32)))</formula>
    </cfRule>
    <cfRule type="containsText" priority="138" operator="containsText" dxfId="11" text="▼">
      <formula>NOT(ISERROR(SEARCH("▼",Z32)))</formula>
    </cfRule>
  </conditionalFormatting>
  <conditionalFormatting sqref="Z42:AA42">
    <cfRule type="containsText" priority="135" operator="containsText" dxfId="12" text="▲">
      <formula>NOT(ISERROR(SEARCH("▲",Z42)))</formula>
    </cfRule>
    <cfRule type="containsText" priority="136" operator="containsText" dxfId="11" text="▼">
      <formula>NOT(ISERROR(SEARCH("▼",Z42)))</formula>
    </cfRule>
  </conditionalFormatting>
  <conditionalFormatting sqref="Z59:AA59">
    <cfRule type="containsText" priority="133" operator="containsText" dxfId="12" text="▲">
      <formula>NOT(ISERROR(SEARCH("▲",Z59)))</formula>
    </cfRule>
    <cfRule type="containsText" priority="134" operator="containsText" dxfId="11" text="▼">
      <formula>NOT(ISERROR(SEARCH("▼",Z59)))</formula>
    </cfRule>
  </conditionalFormatting>
  <conditionalFormatting sqref="Z33:AA53">
    <cfRule type="containsText" priority="131" operator="containsText" dxfId="12" text="▲">
      <formula>NOT(ISERROR(SEARCH("▲",Z33)))</formula>
    </cfRule>
    <cfRule type="containsText" priority="132" operator="containsText" dxfId="11" text="▼">
      <formula>NOT(ISERROR(SEARCH("▼",Z33)))</formula>
    </cfRule>
  </conditionalFormatting>
  <conditionalFormatting sqref="Z60:AA60">
    <cfRule type="containsText" priority="115" operator="containsText" dxfId="12" text="▲">
      <formula>NOT(ISERROR(SEARCH("▲",Z60)))</formula>
    </cfRule>
    <cfRule type="containsText" priority="116" operator="containsText" dxfId="11" text="▼">
      <formula>NOT(ISERROR(SEARCH("▼",Z60)))</formula>
    </cfRule>
  </conditionalFormatting>
  <conditionalFormatting sqref="Z34:AA53">
    <cfRule type="containsText" priority="113" operator="containsText" dxfId="12" text="▲">
      <formula>NOT(ISERROR(SEARCH("▲",Z34)))</formula>
    </cfRule>
    <cfRule type="containsText" priority="114" operator="containsText" dxfId="11" text="▼">
      <formula>NOT(ISERROR(SEARCH("▼",Z34)))</formula>
    </cfRule>
  </conditionalFormatting>
  <conditionalFormatting sqref="Z61:AA61">
    <cfRule type="containsText" priority="109" operator="containsText" dxfId="12" text="▲">
      <formula>NOT(ISERROR(SEARCH("▲",Z61)))</formula>
    </cfRule>
    <cfRule type="containsText" priority="110" operator="containsText" dxfId="11" text="▼">
      <formula>NOT(ISERROR(SEARCH("▼",Z61)))</formula>
    </cfRule>
  </conditionalFormatting>
  <conditionalFormatting sqref="Z35:AA53">
    <cfRule type="containsText" priority="107" operator="containsText" dxfId="12" text="▲">
      <formula>NOT(ISERROR(SEARCH("▲",Z35)))</formula>
    </cfRule>
    <cfRule type="containsText" priority="108" operator="containsText" dxfId="11" text="▼">
      <formula>NOT(ISERROR(SEARCH("▼",Z35)))</formula>
    </cfRule>
  </conditionalFormatting>
  <conditionalFormatting sqref="Z62:AA62">
    <cfRule type="containsText" priority="103" operator="containsText" dxfId="12" text="▲">
      <formula>NOT(ISERROR(SEARCH("▲",Z62)))</formula>
    </cfRule>
    <cfRule type="containsText" priority="104" operator="containsText" dxfId="11" text="▼">
      <formula>NOT(ISERROR(SEARCH("▼",Z62)))</formula>
    </cfRule>
  </conditionalFormatting>
  <conditionalFormatting sqref="Z36:AA53">
    <cfRule type="containsText" priority="101" operator="containsText" dxfId="12" text="▲">
      <formula>NOT(ISERROR(SEARCH("▲",Z36)))</formula>
    </cfRule>
    <cfRule type="containsText" priority="102" operator="containsText" dxfId="11" text="▼">
      <formula>NOT(ISERROR(SEARCH("▼",Z36)))</formula>
    </cfRule>
  </conditionalFormatting>
  <conditionalFormatting sqref="Z63:AA63">
    <cfRule type="containsText" priority="97" operator="containsText" dxfId="12" text="▲">
      <formula>NOT(ISERROR(SEARCH("▲",Z63)))</formula>
    </cfRule>
    <cfRule type="containsText" priority="98" operator="containsText" dxfId="11" text="▼">
      <formula>NOT(ISERROR(SEARCH("▼",Z63)))</formula>
    </cfRule>
  </conditionalFormatting>
  <conditionalFormatting sqref="Z37:AA53">
    <cfRule type="containsText" priority="95" operator="containsText" dxfId="12" text="▲">
      <formula>NOT(ISERROR(SEARCH("▲",Z37)))</formula>
    </cfRule>
    <cfRule type="containsText" priority="96" operator="containsText" dxfId="11" text="▼">
      <formula>NOT(ISERROR(SEARCH("▼",Z37)))</formula>
    </cfRule>
  </conditionalFormatting>
  <conditionalFormatting sqref="Z18:AA53">
    <cfRule type="containsText" priority="93" operator="containsText" dxfId="12" text="▲">
      <formula>NOT(ISERROR(SEARCH("▲",Z18)))</formula>
    </cfRule>
    <cfRule type="containsText" priority="94" operator="containsText" dxfId="11" text="▼">
      <formula>NOT(ISERROR(SEARCH("▼",Z18)))</formula>
    </cfRule>
  </conditionalFormatting>
  <conditionalFormatting sqref="Z64:AA64">
    <cfRule type="containsText" priority="91" operator="containsText" dxfId="12" text="▲">
      <formula>NOT(ISERROR(SEARCH("▲",Z64)))</formula>
    </cfRule>
    <cfRule type="containsText" priority="92" operator="containsText" dxfId="11" text="▼">
      <formula>NOT(ISERROR(SEARCH("▼",Z64)))</formula>
    </cfRule>
  </conditionalFormatting>
  <conditionalFormatting sqref="Z21:AA22">
    <cfRule type="containsText" priority="87" operator="containsText" dxfId="12" text="▲">
      <formula>NOT(ISERROR(SEARCH("▲",Z21)))</formula>
    </cfRule>
    <cfRule type="containsText" priority="88" operator="containsText" dxfId="11" text="▼">
      <formula>NOT(ISERROR(SEARCH("▼",Z21)))</formula>
    </cfRule>
  </conditionalFormatting>
  <conditionalFormatting sqref="Z39:AA53">
    <cfRule type="containsText" priority="83" operator="containsText" dxfId="12" text="▲">
      <formula>NOT(ISERROR(SEARCH("▲",Z39)))</formula>
    </cfRule>
    <cfRule type="containsText" priority="84" operator="containsText" dxfId="11" text="▼">
      <formula>NOT(ISERROR(SEARCH("▼",Z39)))</formula>
    </cfRule>
  </conditionalFormatting>
  <conditionalFormatting sqref="Z38:AA53">
    <cfRule type="containsText" priority="81" operator="containsText" dxfId="12" text="▲">
      <formula>NOT(ISERROR(SEARCH("▲",Z38)))</formula>
    </cfRule>
    <cfRule type="containsText" priority="82" operator="containsText" dxfId="11" text="▼">
      <formula>NOT(ISERROR(SEARCH("▼",Z38)))</formula>
    </cfRule>
  </conditionalFormatting>
  <conditionalFormatting sqref="Z22:AA22">
    <cfRule type="containsText" priority="79" operator="containsText" dxfId="12" text="▲">
      <formula>NOT(ISERROR(SEARCH("▲",Z22)))</formula>
    </cfRule>
    <cfRule type="containsText" priority="80" operator="containsText" dxfId="11" text="▼">
      <formula>NOT(ISERROR(SEARCH("▼",Z22)))</formula>
    </cfRule>
  </conditionalFormatting>
  <conditionalFormatting sqref="Z66:AA66">
    <cfRule type="containsText" priority="77" operator="containsText" dxfId="12" text="▲">
      <formula>NOT(ISERROR(SEARCH("▲",Z66)))</formula>
    </cfRule>
    <cfRule type="containsText" priority="78" operator="containsText" dxfId="11" text="▼">
      <formula>NOT(ISERROR(SEARCH("▼",Z66)))</formula>
    </cfRule>
  </conditionalFormatting>
  <conditionalFormatting sqref="Z20:AA53">
    <cfRule type="containsText" priority="75" operator="containsText" dxfId="12" text="▲">
      <formula>NOT(ISERROR(SEARCH("▲",Z20)))</formula>
    </cfRule>
    <cfRule type="containsText" priority="76" operator="containsText" dxfId="11" text="▼">
      <formula>NOT(ISERROR(SEARCH("▼",Z20)))</formula>
    </cfRule>
  </conditionalFormatting>
  <conditionalFormatting sqref="Z19:AA19">
    <cfRule type="containsText" priority="73" operator="containsText" dxfId="12" text="▲">
      <formula>NOT(ISERROR(SEARCH("▲",Z19)))</formula>
    </cfRule>
    <cfRule type="containsText" priority="74" operator="containsText" dxfId="11" text="▼">
      <formula>NOT(ISERROR(SEARCH("▼",Z19)))</formula>
    </cfRule>
  </conditionalFormatting>
  <conditionalFormatting sqref="AA82:AA88">
    <cfRule type="containsText" priority="71" operator="containsText" dxfId="12" text="▲">
      <formula>NOT(ISERROR(SEARCH("▲",AA82)))</formula>
    </cfRule>
    <cfRule type="containsText" priority="72" operator="containsText" dxfId="11" text="▼">
      <formula>NOT(ISERROR(SEARCH("▼",AA82)))</formula>
    </cfRule>
    <cfRule type="containsText" priority="69" operator="containsText" dxfId="12" text="▲">
      <formula>NOT(ISERROR(SEARCH("▲",AA82)))</formula>
    </cfRule>
    <cfRule type="containsText" priority="70" operator="containsText" dxfId="11" text="▼">
      <formula>NOT(ISERROR(SEARCH("▼",AA82)))</formula>
    </cfRule>
  </conditionalFormatting>
  <conditionalFormatting sqref="Z65:AA65">
    <cfRule type="containsText" priority="67" operator="containsText" dxfId="12" text="▲">
      <formula>NOT(ISERROR(SEARCH("▲",Z65)))</formula>
    </cfRule>
    <cfRule type="containsText" priority="68" operator="containsText" dxfId="11" text="▼">
      <formula>NOT(ISERROR(SEARCH("▼",Z65)))</formula>
    </cfRule>
  </conditionalFormatting>
  <conditionalFormatting sqref="Z23:AA53">
    <cfRule type="containsText" priority="65" operator="containsText" dxfId="12" text="▲">
      <formula>NOT(ISERROR(SEARCH("▲",Z23)))</formula>
    </cfRule>
    <cfRule type="containsText" priority="66" operator="containsText" dxfId="11" text="▼">
      <formula>NOT(ISERROR(SEARCH("▼",Z23)))</formula>
    </cfRule>
  </conditionalFormatting>
  <conditionalFormatting sqref="Z40:AA53">
    <cfRule type="containsText" priority="63" operator="containsText" dxfId="12" text="▲">
      <formula>NOT(ISERROR(SEARCH("▲",Z40)))</formula>
    </cfRule>
    <cfRule type="containsText" priority="64" operator="containsText" dxfId="11" text="▼">
      <formula>NOT(ISERROR(SEARCH("▼",Z40)))</formula>
    </cfRule>
  </conditionalFormatting>
  <conditionalFormatting sqref="Z67:AA67">
    <cfRule type="containsText" priority="61" operator="containsText" dxfId="12" text="▲">
      <formula>NOT(ISERROR(SEARCH("▲",Z67)))</formula>
    </cfRule>
    <cfRule type="containsText" priority="62" operator="containsText" dxfId="11" text="▼">
      <formula>NOT(ISERROR(SEARCH("▼",Z67)))</formula>
    </cfRule>
  </conditionalFormatting>
  <conditionalFormatting sqref="Z68:AA68">
    <cfRule type="containsText" priority="59" operator="containsText" dxfId="12" text="△">
      <formula>NOT(ISERROR(SEARCH("△",Z68)))</formula>
    </cfRule>
    <cfRule type="containsText" priority="60" operator="containsText" dxfId="11" text="▽">
      <formula>NOT(ISERROR(SEARCH("▽",Z68)))</formula>
    </cfRule>
    <cfRule type="containsText" priority="57" operator="containsText" dxfId="12" text="▲">
      <formula>NOT(ISERROR(SEARCH("▲",Z68)))</formula>
    </cfRule>
    <cfRule type="containsText" priority="58" operator="containsText" dxfId="11" text="▼">
      <formula>NOT(ISERROR(SEARCH("▼",Z68)))</formula>
    </cfRule>
    <cfRule type="containsText" priority="55" operator="containsText" dxfId="12" text="▲">
      <formula>NOT(ISERROR(SEARCH("▲",Z68)))</formula>
    </cfRule>
    <cfRule type="containsText" priority="56" operator="containsText" dxfId="11" text="▼">
      <formula>NOT(ISERROR(SEARCH("▼",Z68)))</formula>
    </cfRule>
    <cfRule type="containsText" priority="53" operator="containsText" dxfId="12" text="▲">
      <formula>NOT(ISERROR(SEARCH("▲",Z68)))</formula>
    </cfRule>
    <cfRule type="containsText" priority="54" operator="containsText" dxfId="11" text="▼">
      <formula>NOT(ISERROR(SEARCH("▼",Z68)))</formula>
    </cfRule>
    <cfRule type="containsText" priority="51" operator="containsText" dxfId="12" text="▲">
      <formula>NOT(ISERROR(SEARCH("▲",Z68)))</formula>
    </cfRule>
    <cfRule type="containsText" priority="52" operator="containsText" dxfId="11" text="▼">
      <formula>NOT(ISERROR(SEARCH("▼",Z68)))</formula>
    </cfRule>
  </conditionalFormatting>
  <conditionalFormatting sqref="Z69:AA69">
    <cfRule type="containsText" priority="49" operator="containsText" dxfId="12" text="▲">
      <formula>NOT(ISERROR(SEARCH("▲",Z69)))</formula>
    </cfRule>
    <cfRule type="containsText" priority="50" operator="containsText" dxfId="11" text="▼">
      <formula>NOT(ISERROR(SEARCH("▼",Z69)))</formula>
    </cfRule>
  </conditionalFormatting>
  <conditionalFormatting sqref="Z41:AA53">
    <cfRule type="containsText" priority="47" operator="containsText" dxfId="12" text="▲">
      <formula>NOT(ISERROR(SEARCH("▲",Z41)))</formula>
    </cfRule>
    <cfRule type="containsText" priority="48" operator="containsText" dxfId="11" text="▼">
      <formula>NOT(ISERROR(SEARCH("▼",Z41)))</formula>
    </cfRule>
  </conditionalFormatting>
  <conditionalFormatting sqref="Z70:AA70">
    <cfRule type="containsText" priority="45" operator="containsText" dxfId="12" text="△">
      <formula>NOT(ISERROR(SEARCH("△",Z70)))</formula>
    </cfRule>
    <cfRule type="containsText" priority="46" operator="containsText" dxfId="11" text="▽">
      <formula>NOT(ISERROR(SEARCH("▽",Z70)))</formula>
    </cfRule>
    <cfRule type="containsText" priority="43" operator="containsText" dxfId="12" text="▲">
      <formula>NOT(ISERROR(SEARCH("▲",Z70)))</formula>
    </cfRule>
    <cfRule type="containsText" priority="44" operator="containsText" dxfId="11" text="▼">
      <formula>NOT(ISERROR(SEARCH("▼",Z70)))</formula>
    </cfRule>
    <cfRule type="containsText" priority="41" operator="containsText" dxfId="12" text="▲">
      <formula>NOT(ISERROR(SEARCH("▲",Z70)))</formula>
    </cfRule>
    <cfRule type="containsText" priority="42" operator="containsText" dxfId="11" text="▼">
      <formula>NOT(ISERROR(SEARCH("▼",Z70)))</formula>
    </cfRule>
    <cfRule type="containsText" priority="39" operator="containsText" dxfId="12" text="▲">
      <formula>NOT(ISERROR(SEARCH("▲",Z70)))</formula>
    </cfRule>
    <cfRule type="containsText" priority="40" operator="containsText" dxfId="11" text="▼">
      <formula>NOT(ISERROR(SEARCH("▼",Z70)))</formula>
    </cfRule>
    <cfRule type="containsText" priority="37" operator="containsText" dxfId="12" text="▲">
      <formula>NOT(ISERROR(SEARCH("▲",Z70)))</formula>
    </cfRule>
    <cfRule type="containsText" priority="38" operator="containsText" dxfId="11" text="▼">
      <formula>NOT(ISERROR(SEARCH("▼",Z70)))</formula>
    </cfRule>
  </conditionalFormatting>
  <conditionalFormatting sqref="Z71:AA71">
    <cfRule type="containsText" priority="35" operator="containsText" dxfId="12" text="▲">
      <formula>NOT(ISERROR(SEARCH("▲",Z71)))</formula>
    </cfRule>
    <cfRule type="containsText" priority="36" operator="containsText" dxfId="11" text="▼">
      <formula>NOT(ISERROR(SEARCH("▼",Z71)))</formula>
    </cfRule>
  </conditionalFormatting>
  <conditionalFormatting sqref="Z72:AA72">
    <cfRule type="containsText" priority="33" operator="containsText" dxfId="12" text="△">
      <formula>NOT(ISERROR(SEARCH("△",Z72)))</formula>
    </cfRule>
    <cfRule type="containsText" priority="34" operator="containsText" dxfId="11" text="▽">
      <formula>NOT(ISERROR(SEARCH("▽",Z72)))</formula>
    </cfRule>
    <cfRule type="containsText" priority="31" operator="containsText" dxfId="12" text="▲">
      <formula>NOT(ISERROR(SEARCH("▲",Z72)))</formula>
    </cfRule>
    <cfRule type="containsText" priority="32" operator="containsText" dxfId="11" text="▼">
      <formula>NOT(ISERROR(SEARCH("▼",Z72)))</formula>
    </cfRule>
    <cfRule type="containsText" priority="29" operator="containsText" dxfId="12" text="▲">
      <formula>NOT(ISERROR(SEARCH("▲",Z72)))</formula>
    </cfRule>
    <cfRule type="containsText" priority="30" operator="containsText" dxfId="11" text="▼">
      <formula>NOT(ISERROR(SEARCH("▼",Z72)))</formula>
    </cfRule>
    <cfRule type="containsText" priority="27" operator="containsText" dxfId="12" text="▲">
      <formula>NOT(ISERROR(SEARCH("▲",Z72)))</formula>
    </cfRule>
    <cfRule type="containsText" priority="28" operator="containsText" dxfId="11" text="▼">
      <formula>NOT(ISERROR(SEARCH("▼",Z72)))</formula>
    </cfRule>
    <cfRule type="containsText" priority="25" operator="containsText" dxfId="12" text="▲">
      <formula>NOT(ISERROR(SEARCH("▲",Z72)))</formula>
    </cfRule>
    <cfRule type="containsText" priority="26" operator="containsText" dxfId="11" text="▼">
      <formula>NOT(ISERROR(SEARCH("▼",Z72)))</formula>
    </cfRule>
  </conditionalFormatting>
  <conditionalFormatting sqref="Z73:AA73">
    <cfRule type="containsText" priority="23" operator="containsText" dxfId="12" text="▲">
      <formula>NOT(ISERROR(SEARCH("▲",Z73)))</formula>
    </cfRule>
    <cfRule type="containsText" priority="24" operator="containsText" dxfId="11" text="▼">
      <formula>NOT(ISERROR(SEARCH("▼",Z73)))</formula>
    </cfRule>
  </conditionalFormatting>
  <conditionalFormatting sqref="Z77:AA77">
    <cfRule type="containsText" priority="21" operator="containsText" dxfId="12" text="▲">
      <formula>NOT(ISERROR(SEARCH("▲",Z77)))</formula>
    </cfRule>
    <cfRule type="containsText" priority="22" operator="containsText" dxfId="11" text="▼">
      <formula>NOT(ISERROR(SEARCH("▼",Z77)))</formula>
    </cfRule>
  </conditionalFormatting>
  <conditionalFormatting sqref="Z76:AA76">
    <cfRule type="containsText" priority="19" operator="containsText" dxfId="12" text="▲">
      <formula>NOT(ISERROR(SEARCH("▲",Z76)))</formula>
    </cfRule>
    <cfRule type="containsText" priority="20" operator="containsText" dxfId="11" text="▼">
      <formula>NOT(ISERROR(SEARCH("▼",Z76)))</formula>
    </cfRule>
  </conditionalFormatting>
  <conditionalFormatting sqref="Z75:AA75">
    <cfRule type="containsText" priority="17" operator="containsText" dxfId="12" text="▲">
      <formula>NOT(ISERROR(SEARCH("▲",Z75)))</formula>
    </cfRule>
    <cfRule type="containsText" priority="18" operator="containsText" dxfId="11" text="▼">
      <formula>NOT(ISERROR(SEARCH("▼",Z75)))</formula>
    </cfRule>
  </conditionalFormatting>
  <conditionalFormatting sqref="Z74:AA74">
    <cfRule type="containsText" priority="15" operator="containsText" dxfId="12" text="▲">
      <formula>NOT(ISERROR(SEARCH("▲",Z74)))</formula>
    </cfRule>
    <cfRule type="containsText" priority="16" operator="containsText" dxfId="11" text="▼">
      <formula>NOT(ISERROR(SEARCH("▼",Z74)))</formula>
    </cfRule>
  </conditionalFormatting>
  <conditionalFormatting sqref="Z78:AA78">
    <cfRule type="containsText" priority="13" operator="containsText" dxfId="12" text="△">
      <formula>NOT(ISERROR(SEARCH("△",Z78)))</formula>
    </cfRule>
    <cfRule type="containsText" priority="14" operator="containsText" dxfId="11" text="▽">
      <formula>NOT(ISERROR(SEARCH("▽",Z78)))</formula>
    </cfRule>
    <cfRule type="containsText" priority="11" operator="containsText" dxfId="12" text="▲">
      <formula>NOT(ISERROR(SEARCH("▲",Z78)))</formula>
    </cfRule>
    <cfRule type="containsText" priority="12" operator="containsText" dxfId="11" text="▼">
      <formula>NOT(ISERROR(SEARCH("▼",Z78)))</formula>
    </cfRule>
    <cfRule type="containsText" priority="9" operator="containsText" dxfId="12" text="▲">
      <formula>NOT(ISERROR(SEARCH("▲",Z78)))</formula>
    </cfRule>
    <cfRule type="containsText" priority="10" operator="containsText" dxfId="11" text="▼">
      <formula>NOT(ISERROR(SEARCH("▼",Z78)))</formula>
    </cfRule>
    <cfRule type="containsText" priority="7" operator="containsText" dxfId="12" text="▲">
      <formula>NOT(ISERROR(SEARCH("▲",Z78)))</formula>
    </cfRule>
    <cfRule type="containsText" priority="8" operator="containsText" dxfId="11" text="▼">
      <formula>NOT(ISERROR(SEARCH("▼",Z78)))</formula>
    </cfRule>
    <cfRule type="containsText" priority="5" operator="containsText" dxfId="12" text="▲">
      <formula>NOT(ISERROR(SEARCH("▲",Z78)))</formula>
    </cfRule>
    <cfRule type="containsText" priority="6" operator="containsText" dxfId="11" text="▼">
      <formula>NOT(ISERROR(SEARCH("▼",Z78)))</formula>
    </cfRule>
  </conditionalFormatting>
  <conditionalFormatting sqref="Z79:AA79">
    <cfRule type="containsText" priority="3" operator="containsText" dxfId="12" text="▲">
      <formula>NOT(ISERROR(SEARCH("▲",Z79)))</formula>
    </cfRule>
    <cfRule type="containsText" priority="4" operator="containsText" dxfId="11" text="▼">
      <formula>NOT(ISERROR(SEARCH("▼",Z79)))</formula>
    </cfRule>
  </conditionalFormatting>
  <conditionalFormatting sqref="Z101">
    <cfRule type="containsText" priority="1" operator="containsText" dxfId="12" text="△">
      <formula>NOT(ISERROR(SEARCH("△",Z101)))</formula>
    </cfRule>
    <cfRule type="containsText" priority="2" operator="containsText" dxfId="11" text="▽">
      <formula>NOT(ISERROR(SEARCH("▽",Z101)))</formula>
    </cfRule>
  </conditionalFormatting>
  <pageMargins left="0.7" right="0.7" top="0.75" bottom="0.75" header="0.3" footer="0.3"/>
  <pageSetup orientation="portrait" paperSize="9"/>
  <drawing xmlns:r="http://schemas.openxmlformats.org/officeDocument/2006/relationships" r:id="rId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codeName="工作表5">
    <outlinePr summaryBelow="1" summaryRight="1"/>
    <pageSetUpPr/>
  </sheetPr>
  <dimension ref="A1:S2298"/>
  <sheetViews>
    <sheetView workbookViewId="0">
      <pane ySplit="2" topLeftCell="A3" activePane="bottomLeft" state="frozen"/>
      <selection pane="bottomLeft" activeCell="A1" sqref="A1:N2298"/>
    </sheetView>
  </sheetViews>
  <sheetFormatPr baseColWidth="8" defaultRowHeight="16.5"/>
  <cols>
    <col width="8.5" bestFit="1" customWidth="1" style="503" min="1" max="1"/>
    <col width="14.25" bestFit="1" customWidth="1" min="2" max="2"/>
    <col width="7.125" bestFit="1" customWidth="1" min="3" max="4"/>
    <col width="10.375" bestFit="1" customWidth="1" style="504" min="5" max="5"/>
    <col width="9" bestFit="1" customWidth="1" style="505" min="6" max="6"/>
    <col width="8.125" bestFit="1" customWidth="1" min="7" max="8"/>
    <col width="10.375" bestFit="1" customWidth="1" min="9" max="9"/>
    <col width="9.25" bestFit="1" customWidth="1" min="10" max="10"/>
    <col width="7.125" bestFit="1" customWidth="1" min="11" max="12"/>
    <col width="9.875" bestFit="1" customWidth="1" style="175" min="13" max="13"/>
    <col width="61.5" customWidth="1" min="14" max="14"/>
    <col width="11.25" customWidth="1" min="16" max="16"/>
    <col width="10.625" customWidth="1" min="18" max="18"/>
  </cols>
  <sheetData>
    <row r="1" ht="18" customHeight="1" thickBot="1" thickTop="1">
      <c r="A1" s="171" t="inlineStr">
        <is>
          <t>代碼</t>
        </is>
      </c>
      <c r="B1" s="171" t="inlineStr">
        <is>
          <t>商品</t>
        </is>
      </c>
      <c r="C1" s="171" t="inlineStr">
        <is>
          <t>開盤</t>
        </is>
      </c>
      <c r="D1" s="171" t="inlineStr">
        <is>
          <t>成交</t>
        </is>
      </c>
      <c r="E1" s="506" t="inlineStr">
        <is>
          <t>漲跌</t>
        </is>
      </c>
      <c r="F1" s="171" t="inlineStr">
        <is>
          <t>漲幅%</t>
        </is>
      </c>
      <c r="G1" s="171" t="inlineStr">
        <is>
          <t>成交值</t>
        </is>
      </c>
      <c r="H1" s="171" t="inlineStr">
        <is>
          <t>總量</t>
        </is>
      </c>
      <c r="I1" s="171" t="inlineStr">
        <is>
          <t>五日均量</t>
        </is>
      </c>
      <c r="J1" s="171" t="inlineStr">
        <is>
          <t>股本</t>
        </is>
      </c>
      <c r="K1" s="171" t="inlineStr">
        <is>
          <t>最高</t>
        </is>
      </c>
      <c r="L1" s="171" t="inlineStr">
        <is>
          <t>最低</t>
        </is>
      </c>
      <c r="M1" s="174" t="inlineStr">
        <is>
          <t>換手率%</t>
        </is>
      </c>
      <c r="N1" s="171" t="inlineStr">
        <is>
          <t>產業地位</t>
        </is>
      </c>
      <c r="P1" s="171" t="inlineStr">
        <is>
          <t>上漲家數</t>
        </is>
      </c>
      <c r="Q1" s="172">
        <f>COUNTIF(E:E,"&gt;0")</f>
        <v/>
      </c>
      <c r="R1" s="171" t="inlineStr">
        <is>
          <t>下跌家數</t>
        </is>
      </c>
      <c r="S1" s="173">
        <f>COUNTIF(E:E,"&lt;0")</f>
        <v/>
      </c>
    </row>
    <row r="2" ht="18" customHeight="1" thickBot="1" thickTop="1">
      <c r="A2" t="inlineStr">
        <is>
          <t>00400A</t>
        </is>
      </c>
      <c r="B2" t="inlineStr">
        <is>
          <t>主動國泰動能高息</t>
        </is>
      </c>
      <c r="C2" t="n">
        <v>14.97</v>
      </c>
      <c r="D2" t="n">
        <v>14.76</v>
      </c>
      <c r="E2" s="504" t="n">
        <v>-0.19</v>
      </c>
      <c r="F2" s="505" t="n">
        <v>-1.27</v>
      </c>
      <c r="G2" t="inlineStr">
        <is>
          <t>9.05億</t>
        </is>
      </c>
      <c r="H2" t="n">
        <v>61555</v>
      </c>
      <c r="I2" t="n">
        <v>62050</v>
      </c>
      <c r="J2" t="inlineStr">
        <is>
          <t>--</t>
        </is>
      </c>
      <c r="K2" t="n">
        <v>15.05</v>
      </c>
      <c r="L2" t="n">
        <v>14.48</v>
      </c>
      <c r="M2" s="175" t="inlineStr">
        <is>
          <t>--</t>
        </is>
      </c>
      <c r="N2" t="inlineStr">
        <is>
          <t>--</t>
        </is>
      </c>
      <c r="P2" s="171" t="inlineStr">
        <is>
          <t>漲停家數</t>
        </is>
      </c>
      <c r="Q2" s="172">
        <f>COUNTIF(F:F,"&gt;9.8")</f>
        <v/>
      </c>
      <c r="R2" s="171" t="inlineStr">
        <is>
          <t>跌停家數</t>
        </is>
      </c>
      <c r="S2" s="173">
        <f>COUNTIF(F:F,"&lt;-9.8")</f>
        <v/>
      </c>
    </row>
    <row r="3" ht="17.25" customHeight="1" thickTop="1">
      <c r="A3" t="inlineStr">
        <is>
          <t>00401A</t>
        </is>
      </c>
      <c r="B3" t="inlineStr">
        <is>
          <t>主動摩根台灣鑫收</t>
        </is>
      </c>
      <c r="C3" t="n">
        <v>13.74</v>
      </c>
      <c r="D3" t="n">
        <v>13.69</v>
      </c>
      <c r="E3" s="504" t="n">
        <v>-0.05</v>
      </c>
      <c r="F3" s="505" t="n">
        <v>-0.36</v>
      </c>
      <c r="G3" t="inlineStr">
        <is>
          <t>9068萬</t>
        </is>
      </c>
      <c r="H3" t="n">
        <v>6649</v>
      </c>
      <c r="I3" t="n">
        <v>8664</v>
      </c>
      <c r="J3" t="inlineStr">
        <is>
          <t>--</t>
        </is>
      </c>
      <c r="K3" t="n">
        <v>13.83</v>
      </c>
      <c r="L3" t="n">
        <v>13.49</v>
      </c>
      <c r="M3" s="175" t="inlineStr">
        <is>
          <t>--</t>
        </is>
      </c>
      <c r="N3" t="inlineStr">
        <is>
          <t>--</t>
        </is>
      </c>
    </row>
    <row r="4">
      <c r="A4" t="inlineStr">
        <is>
          <t>00403A</t>
        </is>
      </c>
      <c r="B4" t="inlineStr">
        <is>
          <t>主動統一升級50</t>
        </is>
      </c>
      <c r="C4" t="n">
        <v>10.85</v>
      </c>
      <c r="D4" t="n">
        <v>10.7</v>
      </c>
      <c r="E4" s="504" t="n">
        <v>-0.12</v>
      </c>
      <c r="F4" s="505" t="n">
        <v>-1.11</v>
      </c>
      <c r="G4" t="inlineStr">
        <is>
          <t>53.7億</t>
        </is>
      </c>
      <c r="H4" t="n">
        <v>504310</v>
      </c>
      <c r="I4" t="n">
        <v>642105</v>
      </c>
      <c r="J4" t="inlineStr">
        <is>
          <t>--</t>
        </is>
      </c>
      <c r="K4" t="n">
        <v>10.87</v>
      </c>
      <c r="L4" t="n">
        <v>10.52</v>
      </c>
      <c r="M4" s="175" t="inlineStr">
        <is>
          <t>--</t>
        </is>
      </c>
      <c r="N4" t="inlineStr">
        <is>
          <t>--</t>
        </is>
      </c>
    </row>
    <row r="5">
      <c r="A5" t="n">
        <v>50</v>
      </c>
      <c r="B5" t="inlineStr">
        <is>
          <t>元大台灣50</t>
        </is>
      </c>
      <c r="C5" t="n">
        <v>106.3</v>
      </c>
      <c r="D5" t="n">
        <v>105.7</v>
      </c>
      <c r="E5" s="504" t="n">
        <v>0.2</v>
      </c>
      <c r="F5" s="505" t="n">
        <v>0.19</v>
      </c>
      <c r="G5" t="inlineStr">
        <is>
          <t>113億</t>
        </is>
      </c>
      <c r="H5" t="n">
        <v>107693</v>
      </c>
      <c r="I5" t="n">
        <v>115921</v>
      </c>
      <c r="J5" t="inlineStr">
        <is>
          <t>--</t>
        </is>
      </c>
      <c r="K5" t="n">
        <v>106.3</v>
      </c>
      <c r="L5" t="n">
        <v>104.2</v>
      </c>
      <c r="M5" s="175" t="inlineStr">
        <is>
          <t>--</t>
        </is>
      </c>
      <c r="N5" t="inlineStr">
        <is>
          <t>--</t>
        </is>
      </c>
    </row>
    <row r="6">
      <c r="A6" t="n">
        <v>51</v>
      </c>
      <c r="B6" t="inlineStr">
        <is>
          <t>元大中型100</t>
        </is>
      </c>
      <c r="C6" t="n">
        <v>145.25</v>
      </c>
      <c r="D6" t="n">
        <v>145.2</v>
      </c>
      <c r="E6" s="504" t="n">
        <v>0.2</v>
      </c>
      <c r="F6" s="505" t="n">
        <v>0.14</v>
      </c>
      <c r="G6" t="inlineStr">
        <is>
          <t>1401萬</t>
        </is>
      </c>
      <c r="H6" t="n">
        <v>97</v>
      </c>
      <c r="I6" t="n">
        <v>149</v>
      </c>
      <c r="J6" t="inlineStr">
        <is>
          <t>--</t>
        </is>
      </c>
      <c r="K6" t="n">
        <v>145.4</v>
      </c>
      <c r="L6" t="n">
        <v>143</v>
      </c>
      <c r="M6" s="175" t="inlineStr">
        <is>
          <t>--</t>
        </is>
      </c>
      <c r="N6" t="inlineStr">
        <is>
          <t>--</t>
        </is>
      </c>
    </row>
    <row r="7">
      <c r="A7" t="n">
        <v>52</v>
      </c>
      <c r="B7" t="inlineStr">
        <is>
          <t>富邦科技</t>
        </is>
      </c>
      <c r="C7" t="n">
        <v>62.85</v>
      </c>
      <c r="D7" t="n">
        <v>62.7</v>
      </c>
      <c r="E7" s="504" t="n">
        <v>0.65</v>
      </c>
      <c r="F7" s="505" t="n">
        <v>1.05</v>
      </c>
      <c r="G7" t="inlineStr">
        <is>
          <t>23.6億</t>
        </is>
      </c>
      <c r="H7" t="n">
        <v>37978</v>
      </c>
      <c r="I7" t="n">
        <v>34703</v>
      </c>
      <c r="J7" t="inlineStr">
        <is>
          <t>--</t>
        </is>
      </c>
      <c r="K7" t="n">
        <v>62.9</v>
      </c>
      <c r="L7" t="n">
        <v>61.6</v>
      </c>
      <c r="M7" s="175" t="inlineStr">
        <is>
          <t>--</t>
        </is>
      </c>
      <c r="N7" t="inlineStr">
        <is>
          <t>--</t>
        </is>
      </c>
    </row>
    <row r="8">
      <c r="A8" t="n">
        <v>53</v>
      </c>
      <c r="B8" t="inlineStr">
        <is>
          <t>元大電子</t>
        </is>
      </c>
      <c r="C8" t="n">
        <v>245</v>
      </c>
      <c r="D8" t="n">
        <v>243.35</v>
      </c>
      <c r="E8" s="504" t="n">
        <v>-1.4</v>
      </c>
      <c r="F8" s="505" t="n">
        <v>-0.57</v>
      </c>
      <c r="G8" t="inlineStr">
        <is>
          <t>707萬</t>
        </is>
      </c>
      <c r="H8" t="n">
        <v>29</v>
      </c>
      <c r="I8" t="n">
        <v>29</v>
      </c>
      <c r="J8" t="inlineStr">
        <is>
          <t>--</t>
        </is>
      </c>
      <c r="K8" t="n">
        <v>246.85</v>
      </c>
      <c r="L8" t="n">
        <v>241.7</v>
      </c>
      <c r="M8" s="175" t="inlineStr">
        <is>
          <t>--</t>
        </is>
      </c>
      <c r="N8" t="inlineStr">
        <is>
          <t>--</t>
        </is>
      </c>
    </row>
    <row r="9">
      <c r="A9" t="n">
        <v>55</v>
      </c>
      <c r="B9" t="inlineStr">
        <is>
          <t>元大MSCI金融</t>
        </is>
      </c>
      <c r="C9" t="n">
        <v>35.9</v>
      </c>
      <c r="D9" t="n">
        <v>36.59</v>
      </c>
      <c r="E9" s="504" t="n">
        <v>0.6899999999999999</v>
      </c>
      <c r="F9" s="505" t="n">
        <v>1.92</v>
      </c>
      <c r="G9" t="inlineStr">
        <is>
          <t>4270萬</t>
        </is>
      </c>
      <c r="H9" t="n">
        <v>1190</v>
      </c>
      <c r="I9" t="n">
        <v>588</v>
      </c>
      <c r="J9" t="inlineStr">
        <is>
          <t>--</t>
        </is>
      </c>
      <c r="K9" t="n">
        <v>36.59</v>
      </c>
      <c r="L9" t="n">
        <v>35.76</v>
      </c>
      <c r="M9" s="175" t="inlineStr">
        <is>
          <t>--</t>
        </is>
      </c>
      <c r="N9" t="inlineStr">
        <is>
          <t>--</t>
        </is>
      </c>
    </row>
    <row r="10">
      <c r="A10" t="n">
        <v>56</v>
      </c>
      <c r="B10" t="inlineStr">
        <is>
          <t>元大高股息</t>
        </is>
      </c>
      <c r="C10" t="n">
        <v>52.2</v>
      </c>
      <c r="D10" t="n">
        <v>52.8</v>
      </c>
      <c r="E10" s="504" t="n">
        <v>0.9</v>
      </c>
      <c r="F10" s="505" t="n">
        <v>1.73</v>
      </c>
      <c r="G10" t="inlineStr">
        <is>
          <t>35.4億</t>
        </is>
      </c>
      <c r="H10" t="n">
        <v>67975</v>
      </c>
      <c r="I10" t="n">
        <v>58170</v>
      </c>
      <c r="J10" t="inlineStr">
        <is>
          <t>--</t>
        </is>
      </c>
      <c r="K10" t="n">
        <v>52.8</v>
      </c>
      <c r="L10" t="n">
        <v>51.45</v>
      </c>
      <c r="M10" s="175" t="inlineStr">
        <is>
          <t>--</t>
        </is>
      </c>
      <c r="N10" t="inlineStr">
        <is>
          <t>--</t>
        </is>
      </c>
    </row>
    <row r="11">
      <c r="A11" t="n">
        <v>57</v>
      </c>
      <c r="B11" t="inlineStr">
        <is>
          <t>富邦摩台</t>
        </is>
      </c>
      <c r="C11" t="n">
        <v>313.25</v>
      </c>
      <c r="D11" t="n">
        <v>312.35</v>
      </c>
      <c r="E11" s="504" t="n">
        <v>-1.05</v>
      </c>
      <c r="F11" s="505" t="n">
        <v>-0.34</v>
      </c>
      <c r="G11" t="inlineStr">
        <is>
          <t>187萬</t>
        </is>
      </c>
      <c r="H11" t="n">
        <v>6</v>
      </c>
      <c r="I11" t="n">
        <v>40</v>
      </c>
      <c r="J11" t="inlineStr">
        <is>
          <t>--</t>
        </is>
      </c>
      <c r="K11" t="n">
        <v>313.25</v>
      </c>
      <c r="L11" t="n">
        <v>311.7</v>
      </c>
      <c r="M11" s="175" t="inlineStr">
        <is>
          <t>--</t>
        </is>
      </c>
      <c r="N11" t="inlineStr">
        <is>
          <t>--</t>
        </is>
      </c>
    </row>
    <row r="12">
      <c r="A12" t="n">
        <v>61</v>
      </c>
      <c r="B12" t="inlineStr">
        <is>
          <t>元大寶滬深</t>
        </is>
      </c>
      <c r="C12" t="n">
        <v>24.97</v>
      </c>
      <c r="D12" t="n">
        <v>25.28</v>
      </c>
      <c r="E12" s="504" t="n">
        <v>0.3</v>
      </c>
      <c r="F12" s="505" t="n">
        <v>1.2</v>
      </c>
      <c r="G12" t="inlineStr">
        <is>
          <t>1010萬</t>
        </is>
      </c>
      <c r="H12" t="n">
        <v>402</v>
      </c>
      <c r="I12" t="n">
        <v>432</v>
      </c>
      <c r="J12" t="inlineStr">
        <is>
          <t>--</t>
        </is>
      </c>
      <c r="K12" t="n">
        <v>25.29</v>
      </c>
      <c r="L12" t="n">
        <v>24.85</v>
      </c>
      <c r="M12" s="175" t="inlineStr">
        <is>
          <t>--</t>
        </is>
      </c>
      <c r="N12" t="inlineStr">
        <is>
          <t>--</t>
        </is>
      </c>
    </row>
    <row r="13">
      <c r="A13" t="n">
        <v>6201</v>
      </c>
      <c r="B13" t="inlineStr">
        <is>
          <t>元大富櫃50</t>
        </is>
      </c>
      <c r="C13" t="n">
        <v>50.8</v>
      </c>
      <c r="D13" t="n">
        <v>49.55</v>
      </c>
      <c r="E13" s="504" t="n">
        <v>-0.8</v>
      </c>
      <c r="F13" s="505" t="n">
        <v>-1.59</v>
      </c>
      <c r="G13" t="inlineStr">
        <is>
          <t>1259萬</t>
        </is>
      </c>
      <c r="H13" t="n">
        <v>255</v>
      </c>
      <c r="I13" t="n">
        <v>364</v>
      </c>
      <c r="J13" t="inlineStr">
        <is>
          <t>--</t>
        </is>
      </c>
      <c r="K13" t="n">
        <v>50.8</v>
      </c>
      <c r="L13" t="n">
        <v>48.6</v>
      </c>
      <c r="M13" s="175" t="inlineStr">
        <is>
          <t>--</t>
        </is>
      </c>
      <c r="N13" t="inlineStr">
        <is>
          <t>--</t>
        </is>
      </c>
    </row>
    <row r="14">
      <c r="A14" s="274" t="n">
        <v>6203</v>
      </c>
      <c r="B14" t="inlineStr">
        <is>
          <t>元大MSCI台灣</t>
        </is>
      </c>
      <c r="C14" t="n">
        <v>192</v>
      </c>
      <c r="D14" t="n">
        <v>191.9</v>
      </c>
      <c r="E14" s="504" t="n">
        <v>-0.15</v>
      </c>
      <c r="F14" s="505" t="n">
        <v>-0.08</v>
      </c>
      <c r="G14" t="inlineStr">
        <is>
          <t>1184萬</t>
        </is>
      </c>
      <c r="H14" t="n">
        <v>62</v>
      </c>
      <c r="I14" t="n">
        <v>32</v>
      </c>
      <c r="J14" t="inlineStr">
        <is>
          <t>--</t>
        </is>
      </c>
      <c r="K14" t="n">
        <v>192.15</v>
      </c>
      <c r="L14" t="n">
        <v>189.9</v>
      </c>
      <c r="M14" s="175" t="inlineStr">
        <is>
          <t>--</t>
        </is>
      </c>
      <c r="N14" t="inlineStr">
        <is>
          <t>--</t>
        </is>
      </c>
    </row>
    <row r="15">
      <c r="A15" t="n">
        <v>6204</v>
      </c>
      <c r="B15" t="inlineStr">
        <is>
          <t>永豐臺灣加權</t>
        </is>
      </c>
      <c r="C15" t="n">
        <v>227.7</v>
      </c>
      <c r="D15" t="n">
        <v>227.2</v>
      </c>
      <c r="E15" s="504" t="n">
        <v>-1.1</v>
      </c>
      <c r="F15" s="505" t="n">
        <v>-0.48</v>
      </c>
      <c r="G15" t="inlineStr">
        <is>
          <t>3067萬</t>
        </is>
      </c>
      <c r="H15" t="n">
        <v>135</v>
      </c>
      <c r="I15" t="n">
        <v>30</v>
      </c>
      <c r="J15" t="inlineStr">
        <is>
          <t>--</t>
        </is>
      </c>
      <c r="K15" t="n">
        <v>227.8</v>
      </c>
      <c r="L15" t="n">
        <v>227.1</v>
      </c>
      <c r="M15" s="175" t="inlineStr">
        <is>
          <t>--</t>
        </is>
      </c>
      <c r="N15" t="inlineStr">
        <is>
          <t>--</t>
        </is>
      </c>
    </row>
    <row r="16">
      <c r="A16" t="n">
        <v>6205</v>
      </c>
      <c r="B16" t="inlineStr">
        <is>
          <t>富邦上証</t>
        </is>
      </c>
      <c r="C16" t="n">
        <v>40.6</v>
      </c>
      <c r="D16" t="n">
        <v>41.1</v>
      </c>
      <c r="E16" s="504" t="n">
        <v>0.47</v>
      </c>
      <c r="F16" s="505" t="n">
        <v>1.16</v>
      </c>
      <c r="G16" t="inlineStr">
        <is>
          <t>2853萬</t>
        </is>
      </c>
      <c r="H16" t="n">
        <v>703</v>
      </c>
      <c r="I16" t="n">
        <v>1031</v>
      </c>
      <c r="J16" t="inlineStr">
        <is>
          <t>--</t>
        </is>
      </c>
      <c r="K16" t="n">
        <v>41.1</v>
      </c>
      <c r="L16" t="n">
        <v>40.36</v>
      </c>
      <c r="M16" s="175" t="inlineStr">
        <is>
          <t>--</t>
        </is>
      </c>
      <c r="N16" t="inlineStr">
        <is>
          <t>--</t>
        </is>
      </c>
    </row>
    <row r="17">
      <c r="A17" t="n">
        <v>6206</v>
      </c>
      <c r="B17" t="inlineStr">
        <is>
          <t>元大上證50</t>
        </is>
      </c>
      <c r="C17" t="n">
        <v>36.2</v>
      </c>
      <c r="D17" t="n">
        <v>36.87</v>
      </c>
      <c r="E17" s="504" t="n">
        <v>0.52</v>
      </c>
      <c r="F17" s="505" t="n">
        <v>1.43</v>
      </c>
      <c r="G17" t="inlineStr">
        <is>
          <t>869萬</t>
        </is>
      </c>
      <c r="H17" t="n">
        <v>238</v>
      </c>
      <c r="I17" t="n">
        <v>163</v>
      </c>
      <c r="J17" t="inlineStr">
        <is>
          <t>--</t>
        </is>
      </c>
      <c r="K17" t="n">
        <v>36.87</v>
      </c>
      <c r="L17" t="n">
        <v>36.16</v>
      </c>
      <c r="M17" s="175" t="inlineStr">
        <is>
          <t>--</t>
        </is>
      </c>
      <c r="N17" t="inlineStr">
        <is>
          <t>--</t>
        </is>
      </c>
    </row>
    <row r="18">
      <c r="A18" t="n">
        <v>6207</v>
      </c>
      <c r="B18" t="inlineStr">
        <is>
          <t>復華滬深</t>
        </is>
      </c>
      <c r="C18" t="n">
        <v>33.28</v>
      </c>
      <c r="D18" t="n">
        <v>33.91</v>
      </c>
      <c r="E18" s="504" t="n">
        <v>0.41</v>
      </c>
      <c r="F18" s="505" t="n">
        <v>1.22</v>
      </c>
      <c r="G18" t="inlineStr">
        <is>
          <t>780萬</t>
        </is>
      </c>
      <c r="H18" t="n">
        <v>231</v>
      </c>
      <c r="I18" t="n">
        <v>348</v>
      </c>
      <c r="J18" t="inlineStr">
        <is>
          <t>--</t>
        </is>
      </c>
      <c r="K18" t="n">
        <v>33.92</v>
      </c>
      <c r="L18" t="n">
        <v>33.28</v>
      </c>
      <c r="M18" s="175" t="inlineStr">
        <is>
          <t>--</t>
        </is>
      </c>
      <c r="N18" t="inlineStr">
        <is>
          <t>--</t>
        </is>
      </c>
    </row>
    <row r="19">
      <c r="A19" t="n">
        <v>6208</v>
      </c>
      <c r="B19" t="inlineStr">
        <is>
          <t>富邦台50</t>
        </is>
      </c>
      <c r="C19" t="n">
        <v>244.8</v>
      </c>
      <c r="D19" t="n">
        <v>244.55</v>
      </c>
      <c r="E19" s="504" t="n">
        <v>0.65</v>
      </c>
      <c r="F19" s="505" t="n">
        <v>0.27</v>
      </c>
      <c r="G19" t="inlineStr">
        <is>
          <t>6.48億</t>
        </is>
      </c>
      <c r="H19" t="n">
        <v>2664</v>
      </c>
      <c r="I19" t="n">
        <v>4405</v>
      </c>
      <c r="J19" t="inlineStr">
        <is>
          <t>--</t>
        </is>
      </c>
      <c r="K19" t="n">
        <v>245.65</v>
      </c>
      <c r="L19" t="n">
        <v>241.45</v>
      </c>
      <c r="M19" s="175" t="inlineStr">
        <is>
          <t>--</t>
        </is>
      </c>
      <c r="N19" t="inlineStr">
        <is>
          <t>--</t>
        </is>
      </c>
    </row>
    <row r="20">
      <c r="A20" t="inlineStr">
        <is>
          <t>00625K</t>
        </is>
      </c>
      <c r="B20" t="inlineStr">
        <is>
          <t>富邦上証+R</t>
        </is>
      </c>
      <c r="C20" t="inlineStr">
        <is>
          <t>--</t>
        </is>
      </c>
      <c r="D20" t="inlineStr">
        <is>
          <t>--</t>
        </is>
      </c>
      <c r="E20" s="504" t="inlineStr">
        <is>
          <t>--</t>
        </is>
      </c>
      <c r="F20" s="505" t="inlineStr">
        <is>
          <t>--</t>
        </is>
      </c>
      <c r="G20" t="inlineStr">
        <is>
          <t>--</t>
        </is>
      </c>
      <c r="H20" t="n">
        <v>0</v>
      </c>
      <c r="I20" t="n">
        <v>0</v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s="175" t="inlineStr">
        <is>
          <t>--</t>
        </is>
      </c>
      <c r="N20" t="inlineStr">
        <is>
          <t>--</t>
        </is>
      </c>
    </row>
    <row r="21">
      <c r="A21" t="inlineStr">
        <is>
          <t>00631L</t>
        </is>
      </c>
      <c r="B21" t="inlineStr">
        <is>
          <t>元大台灣50正2</t>
        </is>
      </c>
      <c r="C21" t="n">
        <v>37.95</v>
      </c>
      <c r="D21" t="n">
        <v>37.91</v>
      </c>
      <c r="E21" s="504" t="n">
        <v>0.13</v>
      </c>
      <c r="F21" s="505" t="n">
        <v>0.34</v>
      </c>
      <c r="G21" t="inlineStr">
        <is>
          <t>98.0億</t>
        </is>
      </c>
      <c r="H21" t="n">
        <v>261018</v>
      </c>
      <c r="I21" t="n">
        <v>241379</v>
      </c>
      <c r="J21" t="inlineStr">
        <is>
          <t>--</t>
        </is>
      </c>
      <c r="K21" t="n">
        <v>38.1</v>
      </c>
      <c r="L21" t="n">
        <v>36.88</v>
      </c>
      <c r="M21" s="175" t="inlineStr">
        <is>
          <t>--</t>
        </is>
      </c>
      <c r="N21" t="inlineStr">
        <is>
          <t>--</t>
        </is>
      </c>
    </row>
    <row r="22">
      <c r="A22" t="inlineStr">
        <is>
          <t>00632R</t>
        </is>
      </c>
      <c r="B22" t="inlineStr">
        <is>
          <t>元大台灣50反1</t>
        </is>
      </c>
      <c r="C22" t="n">
        <v>10.21</v>
      </c>
      <c r="D22" t="n">
        <v>10.19</v>
      </c>
      <c r="E22" s="504" t="n">
        <v>-0.03</v>
      </c>
      <c r="F22" s="505" t="n">
        <v>-0.29</v>
      </c>
      <c r="G22" t="inlineStr">
        <is>
          <t>14.6億</t>
        </is>
      </c>
      <c r="H22" t="n">
        <v>142684</v>
      </c>
      <c r="I22" t="n">
        <v>160547</v>
      </c>
      <c r="J22" t="inlineStr">
        <is>
          <t>--</t>
        </is>
      </c>
      <c r="K22" t="n">
        <v>10.36</v>
      </c>
      <c r="L22" t="n">
        <v>10.18</v>
      </c>
      <c r="M22" s="175" t="inlineStr">
        <is>
          <t>--</t>
        </is>
      </c>
      <c r="N22" t="inlineStr">
        <is>
          <t>--</t>
        </is>
      </c>
    </row>
    <row r="23">
      <c r="A23" t="inlineStr">
        <is>
          <t>00633L</t>
        </is>
      </c>
      <c r="B23" t="inlineStr">
        <is>
          <t>富邦上証正2</t>
        </is>
      </c>
      <c r="C23" t="n">
        <v>52.3</v>
      </c>
      <c r="D23" t="n">
        <v>54.6</v>
      </c>
      <c r="E23" s="504" t="n">
        <v>1.85</v>
      </c>
      <c r="F23" s="505" t="n">
        <v>3.51</v>
      </c>
      <c r="G23" t="inlineStr">
        <is>
          <t>3.72億</t>
        </is>
      </c>
      <c r="H23" t="n">
        <v>6972</v>
      </c>
      <c r="I23" t="n">
        <v>4725</v>
      </c>
      <c r="J23" t="inlineStr">
        <is>
          <t>--</t>
        </is>
      </c>
      <c r="K23" t="n">
        <v>54.65</v>
      </c>
      <c r="L23" t="n">
        <v>51.9</v>
      </c>
      <c r="M23" s="175" t="inlineStr">
        <is>
          <t>--</t>
        </is>
      </c>
      <c r="N23" t="inlineStr">
        <is>
          <t>--</t>
        </is>
      </c>
    </row>
    <row r="24">
      <c r="A24" t="inlineStr">
        <is>
          <t>00634R</t>
        </is>
      </c>
      <c r="B24" t="inlineStr">
        <is>
          <t>富邦上証反1</t>
        </is>
      </c>
      <c r="C24" t="n">
        <v>3.03</v>
      </c>
      <c r="D24" t="n">
        <v>2.99</v>
      </c>
      <c r="E24" s="504" t="n">
        <v>-0.06</v>
      </c>
      <c r="F24" s="505" t="n">
        <v>-1.97</v>
      </c>
      <c r="G24" t="inlineStr">
        <is>
          <t>34.9萬</t>
        </is>
      </c>
      <c r="H24" t="n">
        <v>116</v>
      </c>
      <c r="I24" t="n">
        <v>545</v>
      </c>
      <c r="J24" t="inlineStr">
        <is>
          <t>--</t>
        </is>
      </c>
      <c r="K24" t="n">
        <v>3.03</v>
      </c>
      <c r="L24" t="n">
        <v>2.99</v>
      </c>
      <c r="M24" s="175" t="inlineStr">
        <is>
          <t>--</t>
        </is>
      </c>
      <c r="N24" t="inlineStr">
        <is>
          <t>--</t>
        </is>
      </c>
    </row>
    <row r="25">
      <c r="A25" t="inlineStr">
        <is>
          <t>00635U</t>
        </is>
      </c>
      <c r="B25" t="inlineStr">
        <is>
          <t>期元大S＆P黃金</t>
        </is>
      </c>
      <c r="C25" t="n">
        <v>46.81</v>
      </c>
      <c r="D25" t="n">
        <v>47.2</v>
      </c>
      <c r="E25" s="504" t="n">
        <v>-0.02</v>
      </c>
      <c r="F25" s="505" t="n">
        <v>-0.04</v>
      </c>
      <c r="G25" t="inlineStr">
        <is>
          <t>1.44億</t>
        </is>
      </c>
      <c r="H25" t="n">
        <v>3069</v>
      </c>
      <c r="I25" t="n">
        <v>5249</v>
      </c>
      <c r="J25" t="inlineStr">
        <is>
          <t>--</t>
        </is>
      </c>
      <c r="K25" t="n">
        <v>47.2</v>
      </c>
      <c r="L25" t="n">
        <v>46.66</v>
      </c>
      <c r="M25" s="175" t="inlineStr">
        <is>
          <t>--</t>
        </is>
      </c>
      <c r="N25" t="inlineStr">
        <is>
          <t>--</t>
        </is>
      </c>
    </row>
    <row r="26">
      <c r="A26" t="n">
        <v>636</v>
      </c>
      <c r="B26" t="inlineStr">
        <is>
          <t>國泰中國A50</t>
        </is>
      </c>
      <c r="C26" t="n">
        <v>28.5</v>
      </c>
      <c r="D26" t="n">
        <v>29.31</v>
      </c>
      <c r="E26" s="504" t="n">
        <v>0.58</v>
      </c>
      <c r="F26" s="505" t="n">
        <v>2.02</v>
      </c>
      <c r="G26" t="inlineStr">
        <is>
          <t>2193萬</t>
        </is>
      </c>
      <c r="H26" t="n">
        <v>759</v>
      </c>
      <c r="I26" t="n">
        <v>788</v>
      </c>
      <c r="J26" t="inlineStr">
        <is>
          <t>--</t>
        </is>
      </c>
      <c r="K26" t="n">
        <v>29.31</v>
      </c>
      <c r="L26" t="n">
        <v>28.45</v>
      </c>
      <c r="M26" s="175" t="inlineStr">
        <is>
          <t>--</t>
        </is>
      </c>
      <c r="N26" t="inlineStr">
        <is>
          <t>--</t>
        </is>
      </c>
    </row>
    <row r="27">
      <c r="A27" t="inlineStr">
        <is>
          <t>00636K</t>
        </is>
      </c>
      <c r="B27" t="inlineStr">
        <is>
          <t>國泰中國A50+U</t>
        </is>
      </c>
      <c r="C27" t="n">
        <v>9.279999999999999</v>
      </c>
      <c r="D27" t="n">
        <v>9.279999999999999</v>
      </c>
      <c r="E27" s="504" t="n">
        <v>0.07000000000000001</v>
      </c>
      <c r="F27" s="505" t="n">
        <v>0.76</v>
      </c>
      <c r="G27" t="n">
        <v>1856</v>
      </c>
      <c r="H27" t="n">
        <v>2</v>
      </c>
      <c r="I27" t="n">
        <v>2</v>
      </c>
      <c r="J27" t="inlineStr">
        <is>
          <t>--</t>
        </is>
      </c>
      <c r="K27" t="n">
        <v>9.279999999999999</v>
      </c>
      <c r="L27" t="n">
        <v>9.279999999999999</v>
      </c>
      <c r="M27" s="175" t="inlineStr">
        <is>
          <t>--</t>
        </is>
      </c>
      <c r="N27" t="inlineStr">
        <is>
          <t>--</t>
        </is>
      </c>
    </row>
    <row r="28">
      <c r="A28" t="inlineStr">
        <is>
          <t>00637L</t>
        </is>
      </c>
      <c r="B28" t="inlineStr">
        <is>
          <t>元大滬深300正2</t>
        </is>
      </c>
      <c r="C28" t="n">
        <v>21.56</v>
      </c>
      <c r="D28" t="n">
        <v>22.56</v>
      </c>
      <c r="E28" s="504" t="n">
        <v>0.8100000000000001</v>
      </c>
      <c r="F28" s="505" t="n">
        <v>3.72</v>
      </c>
      <c r="G28" t="inlineStr">
        <is>
          <t>7.57億</t>
        </is>
      </c>
      <c r="H28" t="n">
        <v>34397</v>
      </c>
      <c r="I28" t="n">
        <v>37013</v>
      </c>
      <c r="J28" t="inlineStr">
        <is>
          <t>--</t>
        </is>
      </c>
      <c r="K28" t="n">
        <v>22.59</v>
      </c>
      <c r="L28" t="n">
        <v>21.4</v>
      </c>
      <c r="M28" s="175" t="inlineStr">
        <is>
          <t>--</t>
        </is>
      </c>
      <c r="N28" t="inlineStr">
        <is>
          <t>--</t>
        </is>
      </c>
    </row>
    <row r="29">
      <c r="A29" t="inlineStr">
        <is>
          <t>00638R</t>
        </is>
      </c>
      <c r="B29" t="inlineStr">
        <is>
          <t>元大滬深300反1</t>
        </is>
      </c>
      <c r="C29" t="n">
        <v>6.51</v>
      </c>
      <c r="D29" t="n">
        <v>6.38</v>
      </c>
      <c r="E29" s="504" t="n">
        <v>-0.07000000000000001</v>
      </c>
      <c r="F29" s="505" t="n">
        <v>-1.09</v>
      </c>
      <c r="G29" t="inlineStr">
        <is>
          <t>147萬</t>
        </is>
      </c>
      <c r="H29" t="n">
        <v>229</v>
      </c>
      <c r="I29" t="n">
        <v>259</v>
      </c>
      <c r="J29" t="inlineStr">
        <is>
          <t>--</t>
        </is>
      </c>
      <c r="K29" t="n">
        <v>6.53</v>
      </c>
      <c r="L29" t="n">
        <v>6.38</v>
      </c>
      <c r="M29" s="175" t="inlineStr">
        <is>
          <t>--</t>
        </is>
      </c>
      <c r="N29" t="inlineStr">
        <is>
          <t>--</t>
        </is>
      </c>
    </row>
    <row r="30">
      <c r="A30" t="n">
        <v>639</v>
      </c>
      <c r="B30" t="inlineStr">
        <is>
          <t>富邦深100</t>
        </is>
      </c>
      <c r="C30" t="n">
        <v>18</v>
      </c>
      <c r="D30" t="n">
        <v>18.45</v>
      </c>
      <c r="E30" s="504" t="n">
        <v>0.28</v>
      </c>
      <c r="F30" s="505" t="n">
        <v>1.54</v>
      </c>
      <c r="G30" t="inlineStr">
        <is>
          <t>2436萬</t>
        </is>
      </c>
      <c r="H30" t="n">
        <v>1337</v>
      </c>
      <c r="I30" t="n">
        <v>1646</v>
      </c>
      <c r="J30" t="inlineStr">
        <is>
          <t>--</t>
        </is>
      </c>
      <c r="K30" t="n">
        <v>18.45</v>
      </c>
      <c r="L30" t="n">
        <v>17.91</v>
      </c>
      <c r="M30" s="175" t="inlineStr">
        <is>
          <t>--</t>
        </is>
      </c>
      <c r="N30" t="inlineStr">
        <is>
          <t>--</t>
        </is>
      </c>
    </row>
    <row r="31">
      <c r="A31" t="inlineStr">
        <is>
          <t>00640L</t>
        </is>
      </c>
      <c r="B31" t="inlineStr">
        <is>
          <t>富邦日本正2</t>
        </is>
      </c>
      <c r="C31" t="n">
        <v>98.84999999999999</v>
      </c>
      <c r="D31" t="n">
        <v>100.3</v>
      </c>
      <c r="E31" s="504" t="n">
        <v>-0.55</v>
      </c>
      <c r="F31" s="505" t="n">
        <v>-0.55</v>
      </c>
      <c r="G31" t="inlineStr">
        <is>
          <t>3038萬</t>
        </is>
      </c>
      <c r="H31" t="n">
        <v>308</v>
      </c>
      <c r="I31" t="n">
        <v>342</v>
      </c>
      <c r="J31" t="inlineStr">
        <is>
          <t>--</t>
        </is>
      </c>
      <c r="K31" t="n">
        <v>100.35</v>
      </c>
      <c r="L31" t="n">
        <v>98.25</v>
      </c>
      <c r="M31" s="175" t="inlineStr">
        <is>
          <t>--</t>
        </is>
      </c>
      <c r="N31" t="inlineStr">
        <is>
          <t>--</t>
        </is>
      </c>
    </row>
    <row r="32">
      <c r="A32" t="inlineStr">
        <is>
          <t>00641R</t>
        </is>
      </c>
      <c r="B32" t="inlineStr">
        <is>
          <t>富邦日本反1</t>
        </is>
      </c>
      <c r="C32" t="n">
        <v>3.89</v>
      </c>
      <c r="D32" t="n">
        <v>3.89</v>
      </c>
      <c r="E32" s="504" t="n">
        <v>0.03</v>
      </c>
      <c r="F32" s="505" t="n">
        <v>0.78</v>
      </c>
      <c r="G32" t="inlineStr">
        <is>
          <t>668萬</t>
        </is>
      </c>
      <c r="H32" t="n">
        <v>1716</v>
      </c>
      <c r="I32" t="n">
        <v>1037</v>
      </c>
      <c r="J32" t="inlineStr">
        <is>
          <t>--</t>
        </is>
      </c>
      <c r="K32" t="n">
        <v>3.92</v>
      </c>
      <c r="L32" t="n">
        <v>3.88</v>
      </c>
      <c r="M32" s="175" t="inlineStr">
        <is>
          <t>--</t>
        </is>
      </c>
      <c r="N32" t="inlineStr">
        <is>
          <t>--</t>
        </is>
      </c>
    </row>
    <row r="33">
      <c r="A33" t="inlineStr">
        <is>
          <t>00642U</t>
        </is>
      </c>
      <c r="B33" t="inlineStr">
        <is>
          <t>期元大S＆P石油</t>
        </is>
      </c>
      <c r="C33" t="n">
        <v>29.13</v>
      </c>
      <c r="D33" t="n">
        <v>28.77</v>
      </c>
      <c r="E33" s="504" t="n">
        <v>0.53</v>
      </c>
      <c r="F33" s="505" t="n">
        <v>1.88</v>
      </c>
      <c r="G33" t="inlineStr">
        <is>
          <t>1.25億</t>
        </is>
      </c>
      <c r="H33" t="n">
        <v>4327</v>
      </c>
      <c r="I33" t="n">
        <v>6403</v>
      </c>
      <c r="J33" t="inlineStr">
        <is>
          <t>--</t>
        </is>
      </c>
      <c r="K33" t="n">
        <v>29.15</v>
      </c>
      <c r="L33" t="n">
        <v>28.74</v>
      </c>
      <c r="M33" s="175" t="inlineStr">
        <is>
          <t>--</t>
        </is>
      </c>
      <c r="N33" t="inlineStr">
        <is>
          <t>--</t>
        </is>
      </c>
    </row>
    <row r="34">
      <c r="A34" t="n">
        <v>643</v>
      </c>
      <c r="B34" t="inlineStr">
        <is>
          <t>群益深証中小</t>
        </is>
      </c>
      <c r="C34" t="n">
        <v>19.75</v>
      </c>
      <c r="D34" t="n">
        <v>20.03</v>
      </c>
      <c r="E34" s="504" t="n">
        <v>0.19</v>
      </c>
      <c r="F34" s="505" t="n">
        <v>0.96</v>
      </c>
      <c r="G34" t="inlineStr">
        <is>
          <t>6884萬</t>
        </is>
      </c>
      <c r="H34" t="n">
        <v>3474</v>
      </c>
      <c r="I34" t="n">
        <v>3159</v>
      </c>
      <c r="J34" t="inlineStr">
        <is>
          <t>--</t>
        </is>
      </c>
      <c r="K34" t="n">
        <v>20.03</v>
      </c>
      <c r="L34" t="n">
        <v>19.44</v>
      </c>
      <c r="M34" s="175" t="inlineStr">
        <is>
          <t>--</t>
        </is>
      </c>
      <c r="N34" t="inlineStr">
        <is>
          <t>--</t>
        </is>
      </c>
    </row>
    <row r="35">
      <c r="A35" t="inlineStr">
        <is>
          <t>00643K</t>
        </is>
      </c>
      <c r="B35" t="inlineStr">
        <is>
          <t>群益深証中小+R</t>
        </is>
      </c>
      <c r="C35" t="inlineStr">
        <is>
          <t>--</t>
        </is>
      </c>
      <c r="D35" t="inlineStr">
        <is>
          <t>--</t>
        </is>
      </c>
      <c r="E35" s="504" t="inlineStr">
        <is>
          <t>--</t>
        </is>
      </c>
      <c r="F35" s="505" t="inlineStr">
        <is>
          <t>--</t>
        </is>
      </c>
      <c r="G35" t="inlineStr">
        <is>
          <t>--</t>
        </is>
      </c>
      <c r="H35" t="n">
        <v>0</v>
      </c>
      <c r="I35" t="n">
        <v>0</v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s="175" t="inlineStr">
        <is>
          <t>--</t>
        </is>
      </c>
      <c r="N35" t="inlineStr">
        <is>
          <t>--</t>
        </is>
      </c>
    </row>
    <row r="36">
      <c r="A36" t="n">
        <v>645</v>
      </c>
      <c r="B36" t="inlineStr">
        <is>
          <t>富邦日本</t>
        </is>
      </c>
      <c r="C36" t="n">
        <v>54.9</v>
      </c>
      <c r="D36" t="n">
        <v>55.1</v>
      </c>
      <c r="E36" s="504" t="n">
        <v>-0.2</v>
      </c>
      <c r="F36" s="505" t="n">
        <v>-0.36</v>
      </c>
      <c r="G36" t="inlineStr">
        <is>
          <t>1376萬</t>
        </is>
      </c>
      <c r="H36" t="n">
        <v>251</v>
      </c>
      <c r="I36" t="n">
        <v>518</v>
      </c>
      <c r="J36" t="inlineStr">
        <is>
          <t>--</t>
        </is>
      </c>
      <c r="K36" t="n">
        <v>55.2</v>
      </c>
      <c r="L36" t="n">
        <v>54.65</v>
      </c>
      <c r="M36" s="175" t="inlineStr">
        <is>
          <t>--</t>
        </is>
      </c>
      <c r="N36" t="inlineStr">
        <is>
          <t>--</t>
        </is>
      </c>
    </row>
    <row r="37">
      <c r="A37" t="n">
        <v>646</v>
      </c>
      <c r="B37" t="inlineStr">
        <is>
          <t>元大S＆P500</t>
        </is>
      </c>
      <c r="C37" t="n">
        <v>74.7</v>
      </c>
      <c r="D37" t="n">
        <v>75</v>
      </c>
      <c r="E37" s="504" t="n">
        <v>0.05</v>
      </c>
      <c r="F37" s="505" t="n">
        <v>0.07000000000000001</v>
      </c>
      <c r="G37" t="inlineStr">
        <is>
          <t>1.74億</t>
        </is>
      </c>
      <c r="H37" t="n">
        <v>2331</v>
      </c>
      <c r="I37" t="n">
        <v>2765</v>
      </c>
      <c r="J37" t="inlineStr">
        <is>
          <t>--</t>
        </is>
      </c>
      <c r="K37" t="n">
        <v>75.09999999999999</v>
      </c>
      <c r="L37" t="n">
        <v>74.7</v>
      </c>
      <c r="M37" s="175" t="inlineStr">
        <is>
          <t>--</t>
        </is>
      </c>
      <c r="N37" t="inlineStr">
        <is>
          <t>--</t>
        </is>
      </c>
    </row>
    <row r="38">
      <c r="A38" t="inlineStr">
        <is>
          <t>00647L</t>
        </is>
      </c>
      <c r="B38" t="inlineStr">
        <is>
          <t>元大S＆P500正2</t>
        </is>
      </c>
      <c r="C38" t="n">
        <v>137.55</v>
      </c>
      <c r="D38" t="n">
        <v>137.45</v>
      </c>
      <c r="E38" s="504" t="n">
        <v>-0.1</v>
      </c>
      <c r="F38" s="505" t="n">
        <v>-0.07000000000000001</v>
      </c>
      <c r="G38" t="inlineStr">
        <is>
          <t>712萬</t>
        </is>
      </c>
      <c r="H38" t="n">
        <v>52</v>
      </c>
      <c r="I38" t="n">
        <v>146</v>
      </c>
      <c r="J38" t="inlineStr">
        <is>
          <t>--</t>
        </is>
      </c>
      <c r="K38" t="n">
        <v>137.55</v>
      </c>
      <c r="L38" t="n">
        <v>136.25</v>
      </c>
      <c r="M38" s="175" t="inlineStr">
        <is>
          <t>--</t>
        </is>
      </c>
      <c r="N38" t="inlineStr">
        <is>
          <t>--</t>
        </is>
      </c>
    </row>
    <row r="39">
      <c r="A39" t="inlineStr">
        <is>
          <t>00648R</t>
        </is>
      </c>
      <c r="B39" t="inlineStr">
        <is>
          <t>元大S＆P500反1</t>
        </is>
      </c>
      <c r="C39" t="n">
        <v>3.94</v>
      </c>
      <c r="D39" t="n">
        <v>3.95</v>
      </c>
      <c r="E39" s="504" t="n">
        <v>0.02</v>
      </c>
      <c r="F39" s="505" t="n">
        <v>0.51</v>
      </c>
      <c r="G39" t="inlineStr">
        <is>
          <t>182萬</t>
        </is>
      </c>
      <c r="H39" t="n">
        <v>461</v>
      </c>
      <c r="I39" t="n">
        <v>737</v>
      </c>
      <c r="J39" t="inlineStr">
        <is>
          <t>--</t>
        </is>
      </c>
      <c r="K39" t="n">
        <v>3.96</v>
      </c>
      <c r="L39" t="n">
        <v>3.94</v>
      </c>
      <c r="M39" s="175" t="inlineStr">
        <is>
          <t>--</t>
        </is>
      </c>
      <c r="N39" t="inlineStr">
        <is>
          <t>--</t>
        </is>
      </c>
    </row>
    <row r="40">
      <c r="A40" t="inlineStr">
        <is>
          <t>00650L</t>
        </is>
      </c>
      <c r="B40" t="inlineStr">
        <is>
          <t>復華香港正2</t>
        </is>
      </c>
      <c r="C40" t="n">
        <v>16.73</v>
      </c>
      <c r="D40" t="n">
        <v>17.49</v>
      </c>
      <c r="E40" s="504" t="n">
        <v>0.7</v>
      </c>
      <c r="F40" s="505" t="n">
        <v>4.17</v>
      </c>
      <c r="G40" t="inlineStr">
        <is>
          <t>1.21億</t>
        </is>
      </c>
      <c r="H40" t="n">
        <v>7040</v>
      </c>
      <c r="I40" t="n">
        <v>7273</v>
      </c>
      <c r="J40" t="inlineStr">
        <is>
          <t>--</t>
        </is>
      </c>
      <c r="K40" t="n">
        <v>17.49</v>
      </c>
      <c r="L40" t="n">
        <v>16.61</v>
      </c>
      <c r="M40" s="175" t="inlineStr">
        <is>
          <t>--</t>
        </is>
      </c>
      <c r="N40" t="inlineStr">
        <is>
          <t>--</t>
        </is>
      </c>
    </row>
    <row r="41">
      <c r="A41" t="inlineStr">
        <is>
          <t>00651R</t>
        </is>
      </c>
      <c r="B41" t="inlineStr">
        <is>
          <t>復華香港反1</t>
        </is>
      </c>
      <c r="C41" t="n">
        <v>5.27</v>
      </c>
      <c r="D41" t="n">
        <v>5.17</v>
      </c>
      <c r="E41" s="504" t="n">
        <v>-0.09</v>
      </c>
      <c r="F41" s="505" t="n">
        <v>-1.71</v>
      </c>
      <c r="G41" t="inlineStr">
        <is>
          <t>202萬</t>
        </is>
      </c>
      <c r="H41" t="n">
        <v>387</v>
      </c>
      <c r="I41" t="n">
        <v>217</v>
      </c>
      <c r="J41" t="inlineStr">
        <is>
          <t>--</t>
        </is>
      </c>
      <c r="K41" t="n">
        <v>5.27</v>
      </c>
      <c r="L41" t="n">
        <v>5.17</v>
      </c>
      <c r="M41" s="175" t="inlineStr">
        <is>
          <t>--</t>
        </is>
      </c>
      <c r="N41" t="inlineStr">
        <is>
          <t>--</t>
        </is>
      </c>
    </row>
    <row r="42">
      <c r="A42" t="n">
        <v>652</v>
      </c>
      <c r="B42" t="inlineStr">
        <is>
          <t>富邦印度</t>
        </is>
      </c>
      <c r="C42" t="n">
        <v>31.78</v>
      </c>
      <c r="D42" t="n">
        <v>31.71</v>
      </c>
      <c r="E42" s="504" t="n">
        <v>-0.2</v>
      </c>
      <c r="F42" s="505" t="n">
        <v>-0.63</v>
      </c>
      <c r="G42" t="inlineStr">
        <is>
          <t>1632萬</t>
        </is>
      </c>
      <c r="H42" t="n">
        <v>516</v>
      </c>
      <c r="I42" t="n">
        <v>406</v>
      </c>
      <c r="J42" t="inlineStr">
        <is>
          <t>--</t>
        </is>
      </c>
      <c r="K42" t="n">
        <v>31.78</v>
      </c>
      <c r="L42" t="n">
        <v>31.53</v>
      </c>
      <c r="M42" s="175" t="inlineStr">
        <is>
          <t>--</t>
        </is>
      </c>
      <c r="N42" t="inlineStr">
        <is>
          <t>--</t>
        </is>
      </c>
    </row>
    <row r="43">
      <c r="A43" t="inlineStr">
        <is>
          <t>00653L</t>
        </is>
      </c>
      <c r="B43" t="inlineStr">
        <is>
          <t>富邦印度正2</t>
        </is>
      </c>
      <c r="C43" t="n">
        <v>44.7</v>
      </c>
      <c r="D43" t="n">
        <v>43.79</v>
      </c>
      <c r="E43" s="504" t="n">
        <v>-0.95</v>
      </c>
      <c r="F43" s="505" t="n">
        <v>-2.12</v>
      </c>
      <c r="G43" t="inlineStr">
        <is>
          <t>1321萬</t>
        </is>
      </c>
      <c r="H43" t="n">
        <v>303</v>
      </c>
      <c r="I43" t="n">
        <v>485</v>
      </c>
      <c r="J43" t="inlineStr">
        <is>
          <t>--</t>
        </is>
      </c>
      <c r="K43" t="n">
        <v>44.7</v>
      </c>
      <c r="L43" t="n">
        <v>43.35</v>
      </c>
      <c r="M43" s="175" t="inlineStr">
        <is>
          <t>--</t>
        </is>
      </c>
      <c r="N43" t="inlineStr">
        <is>
          <t>--</t>
        </is>
      </c>
    </row>
    <row r="44">
      <c r="A44" t="inlineStr">
        <is>
          <t>00654R</t>
        </is>
      </c>
      <c r="B44" t="inlineStr">
        <is>
          <t>富邦印度反1</t>
        </is>
      </c>
      <c r="C44" t="n">
        <v>6.93</v>
      </c>
      <c r="D44" t="n">
        <v>6.98</v>
      </c>
      <c r="E44" s="504" t="n">
        <v>0.09</v>
      </c>
      <c r="F44" s="505" t="n">
        <v>1.31</v>
      </c>
      <c r="G44" t="inlineStr">
        <is>
          <t>108萬</t>
        </is>
      </c>
      <c r="H44" t="n">
        <v>155</v>
      </c>
      <c r="I44" t="n">
        <v>80</v>
      </c>
      <c r="J44" t="inlineStr">
        <is>
          <t>--</t>
        </is>
      </c>
      <c r="K44" t="n">
        <v>6.99</v>
      </c>
      <c r="L44" t="n">
        <v>6.93</v>
      </c>
      <c r="M44" s="175" t="inlineStr">
        <is>
          <t>--</t>
        </is>
      </c>
      <c r="N44" t="inlineStr">
        <is>
          <t>--</t>
        </is>
      </c>
    </row>
    <row r="45">
      <c r="A45" t="inlineStr">
        <is>
          <t>00655L</t>
        </is>
      </c>
      <c r="B45" t="inlineStr">
        <is>
          <t>國泰中國A50正2</t>
        </is>
      </c>
      <c r="C45" t="n">
        <v>36.74</v>
      </c>
      <c r="D45" t="n">
        <v>38.21</v>
      </c>
      <c r="E45" s="504" t="n">
        <v>1.39</v>
      </c>
      <c r="F45" s="505" t="n">
        <v>3.78</v>
      </c>
      <c r="G45" t="inlineStr">
        <is>
          <t>8943萬</t>
        </is>
      </c>
      <c r="H45" t="n">
        <v>2402</v>
      </c>
      <c r="I45" t="n">
        <v>2334</v>
      </c>
      <c r="J45" t="inlineStr">
        <is>
          <t>--</t>
        </is>
      </c>
      <c r="K45" t="n">
        <v>38.22</v>
      </c>
      <c r="L45" t="n">
        <v>36.16</v>
      </c>
      <c r="M45" s="175" t="inlineStr">
        <is>
          <t>--</t>
        </is>
      </c>
      <c r="N45" t="inlineStr">
        <is>
          <t>--</t>
        </is>
      </c>
    </row>
    <row r="46">
      <c r="A46" t="inlineStr">
        <is>
          <t>00656R</t>
        </is>
      </c>
      <c r="B46" t="inlineStr">
        <is>
          <t>國泰中國A50反1</t>
        </is>
      </c>
      <c r="C46" t="n">
        <v>5.73</v>
      </c>
      <c r="D46" t="n">
        <v>5.64</v>
      </c>
      <c r="E46" s="504" t="n">
        <v>-0.09</v>
      </c>
      <c r="F46" s="505" t="n">
        <v>-1.57</v>
      </c>
      <c r="G46" t="inlineStr">
        <is>
          <t>537萬</t>
        </is>
      </c>
      <c r="H46" t="n">
        <v>938</v>
      </c>
      <c r="I46" t="n">
        <v>741</v>
      </c>
      <c r="J46" t="inlineStr">
        <is>
          <t>--</t>
        </is>
      </c>
      <c r="K46" t="n">
        <v>5.78</v>
      </c>
      <c r="L46" t="n">
        <v>5.64</v>
      </c>
      <c r="M46" s="175" t="inlineStr">
        <is>
          <t>--</t>
        </is>
      </c>
      <c r="N46" t="inlineStr">
        <is>
          <t>--</t>
        </is>
      </c>
    </row>
    <row r="47">
      <c r="A47" t="n">
        <v>657</v>
      </c>
      <c r="B47" t="inlineStr">
        <is>
          <t>國泰日經225</t>
        </is>
      </c>
      <c r="C47" t="n">
        <v>76.84999999999999</v>
      </c>
      <c r="D47" t="n">
        <v>77.75</v>
      </c>
      <c r="E47" s="504" t="n">
        <v>-0.15</v>
      </c>
      <c r="F47" s="505" t="n">
        <v>-0.19</v>
      </c>
      <c r="G47" t="inlineStr">
        <is>
          <t>400萬</t>
        </is>
      </c>
      <c r="H47" t="n">
        <v>52</v>
      </c>
      <c r="I47" t="n">
        <v>181</v>
      </c>
      <c r="J47" t="inlineStr">
        <is>
          <t>--</t>
        </is>
      </c>
      <c r="K47" t="n">
        <v>77.75</v>
      </c>
      <c r="L47" t="n">
        <v>76.59999999999999</v>
      </c>
      <c r="M47" s="175" t="inlineStr">
        <is>
          <t>--</t>
        </is>
      </c>
      <c r="N47" t="inlineStr">
        <is>
          <t>--</t>
        </is>
      </c>
    </row>
    <row r="48">
      <c r="A48" t="inlineStr">
        <is>
          <t>00657K</t>
        </is>
      </c>
      <c r="B48" t="inlineStr">
        <is>
          <t>國泰日經225+U</t>
        </is>
      </c>
      <c r="C48" t="n">
        <v>24.55</v>
      </c>
      <c r="D48" t="n">
        <v>24.55</v>
      </c>
      <c r="E48" s="504" t="n">
        <v>-0.46</v>
      </c>
      <c r="F48" s="505" t="n">
        <v>-1.84</v>
      </c>
      <c r="G48" t="n">
        <v>4910</v>
      </c>
      <c r="H48" t="n">
        <v>2</v>
      </c>
      <c r="I48" t="n">
        <v>2</v>
      </c>
      <c r="J48" t="inlineStr">
        <is>
          <t>--</t>
        </is>
      </c>
      <c r="K48" t="n">
        <v>24.55</v>
      </c>
      <c r="L48" t="n">
        <v>24.55</v>
      </c>
      <c r="M48" s="175" t="inlineStr">
        <is>
          <t>--</t>
        </is>
      </c>
      <c r="N48" t="inlineStr">
        <is>
          <t>--</t>
        </is>
      </c>
    </row>
    <row r="49">
      <c r="A49" t="n">
        <v>660</v>
      </c>
      <c r="B49" t="inlineStr">
        <is>
          <t>元大歐洲50</t>
        </is>
      </c>
      <c r="C49" t="n">
        <v>43.78</v>
      </c>
      <c r="D49" t="n">
        <v>44.13</v>
      </c>
      <c r="E49" s="504" t="n">
        <v>-0.07000000000000001</v>
      </c>
      <c r="F49" s="505" t="n">
        <v>-0.16</v>
      </c>
      <c r="G49" t="inlineStr">
        <is>
          <t>57.2萬</t>
        </is>
      </c>
      <c r="H49" t="n">
        <v>13</v>
      </c>
      <c r="I49" t="n">
        <v>14</v>
      </c>
      <c r="J49" t="inlineStr">
        <is>
          <t>--</t>
        </is>
      </c>
      <c r="K49" t="n">
        <v>44.13</v>
      </c>
      <c r="L49" t="n">
        <v>43.78</v>
      </c>
      <c r="M49" s="175" t="inlineStr">
        <is>
          <t>--</t>
        </is>
      </c>
      <c r="N49" t="inlineStr">
        <is>
          <t>--</t>
        </is>
      </c>
    </row>
    <row r="50">
      <c r="A50" t="n">
        <v>661</v>
      </c>
      <c r="B50" t="inlineStr">
        <is>
          <t>元大日經225</t>
        </is>
      </c>
      <c r="C50" t="n">
        <v>85.09999999999999</v>
      </c>
      <c r="D50" t="n">
        <v>85.75</v>
      </c>
      <c r="E50" s="504" t="n">
        <v>-0.1</v>
      </c>
      <c r="F50" s="505" t="n">
        <v>-0.12</v>
      </c>
      <c r="G50" t="inlineStr">
        <is>
          <t>1156萬</t>
        </is>
      </c>
      <c r="H50" t="n">
        <v>137</v>
      </c>
      <c r="I50" t="n">
        <v>149</v>
      </c>
      <c r="J50" t="inlineStr">
        <is>
          <t>--</t>
        </is>
      </c>
      <c r="K50" t="n">
        <v>85.75</v>
      </c>
      <c r="L50" t="n">
        <v>84.59999999999999</v>
      </c>
      <c r="M50" s="175" t="inlineStr">
        <is>
          <t>--</t>
        </is>
      </c>
      <c r="N50" t="inlineStr">
        <is>
          <t>--</t>
        </is>
      </c>
    </row>
    <row r="51">
      <c r="A51" t="n">
        <v>662</v>
      </c>
      <c r="B51" t="inlineStr">
        <is>
          <t>富邦NASDAQ</t>
        </is>
      </c>
      <c r="C51" t="n">
        <v>122.3</v>
      </c>
      <c r="D51" t="n">
        <v>123.15</v>
      </c>
      <c r="E51" s="504" t="n">
        <v>0.4</v>
      </c>
      <c r="F51" s="505" t="n">
        <v>0.33</v>
      </c>
      <c r="G51" t="inlineStr">
        <is>
          <t>4.11億</t>
        </is>
      </c>
      <c r="H51" t="n">
        <v>3358</v>
      </c>
      <c r="I51" t="n">
        <v>5195</v>
      </c>
      <c r="J51" t="inlineStr">
        <is>
          <t>--</t>
        </is>
      </c>
      <c r="K51" t="n">
        <v>123.15</v>
      </c>
      <c r="L51" t="n">
        <v>122.25</v>
      </c>
      <c r="M51" s="175" t="inlineStr">
        <is>
          <t>--</t>
        </is>
      </c>
      <c r="N51" t="inlineStr">
        <is>
          <t>--</t>
        </is>
      </c>
    </row>
    <row r="52">
      <c r="A52" t="inlineStr">
        <is>
          <t>00663L</t>
        </is>
      </c>
      <c r="B52" t="inlineStr">
        <is>
          <t>國泰臺灣加權正2</t>
        </is>
      </c>
      <c r="C52" t="n">
        <v>110.85</v>
      </c>
      <c r="D52" t="n">
        <v>110.8</v>
      </c>
      <c r="E52" s="504" t="n">
        <v>0.55</v>
      </c>
      <c r="F52" s="505" t="n">
        <v>0.5</v>
      </c>
      <c r="G52" t="inlineStr">
        <is>
          <t>13.1億</t>
        </is>
      </c>
      <c r="H52" t="n">
        <v>11926</v>
      </c>
      <c r="I52" t="n">
        <v>13596</v>
      </c>
      <c r="J52" t="inlineStr">
        <is>
          <t>--</t>
        </is>
      </c>
      <c r="K52" t="n">
        <v>111.2</v>
      </c>
      <c r="L52" t="n">
        <v>107.4</v>
      </c>
      <c r="M52" s="175" t="inlineStr">
        <is>
          <t>--</t>
        </is>
      </c>
      <c r="N52" t="inlineStr">
        <is>
          <t>--</t>
        </is>
      </c>
    </row>
    <row r="53">
      <c r="A53" t="inlineStr">
        <is>
          <t>00664R</t>
        </is>
      </c>
      <c r="B53" t="inlineStr">
        <is>
          <t>國泰臺灣加權反1</t>
        </is>
      </c>
      <c r="C53" t="n">
        <v>1.64</v>
      </c>
      <c r="D53" t="n">
        <v>1.64</v>
      </c>
      <c r="E53" s="504" t="n">
        <v>-0.01</v>
      </c>
      <c r="F53" s="505" t="n">
        <v>-0.61</v>
      </c>
      <c r="G53" t="inlineStr">
        <is>
          <t>4021萬</t>
        </is>
      </c>
      <c r="H53" t="n">
        <v>24259</v>
      </c>
      <c r="I53" t="n">
        <v>35999</v>
      </c>
      <c r="J53" t="inlineStr">
        <is>
          <t>--</t>
        </is>
      </c>
      <c r="K53" t="n">
        <v>1.68</v>
      </c>
      <c r="L53" t="n">
        <v>1.64</v>
      </c>
      <c r="M53" s="175" t="inlineStr">
        <is>
          <t>--</t>
        </is>
      </c>
      <c r="N53" t="inlineStr">
        <is>
          <t>--</t>
        </is>
      </c>
    </row>
    <row r="54">
      <c r="A54" t="inlineStr">
        <is>
          <t>00665L</t>
        </is>
      </c>
      <c r="B54" t="inlineStr">
        <is>
          <t>富邦恒生國企正2</t>
        </is>
      </c>
      <c r="C54" t="n">
        <v>9.43</v>
      </c>
      <c r="D54" t="n">
        <v>9.9</v>
      </c>
      <c r="E54" s="504" t="n">
        <v>0.48</v>
      </c>
      <c r="F54" s="505" t="n">
        <v>5.1</v>
      </c>
      <c r="G54" t="inlineStr">
        <is>
          <t>4.57億</t>
        </is>
      </c>
      <c r="H54" t="n">
        <v>47091</v>
      </c>
      <c r="I54" t="n">
        <v>24460</v>
      </c>
      <c r="J54" t="inlineStr">
        <is>
          <t>--</t>
        </is>
      </c>
      <c r="K54" t="n">
        <v>9.92</v>
      </c>
      <c r="L54" t="n">
        <v>9.35</v>
      </c>
      <c r="M54" s="175" t="inlineStr">
        <is>
          <t>--</t>
        </is>
      </c>
      <c r="N54" t="inlineStr">
        <is>
          <t>--</t>
        </is>
      </c>
    </row>
    <row r="55">
      <c r="A55" t="inlineStr">
        <is>
          <t>00666R</t>
        </is>
      </c>
      <c r="B55" t="inlineStr">
        <is>
          <t>富邦恒生國企反1</t>
        </is>
      </c>
      <c r="C55" t="n">
        <v>9.119999999999999</v>
      </c>
      <c r="D55" t="n">
        <v>8.91</v>
      </c>
      <c r="E55" s="504" t="n">
        <v>-0.2</v>
      </c>
      <c r="F55" s="505" t="n">
        <v>-2.2</v>
      </c>
      <c r="G55" t="inlineStr">
        <is>
          <t>75.8萬</t>
        </is>
      </c>
      <c r="H55" t="n">
        <v>84</v>
      </c>
      <c r="I55" t="n">
        <v>99</v>
      </c>
      <c r="J55" t="inlineStr">
        <is>
          <t>--</t>
        </is>
      </c>
      <c r="K55" t="n">
        <v>9.119999999999999</v>
      </c>
      <c r="L55" t="n">
        <v>8.91</v>
      </c>
      <c r="M55" s="175" t="inlineStr">
        <is>
          <t>--</t>
        </is>
      </c>
      <c r="N55" t="inlineStr">
        <is>
          <t>--</t>
        </is>
      </c>
    </row>
    <row r="56">
      <c r="A56" t="n">
        <v>668</v>
      </c>
      <c r="B56" t="inlineStr">
        <is>
          <t>國泰美國道瓊</t>
        </is>
      </c>
      <c r="C56" t="n">
        <v>58.2</v>
      </c>
      <c r="D56" t="n">
        <v>58.4</v>
      </c>
      <c r="E56" s="504" t="n">
        <v>0</v>
      </c>
      <c r="F56" s="505" t="n">
        <v>0</v>
      </c>
      <c r="G56" t="inlineStr">
        <is>
          <t>105萬</t>
        </is>
      </c>
      <c r="H56" t="n">
        <v>18</v>
      </c>
      <c r="I56" t="n">
        <v>109</v>
      </c>
      <c r="J56" t="inlineStr">
        <is>
          <t>--</t>
        </is>
      </c>
      <c r="K56" t="n">
        <v>58.45</v>
      </c>
      <c r="L56" t="n">
        <v>58.2</v>
      </c>
      <c r="M56" s="175" t="inlineStr">
        <is>
          <t>--</t>
        </is>
      </c>
      <c r="N56" t="inlineStr">
        <is>
          <t>--</t>
        </is>
      </c>
    </row>
    <row r="57">
      <c r="A57" t="inlineStr">
        <is>
          <t>00668K</t>
        </is>
      </c>
      <c r="B57" t="inlineStr">
        <is>
          <t>國泰美國道瓊+U</t>
        </is>
      </c>
      <c r="C57" t="n">
        <v>18.67</v>
      </c>
      <c r="D57" t="n">
        <v>18.67</v>
      </c>
      <c r="E57" s="504" t="n">
        <v>0.03</v>
      </c>
      <c r="F57" s="505" t="n">
        <v>0.16</v>
      </c>
      <c r="G57" t="n">
        <v>3734</v>
      </c>
      <c r="H57" t="n">
        <v>2</v>
      </c>
      <c r="I57" t="n">
        <v>2</v>
      </c>
      <c r="J57" t="inlineStr">
        <is>
          <t>--</t>
        </is>
      </c>
      <c r="K57" t="n">
        <v>18.67</v>
      </c>
      <c r="L57" t="n">
        <v>18.67</v>
      </c>
      <c r="M57" s="175" t="inlineStr">
        <is>
          <t>--</t>
        </is>
      </c>
      <c r="N57" t="inlineStr">
        <is>
          <t>--</t>
        </is>
      </c>
    </row>
    <row r="58">
      <c r="A58" t="inlineStr">
        <is>
          <t>00669R</t>
        </is>
      </c>
      <c r="B58" t="inlineStr">
        <is>
          <t>國泰美國道瓊反1</t>
        </is>
      </c>
      <c r="C58" t="n">
        <v>5.38</v>
      </c>
      <c r="D58" t="n">
        <v>5.39</v>
      </c>
      <c r="E58" s="504" t="n">
        <v>0.03</v>
      </c>
      <c r="F58" s="505" t="n">
        <v>0.5600000000000001</v>
      </c>
      <c r="G58" t="inlineStr">
        <is>
          <t>922萬</t>
        </is>
      </c>
      <c r="H58" t="n">
        <v>1713</v>
      </c>
      <c r="I58" t="n">
        <v>936</v>
      </c>
      <c r="J58" t="inlineStr">
        <is>
          <t>--</t>
        </is>
      </c>
      <c r="K58" t="n">
        <v>5.4</v>
      </c>
      <c r="L58" t="n">
        <v>5.38</v>
      </c>
      <c r="M58" s="175" t="inlineStr">
        <is>
          <t>--</t>
        </is>
      </c>
      <c r="N58" t="inlineStr">
        <is>
          <t>--</t>
        </is>
      </c>
    </row>
    <row r="59">
      <c r="A59" t="inlineStr">
        <is>
          <t>00670L</t>
        </is>
      </c>
      <c r="B59" t="inlineStr">
        <is>
          <t>富邦NASDAQ正2</t>
        </is>
      </c>
      <c r="C59" t="n">
        <v>219.8</v>
      </c>
      <c r="D59" t="n">
        <v>221.4</v>
      </c>
      <c r="E59" s="504" t="n">
        <v>-1.15</v>
      </c>
      <c r="F59" s="505" t="n">
        <v>-0.52</v>
      </c>
      <c r="G59" t="inlineStr">
        <is>
          <t>1.96億</t>
        </is>
      </c>
      <c r="H59" t="n">
        <v>893</v>
      </c>
      <c r="I59" t="n">
        <v>836</v>
      </c>
      <c r="J59" t="inlineStr">
        <is>
          <t>--</t>
        </is>
      </c>
      <c r="K59" t="n">
        <v>221.4</v>
      </c>
      <c r="L59" t="n">
        <v>219</v>
      </c>
      <c r="M59" s="175" t="inlineStr">
        <is>
          <t>--</t>
        </is>
      </c>
      <c r="N59" t="inlineStr">
        <is>
          <t>--</t>
        </is>
      </c>
    </row>
    <row r="60">
      <c r="A60" t="inlineStr">
        <is>
          <t>00671R</t>
        </is>
      </c>
      <c r="B60" t="inlineStr">
        <is>
          <t>富邦NASDAQ反1</t>
        </is>
      </c>
      <c r="C60" t="n">
        <v>2.38</v>
      </c>
      <c r="D60" t="n">
        <v>2.37</v>
      </c>
      <c r="E60" s="504" t="n">
        <v>0</v>
      </c>
      <c r="F60" s="505" t="n">
        <v>0</v>
      </c>
      <c r="G60" t="inlineStr">
        <is>
          <t>548萬</t>
        </is>
      </c>
      <c r="H60" t="n">
        <v>2305</v>
      </c>
      <c r="I60" t="n">
        <v>6129</v>
      </c>
      <c r="J60" t="inlineStr">
        <is>
          <t>--</t>
        </is>
      </c>
      <c r="K60" t="n">
        <v>2.39</v>
      </c>
      <c r="L60" t="n">
        <v>2.37</v>
      </c>
      <c r="M60" s="175" t="inlineStr">
        <is>
          <t>--</t>
        </is>
      </c>
      <c r="N60" t="inlineStr">
        <is>
          <t>--</t>
        </is>
      </c>
    </row>
    <row r="61">
      <c r="A61" t="inlineStr">
        <is>
          <t>00673R</t>
        </is>
      </c>
      <c r="B61" t="inlineStr">
        <is>
          <t>期元大S＆P原油反1</t>
        </is>
      </c>
      <c r="C61" t="n">
        <v>12.43</v>
      </c>
      <c r="D61" t="n">
        <v>12.6</v>
      </c>
      <c r="E61" s="504" t="n">
        <v>-0.22</v>
      </c>
      <c r="F61" s="505" t="n">
        <v>-1.72</v>
      </c>
      <c r="G61" t="inlineStr">
        <is>
          <t>1.85億</t>
        </is>
      </c>
      <c r="H61" t="n">
        <v>14815</v>
      </c>
      <c r="I61" t="n">
        <v>26995</v>
      </c>
      <c r="J61" t="inlineStr">
        <is>
          <t>--</t>
        </is>
      </c>
      <c r="K61" t="n">
        <v>12.61</v>
      </c>
      <c r="L61" t="n">
        <v>12.4</v>
      </c>
      <c r="M61" s="175" t="inlineStr">
        <is>
          <t>--</t>
        </is>
      </c>
      <c r="N61" t="inlineStr">
        <is>
          <t>--</t>
        </is>
      </c>
    </row>
    <row r="62">
      <c r="A62" t="inlineStr">
        <is>
          <t>00674R</t>
        </is>
      </c>
      <c r="B62" t="inlineStr">
        <is>
          <t>期元大S＆P黃金反1</t>
        </is>
      </c>
      <c r="C62" t="n">
        <v>27.54</v>
      </c>
      <c r="D62" t="n">
        <v>27.35</v>
      </c>
      <c r="E62" s="504" t="n">
        <v>0.08</v>
      </c>
      <c r="F62" s="505" t="n">
        <v>0.29</v>
      </c>
      <c r="G62" t="inlineStr">
        <is>
          <t>184萬</t>
        </is>
      </c>
      <c r="H62" t="n">
        <v>67</v>
      </c>
      <c r="I62" t="n">
        <v>104</v>
      </c>
      <c r="J62" t="inlineStr">
        <is>
          <t>--</t>
        </is>
      </c>
      <c r="K62" t="n">
        <v>27.58</v>
      </c>
      <c r="L62" t="n">
        <v>27.35</v>
      </c>
      <c r="M62" s="175" t="inlineStr">
        <is>
          <t>--</t>
        </is>
      </c>
      <c r="N62" t="inlineStr">
        <is>
          <t>--</t>
        </is>
      </c>
    </row>
    <row r="63">
      <c r="A63" t="inlineStr">
        <is>
          <t>00675L</t>
        </is>
      </c>
      <c r="B63" t="inlineStr">
        <is>
          <t>富邦臺灣加權正2</t>
        </is>
      </c>
      <c r="C63" t="n">
        <v>334.5</v>
      </c>
      <c r="D63" t="n">
        <v>335.65</v>
      </c>
      <c r="E63" s="504" t="n">
        <v>2</v>
      </c>
      <c r="F63" s="505" t="n">
        <v>0.6</v>
      </c>
      <c r="G63" t="inlineStr">
        <is>
          <t>7.52億</t>
        </is>
      </c>
      <c r="H63" t="n">
        <v>2270</v>
      </c>
      <c r="I63" t="n">
        <v>3144</v>
      </c>
      <c r="J63" t="inlineStr">
        <is>
          <t>--</t>
        </is>
      </c>
      <c r="K63" t="n">
        <v>336.8</v>
      </c>
      <c r="L63" t="n">
        <v>324.8</v>
      </c>
      <c r="M63" s="175" t="inlineStr">
        <is>
          <t>--</t>
        </is>
      </c>
      <c r="N63" t="inlineStr">
        <is>
          <t>--</t>
        </is>
      </c>
    </row>
    <row r="64">
      <c r="A64" t="inlineStr">
        <is>
          <t>00676R</t>
        </is>
      </c>
      <c r="B64" t="inlineStr">
        <is>
          <t>富邦臺灣加權反1</t>
        </is>
      </c>
      <c r="C64" t="n">
        <v>5.63</v>
      </c>
      <c r="D64" t="n">
        <v>5.62</v>
      </c>
      <c r="E64" s="504" t="n">
        <v>-0.01</v>
      </c>
      <c r="F64" s="505" t="n">
        <v>-0.18</v>
      </c>
      <c r="G64" t="inlineStr">
        <is>
          <t>4570萬</t>
        </is>
      </c>
      <c r="H64" t="n">
        <v>8094</v>
      </c>
      <c r="I64" t="n">
        <v>10969</v>
      </c>
      <c r="J64" t="inlineStr">
        <is>
          <t>--</t>
        </is>
      </c>
      <c r="K64" t="n">
        <v>5.71</v>
      </c>
      <c r="L64" t="n">
        <v>5.61</v>
      </c>
      <c r="M64" s="175" t="inlineStr">
        <is>
          <t>--</t>
        </is>
      </c>
      <c r="N64" t="inlineStr">
        <is>
          <t>--</t>
        </is>
      </c>
    </row>
    <row r="65">
      <c r="A65" t="n">
        <v>678</v>
      </c>
      <c r="B65" t="inlineStr">
        <is>
          <t>群益那斯達克生技</t>
        </is>
      </c>
      <c r="C65" t="n">
        <v>35.18</v>
      </c>
      <c r="D65" t="n">
        <v>35.49</v>
      </c>
      <c r="E65" s="504" t="n">
        <v>-0.64</v>
      </c>
      <c r="F65" s="505" t="n">
        <v>-1.77</v>
      </c>
      <c r="G65" t="inlineStr">
        <is>
          <t>820萬</t>
        </is>
      </c>
      <c r="H65" t="n">
        <v>232</v>
      </c>
      <c r="I65" t="n">
        <v>287</v>
      </c>
      <c r="J65" t="inlineStr">
        <is>
          <t>--</t>
        </is>
      </c>
      <c r="K65" t="n">
        <v>35.49</v>
      </c>
      <c r="L65" t="n">
        <v>35.18</v>
      </c>
      <c r="M65" s="175" t="inlineStr">
        <is>
          <t>--</t>
        </is>
      </c>
      <c r="N65" t="inlineStr">
        <is>
          <t>--</t>
        </is>
      </c>
    </row>
    <row r="66">
      <c r="A66" t="inlineStr">
        <is>
          <t>00679B</t>
        </is>
      </c>
      <c r="B66" t="inlineStr">
        <is>
          <t>元大美債20年</t>
        </is>
      </c>
      <c r="C66" t="n">
        <v>26.42</v>
      </c>
      <c r="D66" t="n">
        <v>26.57</v>
      </c>
      <c r="E66" s="504" t="n">
        <v>0.24</v>
      </c>
      <c r="F66" s="505" t="n">
        <v>0.91</v>
      </c>
      <c r="G66" t="inlineStr">
        <is>
          <t>13.3億</t>
        </is>
      </c>
      <c r="H66" t="n">
        <v>50419</v>
      </c>
      <c r="I66" t="n">
        <v>44682</v>
      </c>
      <c r="J66" t="inlineStr">
        <is>
          <t>--</t>
        </is>
      </c>
      <c r="K66" t="n">
        <v>26.59</v>
      </c>
      <c r="L66" t="n">
        <v>26.4</v>
      </c>
      <c r="M66" s="175" t="inlineStr">
        <is>
          <t>--</t>
        </is>
      </c>
      <c r="N66" t="inlineStr">
        <is>
          <t>--</t>
        </is>
      </c>
    </row>
    <row r="67">
      <c r="A67" t="inlineStr">
        <is>
          <t>00680L</t>
        </is>
      </c>
      <c r="B67" t="inlineStr">
        <is>
          <t>元大美債20正2</t>
        </is>
      </c>
      <c r="C67" t="n">
        <v>6.89</v>
      </c>
      <c r="D67" t="n">
        <v>6.94</v>
      </c>
      <c r="E67" s="504" t="n">
        <v>0.1</v>
      </c>
      <c r="F67" s="505" t="n">
        <v>1.46</v>
      </c>
      <c r="G67" t="inlineStr">
        <is>
          <t>1.61億</t>
        </is>
      </c>
      <c r="H67" t="n">
        <v>23339</v>
      </c>
      <c r="I67" t="n">
        <v>21480</v>
      </c>
      <c r="J67" t="inlineStr">
        <is>
          <t>--</t>
        </is>
      </c>
      <c r="K67" t="n">
        <v>6.95</v>
      </c>
      <c r="L67" t="n">
        <v>6.89</v>
      </c>
      <c r="M67" s="175" t="inlineStr">
        <is>
          <t>--</t>
        </is>
      </c>
      <c r="N67" t="inlineStr">
        <is>
          <t>--</t>
        </is>
      </c>
    </row>
    <row r="68">
      <c r="A68" t="inlineStr">
        <is>
          <t>00681R</t>
        </is>
      </c>
      <c r="B68" t="inlineStr">
        <is>
          <t>元大美債20反1</t>
        </is>
      </c>
      <c r="C68" t="n">
        <v>21.01</v>
      </c>
      <c r="D68" t="n">
        <v>20.94</v>
      </c>
      <c r="E68" s="504" t="n">
        <v>-0.17</v>
      </c>
      <c r="F68" s="505" t="n">
        <v>-0.8100000000000001</v>
      </c>
      <c r="G68" t="inlineStr">
        <is>
          <t>1034萬</t>
        </is>
      </c>
      <c r="H68" t="n">
        <v>493</v>
      </c>
      <c r="I68" t="n">
        <v>77</v>
      </c>
      <c r="J68" t="inlineStr">
        <is>
          <t>--</t>
        </is>
      </c>
      <c r="K68" t="n">
        <v>21.02</v>
      </c>
      <c r="L68" t="n">
        <v>20.94</v>
      </c>
      <c r="M68" s="175" t="inlineStr">
        <is>
          <t>--</t>
        </is>
      </c>
      <c r="N68" t="inlineStr">
        <is>
          <t>--</t>
        </is>
      </c>
    </row>
    <row r="69">
      <c r="A69" t="inlineStr">
        <is>
          <t>00682U</t>
        </is>
      </c>
      <c r="B69" t="inlineStr">
        <is>
          <t>期元大美元指數</t>
        </is>
      </c>
      <c r="C69" t="n">
        <v>20.33</v>
      </c>
      <c r="D69" t="n">
        <v>20.33</v>
      </c>
      <c r="E69" s="504" t="n">
        <v>-0.02</v>
      </c>
      <c r="F69" s="505" t="n">
        <v>-0.1</v>
      </c>
      <c r="G69" t="inlineStr">
        <is>
          <t>65.1萬</t>
        </is>
      </c>
      <c r="H69" t="n">
        <v>32</v>
      </c>
      <c r="I69" t="n">
        <v>1</v>
      </c>
      <c r="J69" t="inlineStr">
        <is>
          <t>--</t>
        </is>
      </c>
      <c r="K69" t="n">
        <v>20.33</v>
      </c>
      <c r="L69" t="n">
        <v>20.33</v>
      </c>
      <c r="M69" s="175" t="inlineStr">
        <is>
          <t>--</t>
        </is>
      </c>
      <c r="N69" t="inlineStr">
        <is>
          <t>--</t>
        </is>
      </c>
    </row>
    <row r="70">
      <c r="A70" t="inlineStr">
        <is>
          <t>00683L</t>
        </is>
      </c>
      <c r="B70" t="inlineStr">
        <is>
          <t>期元大美元指正2</t>
        </is>
      </c>
      <c r="C70" t="n">
        <v>21.2</v>
      </c>
      <c r="D70" t="n">
        <v>21.21</v>
      </c>
      <c r="E70" s="504" t="n">
        <v>0.05</v>
      </c>
      <c r="F70" s="505" t="n">
        <v>0.24</v>
      </c>
      <c r="G70" t="inlineStr">
        <is>
          <t>36.1萬</t>
        </is>
      </c>
      <c r="H70" t="n">
        <v>17</v>
      </c>
      <c r="I70" t="n">
        <v>15</v>
      </c>
      <c r="J70" t="inlineStr">
        <is>
          <t>--</t>
        </is>
      </c>
      <c r="K70" t="n">
        <v>21.23</v>
      </c>
      <c r="L70" t="n">
        <v>21.2</v>
      </c>
      <c r="M70" s="175" t="inlineStr">
        <is>
          <t>--</t>
        </is>
      </c>
      <c r="N70" t="inlineStr">
        <is>
          <t>--</t>
        </is>
      </c>
    </row>
    <row r="71">
      <c r="A71" t="inlineStr">
        <is>
          <t>00684R</t>
        </is>
      </c>
      <c r="B71" t="inlineStr">
        <is>
          <t>期元大美元指反1</t>
        </is>
      </c>
      <c r="C71" t="n">
        <v>15.21</v>
      </c>
      <c r="D71" t="n">
        <v>15.18</v>
      </c>
      <c r="E71" s="504" t="n">
        <v>-0.05</v>
      </c>
      <c r="F71" s="505" t="n">
        <v>-0.33</v>
      </c>
      <c r="G71" t="inlineStr">
        <is>
          <t>250萬</t>
        </is>
      </c>
      <c r="H71" t="n">
        <v>164</v>
      </c>
      <c r="I71" t="n">
        <v>9</v>
      </c>
      <c r="J71" t="inlineStr">
        <is>
          <t>--</t>
        </is>
      </c>
      <c r="K71" t="n">
        <v>15.29</v>
      </c>
      <c r="L71" t="n">
        <v>15.18</v>
      </c>
      <c r="M71" s="175" t="inlineStr">
        <is>
          <t>--</t>
        </is>
      </c>
      <c r="N71" t="inlineStr">
        <is>
          <t>--</t>
        </is>
      </c>
    </row>
    <row r="72">
      <c r="A72" t="inlineStr">
        <is>
          <t>00685L</t>
        </is>
      </c>
      <c r="B72" t="inlineStr">
        <is>
          <t>群益臺灣加權正2</t>
        </is>
      </c>
      <c r="C72" t="n">
        <v>303.2</v>
      </c>
      <c r="D72" t="n">
        <v>303.25</v>
      </c>
      <c r="E72" s="504" t="n">
        <v>1.6</v>
      </c>
      <c r="F72" s="505" t="n">
        <v>0.53</v>
      </c>
      <c r="G72" t="inlineStr">
        <is>
          <t>16.0億</t>
        </is>
      </c>
      <c r="H72" t="n">
        <v>5353</v>
      </c>
      <c r="I72" t="n">
        <v>5031</v>
      </c>
      <c r="J72" t="inlineStr">
        <is>
          <t>--</t>
        </is>
      </c>
      <c r="K72" t="n">
        <v>304.4</v>
      </c>
      <c r="L72" t="n">
        <v>293.7</v>
      </c>
      <c r="M72" s="175" t="inlineStr">
        <is>
          <t>--</t>
        </is>
      </c>
      <c r="N72" t="inlineStr">
        <is>
          <t>--</t>
        </is>
      </c>
    </row>
    <row r="73">
      <c r="A73" t="inlineStr">
        <is>
          <t>00686R</t>
        </is>
      </c>
      <c r="B73" t="inlineStr">
        <is>
          <t>群益臺灣加權反1</t>
        </is>
      </c>
      <c r="C73" t="n">
        <v>1.01</v>
      </c>
      <c r="D73" t="n">
        <v>1.01</v>
      </c>
      <c r="E73" s="504" t="n">
        <v>0</v>
      </c>
      <c r="F73" s="505" t="n">
        <v>0</v>
      </c>
      <c r="G73" t="inlineStr">
        <is>
          <t>1030萬</t>
        </is>
      </c>
      <c r="H73" t="n">
        <v>10157</v>
      </c>
      <c r="I73" t="n">
        <v>7639</v>
      </c>
      <c r="J73" t="inlineStr">
        <is>
          <t>--</t>
        </is>
      </c>
      <c r="K73" t="n">
        <v>1.03</v>
      </c>
      <c r="L73" t="n">
        <v>1</v>
      </c>
      <c r="M73" s="175" t="inlineStr">
        <is>
          <t>--</t>
        </is>
      </c>
      <c r="N73" t="inlineStr">
        <is>
          <t>--</t>
        </is>
      </c>
    </row>
    <row r="74">
      <c r="A74" t="inlineStr">
        <is>
          <t>00687B</t>
        </is>
      </c>
      <c r="B74" t="inlineStr">
        <is>
          <t>國泰20年美債</t>
        </is>
      </c>
      <c r="C74" t="n">
        <v>27.76</v>
      </c>
      <c r="D74" t="n">
        <v>27.95</v>
      </c>
      <c r="E74" s="504" t="n">
        <v>0.28</v>
      </c>
      <c r="F74" s="505" t="n">
        <v>1.01</v>
      </c>
      <c r="G74" t="inlineStr">
        <is>
          <t>9.27億</t>
        </is>
      </c>
      <c r="H74" t="n">
        <v>33287</v>
      </c>
      <c r="I74" t="n">
        <v>31649</v>
      </c>
      <c r="J74" t="inlineStr">
        <is>
          <t>--</t>
        </is>
      </c>
      <c r="K74" t="n">
        <v>27.97</v>
      </c>
      <c r="L74" t="n">
        <v>27.76</v>
      </c>
      <c r="M74" s="175" t="inlineStr">
        <is>
          <t>--</t>
        </is>
      </c>
      <c r="N74" t="inlineStr">
        <is>
          <t>--</t>
        </is>
      </c>
    </row>
    <row r="75">
      <c r="A75" t="inlineStr">
        <is>
          <t>00687C</t>
        </is>
      </c>
      <c r="B75" t="inlineStr">
        <is>
          <t>國泰20年美債+櫃U</t>
        </is>
      </c>
      <c r="C75" t="n">
        <v>9.369999999999999</v>
      </c>
      <c r="D75" t="n">
        <v>9.369999999999999</v>
      </c>
      <c r="E75" s="504" t="n">
        <v>0.05</v>
      </c>
      <c r="F75" s="505" t="n">
        <v>0.54</v>
      </c>
      <c r="G75" t="inlineStr">
        <is>
          <t>23.4萬</t>
        </is>
      </c>
      <c r="H75" t="n">
        <v>250</v>
      </c>
      <c r="I75" t="n">
        <v>254</v>
      </c>
      <c r="J75" t="inlineStr">
        <is>
          <t>--</t>
        </is>
      </c>
      <c r="K75" t="n">
        <v>9.369999999999999</v>
      </c>
      <c r="L75" t="n">
        <v>9.369999999999999</v>
      </c>
      <c r="M75" s="175" t="inlineStr">
        <is>
          <t>--</t>
        </is>
      </c>
      <c r="N75" t="inlineStr">
        <is>
          <t>--</t>
        </is>
      </c>
    </row>
    <row r="76">
      <c r="A76" t="inlineStr">
        <is>
          <t>00688L</t>
        </is>
      </c>
      <c r="B76" t="inlineStr">
        <is>
          <t>國泰20年美債正2</t>
        </is>
      </c>
      <c r="C76" t="n">
        <v>6.87</v>
      </c>
      <c r="D76" t="n">
        <v>6.93</v>
      </c>
      <c r="E76" s="504" t="n">
        <v>0.1</v>
      </c>
      <c r="F76" s="505" t="n">
        <v>1.46</v>
      </c>
      <c r="G76" t="inlineStr">
        <is>
          <t>5815萬</t>
        </is>
      </c>
      <c r="H76" t="n">
        <v>8424</v>
      </c>
      <c r="I76" t="n">
        <v>7459</v>
      </c>
      <c r="J76" t="inlineStr">
        <is>
          <t>--</t>
        </is>
      </c>
      <c r="K76" t="n">
        <v>6.94</v>
      </c>
      <c r="L76" t="n">
        <v>6.87</v>
      </c>
      <c r="M76" s="175" t="inlineStr">
        <is>
          <t>--</t>
        </is>
      </c>
      <c r="N76" t="inlineStr">
        <is>
          <t>--</t>
        </is>
      </c>
    </row>
    <row r="77">
      <c r="A77" t="inlineStr">
        <is>
          <t>00689R</t>
        </is>
      </c>
      <c r="B77" t="inlineStr">
        <is>
          <t>國泰20年美債反1</t>
        </is>
      </c>
      <c r="C77" t="n">
        <v>21.96</v>
      </c>
      <c r="D77" t="n">
        <v>21.89</v>
      </c>
      <c r="E77" s="504" t="n">
        <v>-0.13</v>
      </c>
      <c r="F77" s="505" t="n">
        <v>-0.59</v>
      </c>
      <c r="G77" t="inlineStr">
        <is>
          <t>383萬</t>
        </is>
      </c>
      <c r="H77" t="n">
        <v>175</v>
      </c>
      <c r="I77" t="n">
        <v>281</v>
      </c>
      <c r="J77" t="inlineStr">
        <is>
          <t>--</t>
        </is>
      </c>
      <c r="K77" t="n">
        <v>21.96</v>
      </c>
      <c r="L77" t="n">
        <v>21.89</v>
      </c>
      <c r="M77" s="175" t="inlineStr">
        <is>
          <t>--</t>
        </is>
      </c>
      <c r="N77" t="inlineStr">
        <is>
          <t>--</t>
        </is>
      </c>
    </row>
    <row r="78">
      <c r="A78" t="n">
        <v>690</v>
      </c>
      <c r="B78" t="inlineStr">
        <is>
          <t>兆豐藍籌30</t>
        </is>
      </c>
      <c r="C78" t="n">
        <v>81.25</v>
      </c>
      <c r="D78" t="n">
        <v>80.59999999999999</v>
      </c>
      <c r="E78" s="504" t="n">
        <v>-0.45</v>
      </c>
      <c r="F78" s="505" t="n">
        <v>-0.5600000000000001</v>
      </c>
      <c r="G78" t="inlineStr">
        <is>
          <t>6766萬</t>
        </is>
      </c>
      <c r="H78" t="n">
        <v>845</v>
      </c>
      <c r="I78" t="n">
        <v>811</v>
      </c>
      <c r="J78" t="inlineStr">
        <is>
          <t>--</t>
        </is>
      </c>
      <c r="K78" t="n">
        <v>81.90000000000001</v>
      </c>
      <c r="L78" t="n">
        <v>79</v>
      </c>
      <c r="M78" s="175" t="inlineStr">
        <is>
          <t>--</t>
        </is>
      </c>
      <c r="N78" t="inlineStr">
        <is>
          <t>--</t>
        </is>
      </c>
    </row>
    <row r="79">
      <c r="A79" t="n">
        <v>692</v>
      </c>
      <c r="B79" t="inlineStr">
        <is>
          <t>富邦公司治理</t>
        </is>
      </c>
      <c r="C79" t="n">
        <v>91.40000000000001</v>
      </c>
      <c r="D79" t="n">
        <v>91.45</v>
      </c>
      <c r="E79" s="504" t="n">
        <v>0.35</v>
      </c>
      <c r="F79" s="505" t="n">
        <v>0.38</v>
      </c>
      <c r="G79" t="inlineStr">
        <is>
          <t>2.00億</t>
        </is>
      </c>
      <c r="H79" t="n">
        <v>2193</v>
      </c>
      <c r="I79" t="n">
        <v>1641</v>
      </c>
      <c r="J79" t="inlineStr">
        <is>
          <t>--</t>
        </is>
      </c>
      <c r="K79" t="n">
        <v>91.84999999999999</v>
      </c>
      <c r="L79" t="n">
        <v>90.45</v>
      </c>
      <c r="M79" s="175" t="inlineStr">
        <is>
          <t>--</t>
        </is>
      </c>
      <c r="N79" t="inlineStr">
        <is>
          <t>--</t>
        </is>
      </c>
    </row>
    <row r="80">
      <c r="A80" t="inlineStr">
        <is>
          <t>00693U</t>
        </is>
      </c>
      <c r="B80" t="inlineStr">
        <is>
          <t>期街口S＆P黃豆</t>
        </is>
      </c>
      <c r="C80" t="n">
        <v>21.82</v>
      </c>
      <c r="D80" t="n">
        <v>21.82</v>
      </c>
      <c r="E80" s="504" t="n">
        <v>-0.18</v>
      </c>
      <c r="F80" s="505" t="n">
        <v>-0.82</v>
      </c>
      <c r="G80" t="inlineStr">
        <is>
          <t>2531萬</t>
        </is>
      </c>
      <c r="H80" t="n">
        <v>1164</v>
      </c>
      <c r="I80" t="n">
        <v>1020</v>
      </c>
      <c r="J80" t="inlineStr">
        <is>
          <t>--</t>
        </is>
      </c>
      <c r="K80" t="n">
        <v>21.86</v>
      </c>
      <c r="L80" t="n">
        <v>21.75</v>
      </c>
      <c r="M80" s="175" t="inlineStr">
        <is>
          <t>--</t>
        </is>
      </c>
      <c r="N80" t="inlineStr">
        <is>
          <t>--</t>
        </is>
      </c>
    </row>
    <row r="81">
      <c r="A81" t="inlineStr">
        <is>
          <t>00694B</t>
        </is>
      </c>
      <c r="B81" t="inlineStr">
        <is>
          <t>富邦美債1-3</t>
        </is>
      </c>
      <c r="C81" t="n">
        <v>41.33</v>
      </c>
      <c r="D81" t="n">
        <v>41.49</v>
      </c>
      <c r="E81" s="504" t="n">
        <v>0.16</v>
      </c>
      <c r="F81" s="505" t="n">
        <v>0.39</v>
      </c>
      <c r="G81" t="inlineStr">
        <is>
          <t>1132萬</t>
        </is>
      </c>
      <c r="H81" t="n">
        <v>273</v>
      </c>
      <c r="I81" t="n">
        <v>447</v>
      </c>
      <c r="J81" t="inlineStr">
        <is>
          <t>--</t>
        </is>
      </c>
      <c r="K81" t="n">
        <v>41.51</v>
      </c>
      <c r="L81" t="n">
        <v>41.33</v>
      </c>
      <c r="M81" s="175" t="inlineStr">
        <is>
          <t>--</t>
        </is>
      </c>
      <c r="N81" t="inlineStr">
        <is>
          <t>--</t>
        </is>
      </c>
    </row>
    <row r="82">
      <c r="A82" t="inlineStr">
        <is>
          <t>00695B</t>
        </is>
      </c>
      <c r="B82" t="inlineStr">
        <is>
          <t>富邦美債7-10</t>
        </is>
      </c>
      <c r="C82" t="n">
        <v>34.82</v>
      </c>
      <c r="D82" t="n">
        <v>35.07</v>
      </c>
      <c r="E82" s="504" t="n">
        <v>0.18</v>
      </c>
      <c r="F82" s="505" t="n">
        <v>0.52</v>
      </c>
      <c r="G82" t="inlineStr">
        <is>
          <t>654萬</t>
        </is>
      </c>
      <c r="H82" t="n">
        <v>187</v>
      </c>
      <c r="I82" t="n">
        <v>134</v>
      </c>
      <c r="J82" t="inlineStr">
        <is>
          <t>--</t>
        </is>
      </c>
      <c r="K82" t="n">
        <v>35.07</v>
      </c>
      <c r="L82" t="n">
        <v>34.82</v>
      </c>
      <c r="M82" s="175" t="inlineStr">
        <is>
          <t>--</t>
        </is>
      </c>
      <c r="N82" t="inlineStr">
        <is>
          <t>--</t>
        </is>
      </c>
    </row>
    <row r="83">
      <c r="A83" t="inlineStr">
        <is>
          <t>00696B</t>
        </is>
      </c>
      <c r="B83" t="inlineStr">
        <is>
          <t>富邦美債20年</t>
        </is>
      </c>
      <c r="C83" t="n">
        <v>28.79</v>
      </c>
      <c r="D83" t="n">
        <v>29.01</v>
      </c>
      <c r="E83" s="504" t="n">
        <v>0.27</v>
      </c>
      <c r="F83" s="505" t="n">
        <v>0.9399999999999999</v>
      </c>
      <c r="G83" t="inlineStr">
        <is>
          <t>5440萬</t>
        </is>
      </c>
      <c r="H83" t="n">
        <v>1882</v>
      </c>
      <c r="I83" t="n">
        <v>3043</v>
      </c>
      <c r="J83" t="inlineStr">
        <is>
          <t>--</t>
        </is>
      </c>
      <c r="K83" t="n">
        <v>29.02</v>
      </c>
      <c r="L83" t="n">
        <v>28.79</v>
      </c>
      <c r="M83" s="175" t="inlineStr">
        <is>
          <t>--</t>
        </is>
      </c>
      <c r="N83" t="inlineStr">
        <is>
          <t>--</t>
        </is>
      </c>
    </row>
    <row r="84">
      <c r="A84" t="inlineStr">
        <is>
          <t>00697B</t>
        </is>
      </c>
      <c r="B84" t="inlineStr">
        <is>
          <t>元大美債7-10</t>
        </is>
      </c>
      <c r="C84" t="n">
        <v>35.35</v>
      </c>
      <c r="D84" t="n">
        <v>35.53</v>
      </c>
      <c r="E84" s="504" t="n">
        <v>0.17</v>
      </c>
      <c r="F84" s="505" t="n">
        <v>0.48</v>
      </c>
      <c r="G84" t="inlineStr">
        <is>
          <t>1613萬</t>
        </is>
      </c>
      <c r="H84" t="n">
        <v>455</v>
      </c>
      <c r="I84" t="n">
        <v>425</v>
      </c>
      <c r="J84" t="inlineStr">
        <is>
          <t>--</t>
        </is>
      </c>
      <c r="K84" t="n">
        <v>35.54</v>
      </c>
      <c r="L84" t="n">
        <v>35.33</v>
      </c>
      <c r="M84" s="175" t="inlineStr">
        <is>
          <t>--</t>
        </is>
      </c>
      <c r="N84" t="inlineStr">
        <is>
          <t>--</t>
        </is>
      </c>
    </row>
    <row r="85">
      <c r="A85" t="n">
        <v>700</v>
      </c>
      <c r="B85" t="inlineStr">
        <is>
          <t>富邦恒生國企</t>
        </is>
      </c>
      <c r="C85" t="n">
        <v>16.9</v>
      </c>
      <c r="D85" t="n">
        <v>17.39</v>
      </c>
      <c r="E85" s="504" t="n">
        <v>0.51</v>
      </c>
      <c r="F85" s="505" t="n">
        <v>3.02</v>
      </c>
      <c r="G85" t="inlineStr">
        <is>
          <t>517萬</t>
        </is>
      </c>
      <c r="H85" t="n">
        <v>301</v>
      </c>
      <c r="I85" t="n">
        <v>496</v>
      </c>
      <c r="J85" t="inlineStr">
        <is>
          <t>--</t>
        </is>
      </c>
      <c r="K85" t="n">
        <v>17.39</v>
      </c>
      <c r="L85" t="n">
        <v>16.9</v>
      </c>
      <c r="M85" s="175" t="inlineStr">
        <is>
          <t>--</t>
        </is>
      </c>
      <c r="N85" t="inlineStr">
        <is>
          <t>--</t>
        </is>
      </c>
    </row>
    <row r="86">
      <c r="A86" t="n">
        <v>701</v>
      </c>
      <c r="B86" t="inlineStr">
        <is>
          <t>國泰股利精選30</t>
        </is>
      </c>
      <c r="C86" t="n">
        <v>34.68</v>
      </c>
      <c r="D86" t="n">
        <v>35.05</v>
      </c>
      <c r="E86" s="504" t="n">
        <v>0.33</v>
      </c>
      <c r="F86" s="505" t="n">
        <v>0.95</v>
      </c>
      <c r="G86" t="inlineStr">
        <is>
          <t>5898萬</t>
        </is>
      </c>
      <c r="H86" t="n">
        <v>1698</v>
      </c>
      <c r="I86" t="n">
        <v>1769</v>
      </c>
      <c r="J86" t="inlineStr">
        <is>
          <t>--</t>
        </is>
      </c>
      <c r="K86" t="n">
        <v>35.05</v>
      </c>
      <c r="L86" t="n">
        <v>34.5</v>
      </c>
      <c r="M86" s="175" t="inlineStr">
        <is>
          <t>--</t>
        </is>
      </c>
      <c r="N86" t="inlineStr">
        <is>
          <t>--</t>
        </is>
      </c>
    </row>
    <row r="87">
      <c r="A87" t="n">
        <v>702</v>
      </c>
      <c r="B87" t="inlineStr">
        <is>
          <t>國泰標普低波高息</t>
        </is>
      </c>
      <c r="C87" t="n">
        <v>23.65</v>
      </c>
      <c r="D87" t="n">
        <v>23.66</v>
      </c>
      <c r="E87" s="504" t="n">
        <v>-0.17</v>
      </c>
      <c r="F87" s="505" t="n">
        <v>-0.71</v>
      </c>
      <c r="G87" t="inlineStr">
        <is>
          <t>308萬</t>
        </is>
      </c>
      <c r="H87" t="n">
        <v>130</v>
      </c>
      <c r="I87" t="n">
        <v>80</v>
      </c>
      <c r="J87" t="inlineStr">
        <is>
          <t>--</t>
        </is>
      </c>
      <c r="K87" t="n">
        <v>23.68</v>
      </c>
      <c r="L87" t="n">
        <v>23.64</v>
      </c>
      <c r="M87" s="175" t="inlineStr">
        <is>
          <t>--</t>
        </is>
      </c>
      <c r="N87" t="inlineStr">
        <is>
          <t>--</t>
        </is>
      </c>
    </row>
    <row r="88">
      <c r="A88" t="n">
        <v>703</v>
      </c>
      <c r="B88" t="inlineStr">
        <is>
          <t>台新MSCI中國</t>
        </is>
      </c>
      <c r="C88" t="n">
        <v>19.13</v>
      </c>
      <c r="D88" t="n">
        <v>19.92</v>
      </c>
      <c r="E88" s="504" t="n">
        <v>0.46</v>
      </c>
      <c r="F88" s="505" t="n">
        <v>2.36</v>
      </c>
      <c r="G88" t="inlineStr">
        <is>
          <t>776萬</t>
        </is>
      </c>
      <c r="H88" t="n">
        <v>399</v>
      </c>
      <c r="I88" t="n">
        <v>42</v>
      </c>
      <c r="J88" t="inlineStr">
        <is>
          <t>--</t>
        </is>
      </c>
      <c r="K88" t="n">
        <v>19.92</v>
      </c>
      <c r="L88" t="n">
        <v>19.13</v>
      </c>
      <c r="M88" s="175" t="inlineStr">
        <is>
          <t>--</t>
        </is>
      </c>
      <c r="N88" t="inlineStr">
        <is>
          <t>--</t>
        </is>
      </c>
    </row>
    <row r="89">
      <c r="A89" t="inlineStr">
        <is>
          <t>00706L</t>
        </is>
      </c>
      <c r="B89" t="inlineStr">
        <is>
          <t>期元大S＆P日圓正2</t>
        </is>
      </c>
      <c r="C89" t="n">
        <v>19.13</v>
      </c>
      <c r="D89" t="n">
        <v>19.12</v>
      </c>
      <c r="E89" s="504" t="n">
        <v>-0.05</v>
      </c>
      <c r="F89" s="505" t="n">
        <v>-0.26</v>
      </c>
      <c r="G89" t="inlineStr">
        <is>
          <t>2945萬</t>
        </is>
      </c>
      <c r="H89" t="n">
        <v>1541</v>
      </c>
      <c r="I89" t="n">
        <v>895</v>
      </c>
      <c r="J89" t="inlineStr">
        <is>
          <t>--</t>
        </is>
      </c>
      <c r="K89" t="n">
        <v>19.13</v>
      </c>
      <c r="L89" t="n">
        <v>19.1</v>
      </c>
      <c r="M89" s="175" t="inlineStr">
        <is>
          <t>--</t>
        </is>
      </c>
      <c r="N89" t="inlineStr">
        <is>
          <t>--</t>
        </is>
      </c>
    </row>
    <row r="90">
      <c r="A90" t="inlineStr">
        <is>
          <t>00707R</t>
        </is>
      </c>
      <c r="B90" t="inlineStr">
        <is>
          <t>期元大S＆P日圓反1</t>
        </is>
      </c>
      <c r="C90" t="inlineStr">
        <is>
          <t>--</t>
        </is>
      </c>
      <c r="D90" t="inlineStr">
        <is>
          <t>--</t>
        </is>
      </c>
      <c r="E90" s="504" t="inlineStr">
        <is>
          <t>--</t>
        </is>
      </c>
      <c r="F90" s="505" t="inlineStr">
        <is>
          <t>--</t>
        </is>
      </c>
      <c r="G90" t="inlineStr">
        <is>
          <t>--</t>
        </is>
      </c>
      <c r="H90" t="n">
        <v>0</v>
      </c>
      <c r="I90" t="n">
        <v>0</v>
      </c>
      <c r="J90" t="inlineStr">
        <is>
          <t>--</t>
        </is>
      </c>
      <c r="K90" t="inlineStr">
        <is>
          <t>--</t>
        </is>
      </c>
      <c r="L90" t="inlineStr">
        <is>
          <t>--</t>
        </is>
      </c>
      <c r="M90" s="175" t="inlineStr">
        <is>
          <t>--</t>
        </is>
      </c>
      <c r="N90" t="inlineStr">
        <is>
          <t>--</t>
        </is>
      </c>
    </row>
    <row r="91">
      <c r="A91" t="inlineStr">
        <is>
          <t>00708L</t>
        </is>
      </c>
      <c r="B91" t="inlineStr">
        <is>
          <t>期元大S＆P黃金正2</t>
        </is>
      </c>
      <c r="C91" t="n">
        <v>87.90000000000001</v>
      </c>
      <c r="D91" t="n">
        <v>89.5</v>
      </c>
      <c r="E91" s="504" t="n">
        <v>-0.05</v>
      </c>
      <c r="F91" s="505" t="n">
        <v>-0.06</v>
      </c>
      <c r="G91" t="inlineStr">
        <is>
          <t>2.00億</t>
        </is>
      </c>
      <c r="H91" t="n">
        <v>2263</v>
      </c>
      <c r="I91" t="n">
        <v>3521</v>
      </c>
      <c r="J91" t="inlineStr">
        <is>
          <t>--</t>
        </is>
      </c>
      <c r="K91" t="n">
        <v>89.5</v>
      </c>
      <c r="L91" t="n">
        <v>87.15000000000001</v>
      </c>
      <c r="M91" s="175" t="inlineStr">
        <is>
          <t>--</t>
        </is>
      </c>
      <c r="N91" t="inlineStr">
        <is>
          <t>--</t>
        </is>
      </c>
    </row>
    <row r="92">
      <c r="A92" t="n">
        <v>709</v>
      </c>
      <c r="B92" t="inlineStr">
        <is>
          <t>富邦歐洲</t>
        </is>
      </c>
      <c r="C92" t="n">
        <v>38.5</v>
      </c>
      <c r="D92" t="n">
        <v>38.51</v>
      </c>
      <c r="E92" s="504" t="n">
        <v>-0.14</v>
      </c>
      <c r="F92" s="505" t="n">
        <v>-0.36</v>
      </c>
      <c r="G92" t="inlineStr">
        <is>
          <t>265萬</t>
        </is>
      </c>
      <c r="H92" t="n">
        <v>69</v>
      </c>
      <c r="I92" t="n">
        <v>74</v>
      </c>
      <c r="J92" t="inlineStr">
        <is>
          <t>--</t>
        </is>
      </c>
      <c r="K92" t="n">
        <v>38.53</v>
      </c>
      <c r="L92" t="n">
        <v>38.38</v>
      </c>
      <c r="M92" s="175" t="inlineStr">
        <is>
          <t>--</t>
        </is>
      </c>
      <c r="N92" t="inlineStr">
        <is>
          <t>--</t>
        </is>
      </c>
    </row>
    <row r="93">
      <c r="A93" t="inlineStr">
        <is>
          <t>00710B</t>
        </is>
      </c>
      <c r="B93" t="inlineStr">
        <is>
          <t>復華彭博非投等債</t>
        </is>
      </c>
      <c r="C93" t="n">
        <v>18.87</v>
      </c>
      <c r="D93" t="n">
        <v>18.89</v>
      </c>
      <c r="E93" s="504" t="n">
        <v>0</v>
      </c>
      <c r="F93" s="505" t="n">
        <v>0</v>
      </c>
      <c r="G93" t="inlineStr">
        <is>
          <t>1144萬</t>
        </is>
      </c>
      <c r="H93" t="n">
        <v>605</v>
      </c>
      <c r="I93" t="n">
        <v>265</v>
      </c>
      <c r="J93" t="inlineStr">
        <is>
          <t>--</t>
        </is>
      </c>
      <c r="K93" t="n">
        <v>18.93</v>
      </c>
      <c r="L93" t="n">
        <v>18.87</v>
      </c>
      <c r="M93" s="175" t="inlineStr">
        <is>
          <t>--</t>
        </is>
      </c>
      <c r="N93" t="inlineStr">
        <is>
          <t>--</t>
        </is>
      </c>
    </row>
    <row r="94">
      <c r="A94" t="inlineStr">
        <is>
          <t>00711B</t>
        </is>
      </c>
      <c r="B94" t="inlineStr">
        <is>
          <t>復華彭博新興債</t>
        </is>
      </c>
      <c r="C94" t="n">
        <v>16.06</v>
      </c>
      <c r="D94" t="n">
        <v>16.13</v>
      </c>
      <c r="E94" s="504" t="n">
        <v>0.08</v>
      </c>
      <c r="F94" s="505" t="n">
        <v>0.5</v>
      </c>
      <c r="G94" t="inlineStr">
        <is>
          <t>189萬</t>
        </is>
      </c>
      <c r="H94" t="n">
        <v>117</v>
      </c>
      <c r="I94" t="n">
        <v>136</v>
      </c>
      <c r="J94" t="inlineStr">
        <is>
          <t>--</t>
        </is>
      </c>
      <c r="K94" t="n">
        <v>16.13</v>
      </c>
      <c r="L94" t="n">
        <v>16.06</v>
      </c>
      <c r="M94" s="175" t="inlineStr">
        <is>
          <t>--</t>
        </is>
      </c>
      <c r="N94" t="inlineStr">
        <is>
          <t>--</t>
        </is>
      </c>
    </row>
    <row r="95">
      <c r="A95" t="n">
        <v>712</v>
      </c>
      <c r="B95" t="inlineStr">
        <is>
          <t>復華富時不動產</t>
        </is>
      </c>
      <c r="C95" t="n">
        <v>8.73</v>
      </c>
      <c r="D95" t="n">
        <v>8.76</v>
      </c>
      <c r="E95" s="504" t="n">
        <v>-0.04</v>
      </c>
      <c r="F95" s="505" t="n">
        <v>-0.45</v>
      </c>
      <c r="G95" t="inlineStr">
        <is>
          <t>4.31億</t>
        </is>
      </c>
      <c r="H95" t="n">
        <v>49249</v>
      </c>
      <c r="I95" t="n">
        <v>21419</v>
      </c>
      <c r="J95" t="inlineStr">
        <is>
          <t>--</t>
        </is>
      </c>
      <c r="K95" t="n">
        <v>8.77</v>
      </c>
      <c r="L95" t="n">
        <v>8.699999999999999</v>
      </c>
      <c r="M95" s="175" t="inlineStr">
        <is>
          <t>--</t>
        </is>
      </c>
      <c r="N95" t="inlineStr">
        <is>
          <t>--</t>
        </is>
      </c>
    </row>
    <row r="96">
      <c r="A96" t="n">
        <v>713</v>
      </c>
      <c r="B96" t="inlineStr">
        <is>
          <t>元大台灣高息低波</t>
        </is>
      </c>
      <c r="C96" t="n">
        <v>58.2</v>
      </c>
      <c r="D96" t="n">
        <v>58.9</v>
      </c>
      <c r="E96" s="504" t="n">
        <v>0.95</v>
      </c>
      <c r="F96" s="505" t="n">
        <v>1.64</v>
      </c>
      <c r="G96" t="inlineStr">
        <is>
          <t>11.3億</t>
        </is>
      </c>
      <c r="H96" t="n">
        <v>19432</v>
      </c>
      <c r="I96" t="n">
        <v>17346</v>
      </c>
      <c r="J96" t="inlineStr">
        <is>
          <t>--</t>
        </is>
      </c>
      <c r="K96" t="n">
        <v>58.9</v>
      </c>
      <c r="L96" t="n">
        <v>57.65</v>
      </c>
      <c r="M96" s="175" t="inlineStr">
        <is>
          <t>--</t>
        </is>
      </c>
      <c r="N96" t="inlineStr">
        <is>
          <t>--</t>
        </is>
      </c>
    </row>
    <row r="97">
      <c r="A97" t="n">
        <v>714</v>
      </c>
      <c r="B97" t="inlineStr">
        <is>
          <t>群益道瓊美國地產</t>
        </is>
      </c>
      <c r="C97" t="n">
        <v>21.01</v>
      </c>
      <c r="D97" t="n">
        <v>21.11</v>
      </c>
      <c r="E97" s="504" t="n">
        <v>-0.19</v>
      </c>
      <c r="F97" s="505" t="n">
        <v>-0.89</v>
      </c>
      <c r="G97" t="inlineStr">
        <is>
          <t>913萬</t>
        </is>
      </c>
      <c r="H97" t="n">
        <v>433</v>
      </c>
      <c r="I97" t="n">
        <v>154</v>
      </c>
      <c r="J97" t="inlineStr">
        <is>
          <t>--</t>
        </is>
      </c>
      <c r="K97" t="n">
        <v>21.13</v>
      </c>
      <c r="L97" t="n">
        <v>21.01</v>
      </c>
      <c r="M97" s="175" t="inlineStr">
        <is>
          <t>--</t>
        </is>
      </c>
      <c r="N97" t="inlineStr">
        <is>
          <t>--</t>
        </is>
      </c>
    </row>
    <row r="98">
      <c r="A98" t="inlineStr">
        <is>
          <t>00715L</t>
        </is>
      </c>
      <c r="B98" t="inlineStr">
        <is>
          <t>期街口布蘭特正2</t>
        </is>
      </c>
      <c r="C98" t="n">
        <v>54.9</v>
      </c>
      <c r="D98" t="n">
        <v>53.7</v>
      </c>
      <c r="E98" s="504" t="n">
        <v>1.15</v>
      </c>
      <c r="F98" s="505" t="n">
        <v>2.19</v>
      </c>
      <c r="G98" t="inlineStr">
        <is>
          <t>5.47億</t>
        </is>
      </c>
      <c r="H98" t="n">
        <v>10169</v>
      </c>
      <c r="I98" t="n">
        <v>13564</v>
      </c>
      <c r="J98" t="inlineStr">
        <is>
          <t>--</t>
        </is>
      </c>
      <c r="K98" t="n">
        <v>54.95</v>
      </c>
      <c r="L98" t="n">
        <v>53.6</v>
      </c>
      <c r="M98" s="175" t="inlineStr">
        <is>
          <t>--</t>
        </is>
      </c>
      <c r="N98" t="inlineStr">
        <is>
          <t>--</t>
        </is>
      </c>
    </row>
    <row r="99">
      <c r="A99" t="n">
        <v>717</v>
      </c>
      <c r="B99" t="inlineStr">
        <is>
          <t>富邦美國特別股</t>
        </is>
      </c>
      <c r="C99" t="n">
        <v>15.09</v>
      </c>
      <c r="D99" t="n">
        <v>15.21</v>
      </c>
      <c r="E99" s="504" t="n">
        <v>0.13</v>
      </c>
      <c r="F99" s="505" t="n">
        <v>0.86</v>
      </c>
      <c r="G99" t="inlineStr">
        <is>
          <t>509萬</t>
        </is>
      </c>
      <c r="H99" t="n">
        <v>336</v>
      </c>
      <c r="I99" t="n">
        <v>304</v>
      </c>
      <c r="J99" t="inlineStr">
        <is>
          <t>--</t>
        </is>
      </c>
      <c r="K99" t="n">
        <v>15.21</v>
      </c>
      <c r="L99" t="n">
        <v>15.09</v>
      </c>
      <c r="M99" s="175" t="inlineStr">
        <is>
          <t>--</t>
        </is>
      </c>
      <c r="N99" t="inlineStr">
        <is>
          <t>--</t>
        </is>
      </c>
    </row>
    <row r="100">
      <c r="A100" t="inlineStr">
        <is>
          <t>00719B</t>
        </is>
      </c>
      <c r="B100" t="inlineStr">
        <is>
          <t>元大美債1-3</t>
        </is>
      </c>
      <c r="C100" t="n">
        <v>30.72</v>
      </c>
      <c r="D100" t="n">
        <v>30.84</v>
      </c>
      <c r="E100" s="504" t="n">
        <v>0.12</v>
      </c>
      <c r="F100" s="505" t="n">
        <v>0.39</v>
      </c>
      <c r="G100" t="inlineStr">
        <is>
          <t>6972萬</t>
        </is>
      </c>
      <c r="H100" t="n">
        <v>2270</v>
      </c>
      <c r="I100" t="n">
        <v>2582</v>
      </c>
      <c r="J100" t="inlineStr">
        <is>
          <t>--</t>
        </is>
      </c>
      <c r="K100" t="n">
        <v>30.85</v>
      </c>
      <c r="L100" t="n">
        <v>30.72</v>
      </c>
      <c r="M100" s="175" t="inlineStr">
        <is>
          <t>--</t>
        </is>
      </c>
      <c r="N100" t="inlineStr">
        <is>
          <t>--</t>
        </is>
      </c>
    </row>
    <row r="101">
      <c r="A101" t="inlineStr">
        <is>
          <t>00720B</t>
        </is>
      </c>
      <c r="B101" t="inlineStr">
        <is>
          <t>元大投資級公司債</t>
        </is>
      </c>
      <c r="C101" t="n">
        <v>33.04</v>
      </c>
      <c r="D101" t="n">
        <v>33.23</v>
      </c>
      <c r="E101" s="504" t="n">
        <v>0.27</v>
      </c>
      <c r="F101" s="505" t="n">
        <v>0.82</v>
      </c>
      <c r="G101" t="inlineStr">
        <is>
          <t>6.13億</t>
        </is>
      </c>
      <c r="H101" t="n">
        <v>18486</v>
      </c>
      <c r="I101" t="n">
        <v>8242</v>
      </c>
      <c r="J101" t="inlineStr">
        <is>
          <t>--</t>
        </is>
      </c>
      <c r="K101" t="n">
        <v>33.26</v>
      </c>
      <c r="L101" t="n">
        <v>33</v>
      </c>
      <c r="M101" s="175" t="inlineStr">
        <is>
          <t>--</t>
        </is>
      </c>
      <c r="N101" t="inlineStr">
        <is>
          <t>--</t>
        </is>
      </c>
    </row>
    <row r="102">
      <c r="A102" t="inlineStr">
        <is>
          <t>00722B</t>
        </is>
      </c>
      <c r="B102" t="inlineStr">
        <is>
          <t>群益投資級電信債</t>
        </is>
      </c>
      <c r="C102" t="n">
        <v>36.04</v>
      </c>
      <c r="D102" t="n">
        <v>36.28</v>
      </c>
      <c r="E102" s="504" t="n">
        <v>0.29</v>
      </c>
      <c r="F102" s="505" t="n">
        <v>0.8100000000000001</v>
      </c>
      <c r="G102" t="inlineStr">
        <is>
          <t>1.06億</t>
        </is>
      </c>
      <c r="H102" t="n">
        <v>2919</v>
      </c>
      <c r="I102" t="n">
        <v>3675</v>
      </c>
      <c r="J102" t="inlineStr">
        <is>
          <t>--</t>
        </is>
      </c>
      <c r="K102" t="n">
        <v>36.32</v>
      </c>
      <c r="L102" t="n">
        <v>36.04</v>
      </c>
      <c r="M102" s="175" t="inlineStr">
        <is>
          <t>--</t>
        </is>
      </c>
      <c r="N102" t="inlineStr">
        <is>
          <t>--</t>
        </is>
      </c>
    </row>
    <row r="103">
      <c r="A103" t="inlineStr">
        <is>
          <t>00723B</t>
        </is>
      </c>
      <c r="B103" t="inlineStr">
        <is>
          <t>群益投資級科技債</t>
        </is>
      </c>
      <c r="C103" t="n">
        <v>30.98</v>
      </c>
      <c r="D103" t="n">
        <v>31.15</v>
      </c>
      <c r="E103" s="504" t="n">
        <v>0.25</v>
      </c>
      <c r="F103" s="505" t="n">
        <v>0.8100000000000001</v>
      </c>
      <c r="G103" t="inlineStr">
        <is>
          <t>414萬</t>
        </is>
      </c>
      <c r="H103" t="n">
        <v>133</v>
      </c>
      <c r="I103" t="n">
        <v>165</v>
      </c>
      <c r="J103" t="inlineStr">
        <is>
          <t>--</t>
        </is>
      </c>
      <c r="K103" t="n">
        <v>31.15</v>
      </c>
      <c r="L103" t="n">
        <v>30.98</v>
      </c>
      <c r="M103" s="175" t="inlineStr">
        <is>
          <t>--</t>
        </is>
      </c>
      <c r="N103" t="inlineStr">
        <is>
          <t>--</t>
        </is>
      </c>
    </row>
    <row r="104">
      <c r="A104" t="inlineStr">
        <is>
          <t>00724B</t>
        </is>
      </c>
      <c r="B104" t="inlineStr">
        <is>
          <t>群益投資級金融債</t>
        </is>
      </c>
      <c r="C104" t="n">
        <v>33.61</v>
      </c>
      <c r="D104" t="n">
        <v>33.83</v>
      </c>
      <c r="E104" s="504" t="n">
        <v>0.24</v>
      </c>
      <c r="F104" s="505" t="n">
        <v>0.71</v>
      </c>
      <c r="G104" t="inlineStr">
        <is>
          <t>1.96億</t>
        </is>
      </c>
      <c r="H104" t="n">
        <v>5805</v>
      </c>
      <c r="I104" t="n">
        <v>4050</v>
      </c>
      <c r="J104" t="inlineStr">
        <is>
          <t>--</t>
        </is>
      </c>
      <c r="K104" t="n">
        <v>33.84</v>
      </c>
      <c r="L104" t="n">
        <v>33.61</v>
      </c>
      <c r="M104" s="175" t="inlineStr">
        <is>
          <t>--</t>
        </is>
      </c>
      <c r="N104" t="inlineStr">
        <is>
          <t>--</t>
        </is>
      </c>
    </row>
    <row r="105">
      <c r="A105" t="inlineStr">
        <is>
          <t>00725B</t>
        </is>
      </c>
      <c r="B105" t="inlineStr">
        <is>
          <t>國泰投資級公司債</t>
        </is>
      </c>
      <c r="C105" t="n">
        <v>35.16</v>
      </c>
      <c r="D105" t="n">
        <v>35.37</v>
      </c>
      <c r="E105" s="504" t="n">
        <v>0.28</v>
      </c>
      <c r="F105" s="505" t="n">
        <v>0.8</v>
      </c>
      <c r="G105" t="inlineStr">
        <is>
          <t>3.25億</t>
        </is>
      </c>
      <c r="H105" t="n">
        <v>9207</v>
      </c>
      <c r="I105" t="n">
        <v>6920</v>
      </c>
      <c r="J105" t="inlineStr">
        <is>
          <t>--</t>
        </is>
      </c>
      <c r="K105" t="n">
        <v>35.38</v>
      </c>
      <c r="L105" t="n">
        <v>35.14</v>
      </c>
      <c r="M105" s="175" t="inlineStr">
        <is>
          <t>--</t>
        </is>
      </c>
      <c r="N105" t="inlineStr">
        <is>
          <t>--</t>
        </is>
      </c>
    </row>
    <row r="106">
      <c r="A106" t="inlineStr">
        <is>
          <t>00726B</t>
        </is>
      </c>
      <c r="B106" t="inlineStr">
        <is>
          <t>國泰新興投等債</t>
        </is>
      </c>
      <c r="C106" t="n">
        <v>32.7</v>
      </c>
      <c r="D106" t="n">
        <v>32.83</v>
      </c>
      <c r="E106" s="504" t="n">
        <v>0.13</v>
      </c>
      <c r="F106" s="505" t="n">
        <v>0.4</v>
      </c>
      <c r="G106" t="inlineStr">
        <is>
          <t>433萬</t>
        </is>
      </c>
      <c r="H106" t="n">
        <v>132</v>
      </c>
      <c r="I106" t="n">
        <v>199</v>
      </c>
      <c r="J106" t="inlineStr">
        <is>
          <t>--</t>
        </is>
      </c>
      <c r="K106" t="n">
        <v>32.83</v>
      </c>
      <c r="L106" t="n">
        <v>32.66</v>
      </c>
      <c r="M106" s="175" t="inlineStr">
        <is>
          <t>--</t>
        </is>
      </c>
      <c r="N106" t="inlineStr">
        <is>
          <t>--</t>
        </is>
      </c>
    </row>
    <row r="107">
      <c r="A107" t="inlineStr">
        <is>
          <t>00727B</t>
        </is>
      </c>
      <c r="B107" t="inlineStr">
        <is>
          <t>國泰優選非投等債</t>
        </is>
      </c>
      <c r="C107" t="n">
        <v>39.2</v>
      </c>
      <c r="D107" t="n">
        <v>39.39</v>
      </c>
      <c r="E107" s="504" t="n">
        <v>0.19</v>
      </c>
      <c r="F107" s="505" t="n">
        <v>0.48</v>
      </c>
      <c r="G107" t="inlineStr">
        <is>
          <t>578萬</t>
        </is>
      </c>
      <c r="H107" t="n">
        <v>147</v>
      </c>
      <c r="I107" t="n">
        <v>146</v>
      </c>
      <c r="J107" t="inlineStr">
        <is>
          <t>--</t>
        </is>
      </c>
      <c r="K107" t="n">
        <v>39.39</v>
      </c>
      <c r="L107" t="n">
        <v>39.2</v>
      </c>
      <c r="M107" s="175" t="inlineStr">
        <is>
          <t>--</t>
        </is>
      </c>
      <c r="N107" t="inlineStr">
        <is>
          <t>--</t>
        </is>
      </c>
    </row>
    <row r="108">
      <c r="A108" t="n">
        <v>728</v>
      </c>
      <c r="B108" t="inlineStr">
        <is>
          <t>第一金工業30</t>
        </is>
      </c>
      <c r="C108" t="n">
        <v>64.75</v>
      </c>
      <c r="D108" t="n">
        <v>63.55</v>
      </c>
      <c r="E108" s="504" t="n">
        <v>-0.85</v>
      </c>
      <c r="F108" s="505" t="n">
        <v>-1.32</v>
      </c>
      <c r="G108" t="inlineStr">
        <is>
          <t>1121萬</t>
        </is>
      </c>
      <c r="H108" t="n">
        <v>177</v>
      </c>
      <c r="I108" t="n">
        <v>233</v>
      </c>
      <c r="J108" t="inlineStr">
        <is>
          <t>--</t>
        </is>
      </c>
      <c r="K108" t="n">
        <v>64.75</v>
      </c>
      <c r="L108" t="n">
        <v>62.4</v>
      </c>
      <c r="M108" s="175" t="inlineStr">
        <is>
          <t>--</t>
        </is>
      </c>
      <c r="N108" t="inlineStr">
        <is>
          <t>--</t>
        </is>
      </c>
    </row>
    <row r="109">
      <c r="A109" t="n">
        <v>730</v>
      </c>
      <c r="B109" t="inlineStr">
        <is>
          <t>富邦臺灣優質高息</t>
        </is>
      </c>
      <c r="C109" t="n">
        <v>28.8</v>
      </c>
      <c r="D109" t="n">
        <v>29.3</v>
      </c>
      <c r="E109" s="504" t="n">
        <v>0.52</v>
      </c>
      <c r="F109" s="505" t="n">
        <v>1.81</v>
      </c>
      <c r="G109" t="inlineStr">
        <is>
          <t>1567萬</t>
        </is>
      </c>
      <c r="H109" t="n">
        <v>538</v>
      </c>
      <c r="I109" t="n">
        <v>419</v>
      </c>
      <c r="J109" t="inlineStr">
        <is>
          <t>--</t>
        </is>
      </c>
      <c r="K109" t="n">
        <v>29.42</v>
      </c>
      <c r="L109" t="n">
        <v>28.8</v>
      </c>
      <c r="M109" s="175" t="inlineStr">
        <is>
          <t>--</t>
        </is>
      </c>
      <c r="N109" t="inlineStr">
        <is>
          <t>--</t>
        </is>
      </c>
    </row>
    <row r="110">
      <c r="A110" t="n">
        <v>731</v>
      </c>
      <c r="B110" t="inlineStr">
        <is>
          <t>復華富時高息低波</t>
        </is>
      </c>
      <c r="C110" t="n">
        <v>79.95</v>
      </c>
      <c r="D110" t="n">
        <v>81.5</v>
      </c>
      <c r="E110" s="504" t="n">
        <v>1.65</v>
      </c>
      <c r="F110" s="505" t="n">
        <v>2.07</v>
      </c>
      <c r="G110" t="inlineStr">
        <is>
          <t>7581萬</t>
        </is>
      </c>
      <c r="H110" t="n">
        <v>939</v>
      </c>
      <c r="I110" t="n">
        <v>807</v>
      </c>
      <c r="J110" t="inlineStr">
        <is>
          <t>--</t>
        </is>
      </c>
      <c r="K110" t="n">
        <v>81.5</v>
      </c>
      <c r="L110" t="n">
        <v>79.7</v>
      </c>
      <c r="M110" s="175" t="inlineStr">
        <is>
          <t>--</t>
        </is>
      </c>
      <c r="N110" t="inlineStr">
        <is>
          <t>--</t>
        </is>
      </c>
    </row>
    <row r="111">
      <c r="A111" t="n">
        <v>733</v>
      </c>
      <c r="B111" t="inlineStr">
        <is>
          <t>富邦臺灣中小</t>
        </is>
      </c>
      <c r="C111" t="n">
        <v>76.8</v>
      </c>
      <c r="D111" t="n">
        <v>75.09999999999999</v>
      </c>
      <c r="E111" s="504" t="n">
        <v>-1.85</v>
      </c>
      <c r="F111" s="505" t="n">
        <v>-2.4</v>
      </c>
      <c r="G111" t="inlineStr">
        <is>
          <t>1.08億</t>
        </is>
      </c>
      <c r="H111" t="n">
        <v>1446</v>
      </c>
      <c r="I111" t="n">
        <v>1011</v>
      </c>
      <c r="J111" t="inlineStr">
        <is>
          <t>--</t>
        </is>
      </c>
      <c r="K111" t="n">
        <v>76.8</v>
      </c>
      <c r="L111" t="n">
        <v>73.45</v>
      </c>
      <c r="M111" s="175" t="inlineStr">
        <is>
          <t>--</t>
        </is>
      </c>
      <c r="N111" t="inlineStr">
        <is>
          <t>--</t>
        </is>
      </c>
    </row>
    <row r="112">
      <c r="A112" t="inlineStr">
        <is>
          <t>00734B</t>
        </is>
      </c>
      <c r="B112" t="inlineStr">
        <is>
          <t>台新JPM新興債</t>
        </is>
      </c>
      <c r="C112" t="n">
        <v>15.72</v>
      </c>
      <c r="D112" t="n">
        <v>15.75</v>
      </c>
      <c r="E112" s="504" t="n">
        <v>0.06</v>
      </c>
      <c r="F112" s="505" t="n">
        <v>0.38</v>
      </c>
      <c r="G112" t="inlineStr">
        <is>
          <t>347萬</t>
        </is>
      </c>
      <c r="H112" t="n">
        <v>220</v>
      </c>
      <c r="I112" t="n">
        <v>300</v>
      </c>
      <c r="J112" t="inlineStr">
        <is>
          <t>--</t>
        </is>
      </c>
      <c r="K112" t="n">
        <v>15.76</v>
      </c>
      <c r="L112" t="n">
        <v>15.72</v>
      </c>
      <c r="M112" s="175" t="inlineStr">
        <is>
          <t>--</t>
        </is>
      </c>
      <c r="N112" t="inlineStr">
        <is>
          <t>--</t>
        </is>
      </c>
    </row>
    <row r="113">
      <c r="A113" t="n">
        <v>735</v>
      </c>
      <c r="B113" t="inlineStr">
        <is>
          <t>國泰臺韓科技</t>
        </is>
      </c>
      <c r="C113" t="n">
        <v>116.95</v>
      </c>
      <c r="D113" t="n">
        <v>116.45</v>
      </c>
      <c r="E113" s="504" t="n">
        <v>0.1</v>
      </c>
      <c r="F113" s="505" t="n">
        <v>0.09</v>
      </c>
      <c r="G113" t="inlineStr">
        <is>
          <t>5.70億</t>
        </is>
      </c>
      <c r="H113" t="n">
        <v>4926</v>
      </c>
      <c r="I113" t="n">
        <v>4686</v>
      </c>
      <c r="J113" t="inlineStr">
        <is>
          <t>--</t>
        </is>
      </c>
      <c r="K113" t="n">
        <v>117</v>
      </c>
      <c r="L113" t="n">
        <v>114.1</v>
      </c>
      <c r="M113" s="175" t="inlineStr">
        <is>
          <t>--</t>
        </is>
      </c>
      <c r="N113" t="inlineStr">
        <is>
          <t>--</t>
        </is>
      </c>
    </row>
    <row r="114">
      <c r="A114" t="n">
        <v>736</v>
      </c>
      <c r="B114" t="inlineStr">
        <is>
          <t>國泰新興市場</t>
        </is>
      </c>
      <c r="C114" t="n">
        <v>30.9</v>
      </c>
      <c r="D114" t="n">
        <v>30.91</v>
      </c>
      <c r="E114" s="504" t="n">
        <v>-0.04</v>
      </c>
      <c r="F114" s="505" t="n">
        <v>-0.13</v>
      </c>
      <c r="G114" t="inlineStr">
        <is>
          <t>328萬</t>
        </is>
      </c>
      <c r="H114" t="n">
        <v>106</v>
      </c>
      <c r="I114" t="n">
        <v>136</v>
      </c>
      <c r="J114" t="inlineStr">
        <is>
          <t>--</t>
        </is>
      </c>
      <c r="K114" t="n">
        <v>30.91</v>
      </c>
      <c r="L114" t="n">
        <v>30.85</v>
      </c>
      <c r="M114" s="175" t="inlineStr">
        <is>
          <t>--</t>
        </is>
      </c>
      <c r="N114" t="inlineStr">
        <is>
          <t>--</t>
        </is>
      </c>
    </row>
    <row r="115">
      <c r="A115" t="n">
        <v>737</v>
      </c>
      <c r="B115" t="inlineStr">
        <is>
          <t>國泰AI機器人</t>
        </is>
      </c>
      <c r="C115" t="n">
        <v>40.7</v>
      </c>
      <c r="D115" t="n">
        <v>41.15</v>
      </c>
      <c r="E115" s="504" t="n">
        <v>0.74</v>
      </c>
      <c r="F115" s="505" t="n">
        <v>1.83</v>
      </c>
      <c r="G115" t="inlineStr">
        <is>
          <t>1262萬</t>
        </is>
      </c>
      <c r="H115" t="n">
        <v>310</v>
      </c>
      <c r="I115" t="n">
        <v>250</v>
      </c>
      <c r="J115" t="inlineStr">
        <is>
          <t>--</t>
        </is>
      </c>
      <c r="K115" t="n">
        <v>41.15</v>
      </c>
      <c r="L115" t="n">
        <v>40.61</v>
      </c>
      <c r="M115" s="175" t="inlineStr">
        <is>
          <t>--</t>
        </is>
      </c>
      <c r="N115" t="inlineStr">
        <is>
          <t>--</t>
        </is>
      </c>
    </row>
    <row r="116">
      <c r="A116" t="inlineStr">
        <is>
          <t>00738U</t>
        </is>
      </c>
      <c r="B116" t="inlineStr">
        <is>
          <t>期元大道瓊白銀</t>
        </is>
      </c>
      <c r="C116" t="n">
        <v>60.5</v>
      </c>
      <c r="D116" t="n">
        <v>61.2</v>
      </c>
      <c r="E116" s="504" t="n">
        <v>0.1</v>
      </c>
      <c r="F116" s="505" t="n">
        <v>0.16</v>
      </c>
      <c r="G116" t="inlineStr">
        <is>
          <t>2.69億</t>
        </is>
      </c>
      <c r="H116" t="n">
        <v>4424</v>
      </c>
      <c r="I116" t="n">
        <v>7879</v>
      </c>
      <c r="J116" t="inlineStr">
        <is>
          <t>--</t>
        </is>
      </c>
      <c r="K116" t="n">
        <v>61.2</v>
      </c>
      <c r="L116" t="n">
        <v>60.05</v>
      </c>
      <c r="M116" s="175" t="inlineStr">
        <is>
          <t>--</t>
        </is>
      </c>
      <c r="N116" t="inlineStr">
        <is>
          <t>--</t>
        </is>
      </c>
    </row>
    <row r="117">
      <c r="A117" t="n">
        <v>739</v>
      </c>
      <c r="B117" t="inlineStr">
        <is>
          <t>元大MSCI A股</t>
        </is>
      </c>
      <c r="C117" t="n">
        <v>28.5</v>
      </c>
      <c r="D117" t="n">
        <v>29.1</v>
      </c>
      <c r="E117" s="504" t="n">
        <v>0.38</v>
      </c>
      <c r="F117" s="505" t="n">
        <v>1.32</v>
      </c>
      <c r="G117" t="inlineStr">
        <is>
          <t>196萬</t>
        </is>
      </c>
      <c r="H117" t="n">
        <v>68</v>
      </c>
      <c r="I117" t="n">
        <v>91</v>
      </c>
      <c r="J117" t="inlineStr">
        <is>
          <t>--</t>
        </is>
      </c>
      <c r="K117" t="n">
        <v>29.1</v>
      </c>
      <c r="L117" t="n">
        <v>28.48</v>
      </c>
      <c r="M117" s="175" t="inlineStr">
        <is>
          <t>--</t>
        </is>
      </c>
      <c r="N117" t="inlineStr">
        <is>
          <t>--</t>
        </is>
      </c>
    </row>
    <row r="118">
      <c r="A118" t="inlineStr">
        <is>
          <t>00740B</t>
        </is>
      </c>
      <c r="B118" t="inlineStr">
        <is>
          <t>富邦全球投等債</t>
        </is>
      </c>
      <c r="C118" t="n">
        <v>38.65</v>
      </c>
      <c r="D118" t="n">
        <v>38.9</v>
      </c>
      <c r="E118" s="504" t="n">
        <v>0.31</v>
      </c>
      <c r="F118" s="505" t="n">
        <v>0.8</v>
      </c>
      <c r="G118" t="inlineStr">
        <is>
          <t>1.06億</t>
        </is>
      </c>
      <c r="H118" t="n">
        <v>2722</v>
      </c>
      <c r="I118" t="n">
        <v>2476</v>
      </c>
      <c r="J118" t="inlineStr">
        <is>
          <t>--</t>
        </is>
      </c>
      <c r="K118" t="n">
        <v>38.9</v>
      </c>
      <c r="L118" t="n">
        <v>38.65</v>
      </c>
      <c r="M118" s="175" t="inlineStr">
        <is>
          <t>--</t>
        </is>
      </c>
      <c r="N118" t="inlineStr">
        <is>
          <t>--</t>
        </is>
      </c>
    </row>
    <row r="119">
      <c r="A119" t="inlineStr">
        <is>
          <t>00741B</t>
        </is>
      </c>
      <c r="B119" t="inlineStr">
        <is>
          <t>富邦全球非投等債</t>
        </is>
      </c>
      <c r="C119" t="n">
        <v>36.91</v>
      </c>
      <c r="D119" t="n">
        <v>37.04</v>
      </c>
      <c r="E119" s="504" t="n">
        <v>0.08</v>
      </c>
      <c r="F119" s="505" t="n">
        <v>0.22</v>
      </c>
      <c r="G119" t="inlineStr">
        <is>
          <t>562萬</t>
        </is>
      </c>
      <c r="H119" t="n">
        <v>152</v>
      </c>
      <c r="I119" t="n">
        <v>127</v>
      </c>
      <c r="J119" t="inlineStr">
        <is>
          <t>--</t>
        </is>
      </c>
      <c r="K119" t="n">
        <v>37.07</v>
      </c>
      <c r="L119" t="n">
        <v>36.91</v>
      </c>
      <c r="M119" s="175" t="inlineStr">
        <is>
          <t>--</t>
        </is>
      </c>
      <c r="N119" t="inlineStr">
        <is>
          <t>--</t>
        </is>
      </c>
    </row>
    <row r="120">
      <c r="A120" t="inlineStr">
        <is>
          <t>00746B</t>
        </is>
      </c>
      <c r="B120" t="inlineStr">
        <is>
          <t>富邦A級公司債</t>
        </is>
      </c>
      <c r="C120" t="n">
        <v>35.55</v>
      </c>
      <c r="D120" t="n">
        <v>35.64</v>
      </c>
      <c r="E120" s="504" t="n">
        <v>0.24</v>
      </c>
      <c r="F120" s="505" t="n">
        <v>0.68</v>
      </c>
      <c r="G120" t="inlineStr">
        <is>
          <t>1501萬</t>
        </is>
      </c>
      <c r="H120" t="n">
        <v>422</v>
      </c>
      <c r="I120" t="n">
        <v>467</v>
      </c>
      <c r="J120" t="inlineStr">
        <is>
          <t>--</t>
        </is>
      </c>
      <c r="K120" t="n">
        <v>35.65</v>
      </c>
      <c r="L120" t="n">
        <v>35.49</v>
      </c>
      <c r="M120" s="175" t="inlineStr">
        <is>
          <t>--</t>
        </is>
      </c>
      <c r="N120" t="inlineStr">
        <is>
          <t>--</t>
        </is>
      </c>
    </row>
    <row r="121">
      <c r="A121" t="inlineStr">
        <is>
          <t>00749B</t>
        </is>
      </c>
      <c r="B121" t="inlineStr">
        <is>
          <t>凱基新興債10+</t>
        </is>
      </c>
      <c r="C121" t="n">
        <v>31.59</v>
      </c>
      <c r="D121" t="n">
        <v>31.67</v>
      </c>
      <c r="E121" s="504" t="n">
        <v>0.07000000000000001</v>
      </c>
      <c r="F121" s="505" t="n">
        <v>0.22</v>
      </c>
      <c r="G121" t="inlineStr">
        <is>
          <t>323萬</t>
        </is>
      </c>
      <c r="H121" t="n">
        <v>102</v>
      </c>
      <c r="I121" t="n">
        <v>106</v>
      </c>
      <c r="J121" t="inlineStr">
        <is>
          <t>--</t>
        </is>
      </c>
      <c r="K121" t="n">
        <v>31.67</v>
      </c>
      <c r="L121" t="n">
        <v>31.59</v>
      </c>
      <c r="M121" s="175" t="inlineStr">
        <is>
          <t>--</t>
        </is>
      </c>
      <c r="N121" t="inlineStr">
        <is>
          <t>--</t>
        </is>
      </c>
    </row>
    <row r="122">
      <c r="A122" t="inlineStr">
        <is>
          <t>00750B</t>
        </is>
      </c>
      <c r="B122" t="inlineStr">
        <is>
          <t>凱基科技債10+</t>
        </is>
      </c>
      <c r="C122" t="n">
        <v>33.4</v>
      </c>
      <c r="D122" t="n">
        <v>33.4</v>
      </c>
      <c r="E122" s="504" t="n">
        <v>0.26</v>
      </c>
      <c r="F122" s="505" t="n">
        <v>0.78</v>
      </c>
      <c r="G122" t="inlineStr">
        <is>
          <t>334萬</t>
        </is>
      </c>
      <c r="H122" t="n">
        <v>100</v>
      </c>
      <c r="I122" t="n">
        <v>106</v>
      </c>
      <c r="J122" t="inlineStr">
        <is>
          <t>--</t>
        </is>
      </c>
      <c r="K122" t="n">
        <v>33.4</v>
      </c>
      <c r="L122" t="n">
        <v>33.4</v>
      </c>
      <c r="M122" s="175" t="inlineStr">
        <is>
          <t>--</t>
        </is>
      </c>
      <c r="N122" t="inlineStr">
        <is>
          <t>--</t>
        </is>
      </c>
    </row>
    <row r="123">
      <c r="A123" t="inlineStr">
        <is>
          <t>00751B</t>
        </is>
      </c>
      <c r="B123" t="inlineStr">
        <is>
          <t>元大AAA至A公司債</t>
        </is>
      </c>
      <c r="C123" t="n">
        <v>31.78</v>
      </c>
      <c r="D123" t="n">
        <v>31.98</v>
      </c>
      <c r="E123" s="504" t="n">
        <v>0.29</v>
      </c>
      <c r="F123" s="505" t="n">
        <v>0.92</v>
      </c>
      <c r="G123" t="inlineStr">
        <is>
          <t>3.38億</t>
        </is>
      </c>
      <c r="H123" t="n">
        <v>10617</v>
      </c>
      <c r="I123" t="n">
        <v>9103</v>
      </c>
      <c r="J123" t="inlineStr">
        <is>
          <t>--</t>
        </is>
      </c>
      <c r="K123" t="n">
        <v>31.99</v>
      </c>
      <c r="L123" t="n">
        <v>31.76</v>
      </c>
      <c r="M123" s="175" t="inlineStr">
        <is>
          <t>--</t>
        </is>
      </c>
      <c r="N123" t="inlineStr">
        <is>
          <t>--</t>
        </is>
      </c>
    </row>
    <row r="124">
      <c r="A124" t="n">
        <v>752</v>
      </c>
      <c r="B124" t="inlineStr">
        <is>
          <t>中信中國50</t>
        </is>
      </c>
      <c r="C124" t="n">
        <v>22.82</v>
      </c>
      <c r="D124" t="n">
        <v>23.71</v>
      </c>
      <c r="E124" s="504" t="n">
        <v>0.89</v>
      </c>
      <c r="F124" s="505" t="n">
        <v>3.9</v>
      </c>
      <c r="G124" t="inlineStr">
        <is>
          <t>9443萬</t>
        </is>
      </c>
      <c r="H124" t="n">
        <v>4030</v>
      </c>
      <c r="I124" t="n">
        <v>3358</v>
      </c>
      <c r="J124" t="inlineStr">
        <is>
          <t>--</t>
        </is>
      </c>
      <c r="K124" t="n">
        <v>23.72</v>
      </c>
      <c r="L124" t="n">
        <v>22.78</v>
      </c>
      <c r="M124" s="175" t="inlineStr">
        <is>
          <t>--</t>
        </is>
      </c>
      <c r="N124" t="inlineStr">
        <is>
          <t>--</t>
        </is>
      </c>
    </row>
    <row r="125">
      <c r="A125" t="inlineStr">
        <is>
          <t>00753L</t>
        </is>
      </c>
      <c r="B125" t="inlineStr">
        <is>
          <t>中信中國50正2</t>
        </is>
      </c>
      <c r="C125" t="n">
        <v>9.68</v>
      </c>
      <c r="D125" t="n">
        <v>10.28</v>
      </c>
      <c r="E125" s="504" t="n">
        <v>0.59</v>
      </c>
      <c r="F125" s="505" t="n">
        <v>6.09</v>
      </c>
      <c r="G125" t="inlineStr">
        <is>
          <t>3.19億</t>
        </is>
      </c>
      <c r="H125" t="n">
        <v>31656</v>
      </c>
      <c r="I125" t="n">
        <v>18837</v>
      </c>
      <c r="J125" t="inlineStr">
        <is>
          <t>--</t>
        </is>
      </c>
      <c r="K125" t="n">
        <v>10.28</v>
      </c>
      <c r="L125" t="n">
        <v>9.630000000000001</v>
      </c>
      <c r="M125" s="175" t="inlineStr">
        <is>
          <t>--</t>
        </is>
      </c>
      <c r="N125" t="inlineStr">
        <is>
          <t>--</t>
        </is>
      </c>
    </row>
    <row r="126">
      <c r="A126" t="inlineStr">
        <is>
          <t>00754B</t>
        </is>
      </c>
      <c r="B126" t="inlineStr">
        <is>
          <t>群益AAA-AA公司債</t>
        </is>
      </c>
      <c r="C126" t="n">
        <v>33.37</v>
      </c>
      <c r="D126" t="n">
        <v>33.66</v>
      </c>
      <c r="E126" s="504" t="n">
        <v>0.28</v>
      </c>
      <c r="F126" s="505" t="n">
        <v>0.84</v>
      </c>
      <c r="G126" t="inlineStr">
        <is>
          <t>390萬</t>
        </is>
      </c>
      <c r="H126" t="n">
        <v>116</v>
      </c>
      <c r="I126" t="n">
        <v>106</v>
      </c>
      <c r="J126" t="inlineStr">
        <is>
          <t>--</t>
        </is>
      </c>
      <c r="K126" t="n">
        <v>33.66</v>
      </c>
      <c r="L126" t="n">
        <v>33.37</v>
      </c>
      <c r="M126" s="175" t="inlineStr">
        <is>
          <t>--</t>
        </is>
      </c>
      <c r="N126" t="inlineStr">
        <is>
          <t>--</t>
        </is>
      </c>
    </row>
    <row r="127">
      <c r="A127" t="inlineStr">
        <is>
          <t>00755B</t>
        </is>
      </c>
      <c r="B127" t="inlineStr">
        <is>
          <t>群益投資級公用債</t>
        </is>
      </c>
      <c r="C127" t="n">
        <v>32.68</v>
      </c>
      <c r="D127" t="n">
        <v>32.83</v>
      </c>
      <c r="E127" s="504" t="n">
        <v>0.26</v>
      </c>
      <c r="F127" s="505" t="n">
        <v>0.8</v>
      </c>
      <c r="G127" t="inlineStr">
        <is>
          <t>499萬</t>
        </is>
      </c>
      <c r="H127" t="n">
        <v>152</v>
      </c>
      <c r="I127" t="n">
        <v>131</v>
      </c>
      <c r="J127" t="inlineStr">
        <is>
          <t>--</t>
        </is>
      </c>
      <c r="K127" t="n">
        <v>32.84</v>
      </c>
      <c r="L127" t="n">
        <v>32.68</v>
      </c>
      <c r="M127" s="175" t="inlineStr">
        <is>
          <t>--</t>
        </is>
      </c>
      <c r="N127" t="inlineStr">
        <is>
          <t>--</t>
        </is>
      </c>
    </row>
    <row r="128">
      <c r="A128" t="inlineStr">
        <is>
          <t>00756B</t>
        </is>
      </c>
      <c r="B128" t="inlineStr">
        <is>
          <t>群益投等新興公債</t>
        </is>
      </c>
      <c r="C128" t="n">
        <v>31.21</v>
      </c>
      <c r="D128" t="n">
        <v>31.43</v>
      </c>
      <c r="E128" s="504" t="n">
        <v>0.29</v>
      </c>
      <c r="F128" s="505" t="n">
        <v>0.93</v>
      </c>
      <c r="G128" t="inlineStr">
        <is>
          <t>768萬</t>
        </is>
      </c>
      <c r="H128" t="n">
        <v>245</v>
      </c>
      <c r="I128" t="n">
        <v>224</v>
      </c>
      <c r="J128" t="inlineStr">
        <is>
          <t>--</t>
        </is>
      </c>
      <c r="K128" t="n">
        <v>31.43</v>
      </c>
      <c r="L128" t="n">
        <v>31.21</v>
      </c>
      <c r="M128" s="175" t="inlineStr">
        <is>
          <t>--</t>
        </is>
      </c>
      <c r="N128" t="inlineStr">
        <is>
          <t>--</t>
        </is>
      </c>
    </row>
    <row r="129">
      <c r="A129" t="n">
        <v>757</v>
      </c>
      <c r="B129" t="inlineStr">
        <is>
          <t>統一FANG+</t>
        </is>
      </c>
      <c r="C129" t="n">
        <v>137.5</v>
      </c>
      <c r="D129" t="n">
        <v>138.05</v>
      </c>
      <c r="E129" s="504" t="n">
        <v>0.15</v>
      </c>
      <c r="F129" s="505" t="n">
        <v>0.11</v>
      </c>
      <c r="G129" t="inlineStr">
        <is>
          <t>2.64億</t>
        </is>
      </c>
      <c r="H129" t="n">
        <v>1923</v>
      </c>
      <c r="I129" t="n">
        <v>2588</v>
      </c>
      <c r="J129" t="inlineStr">
        <is>
          <t>--</t>
        </is>
      </c>
      <c r="K129" t="n">
        <v>138.1</v>
      </c>
      <c r="L129" t="n">
        <v>136.75</v>
      </c>
      <c r="M129" s="175" t="inlineStr">
        <is>
          <t>--</t>
        </is>
      </c>
      <c r="N129" t="inlineStr">
        <is>
          <t>--</t>
        </is>
      </c>
    </row>
    <row r="130">
      <c r="A130" t="inlineStr">
        <is>
          <t>00758B</t>
        </is>
      </c>
      <c r="B130" t="inlineStr">
        <is>
          <t>復華能源債</t>
        </is>
      </c>
      <c r="C130" t="n">
        <v>51.65</v>
      </c>
      <c r="D130" t="n">
        <v>51.65</v>
      </c>
      <c r="E130" s="504" t="n">
        <v>0.35</v>
      </c>
      <c r="F130" s="505" t="n">
        <v>0.68</v>
      </c>
      <c r="G130" t="inlineStr">
        <is>
          <t>522萬</t>
        </is>
      </c>
      <c r="H130" t="n">
        <v>101</v>
      </c>
      <c r="I130" t="n">
        <v>101</v>
      </c>
      <c r="J130" t="inlineStr">
        <is>
          <t>--</t>
        </is>
      </c>
      <c r="K130" t="n">
        <v>51.65</v>
      </c>
      <c r="L130" t="n">
        <v>51.65</v>
      </c>
      <c r="M130" s="175" t="inlineStr">
        <is>
          <t>--</t>
        </is>
      </c>
      <c r="N130" t="inlineStr">
        <is>
          <t>--</t>
        </is>
      </c>
    </row>
    <row r="131">
      <c r="A131" t="inlineStr">
        <is>
          <t>00759B</t>
        </is>
      </c>
      <c r="B131" t="inlineStr">
        <is>
          <t>復華製藥債</t>
        </is>
      </c>
      <c r="C131" t="n">
        <v>54.5</v>
      </c>
      <c r="D131" t="n">
        <v>54.5</v>
      </c>
      <c r="E131" s="504" t="n">
        <v>0.3</v>
      </c>
      <c r="F131" s="505" t="n">
        <v>0.55</v>
      </c>
      <c r="G131" t="inlineStr">
        <is>
          <t>545萬</t>
        </is>
      </c>
      <c r="H131" t="n">
        <v>100</v>
      </c>
      <c r="I131" t="n">
        <v>102</v>
      </c>
      <c r="J131" t="inlineStr">
        <is>
          <t>--</t>
        </is>
      </c>
      <c r="K131" t="n">
        <v>54.5</v>
      </c>
      <c r="L131" t="n">
        <v>54.5</v>
      </c>
      <c r="M131" s="175" t="inlineStr">
        <is>
          <t>--</t>
        </is>
      </c>
      <c r="N131" t="inlineStr">
        <is>
          <t>--</t>
        </is>
      </c>
    </row>
    <row r="132">
      <c r="A132" t="inlineStr">
        <is>
          <t>00760B</t>
        </is>
      </c>
      <c r="B132" t="inlineStr">
        <is>
          <t>復華新興企業債</t>
        </is>
      </c>
      <c r="C132" t="n">
        <v>53.3</v>
      </c>
      <c r="D132" t="n">
        <v>53.5</v>
      </c>
      <c r="E132" s="504" t="n">
        <v>0.15</v>
      </c>
      <c r="F132" s="505" t="n">
        <v>0.28</v>
      </c>
      <c r="G132" t="inlineStr">
        <is>
          <t>717萬</t>
        </is>
      </c>
      <c r="H132" t="n">
        <v>134</v>
      </c>
      <c r="I132" t="n">
        <v>127</v>
      </c>
      <c r="J132" t="inlineStr">
        <is>
          <t>--</t>
        </is>
      </c>
      <c r="K132" t="n">
        <v>53.55</v>
      </c>
      <c r="L132" t="n">
        <v>53.3</v>
      </c>
      <c r="M132" s="175" t="inlineStr">
        <is>
          <t>--</t>
        </is>
      </c>
      <c r="N132" t="inlineStr">
        <is>
          <t>--</t>
        </is>
      </c>
    </row>
    <row r="133">
      <c r="A133" t="inlineStr">
        <is>
          <t>00761B</t>
        </is>
      </c>
      <c r="B133" t="inlineStr">
        <is>
          <t>國泰A級公司債</t>
        </is>
      </c>
      <c r="C133" t="n">
        <v>34.4</v>
      </c>
      <c r="D133" t="n">
        <v>34.6</v>
      </c>
      <c r="E133" s="504" t="n">
        <v>0.29</v>
      </c>
      <c r="F133" s="505" t="n">
        <v>0.85</v>
      </c>
      <c r="G133" t="inlineStr">
        <is>
          <t>3329萬</t>
        </is>
      </c>
      <c r="H133" t="n">
        <v>966</v>
      </c>
      <c r="I133" t="n">
        <v>581</v>
      </c>
      <c r="J133" t="inlineStr">
        <is>
          <t>--</t>
        </is>
      </c>
      <c r="K133" t="n">
        <v>34.6</v>
      </c>
      <c r="L133" t="n">
        <v>34.38</v>
      </c>
      <c r="M133" s="175" t="inlineStr">
        <is>
          <t>--</t>
        </is>
      </c>
      <c r="N133" t="inlineStr">
        <is>
          <t>--</t>
        </is>
      </c>
    </row>
    <row r="134">
      <c r="A134" t="n">
        <v>762</v>
      </c>
      <c r="B134" t="inlineStr">
        <is>
          <t>元大全球AI</t>
        </is>
      </c>
      <c r="C134" t="n">
        <v>119.3</v>
      </c>
      <c r="D134" t="n">
        <v>120.45</v>
      </c>
      <c r="E134" s="504" t="n">
        <v>1.15</v>
      </c>
      <c r="F134" s="505" t="n">
        <v>0.96</v>
      </c>
      <c r="G134" t="inlineStr">
        <is>
          <t>1063萬</t>
        </is>
      </c>
      <c r="H134" t="n">
        <v>91</v>
      </c>
      <c r="I134" t="n">
        <v>323</v>
      </c>
      <c r="J134" t="inlineStr">
        <is>
          <t>--</t>
        </is>
      </c>
      <c r="K134" t="n">
        <v>120.45</v>
      </c>
      <c r="L134" t="n">
        <v>119</v>
      </c>
      <c r="M134" s="175" t="inlineStr">
        <is>
          <t>--</t>
        </is>
      </c>
      <c r="N134" t="inlineStr">
        <is>
          <t>--</t>
        </is>
      </c>
    </row>
    <row r="135">
      <c r="A135" t="inlineStr">
        <is>
          <t>00763U</t>
        </is>
      </c>
      <c r="B135" t="inlineStr">
        <is>
          <t>期街口道瓊銅</t>
        </is>
      </c>
      <c r="C135" t="n">
        <v>35</v>
      </c>
      <c r="D135" t="n">
        <v>35.27</v>
      </c>
      <c r="E135" s="504" t="n">
        <v>0.73</v>
      </c>
      <c r="F135" s="505" t="n">
        <v>2.11</v>
      </c>
      <c r="G135" t="inlineStr">
        <is>
          <t>3670萬</t>
        </is>
      </c>
      <c r="H135" t="n">
        <v>1045</v>
      </c>
      <c r="I135" t="n">
        <v>1079</v>
      </c>
      <c r="J135" t="inlineStr">
        <is>
          <t>--</t>
        </is>
      </c>
      <c r="K135" t="n">
        <v>35.31</v>
      </c>
      <c r="L135" t="n">
        <v>34.94</v>
      </c>
      <c r="M135" s="175" t="inlineStr">
        <is>
          <t>--</t>
        </is>
      </c>
      <c r="N135" t="inlineStr">
        <is>
          <t>--</t>
        </is>
      </c>
    </row>
    <row r="136">
      <c r="A136" t="inlineStr">
        <is>
          <t>00764B</t>
        </is>
      </c>
      <c r="B136" t="inlineStr">
        <is>
          <t>群益25年美債</t>
        </is>
      </c>
      <c r="C136" t="n">
        <v>27.7</v>
      </c>
      <c r="D136" t="n">
        <v>27.91</v>
      </c>
      <c r="E136" s="504" t="n">
        <v>0.27</v>
      </c>
      <c r="F136" s="505" t="n">
        <v>0.98</v>
      </c>
      <c r="G136" t="inlineStr">
        <is>
          <t>1.19億</t>
        </is>
      </c>
      <c r="H136" t="n">
        <v>4269</v>
      </c>
      <c r="I136" t="n">
        <v>7116</v>
      </c>
      <c r="J136" t="inlineStr">
        <is>
          <t>--</t>
        </is>
      </c>
      <c r="K136" t="n">
        <v>27.92</v>
      </c>
      <c r="L136" t="n">
        <v>27.7</v>
      </c>
      <c r="M136" s="175" t="inlineStr">
        <is>
          <t>--</t>
        </is>
      </c>
      <c r="N136" t="inlineStr">
        <is>
          <t>--</t>
        </is>
      </c>
    </row>
    <row r="137">
      <c r="A137" t="inlineStr">
        <is>
          <t>00768B</t>
        </is>
      </c>
      <c r="B137" t="inlineStr">
        <is>
          <t>復華20年美債</t>
        </is>
      </c>
      <c r="C137" t="n">
        <v>49.5</v>
      </c>
      <c r="D137" t="n">
        <v>49.95</v>
      </c>
      <c r="E137" s="504" t="n">
        <v>0.45</v>
      </c>
      <c r="F137" s="505" t="n">
        <v>0.91</v>
      </c>
      <c r="G137" t="inlineStr">
        <is>
          <t>836萬</t>
        </is>
      </c>
      <c r="H137" t="n">
        <v>168</v>
      </c>
      <c r="I137" t="n">
        <v>674</v>
      </c>
      <c r="J137" t="inlineStr">
        <is>
          <t>--</t>
        </is>
      </c>
      <c r="K137" t="n">
        <v>49.95</v>
      </c>
      <c r="L137" t="n">
        <v>49.5</v>
      </c>
      <c r="M137" s="175" t="inlineStr">
        <is>
          <t>--</t>
        </is>
      </c>
      <c r="N137" t="inlineStr">
        <is>
          <t>--</t>
        </is>
      </c>
    </row>
    <row r="138">
      <c r="A138" t="n">
        <v>770</v>
      </c>
      <c r="B138" t="inlineStr">
        <is>
          <t>國泰北美科技</t>
        </is>
      </c>
      <c r="C138" t="n">
        <v>69.75</v>
      </c>
      <c r="D138" t="n">
        <v>70.75</v>
      </c>
      <c r="E138" s="504" t="n">
        <v>1.2</v>
      </c>
      <c r="F138" s="505" t="n">
        <v>1.73</v>
      </c>
      <c r="G138" t="inlineStr">
        <is>
          <t>2985萬</t>
        </is>
      </c>
      <c r="H138" t="n">
        <v>425</v>
      </c>
      <c r="I138" t="n">
        <v>370</v>
      </c>
      <c r="J138" t="inlineStr">
        <is>
          <t>--</t>
        </is>
      </c>
      <c r="K138" t="n">
        <v>70.75</v>
      </c>
      <c r="L138" t="n">
        <v>69.75</v>
      </c>
      <c r="M138" s="175" t="inlineStr">
        <is>
          <t>--</t>
        </is>
      </c>
      <c r="N138" t="inlineStr">
        <is>
          <t>--</t>
        </is>
      </c>
    </row>
    <row r="139">
      <c r="A139" t="n">
        <v>771</v>
      </c>
      <c r="B139" t="inlineStr">
        <is>
          <t>元大US高息特別股</t>
        </is>
      </c>
      <c r="C139" t="n">
        <v>15.78</v>
      </c>
      <c r="D139" t="n">
        <v>15.83</v>
      </c>
      <c r="E139" s="504" t="n">
        <v>0.05</v>
      </c>
      <c r="F139" s="505" t="n">
        <v>0.32</v>
      </c>
      <c r="G139" t="inlineStr">
        <is>
          <t>60.1萬</t>
        </is>
      </c>
      <c r="H139" t="n">
        <v>38</v>
      </c>
      <c r="I139" t="n">
        <v>62</v>
      </c>
      <c r="J139" t="inlineStr">
        <is>
          <t>--</t>
        </is>
      </c>
      <c r="K139" t="n">
        <v>15.83</v>
      </c>
      <c r="L139" t="n">
        <v>15.78</v>
      </c>
      <c r="M139" s="175" t="inlineStr">
        <is>
          <t>--</t>
        </is>
      </c>
      <c r="N139" t="inlineStr">
        <is>
          <t>--</t>
        </is>
      </c>
    </row>
    <row r="140">
      <c r="A140" t="inlineStr">
        <is>
          <t>00772B</t>
        </is>
      </c>
      <c r="B140" t="inlineStr">
        <is>
          <t>中信高評級公司債</t>
        </is>
      </c>
      <c r="C140" t="n">
        <v>33.62</v>
      </c>
      <c r="D140" t="n">
        <v>33.84</v>
      </c>
      <c r="E140" s="504" t="n">
        <v>0.27</v>
      </c>
      <c r="F140" s="505" t="n">
        <v>0.8</v>
      </c>
      <c r="G140" t="inlineStr">
        <is>
          <t>1.80億</t>
        </is>
      </c>
      <c r="H140" t="n">
        <v>5344</v>
      </c>
      <c r="I140" t="n">
        <v>4405</v>
      </c>
      <c r="J140" t="inlineStr">
        <is>
          <t>--</t>
        </is>
      </c>
      <c r="K140" t="n">
        <v>33.85</v>
      </c>
      <c r="L140" t="n">
        <v>33.62</v>
      </c>
      <c r="M140" s="175" t="inlineStr">
        <is>
          <t>--</t>
        </is>
      </c>
      <c r="N140" t="inlineStr">
        <is>
          <t>--</t>
        </is>
      </c>
    </row>
    <row r="141">
      <c r="A141" t="inlineStr">
        <is>
          <t>00773B</t>
        </is>
      </c>
      <c r="B141" t="inlineStr">
        <is>
          <t>中信優先金融債</t>
        </is>
      </c>
      <c r="C141" t="n">
        <v>35.72</v>
      </c>
      <c r="D141" t="n">
        <v>35.95</v>
      </c>
      <c r="E141" s="504" t="n">
        <v>0.23</v>
      </c>
      <c r="F141" s="505" t="n">
        <v>0.64</v>
      </c>
      <c r="G141" t="inlineStr">
        <is>
          <t>8073萬</t>
        </is>
      </c>
      <c r="H141" t="n">
        <v>2252</v>
      </c>
      <c r="I141" t="n">
        <v>1708</v>
      </c>
      <c r="J141" t="inlineStr">
        <is>
          <t>--</t>
        </is>
      </c>
      <c r="K141" t="n">
        <v>35.97</v>
      </c>
      <c r="L141" t="n">
        <v>35.72</v>
      </c>
      <c r="M141" s="175" t="inlineStr">
        <is>
          <t>--</t>
        </is>
      </c>
      <c r="N141" t="inlineStr">
        <is>
          <t>--</t>
        </is>
      </c>
    </row>
    <row r="142">
      <c r="A142" t="inlineStr">
        <is>
          <t>00775B</t>
        </is>
      </c>
      <c r="B142" t="inlineStr">
        <is>
          <t>新光投等債15+</t>
        </is>
      </c>
      <c r="C142" t="n">
        <v>32.29</v>
      </c>
      <c r="D142" t="n">
        <v>32.25</v>
      </c>
      <c r="E142" s="504" t="n">
        <v>0.25</v>
      </c>
      <c r="F142" s="505" t="n">
        <v>0.78</v>
      </c>
      <c r="G142" t="inlineStr">
        <is>
          <t>519萬</t>
        </is>
      </c>
      <c r="H142" t="n">
        <v>161</v>
      </c>
      <c r="I142" t="n">
        <v>82</v>
      </c>
      <c r="J142" t="inlineStr">
        <is>
          <t>--</t>
        </is>
      </c>
      <c r="K142" t="n">
        <v>32.29</v>
      </c>
      <c r="L142" t="n">
        <v>32.25</v>
      </c>
      <c r="M142" s="175" t="inlineStr">
        <is>
          <t>--</t>
        </is>
      </c>
      <c r="N142" t="inlineStr">
        <is>
          <t>--</t>
        </is>
      </c>
    </row>
    <row r="143">
      <c r="A143" t="inlineStr">
        <is>
          <t>00777B</t>
        </is>
      </c>
      <c r="B143" t="inlineStr">
        <is>
          <t>凱基AAA至A公司債</t>
        </is>
      </c>
      <c r="C143" t="n">
        <v>32.56</v>
      </c>
      <c r="D143" t="n">
        <v>32.83</v>
      </c>
      <c r="E143" s="504" t="n">
        <v>0.27</v>
      </c>
      <c r="F143" s="505" t="n">
        <v>0.83</v>
      </c>
      <c r="G143" t="inlineStr">
        <is>
          <t>410萬</t>
        </is>
      </c>
      <c r="H143" t="n">
        <v>125</v>
      </c>
      <c r="I143" t="n">
        <v>104</v>
      </c>
      <c r="J143" t="inlineStr">
        <is>
          <t>--</t>
        </is>
      </c>
      <c r="K143" t="n">
        <v>32.83</v>
      </c>
      <c r="L143" t="n">
        <v>32.56</v>
      </c>
      <c r="M143" s="175" t="inlineStr">
        <is>
          <t>--</t>
        </is>
      </c>
      <c r="N143" t="inlineStr">
        <is>
          <t>--</t>
        </is>
      </c>
    </row>
    <row r="144">
      <c r="A144" t="inlineStr">
        <is>
          <t>00778B</t>
        </is>
      </c>
      <c r="B144" t="inlineStr">
        <is>
          <t>凱基金融債20+</t>
        </is>
      </c>
      <c r="C144" t="n">
        <v>34.53</v>
      </c>
      <c r="D144" t="n">
        <v>34.66</v>
      </c>
      <c r="E144" s="504" t="n">
        <v>0.27</v>
      </c>
      <c r="F144" s="505" t="n">
        <v>0.79</v>
      </c>
      <c r="G144" t="inlineStr">
        <is>
          <t>388萬</t>
        </is>
      </c>
      <c r="H144" t="n">
        <v>112</v>
      </c>
      <c r="I144" t="n">
        <v>103</v>
      </c>
      <c r="J144" t="inlineStr">
        <is>
          <t>--</t>
        </is>
      </c>
      <c r="K144" t="n">
        <v>34.66</v>
      </c>
      <c r="L144" t="n">
        <v>34.53</v>
      </c>
      <c r="M144" s="175" t="inlineStr">
        <is>
          <t>--</t>
        </is>
      </c>
      <c r="N144" t="inlineStr">
        <is>
          <t>--</t>
        </is>
      </c>
    </row>
    <row r="145">
      <c r="A145" t="inlineStr">
        <is>
          <t>00779B</t>
        </is>
      </c>
      <c r="B145" t="inlineStr">
        <is>
          <t>凱基美債25+</t>
        </is>
      </c>
      <c r="C145" t="n">
        <v>28.01</v>
      </c>
      <c r="D145" t="n">
        <v>28.29</v>
      </c>
      <c r="E145" s="504" t="n">
        <v>0.28</v>
      </c>
      <c r="F145" s="505" t="n">
        <v>1</v>
      </c>
      <c r="G145" t="inlineStr">
        <is>
          <t>1452萬</t>
        </is>
      </c>
      <c r="H145" t="n">
        <v>515</v>
      </c>
      <c r="I145" t="n">
        <v>397</v>
      </c>
      <c r="J145" t="inlineStr">
        <is>
          <t>--</t>
        </is>
      </c>
      <c r="K145" t="n">
        <v>28.29</v>
      </c>
      <c r="L145" t="n">
        <v>28.01</v>
      </c>
      <c r="M145" s="175" t="inlineStr">
        <is>
          <t>--</t>
        </is>
      </c>
      <c r="N145" t="inlineStr">
        <is>
          <t>--</t>
        </is>
      </c>
    </row>
    <row r="146">
      <c r="A146" t="inlineStr">
        <is>
          <t>00780B</t>
        </is>
      </c>
      <c r="B146" t="inlineStr">
        <is>
          <t>國泰A級金融債</t>
        </is>
      </c>
      <c r="C146" t="n">
        <v>37.03</v>
      </c>
      <c r="D146" t="n">
        <v>37.07</v>
      </c>
      <c r="E146" s="504" t="n">
        <v>0.22</v>
      </c>
      <c r="F146" s="505" t="n">
        <v>0.6</v>
      </c>
      <c r="G146" t="inlineStr">
        <is>
          <t>385萬</t>
        </is>
      </c>
      <c r="H146" t="n">
        <v>104</v>
      </c>
      <c r="I146" t="n">
        <v>198</v>
      </c>
      <c r="J146" t="inlineStr">
        <is>
          <t>--</t>
        </is>
      </c>
      <c r="K146" t="n">
        <v>37.07</v>
      </c>
      <c r="L146" t="n">
        <v>37.03</v>
      </c>
      <c r="M146" s="175" t="inlineStr">
        <is>
          <t>--</t>
        </is>
      </c>
      <c r="N146" t="inlineStr">
        <is>
          <t>--</t>
        </is>
      </c>
    </row>
    <row r="147">
      <c r="A147" t="inlineStr">
        <is>
          <t>00781B</t>
        </is>
      </c>
      <c r="B147" t="inlineStr">
        <is>
          <t>國泰A級科技債</t>
        </is>
      </c>
      <c r="C147" t="n">
        <v>28.81</v>
      </c>
      <c r="D147" t="n">
        <v>28.99</v>
      </c>
      <c r="E147" s="504" t="n">
        <v>0.28</v>
      </c>
      <c r="F147" s="505" t="n">
        <v>0.98</v>
      </c>
      <c r="G147" t="inlineStr">
        <is>
          <t>776萬</t>
        </is>
      </c>
      <c r="H147" t="n">
        <v>268</v>
      </c>
      <c r="I147" t="n">
        <v>176</v>
      </c>
      <c r="J147" t="inlineStr">
        <is>
          <t>--</t>
        </is>
      </c>
      <c r="K147" t="n">
        <v>28.99</v>
      </c>
      <c r="L147" t="n">
        <v>28.81</v>
      </c>
      <c r="M147" s="175" t="inlineStr">
        <is>
          <t>--</t>
        </is>
      </c>
      <c r="N147" t="inlineStr">
        <is>
          <t>--</t>
        </is>
      </c>
    </row>
    <row r="148">
      <c r="A148" t="inlineStr">
        <is>
          <t>00782B</t>
        </is>
      </c>
      <c r="B148" t="inlineStr">
        <is>
          <t>國泰A級公用債</t>
        </is>
      </c>
      <c r="C148" t="n">
        <v>30.44</v>
      </c>
      <c r="D148" t="n">
        <v>30.57</v>
      </c>
      <c r="E148" s="504" t="n">
        <v>0.22</v>
      </c>
      <c r="F148" s="505" t="n">
        <v>0.72</v>
      </c>
      <c r="G148" t="inlineStr">
        <is>
          <t>586萬</t>
        </is>
      </c>
      <c r="H148" t="n">
        <v>192</v>
      </c>
      <c r="I148" t="n">
        <v>173</v>
      </c>
      <c r="J148" t="inlineStr">
        <is>
          <t>--</t>
        </is>
      </c>
      <c r="K148" t="n">
        <v>30.6</v>
      </c>
      <c r="L148" t="n">
        <v>30.44</v>
      </c>
      <c r="M148" s="175" t="inlineStr">
        <is>
          <t>--</t>
        </is>
      </c>
      <c r="N148" t="inlineStr">
        <is>
          <t>--</t>
        </is>
      </c>
    </row>
    <row r="149">
      <c r="A149" t="n">
        <v>783</v>
      </c>
      <c r="B149" t="inlineStr">
        <is>
          <t>富邦中証500</t>
        </is>
      </c>
      <c r="C149" t="n">
        <v>29.14</v>
      </c>
      <c r="D149" t="n">
        <v>29.51</v>
      </c>
      <c r="E149" s="504" t="n">
        <v>0.18</v>
      </c>
      <c r="F149" s="505" t="n">
        <v>0.61</v>
      </c>
      <c r="G149" t="inlineStr">
        <is>
          <t>213萬</t>
        </is>
      </c>
      <c r="H149" t="n">
        <v>73</v>
      </c>
      <c r="I149" t="n">
        <v>311</v>
      </c>
      <c r="J149" t="inlineStr">
        <is>
          <t>--</t>
        </is>
      </c>
      <c r="K149" t="n">
        <v>29.51</v>
      </c>
      <c r="L149" t="n">
        <v>28.97</v>
      </c>
      <c r="M149" s="175" t="inlineStr">
        <is>
          <t>--</t>
        </is>
      </c>
      <c r="N149" t="inlineStr">
        <is>
          <t>--</t>
        </is>
      </c>
    </row>
    <row r="150">
      <c r="A150" t="inlineStr">
        <is>
          <t>00785B</t>
        </is>
      </c>
      <c r="B150" t="inlineStr">
        <is>
          <t>富邦金融投等債</t>
        </is>
      </c>
      <c r="C150" t="n">
        <v>34.8</v>
      </c>
      <c r="D150" t="n">
        <v>35.08</v>
      </c>
      <c r="E150" s="504" t="n">
        <v>0.25</v>
      </c>
      <c r="F150" s="505" t="n">
        <v>0.72</v>
      </c>
      <c r="G150" t="inlineStr">
        <is>
          <t>186萬</t>
        </is>
      </c>
      <c r="H150" t="n">
        <v>53</v>
      </c>
      <c r="I150" t="n">
        <v>73</v>
      </c>
      <c r="J150" t="inlineStr">
        <is>
          <t>--</t>
        </is>
      </c>
      <c r="K150" t="n">
        <v>35.08</v>
      </c>
      <c r="L150" t="n">
        <v>34.8</v>
      </c>
      <c r="M150" s="175" t="inlineStr">
        <is>
          <t>--</t>
        </is>
      </c>
      <c r="N150" t="inlineStr">
        <is>
          <t>--</t>
        </is>
      </c>
    </row>
    <row r="151">
      <c r="A151" t="inlineStr">
        <is>
          <t>00786B</t>
        </is>
      </c>
      <c r="B151" t="inlineStr">
        <is>
          <t>元大10年IG銀行債</t>
        </is>
      </c>
      <c r="C151" t="n">
        <v>32.52</v>
      </c>
      <c r="D151" t="n">
        <v>32.7</v>
      </c>
      <c r="E151" s="504" t="n">
        <v>0.18</v>
      </c>
      <c r="F151" s="505" t="n">
        <v>0.55</v>
      </c>
      <c r="G151" t="inlineStr">
        <is>
          <t>169萬</t>
        </is>
      </c>
      <c r="H151" t="n">
        <v>52</v>
      </c>
      <c r="I151" t="n">
        <v>118</v>
      </c>
      <c r="J151" t="inlineStr">
        <is>
          <t>--</t>
        </is>
      </c>
      <c r="K151" t="n">
        <v>32.7</v>
      </c>
      <c r="L151" t="n">
        <v>32.51</v>
      </c>
      <c r="M151" s="175" t="inlineStr">
        <is>
          <t>--</t>
        </is>
      </c>
      <c r="N151" t="inlineStr">
        <is>
          <t>--</t>
        </is>
      </c>
    </row>
    <row r="152">
      <c r="A152" t="inlineStr">
        <is>
          <t>00787B</t>
        </is>
      </c>
      <c r="B152" t="inlineStr">
        <is>
          <t>元大10年IG醫療債</t>
        </is>
      </c>
      <c r="C152" t="n">
        <v>32.6</v>
      </c>
      <c r="D152" t="n">
        <v>32.86</v>
      </c>
      <c r="E152" s="504" t="n">
        <v>0.27</v>
      </c>
      <c r="F152" s="505" t="n">
        <v>0.83</v>
      </c>
      <c r="G152" t="inlineStr">
        <is>
          <t>125萬</t>
        </is>
      </c>
      <c r="H152" t="n">
        <v>38</v>
      </c>
      <c r="I152" t="n">
        <v>33</v>
      </c>
      <c r="J152" t="inlineStr">
        <is>
          <t>--</t>
        </is>
      </c>
      <c r="K152" t="n">
        <v>32.86</v>
      </c>
      <c r="L152" t="n">
        <v>32.6</v>
      </c>
      <c r="M152" s="175" t="inlineStr">
        <is>
          <t>--</t>
        </is>
      </c>
      <c r="N152" t="inlineStr">
        <is>
          <t>--</t>
        </is>
      </c>
    </row>
    <row r="153">
      <c r="A153" t="inlineStr">
        <is>
          <t>00788B</t>
        </is>
      </c>
      <c r="B153" t="inlineStr">
        <is>
          <t>元大10年IG電能債</t>
        </is>
      </c>
      <c r="C153" t="n">
        <v>29.9</v>
      </c>
      <c r="D153" t="n">
        <v>30.12</v>
      </c>
      <c r="E153" s="504" t="n">
        <v>0.25</v>
      </c>
      <c r="F153" s="505" t="n">
        <v>0.84</v>
      </c>
      <c r="G153" t="inlineStr">
        <is>
          <t>295萬</t>
        </is>
      </c>
      <c r="H153" t="n">
        <v>98</v>
      </c>
      <c r="I153" t="n">
        <v>66</v>
      </c>
      <c r="J153" t="inlineStr">
        <is>
          <t>--</t>
        </is>
      </c>
      <c r="K153" t="n">
        <v>30.12</v>
      </c>
      <c r="L153" t="n">
        <v>29.9</v>
      </c>
      <c r="M153" s="175" t="inlineStr">
        <is>
          <t>--</t>
        </is>
      </c>
      <c r="N153" t="inlineStr">
        <is>
          <t>--</t>
        </is>
      </c>
    </row>
    <row r="154">
      <c r="A154" t="inlineStr">
        <is>
          <t>00789B</t>
        </is>
      </c>
      <c r="B154" t="inlineStr">
        <is>
          <t>復華公司債A3</t>
        </is>
      </c>
      <c r="C154" t="n">
        <v>48.73</v>
      </c>
      <c r="D154" t="n">
        <v>48.73</v>
      </c>
      <c r="E154" s="504" t="n">
        <v>0.41</v>
      </c>
      <c r="F154" s="505" t="n">
        <v>0.85</v>
      </c>
      <c r="G154" t="inlineStr">
        <is>
          <t>487萬</t>
        </is>
      </c>
      <c r="H154" t="n">
        <v>100</v>
      </c>
      <c r="I154" t="n">
        <v>255</v>
      </c>
      <c r="J154" t="inlineStr">
        <is>
          <t>--</t>
        </is>
      </c>
      <c r="K154" t="n">
        <v>48.73</v>
      </c>
      <c r="L154" t="n">
        <v>48.73</v>
      </c>
      <c r="M154" s="175" t="inlineStr">
        <is>
          <t>--</t>
        </is>
      </c>
      <c r="N154" t="inlineStr">
        <is>
          <t>--</t>
        </is>
      </c>
    </row>
    <row r="155">
      <c r="A155" t="inlineStr">
        <is>
          <t>00791B</t>
        </is>
      </c>
      <c r="B155" t="inlineStr">
        <is>
          <t>復華信用債1-5</t>
        </is>
      </c>
      <c r="C155" t="n">
        <v>56.45</v>
      </c>
      <c r="D155" t="n">
        <v>56.45</v>
      </c>
      <c r="E155" s="504" t="n">
        <v>0.25</v>
      </c>
      <c r="F155" s="505" t="n">
        <v>0.44</v>
      </c>
      <c r="G155" t="inlineStr">
        <is>
          <t>565萬</t>
        </is>
      </c>
      <c r="H155" t="n">
        <v>100</v>
      </c>
      <c r="I155" t="n">
        <v>102</v>
      </c>
      <c r="J155" t="inlineStr">
        <is>
          <t>--</t>
        </is>
      </c>
      <c r="K155" t="n">
        <v>56.45</v>
      </c>
      <c r="L155" t="n">
        <v>56.45</v>
      </c>
      <c r="M155" s="175" t="inlineStr">
        <is>
          <t>--</t>
        </is>
      </c>
      <c r="N155" t="inlineStr">
        <is>
          <t>--</t>
        </is>
      </c>
    </row>
    <row r="156">
      <c r="A156" t="inlineStr">
        <is>
          <t>00792B</t>
        </is>
      </c>
      <c r="B156" t="inlineStr">
        <is>
          <t>群益A級公司債</t>
        </is>
      </c>
      <c r="C156" t="n">
        <v>31.9</v>
      </c>
      <c r="D156" t="n">
        <v>32.13</v>
      </c>
      <c r="E156" s="504" t="n">
        <v>0.27</v>
      </c>
      <c r="F156" s="505" t="n">
        <v>0.85</v>
      </c>
      <c r="G156" t="inlineStr">
        <is>
          <t>417萬</t>
        </is>
      </c>
      <c r="H156" t="n">
        <v>130</v>
      </c>
      <c r="I156" t="n">
        <v>173</v>
      </c>
      <c r="J156" t="inlineStr">
        <is>
          <t>--</t>
        </is>
      </c>
      <c r="K156" t="n">
        <v>32.13</v>
      </c>
      <c r="L156" t="n">
        <v>31.9</v>
      </c>
      <c r="M156" s="175" t="inlineStr">
        <is>
          <t>--</t>
        </is>
      </c>
      <c r="N156" t="inlineStr">
        <is>
          <t>--</t>
        </is>
      </c>
    </row>
    <row r="157">
      <c r="A157" t="inlineStr">
        <is>
          <t>00793B</t>
        </is>
      </c>
      <c r="B157" t="inlineStr">
        <is>
          <t>群益AAA-A醫療債</t>
        </is>
      </c>
      <c r="C157" t="n">
        <v>30.81</v>
      </c>
      <c r="D157" t="n">
        <v>31.08</v>
      </c>
      <c r="E157" s="504" t="n">
        <v>0.27</v>
      </c>
      <c r="F157" s="505" t="n">
        <v>0.88</v>
      </c>
      <c r="G157" t="inlineStr">
        <is>
          <t>510萬</t>
        </is>
      </c>
      <c r="H157" t="n">
        <v>164</v>
      </c>
      <c r="I157" t="n">
        <v>459</v>
      </c>
      <c r="J157" t="inlineStr">
        <is>
          <t>--</t>
        </is>
      </c>
      <c r="K157" t="n">
        <v>31.09</v>
      </c>
      <c r="L157" t="n">
        <v>30.81</v>
      </c>
      <c r="M157" s="175" t="inlineStr">
        <is>
          <t>--</t>
        </is>
      </c>
      <c r="N157" t="inlineStr">
        <is>
          <t>--</t>
        </is>
      </c>
    </row>
    <row r="158">
      <c r="A158" t="inlineStr">
        <is>
          <t>00795B</t>
        </is>
      </c>
      <c r="B158" t="inlineStr">
        <is>
          <t>中信美國公債20年</t>
        </is>
      </c>
      <c r="C158" t="n">
        <v>26.62</v>
      </c>
      <c r="D158" t="n">
        <v>26.78</v>
      </c>
      <c r="E158" s="504" t="n">
        <v>0.25</v>
      </c>
      <c r="F158" s="505" t="n">
        <v>0.9399999999999999</v>
      </c>
      <c r="G158" t="inlineStr">
        <is>
          <t>2.72億</t>
        </is>
      </c>
      <c r="H158" t="n">
        <v>10184</v>
      </c>
      <c r="I158" t="n">
        <v>6917</v>
      </c>
      <c r="J158" t="inlineStr">
        <is>
          <t>--</t>
        </is>
      </c>
      <c r="K158" t="n">
        <v>26.8</v>
      </c>
      <c r="L158" t="n">
        <v>26.61</v>
      </c>
      <c r="M158" s="175" t="inlineStr">
        <is>
          <t>--</t>
        </is>
      </c>
      <c r="N158" t="inlineStr">
        <is>
          <t>--</t>
        </is>
      </c>
    </row>
    <row r="159">
      <c r="A159" t="inlineStr">
        <is>
          <t>00799B</t>
        </is>
      </c>
      <c r="B159" t="inlineStr">
        <is>
          <t>國泰A級醫療債</t>
        </is>
      </c>
      <c r="C159" t="n">
        <v>29.46</v>
      </c>
      <c r="D159" t="n">
        <v>29.64</v>
      </c>
      <c r="E159" s="504" t="n">
        <v>0.18</v>
      </c>
      <c r="F159" s="505" t="n">
        <v>0.61</v>
      </c>
      <c r="G159" t="inlineStr">
        <is>
          <t>790萬</t>
        </is>
      </c>
      <c r="H159" t="n">
        <v>267</v>
      </c>
      <c r="I159" t="n">
        <v>296</v>
      </c>
      <c r="J159" t="inlineStr">
        <is>
          <t>--</t>
        </is>
      </c>
      <c r="K159" t="n">
        <v>29.64</v>
      </c>
      <c r="L159" t="n">
        <v>29.46</v>
      </c>
      <c r="M159" s="175" t="inlineStr">
        <is>
          <t>--</t>
        </is>
      </c>
      <c r="N159" t="inlineStr">
        <is>
          <t>--</t>
        </is>
      </c>
    </row>
    <row r="160">
      <c r="A160" t="n">
        <v>830</v>
      </c>
      <c r="B160" t="inlineStr">
        <is>
          <t>國泰費城半導體</t>
        </is>
      </c>
      <c r="C160" t="n">
        <v>90.25</v>
      </c>
      <c r="D160" t="n">
        <v>90.55</v>
      </c>
      <c r="E160" s="504" t="n">
        <v>0.15</v>
      </c>
      <c r="F160" s="505" t="n">
        <v>0.17</v>
      </c>
      <c r="G160" t="inlineStr">
        <is>
          <t>7.70億</t>
        </is>
      </c>
      <c r="H160" t="n">
        <v>8562</v>
      </c>
      <c r="I160" t="n">
        <v>9674</v>
      </c>
      <c r="J160" t="inlineStr">
        <is>
          <t>--</t>
        </is>
      </c>
      <c r="K160" t="n">
        <v>90.65000000000001</v>
      </c>
      <c r="L160" t="n">
        <v>89.5</v>
      </c>
      <c r="M160" s="175" t="inlineStr">
        <is>
          <t>--</t>
        </is>
      </c>
      <c r="N160" t="inlineStr">
        <is>
          <t>--</t>
        </is>
      </c>
    </row>
    <row r="161">
      <c r="A161" t="inlineStr">
        <is>
          <t>00834B</t>
        </is>
      </c>
      <c r="B161" t="inlineStr">
        <is>
          <t>第一金金融債10+</t>
        </is>
      </c>
      <c r="C161" t="n">
        <v>34.28</v>
      </c>
      <c r="D161" t="n">
        <v>34.28</v>
      </c>
      <c r="E161" s="504" t="n">
        <v>0.26</v>
      </c>
      <c r="F161" s="505" t="n">
        <v>0.76</v>
      </c>
      <c r="G161" t="inlineStr">
        <is>
          <t>377萬</t>
        </is>
      </c>
      <c r="H161" t="n">
        <v>110</v>
      </c>
      <c r="I161" t="n">
        <v>104</v>
      </c>
      <c r="J161" t="inlineStr">
        <is>
          <t>--</t>
        </is>
      </c>
      <c r="K161" t="n">
        <v>34.28</v>
      </c>
      <c r="L161" t="n">
        <v>34.28</v>
      </c>
      <c r="M161" s="175" t="inlineStr">
        <is>
          <t>--</t>
        </is>
      </c>
      <c r="N161" t="inlineStr">
        <is>
          <t>--</t>
        </is>
      </c>
    </row>
    <row r="162">
      <c r="A162" t="inlineStr">
        <is>
          <t>00836B</t>
        </is>
      </c>
      <c r="B162" t="inlineStr">
        <is>
          <t>永豐10年A公司債</t>
        </is>
      </c>
      <c r="C162" t="n">
        <v>29.04</v>
      </c>
      <c r="D162" t="n">
        <v>29.16</v>
      </c>
      <c r="E162" s="504" t="n">
        <v>0.2</v>
      </c>
      <c r="F162" s="505" t="n">
        <v>0.6899999999999999</v>
      </c>
      <c r="G162" t="inlineStr">
        <is>
          <t>256萬</t>
        </is>
      </c>
      <c r="H162" t="n">
        <v>88</v>
      </c>
      <c r="I162" t="n">
        <v>16</v>
      </c>
      <c r="J162" t="inlineStr">
        <is>
          <t>--</t>
        </is>
      </c>
      <c r="K162" t="n">
        <v>29.2</v>
      </c>
      <c r="L162" t="n">
        <v>29.04</v>
      </c>
      <c r="M162" s="175" t="inlineStr">
        <is>
          <t>--</t>
        </is>
      </c>
      <c r="N162" t="inlineStr">
        <is>
          <t>--</t>
        </is>
      </c>
    </row>
    <row r="163">
      <c r="A163" t="inlineStr">
        <is>
          <t>00840B</t>
        </is>
      </c>
      <c r="B163" t="inlineStr">
        <is>
          <t>凱基IG精選15+</t>
        </is>
      </c>
      <c r="C163" t="n">
        <v>30.24</v>
      </c>
      <c r="D163" t="n">
        <v>30.24</v>
      </c>
      <c r="E163" s="504" t="n">
        <v>0.22</v>
      </c>
      <c r="F163" s="505" t="n">
        <v>0.73</v>
      </c>
      <c r="G163" t="inlineStr">
        <is>
          <t>302萬</t>
        </is>
      </c>
      <c r="H163" t="n">
        <v>100</v>
      </c>
      <c r="I163" t="n">
        <v>100</v>
      </c>
      <c r="J163" t="inlineStr">
        <is>
          <t>--</t>
        </is>
      </c>
      <c r="K163" t="n">
        <v>30.24</v>
      </c>
      <c r="L163" t="n">
        <v>30.24</v>
      </c>
      <c r="M163" s="175" t="inlineStr">
        <is>
          <t>--</t>
        </is>
      </c>
      <c r="N163" t="inlineStr">
        <is>
          <t>--</t>
        </is>
      </c>
    </row>
    <row r="164">
      <c r="A164" t="inlineStr">
        <is>
          <t>00841B</t>
        </is>
      </c>
      <c r="B164" t="inlineStr">
        <is>
          <t>凱基AAA-AA公司債</t>
        </is>
      </c>
      <c r="C164" t="n">
        <v>29.12</v>
      </c>
      <c r="D164" t="n">
        <v>29.12</v>
      </c>
      <c r="E164" s="504" t="n">
        <v>0.27</v>
      </c>
      <c r="F164" s="505" t="n">
        <v>0.9399999999999999</v>
      </c>
      <c r="G164" t="inlineStr">
        <is>
          <t>291萬</t>
        </is>
      </c>
      <c r="H164" t="n">
        <v>100</v>
      </c>
      <c r="I164" t="n">
        <v>106</v>
      </c>
      <c r="J164" t="inlineStr">
        <is>
          <t>--</t>
        </is>
      </c>
      <c r="K164" t="n">
        <v>29.12</v>
      </c>
      <c r="L164" t="n">
        <v>29.12</v>
      </c>
      <c r="M164" s="175" t="inlineStr">
        <is>
          <t>--</t>
        </is>
      </c>
      <c r="N164" t="inlineStr">
        <is>
          <t>--</t>
        </is>
      </c>
    </row>
    <row r="165">
      <c r="A165" t="inlineStr">
        <is>
          <t>00842B</t>
        </is>
      </c>
      <c r="B165" t="inlineStr">
        <is>
          <t>台新美元銀行債</t>
        </is>
      </c>
      <c r="C165" t="n">
        <v>30.46</v>
      </c>
      <c r="D165" t="n">
        <v>30.5</v>
      </c>
      <c r="E165" s="504" t="n">
        <v>0.09</v>
      </c>
      <c r="F165" s="505" t="n">
        <v>0.3</v>
      </c>
      <c r="G165" t="inlineStr">
        <is>
          <t>1427萬</t>
        </is>
      </c>
      <c r="H165" t="n">
        <v>468</v>
      </c>
      <c r="I165" t="n">
        <v>199</v>
      </c>
      <c r="J165" t="inlineStr">
        <is>
          <t>--</t>
        </is>
      </c>
      <c r="K165" t="n">
        <v>30.52</v>
      </c>
      <c r="L165" t="n">
        <v>30.39</v>
      </c>
      <c r="M165" s="175" t="inlineStr">
        <is>
          <t>--</t>
        </is>
      </c>
      <c r="N165" t="inlineStr">
        <is>
          <t>--</t>
        </is>
      </c>
    </row>
    <row r="166">
      <c r="A166" t="inlineStr">
        <is>
          <t>00844B</t>
        </is>
      </c>
      <c r="B166" t="inlineStr">
        <is>
          <t>新光15年IG金融債</t>
        </is>
      </c>
      <c r="C166" t="n">
        <v>31.67</v>
      </c>
      <c r="D166" t="n">
        <v>31.67</v>
      </c>
      <c r="E166" s="504" t="n">
        <v>0.27</v>
      </c>
      <c r="F166" s="505" t="n">
        <v>0.86</v>
      </c>
      <c r="G166" t="inlineStr">
        <is>
          <t>507萬</t>
        </is>
      </c>
      <c r="H166" t="n">
        <v>160</v>
      </c>
      <c r="I166" t="n">
        <v>95</v>
      </c>
      <c r="J166" t="inlineStr">
        <is>
          <t>--</t>
        </is>
      </c>
      <c r="K166" t="n">
        <v>31.67</v>
      </c>
      <c r="L166" t="n">
        <v>31.67</v>
      </c>
      <c r="M166" s="175" t="inlineStr">
        <is>
          <t>--</t>
        </is>
      </c>
      <c r="N166" t="inlineStr">
        <is>
          <t>--</t>
        </is>
      </c>
    </row>
    <row r="167">
      <c r="A167" t="inlineStr">
        <is>
          <t>00845B</t>
        </is>
      </c>
      <c r="B167" t="inlineStr">
        <is>
          <t>富邦新興投等債</t>
        </is>
      </c>
      <c r="C167" t="n">
        <v>33.07</v>
      </c>
      <c r="D167" t="n">
        <v>33.11</v>
      </c>
      <c r="E167" s="504" t="n">
        <v>0.12</v>
      </c>
      <c r="F167" s="505" t="n">
        <v>0.36</v>
      </c>
      <c r="G167" t="inlineStr">
        <is>
          <t>744萬</t>
        </is>
      </c>
      <c r="H167" t="n">
        <v>225</v>
      </c>
      <c r="I167" t="n">
        <v>106</v>
      </c>
      <c r="J167" t="inlineStr">
        <is>
          <t>--</t>
        </is>
      </c>
      <c r="K167" t="n">
        <v>33.11</v>
      </c>
      <c r="L167" t="n">
        <v>33.03</v>
      </c>
      <c r="M167" s="175" t="inlineStr">
        <is>
          <t>--</t>
        </is>
      </c>
      <c r="N167" t="inlineStr">
        <is>
          <t>--</t>
        </is>
      </c>
    </row>
    <row r="168">
      <c r="A168" t="inlineStr">
        <is>
          <t>00846B</t>
        </is>
      </c>
      <c r="B168" t="inlineStr">
        <is>
          <t>富邦歐洲銀行債</t>
        </is>
      </c>
      <c r="C168" t="n">
        <v>35.43</v>
      </c>
      <c r="D168" t="n">
        <v>35.69</v>
      </c>
      <c r="E168" s="504" t="n">
        <v>0.16</v>
      </c>
      <c r="F168" s="505" t="n">
        <v>0.45</v>
      </c>
      <c r="G168" t="inlineStr">
        <is>
          <t>631萬</t>
        </is>
      </c>
      <c r="H168" t="n">
        <v>177</v>
      </c>
      <c r="I168" t="n">
        <v>104</v>
      </c>
      <c r="J168" t="inlineStr">
        <is>
          <t>--</t>
        </is>
      </c>
      <c r="K168" t="n">
        <v>35.71</v>
      </c>
      <c r="L168" t="n">
        <v>35.43</v>
      </c>
      <c r="M168" s="175" t="inlineStr">
        <is>
          <t>--</t>
        </is>
      </c>
      <c r="N168" t="inlineStr">
        <is>
          <t>--</t>
        </is>
      </c>
    </row>
    <row r="169">
      <c r="A169" t="inlineStr">
        <is>
          <t>00847B</t>
        </is>
      </c>
      <c r="B169" t="inlineStr">
        <is>
          <t>中信美國市政債</t>
        </is>
      </c>
      <c r="C169" t="n">
        <v>25.35</v>
      </c>
      <c r="D169" t="n">
        <v>25.43</v>
      </c>
      <c r="E169" s="504" t="n">
        <v>0.19</v>
      </c>
      <c r="F169" s="505" t="n">
        <v>0.75</v>
      </c>
      <c r="G169" t="inlineStr">
        <is>
          <t>1792萬</t>
        </is>
      </c>
      <c r="H169" t="n">
        <v>706</v>
      </c>
      <c r="I169" t="n">
        <v>339</v>
      </c>
      <c r="J169" t="inlineStr">
        <is>
          <t>--</t>
        </is>
      </c>
      <c r="K169" t="n">
        <v>25.43</v>
      </c>
      <c r="L169" t="n">
        <v>25.35</v>
      </c>
      <c r="M169" s="175" t="inlineStr">
        <is>
          <t>--</t>
        </is>
      </c>
      <c r="N169" t="inlineStr">
        <is>
          <t>--</t>
        </is>
      </c>
    </row>
    <row r="170">
      <c r="A170" t="inlineStr">
        <is>
          <t>00848B</t>
        </is>
      </c>
      <c r="B170" t="inlineStr">
        <is>
          <t>中信新興亞洲債</t>
        </is>
      </c>
      <c r="C170" t="n">
        <v>34.16</v>
      </c>
      <c r="D170" t="n">
        <v>34.25</v>
      </c>
      <c r="E170" s="504" t="n">
        <v>0.15</v>
      </c>
      <c r="F170" s="505" t="n">
        <v>0.44</v>
      </c>
      <c r="G170" t="inlineStr">
        <is>
          <t>1810萬</t>
        </is>
      </c>
      <c r="H170" t="n">
        <v>529</v>
      </c>
      <c r="I170" t="n">
        <v>322</v>
      </c>
      <c r="J170" t="inlineStr">
        <is>
          <t>--</t>
        </is>
      </c>
      <c r="K170" t="n">
        <v>34.25</v>
      </c>
      <c r="L170" t="n">
        <v>34.13</v>
      </c>
      <c r="M170" s="175" t="inlineStr">
        <is>
          <t>--</t>
        </is>
      </c>
      <c r="N170" t="inlineStr">
        <is>
          <t>--</t>
        </is>
      </c>
    </row>
    <row r="171">
      <c r="A171" t="inlineStr">
        <is>
          <t>00849B</t>
        </is>
      </c>
      <c r="B171" t="inlineStr">
        <is>
          <t>中信EM主權債0-5</t>
        </is>
      </c>
      <c r="C171" t="n">
        <v>37</v>
      </c>
      <c r="D171" t="n">
        <v>37.15</v>
      </c>
      <c r="E171" s="504" t="n">
        <v>0.23</v>
      </c>
      <c r="F171" s="505" t="n">
        <v>0.62</v>
      </c>
      <c r="G171" t="inlineStr">
        <is>
          <t>1929萬</t>
        </is>
      </c>
      <c r="H171" t="n">
        <v>520</v>
      </c>
      <c r="I171" t="n">
        <v>509</v>
      </c>
      <c r="J171" t="inlineStr">
        <is>
          <t>--</t>
        </is>
      </c>
      <c r="K171" t="n">
        <v>37.15</v>
      </c>
      <c r="L171" t="n">
        <v>36.96</v>
      </c>
      <c r="M171" s="175" t="inlineStr">
        <is>
          <t>--</t>
        </is>
      </c>
      <c r="N171" t="inlineStr">
        <is>
          <t>--</t>
        </is>
      </c>
    </row>
    <row r="172">
      <c r="A172" t="n">
        <v>850</v>
      </c>
      <c r="B172" t="inlineStr">
        <is>
          <t>元大臺灣ESG永續</t>
        </is>
      </c>
      <c r="C172" t="n">
        <v>91.15000000000001</v>
      </c>
      <c r="D172" t="n">
        <v>91.05</v>
      </c>
      <c r="E172" s="504" t="n">
        <v>0.3</v>
      </c>
      <c r="F172" s="505" t="n">
        <v>0.33</v>
      </c>
      <c r="G172" t="inlineStr">
        <is>
          <t>8209萬</t>
        </is>
      </c>
      <c r="H172" t="n">
        <v>907</v>
      </c>
      <c r="I172" t="n">
        <v>926</v>
      </c>
      <c r="J172" t="inlineStr">
        <is>
          <t>--</t>
        </is>
      </c>
      <c r="K172" t="n">
        <v>91.3</v>
      </c>
      <c r="L172" t="n">
        <v>89.45</v>
      </c>
      <c r="M172" s="175" t="inlineStr">
        <is>
          <t>--</t>
        </is>
      </c>
      <c r="N172" t="inlineStr">
        <is>
          <t>--</t>
        </is>
      </c>
    </row>
    <row r="173">
      <c r="A173" t="n">
        <v>851</v>
      </c>
      <c r="B173" t="inlineStr">
        <is>
          <t>台新全球AI</t>
        </is>
      </c>
      <c r="C173" t="n">
        <v>72.5</v>
      </c>
      <c r="D173" t="n">
        <v>73.34999999999999</v>
      </c>
      <c r="E173" s="504" t="n">
        <v>1.15</v>
      </c>
      <c r="F173" s="505" t="n">
        <v>1.59</v>
      </c>
      <c r="G173" t="inlineStr">
        <is>
          <t>51.0萬</t>
        </is>
      </c>
      <c r="H173" t="n">
        <v>7</v>
      </c>
      <c r="I173" t="n">
        <v>32</v>
      </c>
      <c r="J173" t="inlineStr">
        <is>
          <t>--</t>
        </is>
      </c>
      <c r="K173" t="n">
        <v>73.34999999999999</v>
      </c>
      <c r="L173" t="n">
        <v>72.5</v>
      </c>
      <c r="M173" s="175" t="inlineStr">
        <is>
          <t>--</t>
        </is>
      </c>
      <c r="N173" t="inlineStr">
        <is>
          <t>--</t>
        </is>
      </c>
    </row>
    <row r="174">
      <c r="A174" t="inlineStr">
        <is>
          <t>00852L</t>
        </is>
      </c>
      <c r="B174" t="inlineStr">
        <is>
          <t>國泰美國道瓊正2</t>
        </is>
      </c>
      <c r="C174" t="n">
        <v>32.78</v>
      </c>
      <c r="D174" t="n">
        <v>32.93</v>
      </c>
      <c r="E174" s="504" t="n">
        <v>-0.17</v>
      </c>
      <c r="F174" s="505" t="n">
        <v>-0.51</v>
      </c>
      <c r="G174" t="inlineStr">
        <is>
          <t>1204萬</t>
        </is>
      </c>
      <c r="H174" t="n">
        <v>367</v>
      </c>
      <c r="I174" t="n">
        <v>218</v>
      </c>
      <c r="J174" t="inlineStr">
        <is>
          <t>--</t>
        </is>
      </c>
      <c r="K174" t="n">
        <v>32.93</v>
      </c>
      <c r="L174" t="n">
        <v>32.78</v>
      </c>
      <c r="M174" s="175" t="inlineStr">
        <is>
          <t>--</t>
        </is>
      </c>
      <c r="N174" t="inlineStr">
        <is>
          <t>--</t>
        </is>
      </c>
    </row>
    <row r="175">
      <c r="A175" t="inlineStr">
        <is>
          <t>00853B</t>
        </is>
      </c>
      <c r="B175" t="inlineStr">
        <is>
          <t>統一美債10年Aa-A</t>
        </is>
      </c>
      <c r="C175" t="n">
        <v>27.85</v>
      </c>
      <c r="D175" t="n">
        <v>27.99</v>
      </c>
      <c r="E175" s="504" t="n">
        <v>0.24</v>
      </c>
      <c r="F175" s="505" t="n">
        <v>0.86</v>
      </c>
      <c r="G175" t="inlineStr">
        <is>
          <t>1536萬</t>
        </is>
      </c>
      <c r="H175" t="n">
        <v>549</v>
      </c>
      <c r="I175" t="n">
        <v>1102</v>
      </c>
      <c r="J175" t="inlineStr">
        <is>
          <t>--</t>
        </is>
      </c>
      <c r="K175" t="n">
        <v>28</v>
      </c>
      <c r="L175" t="n">
        <v>27.85</v>
      </c>
      <c r="M175" s="175" t="inlineStr">
        <is>
          <t>--</t>
        </is>
      </c>
      <c r="N175" t="inlineStr">
        <is>
          <t>--</t>
        </is>
      </c>
    </row>
    <row r="176">
      <c r="A176" t="inlineStr">
        <is>
          <t>00856B</t>
        </is>
      </c>
      <c r="B176" t="inlineStr">
        <is>
          <t>永豐1-3年美公債</t>
        </is>
      </c>
      <c r="C176" t="n">
        <v>37.42</v>
      </c>
      <c r="D176" t="n">
        <v>37.42</v>
      </c>
      <c r="E176" s="504" t="n">
        <v>0.02</v>
      </c>
      <c r="F176" s="505" t="n">
        <v>0.05</v>
      </c>
      <c r="G176" t="inlineStr">
        <is>
          <t>150萬</t>
        </is>
      </c>
      <c r="H176" t="n">
        <v>40</v>
      </c>
      <c r="I176" t="n">
        <v>16</v>
      </c>
      <c r="J176" t="inlineStr">
        <is>
          <t>--</t>
        </is>
      </c>
      <c r="K176" t="n">
        <v>37.42</v>
      </c>
      <c r="L176" t="n">
        <v>37.41</v>
      </c>
      <c r="M176" s="175" t="inlineStr">
        <is>
          <t>--</t>
        </is>
      </c>
      <c r="N176" t="inlineStr">
        <is>
          <t>--</t>
        </is>
      </c>
    </row>
    <row r="177">
      <c r="A177" t="inlineStr">
        <is>
          <t>00857B</t>
        </is>
      </c>
      <c r="B177" t="inlineStr">
        <is>
          <t>永豐20年美公債</t>
        </is>
      </c>
      <c r="C177" t="n">
        <v>23.12</v>
      </c>
      <c r="D177" t="n">
        <v>23.27</v>
      </c>
      <c r="E177" s="504" t="n">
        <v>0.22</v>
      </c>
      <c r="F177" s="505" t="n">
        <v>0.95</v>
      </c>
      <c r="G177" t="inlineStr">
        <is>
          <t>9364萬</t>
        </is>
      </c>
      <c r="H177" t="n">
        <v>4038</v>
      </c>
      <c r="I177" t="n">
        <v>2924</v>
      </c>
      <c r="J177" t="inlineStr">
        <is>
          <t>--</t>
        </is>
      </c>
      <c r="K177" t="n">
        <v>23.27</v>
      </c>
      <c r="L177" t="n">
        <v>23.11</v>
      </c>
      <c r="M177" s="175" t="inlineStr">
        <is>
          <t>--</t>
        </is>
      </c>
      <c r="N177" t="inlineStr">
        <is>
          <t>--</t>
        </is>
      </c>
    </row>
    <row r="178">
      <c r="A178" t="n">
        <v>858</v>
      </c>
      <c r="B178" t="inlineStr">
        <is>
          <t>永豐美國500大</t>
        </is>
      </c>
      <c r="C178" t="n">
        <v>35.91</v>
      </c>
      <c r="D178" t="n">
        <v>36.05</v>
      </c>
      <c r="E178" s="504" t="n">
        <v>-0.05</v>
      </c>
      <c r="F178" s="505" t="n">
        <v>-0.14</v>
      </c>
      <c r="G178" t="inlineStr">
        <is>
          <t>3747萬</t>
        </is>
      </c>
      <c r="H178" t="n">
        <v>1043</v>
      </c>
      <c r="I178" t="n">
        <v>739</v>
      </c>
      <c r="J178" t="inlineStr">
        <is>
          <t>--</t>
        </is>
      </c>
      <c r="K178" t="n">
        <v>36.05</v>
      </c>
      <c r="L178" t="n">
        <v>35.91</v>
      </c>
      <c r="M178" s="175" t="inlineStr">
        <is>
          <t>--</t>
        </is>
      </c>
      <c r="N178" t="inlineStr">
        <is>
          <t>--</t>
        </is>
      </c>
    </row>
    <row r="179">
      <c r="A179" t="inlineStr">
        <is>
          <t>00859B</t>
        </is>
      </c>
      <c r="B179" t="inlineStr">
        <is>
          <t>群益0-1年美債</t>
        </is>
      </c>
      <c r="C179" t="n">
        <v>40.78</v>
      </c>
      <c r="D179" t="n">
        <v>40.91</v>
      </c>
      <c r="E179" s="504" t="n">
        <v>0.13</v>
      </c>
      <c r="F179" s="505" t="n">
        <v>0.32</v>
      </c>
      <c r="G179" t="inlineStr">
        <is>
          <t>1.25億</t>
        </is>
      </c>
      <c r="H179" t="n">
        <v>3063</v>
      </c>
      <c r="I179" t="n">
        <v>3018</v>
      </c>
      <c r="J179" t="inlineStr">
        <is>
          <t>--</t>
        </is>
      </c>
      <c r="K179" t="n">
        <v>40.95</v>
      </c>
      <c r="L179" t="n">
        <v>40.74</v>
      </c>
      <c r="M179" s="175" t="inlineStr">
        <is>
          <t>--</t>
        </is>
      </c>
      <c r="N179" t="inlineStr">
        <is>
          <t>--</t>
        </is>
      </c>
    </row>
    <row r="180">
      <c r="A180" t="inlineStr">
        <is>
          <t>00860B</t>
        </is>
      </c>
      <c r="B180" t="inlineStr">
        <is>
          <t>群益1-5Y投資級債</t>
        </is>
      </c>
      <c r="C180" t="n">
        <v>37.65</v>
      </c>
      <c r="D180" t="n">
        <v>37.75</v>
      </c>
      <c r="E180" s="504" t="n">
        <v>0.16</v>
      </c>
      <c r="F180" s="505" t="n">
        <v>0.43</v>
      </c>
      <c r="G180" t="inlineStr">
        <is>
          <t>442萬</t>
        </is>
      </c>
      <c r="H180" t="n">
        <v>117</v>
      </c>
      <c r="I180" t="n">
        <v>113</v>
      </c>
      <c r="J180" t="inlineStr">
        <is>
          <t>--</t>
        </is>
      </c>
      <c r="K180" t="n">
        <v>37.77</v>
      </c>
      <c r="L180" t="n">
        <v>37.65</v>
      </c>
      <c r="M180" s="175" t="inlineStr">
        <is>
          <t>--</t>
        </is>
      </c>
      <c r="N180" t="inlineStr">
        <is>
          <t>--</t>
        </is>
      </c>
    </row>
    <row r="181">
      <c r="A181" t="n">
        <v>861</v>
      </c>
      <c r="B181" t="inlineStr">
        <is>
          <t>元大全球未來通訊</t>
        </is>
      </c>
      <c r="C181" t="n">
        <v>91.55</v>
      </c>
      <c r="D181" t="n">
        <v>92</v>
      </c>
      <c r="E181" s="504" t="n">
        <v>0.5</v>
      </c>
      <c r="F181" s="505" t="n">
        <v>0.55</v>
      </c>
      <c r="G181" t="inlineStr">
        <is>
          <t>2463萬</t>
        </is>
      </c>
      <c r="H181" t="n">
        <v>269</v>
      </c>
      <c r="I181" t="n">
        <v>211</v>
      </c>
      <c r="J181" t="inlineStr">
        <is>
          <t>--</t>
        </is>
      </c>
      <c r="K181" t="n">
        <v>92</v>
      </c>
      <c r="L181" t="n">
        <v>90.95</v>
      </c>
      <c r="M181" s="175" t="inlineStr">
        <is>
          <t>--</t>
        </is>
      </c>
      <c r="N181" t="inlineStr">
        <is>
          <t>--</t>
        </is>
      </c>
    </row>
    <row r="182">
      <c r="A182" t="inlineStr">
        <is>
          <t>00862B</t>
        </is>
      </c>
      <c r="B182" t="inlineStr">
        <is>
          <t>中信投資級公司債</t>
        </is>
      </c>
      <c r="C182" t="n">
        <v>31.99</v>
      </c>
      <c r="D182" t="n">
        <v>32.16</v>
      </c>
      <c r="E182" s="504" t="n">
        <v>0.26</v>
      </c>
      <c r="F182" s="505" t="n">
        <v>0.82</v>
      </c>
      <c r="G182" t="inlineStr">
        <is>
          <t>1977萬</t>
        </is>
      </c>
      <c r="H182" t="n">
        <v>616</v>
      </c>
      <c r="I182" t="n">
        <v>518</v>
      </c>
      <c r="J182" t="inlineStr">
        <is>
          <t>--</t>
        </is>
      </c>
      <c r="K182" t="n">
        <v>32.16</v>
      </c>
      <c r="L182" t="n">
        <v>31.99</v>
      </c>
      <c r="M182" s="175" t="inlineStr">
        <is>
          <t>--</t>
        </is>
      </c>
      <c r="N182" t="inlineStr">
        <is>
          <t>--</t>
        </is>
      </c>
    </row>
    <row r="183">
      <c r="A183" t="inlineStr">
        <is>
          <t>00863B</t>
        </is>
      </c>
      <c r="B183" t="inlineStr">
        <is>
          <t>中信全球電信債</t>
        </is>
      </c>
      <c r="C183" t="n">
        <v>32.34</v>
      </c>
      <c r="D183" t="n">
        <v>32.51</v>
      </c>
      <c r="E183" s="504" t="n">
        <v>0.24</v>
      </c>
      <c r="F183" s="505" t="n">
        <v>0.74</v>
      </c>
      <c r="G183" t="inlineStr">
        <is>
          <t>1778萬</t>
        </is>
      </c>
      <c r="H183" t="n">
        <v>548</v>
      </c>
      <c r="I183" t="n">
        <v>349</v>
      </c>
      <c r="J183" t="inlineStr">
        <is>
          <t>--</t>
        </is>
      </c>
      <c r="K183" t="n">
        <v>32.51</v>
      </c>
      <c r="L183" t="n">
        <v>32.34</v>
      </c>
      <c r="M183" s="175" t="inlineStr">
        <is>
          <t>--</t>
        </is>
      </c>
      <c r="N183" t="inlineStr">
        <is>
          <t>--</t>
        </is>
      </c>
    </row>
    <row r="184">
      <c r="A184" t="inlineStr">
        <is>
          <t>00864B</t>
        </is>
      </c>
      <c r="B184" t="inlineStr">
        <is>
          <t>中信美國公債0-1</t>
        </is>
      </c>
      <c r="C184" t="n">
        <v>45.52</v>
      </c>
      <c r="D184" t="n">
        <v>45.69</v>
      </c>
      <c r="E184" s="504" t="n">
        <v>0.17</v>
      </c>
      <c r="F184" s="505" t="n">
        <v>0.37</v>
      </c>
      <c r="G184" t="inlineStr">
        <is>
          <t>4973萬</t>
        </is>
      </c>
      <c r="H184" t="n">
        <v>1090</v>
      </c>
      <c r="I184" t="n">
        <v>1441</v>
      </c>
      <c r="J184" t="inlineStr">
        <is>
          <t>--</t>
        </is>
      </c>
      <c r="K184" t="n">
        <v>45.71</v>
      </c>
      <c r="L184" t="n">
        <v>45.52</v>
      </c>
      <c r="M184" s="175" t="inlineStr">
        <is>
          <t>--</t>
        </is>
      </c>
      <c r="N184" t="inlineStr">
        <is>
          <t>--</t>
        </is>
      </c>
    </row>
    <row r="185">
      <c r="A185" t="inlineStr">
        <is>
          <t>00865B</t>
        </is>
      </c>
      <c r="B185" t="inlineStr">
        <is>
          <t>國泰US短期公債</t>
        </is>
      </c>
      <c r="C185" t="n">
        <v>47.66</v>
      </c>
      <c r="D185" t="n">
        <v>47.85</v>
      </c>
      <c r="E185" s="504" t="n">
        <v>0.19</v>
      </c>
      <c r="F185" s="505" t="n">
        <v>0.4</v>
      </c>
      <c r="G185" t="inlineStr">
        <is>
          <t>1.03億</t>
        </is>
      </c>
      <c r="H185" t="n">
        <v>2156</v>
      </c>
      <c r="I185" t="n">
        <v>3365</v>
      </c>
      <c r="J185" t="inlineStr">
        <is>
          <t>--</t>
        </is>
      </c>
      <c r="K185" t="n">
        <v>47.86</v>
      </c>
      <c r="L185" t="n">
        <v>47.66</v>
      </c>
      <c r="M185" s="175" t="inlineStr">
        <is>
          <t>--</t>
        </is>
      </c>
      <c r="N185" t="inlineStr">
        <is>
          <t>--</t>
        </is>
      </c>
    </row>
    <row r="186">
      <c r="A186" t="inlineStr">
        <is>
          <t>00867B</t>
        </is>
      </c>
      <c r="B186" t="inlineStr">
        <is>
          <t>新光A-BBB電信債</t>
        </is>
      </c>
      <c r="C186" t="n">
        <v>31.25</v>
      </c>
      <c r="D186" t="n">
        <v>31.34</v>
      </c>
      <c r="E186" s="504" t="n">
        <v>0.21</v>
      </c>
      <c r="F186" s="505" t="n">
        <v>0.67</v>
      </c>
      <c r="G186" t="inlineStr">
        <is>
          <t>397萬</t>
        </is>
      </c>
      <c r="H186" t="n">
        <v>127</v>
      </c>
      <c r="I186" t="n">
        <v>67</v>
      </c>
      <c r="J186" t="inlineStr">
        <is>
          <t>--</t>
        </is>
      </c>
      <c r="K186" t="n">
        <v>31.34</v>
      </c>
      <c r="L186" t="n">
        <v>31.25</v>
      </c>
      <c r="M186" s="175" t="inlineStr">
        <is>
          <t>--</t>
        </is>
      </c>
      <c r="N186" t="inlineStr">
        <is>
          <t>--</t>
        </is>
      </c>
    </row>
    <row r="187">
      <c r="A187" t="inlineStr">
        <is>
          <t>00870B</t>
        </is>
      </c>
      <c r="B187" t="inlineStr">
        <is>
          <t>元大15年EM主權債</t>
        </is>
      </c>
      <c r="C187" t="n">
        <v>28.28</v>
      </c>
      <c r="D187" t="n">
        <v>28.3</v>
      </c>
      <c r="E187" s="504" t="n">
        <v>0.05</v>
      </c>
      <c r="F187" s="505" t="n">
        <v>0.18</v>
      </c>
      <c r="G187" t="inlineStr">
        <is>
          <t>175萬</t>
        </is>
      </c>
      <c r="H187" t="n">
        <v>62</v>
      </c>
      <c r="I187" t="n">
        <v>12</v>
      </c>
      <c r="J187" t="inlineStr">
        <is>
          <t>--</t>
        </is>
      </c>
      <c r="K187" t="n">
        <v>28.3</v>
      </c>
      <c r="L187" t="n">
        <v>28.28</v>
      </c>
      <c r="M187" s="175" t="inlineStr">
        <is>
          <t>--</t>
        </is>
      </c>
      <c r="N187" t="inlineStr">
        <is>
          <t>--</t>
        </is>
      </c>
    </row>
    <row r="188">
      <c r="A188" t="n">
        <v>875</v>
      </c>
      <c r="B188" t="inlineStr">
        <is>
          <t>國泰網路資安</t>
        </is>
      </c>
      <c r="C188" t="n">
        <v>50.7</v>
      </c>
      <c r="D188" t="n">
        <v>51.5</v>
      </c>
      <c r="E188" s="504" t="n">
        <v>2.42</v>
      </c>
      <c r="F188" s="505" t="n">
        <v>4.93</v>
      </c>
      <c r="G188" t="inlineStr">
        <is>
          <t>1376萬</t>
        </is>
      </c>
      <c r="H188" t="n">
        <v>270</v>
      </c>
      <c r="I188" t="n">
        <v>173</v>
      </c>
      <c r="J188" t="inlineStr">
        <is>
          <t>--</t>
        </is>
      </c>
      <c r="K188" t="n">
        <v>51.5</v>
      </c>
      <c r="L188" t="n">
        <v>50.7</v>
      </c>
      <c r="M188" s="175" t="inlineStr">
        <is>
          <t>--</t>
        </is>
      </c>
      <c r="N188" t="inlineStr">
        <is>
          <t>--</t>
        </is>
      </c>
    </row>
    <row r="189">
      <c r="A189" t="n">
        <v>876</v>
      </c>
      <c r="B189" t="inlineStr">
        <is>
          <t>元大全球5G</t>
        </is>
      </c>
      <c r="C189" t="n">
        <v>92.45</v>
      </c>
      <c r="D189" t="n">
        <v>91.75</v>
      </c>
      <c r="E189" s="504" t="n">
        <v>-0.95</v>
      </c>
      <c r="F189" s="505" t="n">
        <v>-1.02</v>
      </c>
      <c r="G189" t="inlineStr">
        <is>
          <t>3764萬</t>
        </is>
      </c>
      <c r="H189" t="n">
        <v>414</v>
      </c>
      <c r="I189" t="n">
        <v>467</v>
      </c>
      <c r="J189" t="inlineStr">
        <is>
          <t>--</t>
        </is>
      </c>
      <c r="K189" t="n">
        <v>92.45</v>
      </c>
      <c r="L189" t="n">
        <v>90.5</v>
      </c>
      <c r="M189" s="175" t="inlineStr">
        <is>
          <t>--</t>
        </is>
      </c>
      <c r="N189" t="inlineStr">
        <is>
          <t>--</t>
        </is>
      </c>
    </row>
    <row r="190">
      <c r="A190" t="n">
        <v>877</v>
      </c>
      <c r="B190" t="inlineStr">
        <is>
          <t>復華中國5G</t>
        </is>
      </c>
      <c r="C190" t="n">
        <v>41.18</v>
      </c>
      <c r="D190" t="n">
        <v>43</v>
      </c>
      <c r="E190" s="504" t="n">
        <v>1.43</v>
      </c>
      <c r="F190" s="505" t="n">
        <v>3.44</v>
      </c>
      <c r="G190" t="inlineStr">
        <is>
          <t>3.01億</t>
        </is>
      </c>
      <c r="H190" t="n">
        <v>7170</v>
      </c>
      <c r="I190" t="n">
        <v>5997</v>
      </c>
      <c r="J190" t="inlineStr">
        <is>
          <t>--</t>
        </is>
      </c>
      <c r="K190" t="n">
        <v>43.01</v>
      </c>
      <c r="L190" t="n">
        <v>40.9</v>
      </c>
      <c r="M190" s="175" t="inlineStr">
        <is>
          <t>--</t>
        </is>
      </c>
      <c r="N190" t="inlineStr">
        <is>
          <t>--</t>
        </is>
      </c>
    </row>
    <row r="191">
      <c r="A191" t="n">
        <v>878</v>
      </c>
      <c r="B191" t="inlineStr">
        <is>
          <t>國泰永續高股息</t>
        </is>
      </c>
      <c r="C191" t="n">
        <v>32.1</v>
      </c>
      <c r="D191" t="n">
        <v>32.49</v>
      </c>
      <c r="E191" s="504" t="n">
        <v>0.5</v>
      </c>
      <c r="F191" s="505" t="n">
        <v>1.56</v>
      </c>
      <c r="G191" t="inlineStr">
        <is>
          <t>35.5億</t>
        </is>
      </c>
      <c r="H191" t="n">
        <v>110512</v>
      </c>
      <c r="I191" t="n">
        <v>92135</v>
      </c>
      <c r="J191" t="inlineStr">
        <is>
          <t>--</t>
        </is>
      </c>
      <c r="K191" t="n">
        <v>32.5</v>
      </c>
      <c r="L191" t="n">
        <v>31.81</v>
      </c>
      <c r="M191" s="175" t="inlineStr">
        <is>
          <t>--</t>
        </is>
      </c>
      <c r="N191" t="inlineStr">
        <is>
          <t>--</t>
        </is>
      </c>
    </row>
    <row r="192">
      <c r="A192" t="n">
        <v>881</v>
      </c>
      <c r="B192" t="inlineStr">
        <is>
          <t>國泰台灣科技龍頭</t>
        </is>
      </c>
      <c r="C192" t="n">
        <v>55.75</v>
      </c>
      <c r="D192" t="n">
        <v>55.3</v>
      </c>
      <c r="E192" s="504" t="n">
        <v>-0.2</v>
      </c>
      <c r="F192" s="505" t="n">
        <v>-0.36</v>
      </c>
      <c r="G192" t="inlineStr">
        <is>
          <t>8.33億</t>
        </is>
      </c>
      <c r="H192" t="n">
        <v>15124</v>
      </c>
      <c r="I192" t="n">
        <v>13714</v>
      </c>
      <c r="J192" t="inlineStr">
        <is>
          <t>--</t>
        </is>
      </c>
      <c r="K192" t="n">
        <v>56</v>
      </c>
      <c r="L192" t="n">
        <v>54.35</v>
      </c>
      <c r="M192" s="175" t="inlineStr">
        <is>
          <t>--</t>
        </is>
      </c>
      <c r="N192" t="inlineStr">
        <is>
          <t>--</t>
        </is>
      </c>
    </row>
    <row r="193">
      <c r="A193" t="n">
        <v>882</v>
      </c>
      <c r="B193" t="inlineStr">
        <is>
          <t>中信中國高股息</t>
        </is>
      </c>
      <c r="C193" t="n">
        <v>15.66</v>
      </c>
      <c r="D193" t="n">
        <v>15.87</v>
      </c>
      <c r="E193" s="504" t="n">
        <v>0.14</v>
      </c>
      <c r="F193" s="505" t="n">
        <v>0.89</v>
      </c>
      <c r="G193" t="inlineStr">
        <is>
          <t>1.53億</t>
        </is>
      </c>
      <c r="H193" t="n">
        <v>9714</v>
      </c>
      <c r="I193" t="n">
        <v>12473</v>
      </c>
      <c r="J193" t="inlineStr">
        <is>
          <t>--</t>
        </is>
      </c>
      <c r="K193" t="n">
        <v>15.87</v>
      </c>
      <c r="L193" t="n">
        <v>15.61</v>
      </c>
      <c r="M193" s="175" t="inlineStr">
        <is>
          <t>--</t>
        </is>
      </c>
      <c r="N193" t="inlineStr">
        <is>
          <t>--</t>
        </is>
      </c>
    </row>
    <row r="194">
      <c r="A194" t="inlineStr">
        <is>
          <t>00884B</t>
        </is>
      </c>
      <c r="B194" t="inlineStr">
        <is>
          <t>中信低碳新興債</t>
        </is>
      </c>
      <c r="C194" t="n">
        <v>29.62</v>
      </c>
      <c r="D194" t="n">
        <v>29.8</v>
      </c>
      <c r="E194" s="504" t="n">
        <v>0.23</v>
      </c>
      <c r="F194" s="505" t="n">
        <v>0.78</v>
      </c>
      <c r="G194" t="inlineStr">
        <is>
          <t>1728萬</t>
        </is>
      </c>
      <c r="H194" t="n">
        <v>581</v>
      </c>
      <c r="I194" t="n">
        <v>276</v>
      </c>
      <c r="J194" t="inlineStr">
        <is>
          <t>--</t>
        </is>
      </c>
      <c r="K194" t="n">
        <v>29.8</v>
      </c>
      <c r="L194" t="n">
        <v>29.62</v>
      </c>
      <c r="M194" s="175" t="inlineStr">
        <is>
          <t>--</t>
        </is>
      </c>
      <c r="N194" t="inlineStr">
        <is>
          <t>--</t>
        </is>
      </c>
    </row>
    <row r="195">
      <c r="A195" t="n">
        <v>885</v>
      </c>
      <c r="B195" t="inlineStr">
        <is>
          <t>富邦越南</t>
        </is>
      </c>
      <c r="C195" t="n">
        <v>18.65</v>
      </c>
      <c r="D195" t="n">
        <v>18.54</v>
      </c>
      <c r="E195" s="504" t="n">
        <v>-0.13</v>
      </c>
      <c r="F195" s="505" t="n">
        <v>-0.7</v>
      </c>
      <c r="G195" t="inlineStr">
        <is>
          <t>5874萬</t>
        </is>
      </c>
      <c r="H195" t="n">
        <v>3171</v>
      </c>
      <c r="I195" t="n">
        <v>3659</v>
      </c>
      <c r="J195" t="inlineStr">
        <is>
          <t>--</t>
        </is>
      </c>
      <c r="K195" t="n">
        <v>18.69</v>
      </c>
      <c r="L195" t="n">
        <v>18.5</v>
      </c>
      <c r="M195" s="175" t="inlineStr">
        <is>
          <t>--</t>
        </is>
      </c>
      <c r="N195" t="inlineStr">
        <is>
          <t>--</t>
        </is>
      </c>
    </row>
    <row r="196">
      <c r="A196" t="n">
        <v>886</v>
      </c>
      <c r="B196" t="inlineStr">
        <is>
          <t>永豐美國科技</t>
        </is>
      </c>
      <c r="C196" t="n">
        <v>44.68</v>
      </c>
      <c r="D196" t="n">
        <v>44.71</v>
      </c>
      <c r="E196" s="504" t="n">
        <v>-0.31</v>
      </c>
      <c r="F196" s="505" t="n">
        <v>-0.6899999999999999</v>
      </c>
      <c r="G196" t="inlineStr">
        <is>
          <t>22.3萬</t>
        </is>
      </c>
      <c r="H196" t="n">
        <v>5</v>
      </c>
      <c r="I196" t="n">
        <v>52</v>
      </c>
      <c r="J196" t="inlineStr">
        <is>
          <t>--</t>
        </is>
      </c>
      <c r="K196" t="n">
        <v>44.71</v>
      </c>
      <c r="L196" t="n">
        <v>44.61</v>
      </c>
      <c r="M196" s="175" t="inlineStr">
        <is>
          <t>--</t>
        </is>
      </c>
      <c r="N196" t="inlineStr">
        <is>
          <t>--</t>
        </is>
      </c>
    </row>
    <row r="197">
      <c r="A197" t="n">
        <v>887</v>
      </c>
      <c r="B197" t="inlineStr">
        <is>
          <t>永豐中國科技50大</t>
        </is>
      </c>
      <c r="C197" t="n">
        <v>17.1</v>
      </c>
      <c r="D197" t="n">
        <v>17.39</v>
      </c>
      <c r="E197" s="504" t="n">
        <v>0.19</v>
      </c>
      <c r="F197" s="505" t="n">
        <v>1.1</v>
      </c>
      <c r="G197" t="inlineStr">
        <is>
          <t>1.84億</t>
        </is>
      </c>
      <c r="H197" t="n">
        <v>10743</v>
      </c>
      <c r="I197" t="n">
        <v>13814</v>
      </c>
      <c r="J197" t="inlineStr">
        <is>
          <t>--</t>
        </is>
      </c>
      <c r="K197" t="n">
        <v>17.41</v>
      </c>
      <c r="L197" t="n">
        <v>16.81</v>
      </c>
      <c r="M197" s="175" t="inlineStr">
        <is>
          <t>--</t>
        </is>
      </c>
      <c r="N197" t="inlineStr">
        <is>
          <t>--</t>
        </is>
      </c>
    </row>
    <row r="198">
      <c r="A198" t="n">
        <v>888</v>
      </c>
      <c r="B198" t="inlineStr">
        <is>
          <t>永豐台灣ESG</t>
        </is>
      </c>
      <c r="C198" t="n">
        <v>36.15</v>
      </c>
      <c r="D198" t="n">
        <v>35.57</v>
      </c>
      <c r="E198" s="504" t="n">
        <v>-0.08</v>
      </c>
      <c r="F198" s="505" t="n">
        <v>-0.22</v>
      </c>
      <c r="G198" t="inlineStr">
        <is>
          <t>3.92億</t>
        </is>
      </c>
      <c r="H198" t="n">
        <v>11060</v>
      </c>
      <c r="I198" t="n">
        <v>8279</v>
      </c>
      <c r="J198" t="inlineStr">
        <is>
          <t>--</t>
        </is>
      </c>
      <c r="K198" t="n">
        <v>36.15</v>
      </c>
      <c r="L198" t="n">
        <v>34.78</v>
      </c>
      <c r="M198" s="175" t="inlineStr">
        <is>
          <t>--</t>
        </is>
      </c>
      <c r="N198" t="inlineStr">
        <is>
          <t>--</t>
        </is>
      </c>
    </row>
    <row r="199">
      <c r="A199" t="inlineStr">
        <is>
          <t>00890B</t>
        </is>
      </c>
      <c r="B199" t="inlineStr">
        <is>
          <t>凱基ESG BBB債15+</t>
        </is>
      </c>
      <c r="C199" t="n">
        <v>32.39</v>
      </c>
      <c r="D199" t="n">
        <v>32.58</v>
      </c>
      <c r="E199" s="504" t="n">
        <v>0.29</v>
      </c>
      <c r="F199" s="505" t="n">
        <v>0.9</v>
      </c>
      <c r="G199" t="inlineStr">
        <is>
          <t>2124萬</t>
        </is>
      </c>
      <c r="H199" t="n">
        <v>652</v>
      </c>
      <c r="I199" t="n">
        <v>276</v>
      </c>
      <c r="J199" t="inlineStr">
        <is>
          <t>--</t>
        </is>
      </c>
      <c r="K199" t="n">
        <v>32.58</v>
      </c>
      <c r="L199" t="n">
        <v>32.39</v>
      </c>
      <c r="M199" s="175" t="inlineStr">
        <is>
          <t>--</t>
        </is>
      </c>
      <c r="N199" t="inlineStr">
        <is>
          <t>--</t>
        </is>
      </c>
    </row>
    <row r="200">
      <c r="A200" t="n">
        <v>891</v>
      </c>
      <c r="B200" t="inlineStr">
        <is>
          <t>中信關鍵半導體</t>
        </is>
      </c>
      <c r="C200" t="n">
        <v>36.82</v>
      </c>
      <c r="D200" t="n">
        <v>36.41</v>
      </c>
      <c r="E200" s="504" t="n">
        <v>-0.01</v>
      </c>
      <c r="F200" s="505" t="n">
        <v>-0.03</v>
      </c>
      <c r="G200" t="inlineStr">
        <is>
          <t>13.0億</t>
        </is>
      </c>
      <c r="H200" t="n">
        <v>35808</v>
      </c>
      <c r="I200" t="n">
        <v>45751</v>
      </c>
      <c r="J200" t="inlineStr">
        <is>
          <t>--</t>
        </is>
      </c>
      <c r="K200" t="n">
        <v>37.15</v>
      </c>
      <c r="L200" t="n">
        <v>35.79</v>
      </c>
      <c r="M200" s="175" t="inlineStr">
        <is>
          <t>--</t>
        </is>
      </c>
      <c r="N200" t="inlineStr">
        <is>
          <t>--</t>
        </is>
      </c>
    </row>
    <row r="201">
      <c r="A201" t="n">
        <v>892</v>
      </c>
      <c r="B201" t="inlineStr">
        <is>
          <t>富邦台灣半導體</t>
        </is>
      </c>
      <c r="C201" t="n">
        <v>44.81</v>
      </c>
      <c r="D201" t="n">
        <v>44.17</v>
      </c>
      <c r="E201" s="504" t="n">
        <v>-0.35</v>
      </c>
      <c r="F201" s="505" t="n">
        <v>-0.79</v>
      </c>
      <c r="G201" t="inlineStr">
        <is>
          <t>1.03億</t>
        </is>
      </c>
      <c r="H201" t="n">
        <v>2341</v>
      </c>
      <c r="I201" t="n">
        <v>4187</v>
      </c>
      <c r="J201" t="inlineStr">
        <is>
          <t>--</t>
        </is>
      </c>
      <c r="K201" t="n">
        <v>45</v>
      </c>
      <c r="L201" t="n">
        <v>43.55</v>
      </c>
      <c r="M201" s="175" t="inlineStr">
        <is>
          <t>--</t>
        </is>
      </c>
      <c r="N201" t="inlineStr">
        <is>
          <t>--</t>
        </is>
      </c>
    </row>
    <row r="202">
      <c r="A202" t="n">
        <v>893</v>
      </c>
      <c r="B202" t="inlineStr">
        <is>
          <t>國泰智能電動車</t>
        </is>
      </c>
      <c r="C202" t="n">
        <v>47.6</v>
      </c>
      <c r="D202" t="n">
        <v>47.06</v>
      </c>
      <c r="E202" s="504" t="n">
        <v>-0.57</v>
      </c>
      <c r="F202" s="505" t="n">
        <v>-1.2</v>
      </c>
      <c r="G202" t="inlineStr">
        <is>
          <t>5357萬</t>
        </is>
      </c>
      <c r="H202" t="n">
        <v>1147</v>
      </c>
      <c r="I202" t="n">
        <v>1511</v>
      </c>
      <c r="J202" t="inlineStr">
        <is>
          <t>--</t>
        </is>
      </c>
      <c r="K202" t="n">
        <v>47.6</v>
      </c>
      <c r="L202" t="n">
        <v>46.72</v>
      </c>
      <c r="M202" s="175" t="inlineStr">
        <is>
          <t>--</t>
        </is>
      </c>
      <c r="N202" t="inlineStr">
        <is>
          <t>--</t>
        </is>
      </c>
    </row>
    <row r="203">
      <c r="A203" t="n">
        <v>894</v>
      </c>
      <c r="B203" t="inlineStr">
        <is>
          <t>中信小資高價30</t>
        </is>
      </c>
      <c r="C203" t="n">
        <v>50.65</v>
      </c>
      <c r="D203" t="n">
        <v>49.75</v>
      </c>
      <c r="E203" s="504" t="n">
        <v>-0.8</v>
      </c>
      <c r="F203" s="505" t="n">
        <v>-1.58</v>
      </c>
      <c r="G203" t="inlineStr">
        <is>
          <t>1.31億</t>
        </is>
      </c>
      <c r="H203" t="n">
        <v>2623</v>
      </c>
      <c r="I203" t="n">
        <v>2798</v>
      </c>
      <c r="J203" t="inlineStr">
        <is>
          <t>--</t>
        </is>
      </c>
      <c r="K203" t="n">
        <v>51</v>
      </c>
      <c r="L203" t="n">
        <v>49.1</v>
      </c>
      <c r="M203" s="175" t="inlineStr">
        <is>
          <t>--</t>
        </is>
      </c>
      <c r="N203" t="inlineStr">
        <is>
          <t>--</t>
        </is>
      </c>
    </row>
    <row r="204">
      <c r="A204" t="n">
        <v>895</v>
      </c>
      <c r="B204" t="inlineStr">
        <is>
          <t>富邦未來車</t>
        </is>
      </c>
      <c r="C204" t="n">
        <v>52.4</v>
      </c>
      <c r="D204" t="n">
        <v>52.55</v>
      </c>
      <c r="E204" s="504" t="n">
        <v>0.1</v>
      </c>
      <c r="F204" s="505" t="n">
        <v>0.19</v>
      </c>
      <c r="G204" t="inlineStr">
        <is>
          <t>5177萬</t>
        </is>
      </c>
      <c r="H204" t="n">
        <v>991</v>
      </c>
      <c r="I204" t="n">
        <v>1279</v>
      </c>
      <c r="J204" t="inlineStr">
        <is>
          <t>--</t>
        </is>
      </c>
      <c r="K204" t="n">
        <v>52.6</v>
      </c>
      <c r="L204" t="n">
        <v>51.85</v>
      </c>
      <c r="M204" s="175" t="inlineStr">
        <is>
          <t>--</t>
        </is>
      </c>
      <c r="N204" t="inlineStr">
        <is>
          <t>--</t>
        </is>
      </c>
    </row>
    <row r="205">
      <c r="A205" t="n">
        <v>896</v>
      </c>
      <c r="B205" t="inlineStr">
        <is>
          <t>中信綠能及電動車</t>
        </is>
      </c>
      <c r="C205" t="n">
        <v>30.85</v>
      </c>
      <c r="D205" t="n">
        <v>29.54</v>
      </c>
      <c r="E205" s="504" t="n">
        <v>0.17</v>
      </c>
      <c r="F205" s="505" t="n">
        <v>0.58</v>
      </c>
      <c r="G205" t="inlineStr">
        <is>
          <t>9.36億</t>
        </is>
      </c>
      <c r="H205" t="n">
        <v>31894</v>
      </c>
      <c r="I205" t="n">
        <v>3923</v>
      </c>
      <c r="J205" t="inlineStr">
        <is>
          <t>--</t>
        </is>
      </c>
      <c r="K205" t="n">
        <v>30.85</v>
      </c>
      <c r="L205" t="n">
        <v>29.02</v>
      </c>
      <c r="M205" s="175" t="inlineStr">
        <is>
          <t>--</t>
        </is>
      </c>
      <c r="N205" t="inlineStr">
        <is>
          <t>--</t>
        </is>
      </c>
    </row>
    <row r="206">
      <c r="A206" t="n">
        <v>897</v>
      </c>
      <c r="B206" t="inlineStr">
        <is>
          <t>富邦基因免疫生技</t>
        </is>
      </c>
      <c r="C206" t="n">
        <v>9.779999999999999</v>
      </c>
      <c r="D206" t="n">
        <v>9.67</v>
      </c>
      <c r="E206" s="504" t="n">
        <v>-0.23</v>
      </c>
      <c r="F206" s="505" t="n">
        <v>-2.32</v>
      </c>
      <c r="G206" t="inlineStr">
        <is>
          <t>553萬</t>
        </is>
      </c>
      <c r="H206" t="n">
        <v>574</v>
      </c>
      <c r="I206" t="n">
        <v>938</v>
      </c>
      <c r="J206" t="inlineStr">
        <is>
          <t>--</t>
        </is>
      </c>
      <c r="K206" t="n">
        <v>9.779999999999999</v>
      </c>
      <c r="L206" t="n">
        <v>9.619999999999999</v>
      </c>
      <c r="M206" s="175" t="inlineStr">
        <is>
          <t>--</t>
        </is>
      </c>
      <c r="N206" t="inlineStr">
        <is>
          <t>--</t>
        </is>
      </c>
    </row>
    <row r="207">
      <c r="A207" t="n">
        <v>898</v>
      </c>
      <c r="B207" t="inlineStr">
        <is>
          <t>國泰基因免疫革命</t>
        </is>
      </c>
      <c r="C207" t="n">
        <v>8.18</v>
      </c>
      <c r="D207" t="n">
        <v>8.17</v>
      </c>
      <c r="E207" s="504" t="n">
        <v>-0.11</v>
      </c>
      <c r="F207" s="505" t="n">
        <v>-1.33</v>
      </c>
      <c r="G207" t="inlineStr">
        <is>
          <t>237萬</t>
        </is>
      </c>
      <c r="H207" t="n">
        <v>290</v>
      </c>
      <c r="I207" t="n">
        <v>821</v>
      </c>
      <c r="J207" t="inlineStr">
        <is>
          <t>--</t>
        </is>
      </c>
      <c r="K207" t="n">
        <v>8.18</v>
      </c>
      <c r="L207" t="n">
        <v>8.15</v>
      </c>
      <c r="M207" s="175" t="inlineStr">
        <is>
          <t>--</t>
        </is>
      </c>
      <c r="N207" t="inlineStr">
        <is>
          <t>--</t>
        </is>
      </c>
    </row>
    <row r="208">
      <c r="A208" t="n">
        <v>899</v>
      </c>
      <c r="B208" t="inlineStr">
        <is>
          <t>FT潔淨能源</t>
        </is>
      </c>
      <c r="C208" t="n">
        <v>29.5</v>
      </c>
      <c r="D208" t="n">
        <v>29.53</v>
      </c>
      <c r="E208" s="504" t="n">
        <v>-0.5600000000000001</v>
      </c>
      <c r="F208" s="505" t="n">
        <v>-1.86</v>
      </c>
      <c r="G208" t="inlineStr">
        <is>
          <t>488萬</t>
        </is>
      </c>
      <c r="H208" t="n">
        <v>165</v>
      </c>
      <c r="I208" t="n">
        <v>109</v>
      </c>
      <c r="J208" t="inlineStr">
        <is>
          <t>--</t>
        </is>
      </c>
      <c r="K208" t="n">
        <v>29.64</v>
      </c>
      <c r="L208" t="n">
        <v>29.5</v>
      </c>
      <c r="M208" s="175" t="inlineStr">
        <is>
          <t>--</t>
        </is>
      </c>
      <c r="N208" t="inlineStr">
        <is>
          <t>--</t>
        </is>
      </c>
    </row>
    <row r="209">
      <c r="A209" t="n">
        <v>900</v>
      </c>
      <c r="B209" t="inlineStr">
        <is>
          <t>富邦特選高股息30</t>
        </is>
      </c>
      <c r="C209" t="n">
        <v>19.64</v>
      </c>
      <c r="D209" t="n">
        <v>19.92</v>
      </c>
      <c r="E209" s="504" t="n">
        <v>0.34</v>
      </c>
      <c r="F209" s="505" t="n">
        <v>1.74</v>
      </c>
      <c r="G209" t="inlineStr">
        <is>
          <t>2.95億</t>
        </is>
      </c>
      <c r="H209" t="n">
        <v>14871</v>
      </c>
      <c r="I209" t="n">
        <v>11464</v>
      </c>
      <c r="J209" t="inlineStr">
        <is>
          <t>--</t>
        </is>
      </c>
      <c r="K209" t="n">
        <v>19.98</v>
      </c>
      <c r="L209" t="n">
        <v>19.6</v>
      </c>
      <c r="M209" s="175" t="inlineStr">
        <is>
          <t>--</t>
        </is>
      </c>
      <c r="N209" t="inlineStr">
        <is>
          <t>--</t>
        </is>
      </c>
    </row>
    <row r="210">
      <c r="A210" t="n">
        <v>901</v>
      </c>
      <c r="B210" t="inlineStr">
        <is>
          <t>永豐智能車供應鏈</t>
        </is>
      </c>
      <c r="C210" t="n">
        <v>47.72</v>
      </c>
      <c r="D210" t="n">
        <v>47.53</v>
      </c>
      <c r="E210" s="504" t="n">
        <v>-0.15</v>
      </c>
      <c r="F210" s="505" t="n">
        <v>-0.31</v>
      </c>
      <c r="G210" t="inlineStr">
        <is>
          <t>2030萬</t>
        </is>
      </c>
      <c r="H210" t="n">
        <v>429</v>
      </c>
      <c r="I210" t="n">
        <v>1341</v>
      </c>
      <c r="J210" t="inlineStr">
        <is>
          <t>--</t>
        </is>
      </c>
      <c r="K210" t="n">
        <v>48.06</v>
      </c>
      <c r="L210" t="n">
        <v>46.63</v>
      </c>
      <c r="M210" s="175" t="inlineStr">
        <is>
          <t>--</t>
        </is>
      </c>
      <c r="N210" t="inlineStr">
        <is>
          <t>--</t>
        </is>
      </c>
    </row>
    <row r="211">
      <c r="A211" t="n">
        <v>902</v>
      </c>
      <c r="B211" t="inlineStr">
        <is>
          <t>中信電池及儲能</t>
        </is>
      </c>
      <c r="C211" t="n">
        <v>16.57</v>
      </c>
      <c r="D211" t="n">
        <v>16.45</v>
      </c>
      <c r="E211" s="504" t="n">
        <v>-0.31</v>
      </c>
      <c r="F211" s="505" t="n">
        <v>-1.85</v>
      </c>
      <c r="G211" t="inlineStr">
        <is>
          <t>3614萬</t>
        </is>
      </c>
      <c r="H211" t="n">
        <v>2234</v>
      </c>
      <c r="I211" t="n">
        <v>2186</v>
      </c>
      <c r="J211" t="inlineStr">
        <is>
          <t>--</t>
        </is>
      </c>
      <c r="K211" t="n">
        <v>16.57</v>
      </c>
      <c r="L211" t="n">
        <v>16.14</v>
      </c>
      <c r="M211" s="175" t="inlineStr">
        <is>
          <t>--</t>
        </is>
      </c>
      <c r="N211" t="inlineStr">
        <is>
          <t>--</t>
        </is>
      </c>
    </row>
    <row r="212">
      <c r="A212" t="n">
        <v>903</v>
      </c>
      <c r="B212" t="inlineStr">
        <is>
          <t>富邦元宇宙</t>
        </is>
      </c>
      <c r="C212" t="n">
        <v>23.05</v>
      </c>
      <c r="D212" t="n">
        <v>23.25</v>
      </c>
      <c r="E212" s="504" t="n">
        <v>0.42</v>
      </c>
      <c r="F212" s="505" t="n">
        <v>1.84</v>
      </c>
      <c r="G212" t="inlineStr">
        <is>
          <t>1525萬</t>
        </is>
      </c>
      <c r="H212" t="n">
        <v>660</v>
      </c>
      <c r="I212" t="n">
        <v>375</v>
      </c>
      <c r="J212" t="inlineStr">
        <is>
          <t>--</t>
        </is>
      </c>
      <c r="K212" t="n">
        <v>23.25</v>
      </c>
      <c r="L212" t="n">
        <v>23</v>
      </c>
      <c r="M212" s="175" t="inlineStr">
        <is>
          <t>--</t>
        </is>
      </c>
      <c r="N212" t="inlineStr">
        <is>
          <t>--</t>
        </is>
      </c>
    </row>
    <row r="213">
      <c r="A213" t="n">
        <v>904</v>
      </c>
      <c r="B213" t="inlineStr">
        <is>
          <t>新光臺灣半導體30</t>
        </is>
      </c>
      <c r="C213" t="n">
        <v>43.23</v>
      </c>
      <c r="D213" t="n">
        <v>42.68</v>
      </c>
      <c r="E213" s="504" t="n">
        <v>-0.29</v>
      </c>
      <c r="F213" s="505" t="n">
        <v>-0.67</v>
      </c>
      <c r="G213" t="inlineStr">
        <is>
          <t>8695萬</t>
        </is>
      </c>
      <c r="H213" t="n">
        <v>2037</v>
      </c>
      <c r="I213" t="n">
        <v>2831</v>
      </c>
      <c r="J213" t="inlineStr">
        <is>
          <t>--</t>
        </is>
      </c>
      <c r="K213" t="n">
        <v>43.41</v>
      </c>
      <c r="L213" t="n">
        <v>42</v>
      </c>
      <c r="M213" s="175" t="inlineStr">
        <is>
          <t>--</t>
        </is>
      </c>
      <c r="N213" t="inlineStr">
        <is>
          <t>--</t>
        </is>
      </c>
    </row>
    <row r="214">
      <c r="A214" t="n">
        <v>905</v>
      </c>
      <c r="B214" t="inlineStr">
        <is>
          <t>FT臺灣Smart</t>
        </is>
      </c>
      <c r="C214" t="n">
        <v>27.84</v>
      </c>
      <c r="D214" t="n">
        <v>27.64</v>
      </c>
      <c r="E214" s="504" t="n">
        <v>-0.12</v>
      </c>
      <c r="F214" s="505" t="n">
        <v>-0.43</v>
      </c>
      <c r="G214" t="inlineStr">
        <is>
          <t>4867萬</t>
        </is>
      </c>
      <c r="H214" t="n">
        <v>1771</v>
      </c>
      <c r="I214" t="n">
        <v>1792</v>
      </c>
      <c r="J214" t="inlineStr">
        <is>
          <t>--</t>
        </is>
      </c>
      <c r="K214" t="n">
        <v>27.9</v>
      </c>
      <c r="L214" t="n">
        <v>27.12</v>
      </c>
      <c r="M214" s="175" t="inlineStr">
        <is>
          <t>--</t>
        </is>
      </c>
      <c r="N214" t="inlineStr">
        <is>
          <t>--</t>
        </is>
      </c>
    </row>
    <row r="215">
      <c r="A215" t="n">
        <v>907</v>
      </c>
      <c r="B215" t="inlineStr">
        <is>
          <t>永豐優息存股</t>
        </is>
      </c>
      <c r="C215" t="n">
        <v>15.64</v>
      </c>
      <c r="D215" t="n">
        <v>15.8</v>
      </c>
      <c r="E215" s="504" t="n">
        <v>0.16</v>
      </c>
      <c r="F215" s="505" t="n">
        <v>1.02</v>
      </c>
      <c r="G215" t="inlineStr">
        <is>
          <t>6339萬</t>
        </is>
      </c>
      <c r="H215" t="n">
        <v>4049</v>
      </c>
      <c r="I215" t="n">
        <v>2514</v>
      </c>
      <c r="J215" t="inlineStr">
        <is>
          <t>--</t>
        </is>
      </c>
      <c r="K215" t="n">
        <v>15.8</v>
      </c>
      <c r="L215" t="n">
        <v>15.53</v>
      </c>
      <c r="M215" s="175" t="inlineStr">
        <is>
          <t>--</t>
        </is>
      </c>
      <c r="N215" t="inlineStr">
        <is>
          <t>--</t>
        </is>
      </c>
    </row>
    <row r="216">
      <c r="A216" t="n">
        <v>908</v>
      </c>
      <c r="B216" t="inlineStr">
        <is>
          <t>富邦入息REITs+</t>
        </is>
      </c>
      <c r="C216" t="n">
        <v>14.43</v>
      </c>
      <c r="D216" t="n">
        <v>14.44</v>
      </c>
      <c r="E216" s="504" t="n">
        <v>0.01</v>
      </c>
      <c r="F216" s="505" t="n">
        <v>0.07000000000000001</v>
      </c>
      <c r="G216" t="inlineStr">
        <is>
          <t>117萬</t>
        </is>
      </c>
      <c r="H216" t="n">
        <v>81</v>
      </c>
      <c r="I216" t="n">
        <v>186</v>
      </c>
      <c r="J216" t="inlineStr">
        <is>
          <t>--</t>
        </is>
      </c>
      <c r="K216" t="n">
        <v>14.44</v>
      </c>
      <c r="L216" t="n">
        <v>14.4</v>
      </c>
      <c r="M216" s="175" t="inlineStr">
        <is>
          <t>--</t>
        </is>
      </c>
      <c r="N216" t="inlineStr">
        <is>
          <t>--</t>
        </is>
      </c>
    </row>
    <row r="217">
      <c r="A217" t="n">
        <v>909</v>
      </c>
      <c r="B217" t="inlineStr">
        <is>
          <t>國泰數位支付服務</t>
        </is>
      </c>
      <c r="C217" t="n">
        <v>51.6</v>
      </c>
      <c r="D217" t="n">
        <v>52.15</v>
      </c>
      <c r="E217" s="504" t="n">
        <v>0.4</v>
      </c>
      <c r="F217" s="505" t="n">
        <v>0.77</v>
      </c>
      <c r="G217" t="inlineStr">
        <is>
          <t>1.16億</t>
        </is>
      </c>
      <c r="H217" t="n">
        <v>2226</v>
      </c>
      <c r="I217" t="n">
        <v>3013</v>
      </c>
      <c r="J217" t="inlineStr">
        <is>
          <t>--</t>
        </is>
      </c>
      <c r="K217" t="n">
        <v>52.2</v>
      </c>
      <c r="L217" t="n">
        <v>51.6</v>
      </c>
      <c r="M217" s="175" t="inlineStr">
        <is>
          <t>--</t>
        </is>
      </c>
      <c r="N217" t="inlineStr">
        <is>
          <t>--</t>
        </is>
      </c>
    </row>
    <row r="218">
      <c r="A218" t="n">
        <v>910</v>
      </c>
      <c r="B218" t="inlineStr">
        <is>
          <t>第一金太空衛星</t>
        </is>
      </c>
      <c r="C218" t="n">
        <v>78.90000000000001</v>
      </c>
      <c r="D218" t="n">
        <v>79.84999999999999</v>
      </c>
      <c r="E218" s="504" t="n">
        <v>-5.1</v>
      </c>
      <c r="F218" s="505" t="n">
        <v>-6</v>
      </c>
      <c r="G218" t="inlineStr">
        <is>
          <t>9.67億</t>
        </is>
      </c>
      <c r="H218" t="n">
        <v>12376</v>
      </c>
      <c r="I218" t="n">
        <v>4904</v>
      </c>
      <c r="J218" t="inlineStr">
        <is>
          <t>--</t>
        </is>
      </c>
      <c r="K218" t="n">
        <v>79.84999999999999</v>
      </c>
      <c r="L218" t="n">
        <v>78</v>
      </c>
      <c r="M218" s="175" t="inlineStr">
        <is>
          <t>--</t>
        </is>
      </c>
      <c r="N218" t="inlineStr">
        <is>
          <t>--</t>
        </is>
      </c>
    </row>
    <row r="219">
      <c r="A219" t="n">
        <v>911</v>
      </c>
      <c r="B219" t="inlineStr">
        <is>
          <t>兆豐洲際半導體</t>
        </is>
      </c>
      <c r="C219" t="n">
        <v>61.05</v>
      </c>
      <c r="D219" t="n">
        <v>60.55</v>
      </c>
      <c r="E219" s="504" t="n">
        <v>-0.5</v>
      </c>
      <c r="F219" s="505" t="n">
        <v>-0.82</v>
      </c>
      <c r="G219" t="inlineStr">
        <is>
          <t>2204萬</t>
        </is>
      </c>
      <c r="H219" t="n">
        <v>365</v>
      </c>
      <c r="I219" t="n">
        <v>686</v>
      </c>
      <c r="J219" t="inlineStr">
        <is>
          <t>--</t>
        </is>
      </c>
      <c r="K219" t="n">
        <v>61.05</v>
      </c>
      <c r="L219" t="n">
        <v>60</v>
      </c>
      <c r="M219" s="175" t="inlineStr">
        <is>
          <t>--</t>
        </is>
      </c>
      <c r="N219" t="inlineStr">
        <is>
          <t>--</t>
        </is>
      </c>
    </row>
    <row r="220">
      <c r="A220" t="n">
        <v>912</v>
      </c>
      <c r="B220" t="inlineStr">
        <is>
          <t>中信臺灣智慧50</t>
        </is>
      </c>
      <c r="C220" t="n">
        <v>33</v>
      </c>
      <c r="D220" t="n">
        <v>33.1</v>
      </c>
      <c r="E220" s="504" t="n">
        <v>0.16</v>
      </c>
      <c r="F220" s="505" t="n">
        <v>0.49</v>
      </c>
      <c r="G220" t="inlineStr">
        <is>
          <t>3927萬</t>
        </is>
      </c>
      <c r="H220" t="n">
        <v>1194</v>
      </c>
      <c r="I220" t="n">
        <v>1130</v>
      </c>
      <c r="J220" t="inlineStr">
        <is>
          <t>--</t>
        </is>
      </c>
      <c r="K220" t="n">
        <v>33.1</v>
      </c>
      <c r="L220" t="n">
        <v>32.57</v>
      </c>
      <c r="M220" s="175" t="inlineStr">
        <is>
          <t>--</t>
        </is>
      </c>
      <c r="N220" t="inlineStr">
        <is>
          <t>--</t>
        </is>
      </c>
    </row>
    <row r="221">
      <c r="A221" t="n">
        <v>913</v>
      </c>
      <c r="B221" t="inlineStr">
        <is>
          <t>兆豐台灣晶圓製造</t>
        </is>
      </c>
      <c r="C221" t="n">
        <v>52.95</v>
      </c>
      <c r="D221" t="n">
        <v>51.7</v>
      </c>
      <c r="E221" s="504" t="n">
        <v>-0.4</v>
      </c>
      <c r="F221" s="505" t="n">
        <v>-0.77</v>
      </c>
      <c r="G221" t="inlineStr">
        <is>
          <t>1.71億</t>
        </is>
      </c>
      <c r="H221" t="n">
        <v>3293</v>
      </c>
      <c r="I221" t="n">
        <v>2957</v>
      </c>
      <c r="J221" t="inlineStr">
        <is>
          <t>--</t>
        </is>
      </c>
      <c r="K221" t="n">
        <v>53.15</v>
      </c>
      <c r="L221" t="n">
        <v>50.8</v>
      </c>
      <c r="M221" s="175" t="inlineStr">
        <is>
          <t>--</t>
        </is>
      </c>
      <c r="N221" t="inlineStr">
        <is>
          <t>--</t>
        </is>
      </c>
    </row>
    <row r="222">
      <c r="A222" t="n">
        <v>915</v>
      </c>
      <c r="B222" t="inlineStr">
        <is>
          <t>凱基優選高股息30</t>
        </is>
      </c>
      <c r="C222" t="n">
        <v>29.72</v>
      </c>
      <c r="D222" t="n">
        <v>30.15</v>
      </c>
      <c r="E222" s="504" t="n">
        <v>0.43</v>
      </c>
      <c r="F222" s="505" t="n">
        <v>1.45</v>
      </c>
      <c r="G222" t="inlineStr">
        <is>
          <t>3.95億</t>
        </is>
      </c>
      <c r="H222" t="n">
        <v>13320</v>
      </c>
      <c r="I222" t="n">
        <v>9612</v>
      </c>
      <c r="J222" t="inlineStr">
        <is>
          <t>--</t>
        </is>
      </c>
      <c r="K222" t="n">
        <v>30.15</v>
      </c>
      <c r="L222" t="n">
        <v>29.41</v>
      </c>
      <c r="M222" s="175" t="inlineStr">
        <is>
          <t>--</t>
        </is>
      </c>
      <c r="N222" t="inlineStr">
        <is>
          <t>--</t>
        </is>
      </c>
    </row>
    <row r="223">
      <c r="A223" t="n">
        <v>916</v>
      </c>
      <c r="B223" t="inlineStr">
        <is>
          <t>國泰全球品牌50</t>
        </is>
      </c>
      <c r="C223" t="n">
        <v>30.9</v>
      </c>
      <c r="D223" t="n">
        <v>31.09</v>
      </c>
      <c r="E223" s="504" t="n">
        <v>2.53</v>
      </c>
      <c r="F223" s="505" t="n">
        <v>8.859999999999999</v>
      </c>
      <c r="G223" t="inlineStr">
        <is>
          <t>3.87億</t>
        </is>
      </c>
      <c r="H223" t="n">
        <v>12649</v>
      </c>
      <c r="I223" t="n">
        <v>416</v>
      </c>
      <c r="J223" t="inlineStr">
        <is>
          <t>--</t>
        </is>
      </c>
      <c r="K223" t="n">
        <v>31.41</v>
      </c>
      <c r="L223" t="n">
        <v>29</v>
      </c>
      <c r="M223" s="175" t="inlineStr">
        <is>
          <t>--</t>
        </is>
      </c>
      <c r="N223" t="inlineStr">
        <is>
          <t>--</t>
        </is>
      </c>
    </row>
    <row r="224">
      <c r="A224" t="n">
        <v>917</v>
      </c>
      <c r="B224" t="inlineStr">
        <is>
          <t>中信特選金融</t>
        </is>
      </c>
      <c r="C224" t="n">
        <v>21.65</v>
      </c>
      <c r="D224" t="n">
        <v>21.69</v>
      </c>
      <c r="E224" s="504" t="n">
        <v>0.06</v>
      </c>
      <c r="F224" s="505" t="n">
        <v>0.28</v>
      </c>
      <c r="G224" t="inlineStr">
        <is>
          <t>2906萬</t>
        </is>
      </c>
      <c r="H224" t="n">
        <v>1345</v>
      </c>
      <c r="I224" t="n">
        <v>818</v>
      </c>
      <c r="J224" t="inlineStr">
        <is>
          <t>--</t>
        </is>
      </c>
      <c r="K224" t="n">
        <v>21.69</v>
      </c>
      <c r="L224" t="n">
        <v>21.58</v>
      </c>
      <c r="M224" s="175" t="inlineStr">
        <is>
          <t>--</t>
        </is>
      </c>
      <c r="N224" t="inlineStr">
        <is>
          <t>--</t>
        </is>
      </c>
    </row>
    <row r="225">
      <c r="A225" t="n">
        <v>918</v>
      </c>
      <c r="B225" t="inlineStr">
        <is>
          <t>大華優利高填息30</t>
        </is>
      </c>
      <c r="C225" t="n">
        <v>30.74</v>
      </c>
      <c r="D225" t="n">
        <v>31.41</v>
      </c>
      <c r="E225" s="504" t="n">
        <v>0.95</v>
      </c>
      <c r="F225" s="505" t="n">
        <v>3.12</v>
      </c>
      <c r="G225" t="inlineStr">
        <is>
          <t>38.7億</t>
        </is>
      </c>
      <c r="H225" t="n">
        <v>125586</v>
      </c>
      <c r="I225" t="n">
        <v>46973</v>
      </c>
      <c r="J225" t="inlineStr">
        <is>
          <t>--</t>
        </is>
      </c>
      <c r="K225" t="n">
        <v>31.41</v>
      </c>
      <c r="L225" t="n">
        <v>30.44</v>
      </c>
      <c r="M225" s="175" t="inlineStr">
        <is>
          <t>--</t>
        </is>
      </c>
      <c r="N225" t="inlineStr">
        <is>
          <t>--</t>
        </is>
      </c>
    </row>
    <row r="226">
      <c r="A226" t="n">
        <v>919</v>
      </c>
      <c r="B226" t="inlineStr">
        <is>
          <t>群益台灣精選高息</t>
        </is>
      </c>
      <c r="C226" t="n">
        <v>30.35</v>
      </c>
      <c r="D226" t="n">
        <v>30.3</v>
      </c>
      <c r="E226" s="504" t="n">
        <v>0.3</v>
      </c>
      <c r="F226" s="505" t="n">
        <v>1</v>
      </c>
      <c r="G226" t="inlineStr">
        <is>
          <t>76.9億</t>
        </is>
      </c>
      <c r="H226" t="n">
        <v>255389</v>
      </c>
      <c r="I226" t="n">
        <v>150294</v>
      </c>
      <c r="J226" t="inlineStr">
        <is>
          <t>--</t>
        </is>
      </c>
      <c r="K226" t="n">
        <v>30.5</v>
      </c>
      <c r="L226" t="n">
        <v>29.85</v>
      </c>
      <c r="M226" s="175" t="inlineStr">
        <is>
          <t>--</t>
        </is>
      </c>
      <c r="N226" t="inlineStr">
        <is>
          <t>--</t>
        </is>
      </c>
    </row>
    <row r="227">
      <c r="A227" t="n">
        <v>920</v>
      </c>
      <c r="B227" t="inlineStr">
        <is>
          <t>富邦ESG綠色電力</t>
        </is>
      </c>
      <c r="C227" t="n">
        <v>27.15</v>
      </c>
      <c r="D227" t="n">
        <v>26.89</v>
      </c>
      <c r="E227" s="504" t="n">
        <v>-0.66</v>
      </c>
      <c r="F227" s="505" t="n">
        <v>-2.4</v>
      </c>
      <c r="G227" t="inlineStr">
        <is>
          <t>1551萬</t>
        </is>
      </c>
      <c r="H227" t="n">
        <v>578</v>
      </c>
      <c r="I227" t="n">
        <v>595</v>
      </c>
      <c r="J227" t="inlineStr">
        <is>
          <t>--</t>
        </is>
      </c>
      <c r="K227" t="n">
        <v>27.15</v>
      </c>
      <c r="L227" t="n">
        <v>26.78</v>
      </c>
      <c r="M227" s="175" t="inlineStr">
        <is>
          <t>--</t>
        </is>
      </c>
      <c r="N227" t="inlineStr">
        <is>
          <t>--</t>
        </is>
      </c>
    </row>
    <row r="228">
      <c r="A228" t="n">
        <v>921</v>
      </c>
      <c r="B228" t="inlineStr">
        <is>
          <t>兆豐龍頭等權重</t>
        </is>
      </c>
      <c r="C228" t="n">
        <v>23.1</v>
      </c>
      <c r="D228" t="n">
        <v>23.11</v>
      </c>
      <c r="E228" s="504" t="n">
        <v>0.06</v>
      </c>
      <c r="F228" s="505" t="n">
        <v>0.26</v>
      </c>
      <c r="G228" t="inlineStr">
        <is>
          <t>2678萬</t>
        </is>
      </c>
      <c r="H228" t="n">
        <v>1169</v>
      </c>
      <c r="I228" t="n">
        <v>870</v>
      </c>
      <c r="J228" t="inlineStr">
        <is>
          <t>--</t>
        </is>
      </c>
      <c r="K228" t="n">
        <v>23.2</v>
      </c>
      <c r="L228" t="n">
        <v>22.77</v>
      </c>
      <c r="M228" s="175" t="inlineStr">
        <is>
          <t>--</t>
        </is>
      </c>
      <c r="N228" t="inlineStr">
        <is>
          <t>--</t>
        </is>
      </c>
    </row>
    <row r="229">
      <c r="A229" t="n">
        <v>922</v>
      </c>
      <c r="B229" t="inlineStr">
        <is>
          <t>國泰台灣領袖50</t>
        </is>
      </c>
      <c r="C229" t="n">
        <v>40.29</v>
      </c>
      <c r="D229" t="n">
        <v>40.1</v>
      </c>
      <c r="E229" s="504" t="n">
        <v>-0.01</v>
      </c>
      <c r="F229" s="505" t="n">
        <v>-0.02</v>
      </c>
      <c r="G229" t="inlineStr">
        <is>
          <t>5.38億</t>
        </is>
      </c>
      <c r="H229" t="n">
        <v>13452</v>
      </c>
      <c r="I229" t="n">
        <v>12027</v>
      </c>
      <c r="J229" t="inlineStr">
        <is>
          <t>--</t>
        </is>
      </c>
      <c r="K229" t="n">
        <v>40.37</v>
      </c>
      <c r="L229" t="n">
        <v>39.57</v>
      </c>
      <c r="M229" s="175" t="inlineStr">
        <is>
          <t>--</t>
        </is>
      </c>
      <c r="N229" t="inlineStr">
        <is>
          <t>--</t>
        </is>
      </c>
    </row>
    <row r="230">
      <c r="A230" t="n">
        <v>923</v>
      </c>
      <c r="B230" t="inlineStr">
        <is>
          <t>群益台ESG低碳50</t>
        </is>
      </c>
      <c r="C230" t="n">
        <v>42.8</v>
      </c>
      <c r="D230" t="n">
        <v>42.7</v>
      </c>
      <c r="E230" s="504" t="n">
        <v>0.01</v>
      </c>
      <c r="F230" s="505" t="n">
        <v>0.02</v>
      </c>
      <c r="G230" t="inlineStr">
        <is>
          <t>2.61億</t>
        </is>
      </c>
      <c r="H230" t="n">
        <v>6118</v>
      </c>
      <c r="I230" t="n">
        <v>8464</v>
      </c>
      <c r="J230" t="inlineStr">
        <is>
          <t>--</t>
        </is>
      </c>
      <c r="K230" t="n">
        <v>43</v>
      </c>
      <c r="L230" t="n">
        <v>42</v>
      </c>
      <c r="M230" s="175" t="inlineStr">
        <is>
          <t>--</t>
        </is>
      </c>
      <c r="N230" t="inlineStr">
        <is>
          <t>--</t>
        </is>
      </c>
    </row>
    <row r="231">
      <c r="A231" t="n">
        <v>924</v>
      </c>
      <c r="B231" t="inlineStr">
        <is>
          <t>復華S＆P500成長</t>
        </is>
      </c>
      <c r="C231" t="n">
        <v>32.92</v>
      </c>
      <c r="D231" t="n">
        <v>33.07</v>
      </c>
      <c r="E231" s="504" t="n">
        <v>0.13</v>
      </c>
      <c r="F231" s="505" t="n">
        <v>0.39</v>
      </c>
      <c r="G231" t="inlineStr">
        <is>
          <t>8619萬</t>
        </is>
      </c>
      <c r="H231" t="n">
        <v>2613</v>
      </c>
      <c r="I231" t="n">
        <v>3344</v>
      </c>
      <c r="J231" t="inlineStr">
        <is>
          <t>--</t>
        </is>
      </c>
      <c r="K231" t="n">
        <v>33.08</v>
      </c>
      <c r="L231" t="n">
        <v>32.89</v>
      </c>
      <c r="M231" s="175" t="inlineStr">
        <is>
          <t>--</t>
        </is>
      </c>
      <c r="N231" t="inlineStr">
        <is>
          <t>--</t>
        </is>
      </c>
    </row>
    <row r="232">
      <c r="A232" t="n">
        <v>926</v>
      </c>
      <c r="B232" t="inlineStr">
        <is>
          <t>凱基全球菁英55</t>
        </is>
      </c>
      <c r="C232" t="n">
        <v>25.05</v>
      </c>
      <c r="D232" t="n">
        <v>25.16</v>
      </c>
      <c r="E232" s="504" t="n">
        <v>-0.09</v>
      </c>
      <c r="F232" s="505" t="n">
        <v>-0.36</v>
      </c>
      <c r="G232" t="inlineStr">
        <is>
          <t>2266萬</t>
        </is>
      </c>
      <c r="H232" t="n">
        <v>904</v>
      </c>
      <c r="I232" t="n">
        <v>1502</v>
      </c>
      <c r="J232" t="inlineStr">
        <is>
          <t>--</t>
        </is>
      </c>
      <c r="K232" t="n">
        <v>25.16</v>
      </c>
      <c r="L232" t="n">
        <v>24.99</v>
      </c>
      <c r="M232" s="175" t="inlineStr">
        <is>
          <t>--</t>
        </is>
      </c>
      <c r="N232" t="inlineStr">
        <is>
          <t>--</t>
        </is>
      </c>
    </row>
    <row r="233">
      <c r="A233" t="n">
        <v>927</v>
      </c>
      <c r="B233" t="inlineStr">
        <is>
          <t>群益半導體收益</t>
        </is>
      </c>
      <c r="C233" t="n">
        <v>41.56</v>
      </c>
      <c r="D233" t="n">
        <v>40.83</v>
      </c>
      <c r="E233" s="504" t="n">
        <v>-0.43</v>
      </c>
      <c r="F233" s="505" t="n">
        <v>-1.04</v>
      </c>
      <c r="G233" t="inlineStr">
        <is>
          <t>10.5億</t>
        </is>
      </c>
      <c r="H233" t="n">
        <v>25864</v>
      </c>
      <c r="I233" t="n">
        <v>26873</v>
      </c>
      <c r="J233" t="inlineStr">
        <is>
          <t>--</t>
        </is>
      </c>
      <c r="K233" t="n">
        <v>41.87</v>
      </c>
      <c r="L233" t="n">
        <v>39.88</v>
      </c>
      <c r="M233" s="175" t="inlineStr">
        <is>
          <t>--</t>
        </is>
      </c>
      <c r="N233" t="inlineStr">
        <is>
          <t>--</t>
        </is>
      </c>
    </row>
    <row r="234">
      <c r="A234" t="n">
        <v>928</v>
      </c>
      <c r="B234" t="inlineStr">
        <is>
          <t>中信上櫃ESG30</t>
        </is>
      </c>
      <c r="C234" t="n">
        <v>39.98</v>
      </c>
      <c r="D234" t="n">
        <v>38.9</v>
      </c>
      <c r="E234" s="504" t="n">
        <v>-1.08</v>
      </c>
      <c r="F234" s="505" t="n">
        <v>-2.7</v>
      </c>
      <c r="G234" t="inlineStr">
        <is>
          <t>7192萬</t>
        </is>
      </c>
      <c r="H234" t="n">
        <v>1840</v>
      </c>
      <c r="I234" t="n">
        <v>1470</v>
      </c>
      <c r="J234" t="inlineStr">
        <is>
          <t>--</t>
        </is>
      </c>
      <c r="K234" t="n">
        <v>40.03</v>
      </c>
      <c r="L234" t="n">
        <v>38.27</v>
      </c>
      <c r="M234" s="175" t="inlineStr">
        <is>
          <t>--</t>
        </is>
      </c>
      <c r="N234" t="inlineStr">
        <is>
          <t>--</t>
        </is>
      </c>
    </row>
    <row r="235">
      <c r="A235" t="n">
        <v>929</v>
      </c>
      <c r="B235" t="inlineStr">
        <is>
          <t>復華台灣科技優息</t>
        </is>
      </c>
      <c r="C235" t="n">
        <v>31.35</v>
      </c>
      <c r="D235" t="n">
        <v>30.94</v>
      </c>
      <c r="E235" s="504" t="n">
        <v>0.14</v>
      </c>
      <c r="F235" s="505" t="n">
        <v>0.45</v>
      </c>
      <c r="G235" t="inlineStr">
        <is>
          <t>14.4億</t>
        </is>
      </c>
      <c r="H235" t="n">
        <v>46568</v>
      </c>
      <c r="I235" t="n">
        <v>54942</v>
      </c>
      <c r="J235" t="inlineStr">
        <is>
          <t>--</t>
        </is>
      </c>
      <c r="K235" t="n">
        <v>31.49</v>
      </c>
      <c r="L235" t="n">
        <v>30.26</v>
      </c>
      <c r="M235" s="175" t="inlineStr">
        <is>
          <t>--</t>
        </is>
      </c>
      <c r="N235" t="inlineStr">
        <is>
          <t>--</t>
        </is>
      </c>
    </row>
    <row r="236">
      <c r="A236" t="n">
        <v>930</v>
      </c>
      <c r="B236" t="inlineStr">
        <is>
          <t>永豐ESG低碳高息</t>
        </is>
      </c>
      <c r="C236" t="n">
        <v>25.45</v>
      </c>
      <c r="D236" t="n">
        <v>25.56</v>
      </c>
      <c r="E236" s="504" t="n">
        <v>0.36</v>
      </c>
      <c r="F236" s="505" t="n">
        <v>1.43</v>
      </c>
      <c r="G236" t="inlineStr">
        <is>
          <t>8020萬</t>
        </is>
      </c>
      <c r="H236" t="n">
        <v>3172</v>
      </c>
      <c r="I236" t="n">
        <v>3872</v>
      </c>
      <c r="J236" t="inlineStr">
        <is>
          <t>--</t>
        </is>
      </c>
      <c r="K236" t="n">
        <v>25.67</v>
      </c>
      <c r="L236" t="n">
        <v>25.05</v>
      </c>
      <c r="M236" s="175" t="inlineStr">
        <is>
          <t>--</t>
        </is>
      </c>
      <c r="N236" t="inlineStr">
        <is>
          <t>--</t>
        </is>
      </c>
    </row>
    <row r="237">
      <c r="A237" t="inlineStr">
        <is>
          <t>00931B</t>
        </is>
      </c>
      <c r="B237" t="inlineStr">
        <is>
          <t>統一美債20年</t>
        </is>
      </c>
      <c r="C237" t="n">
        <v>13.37</v>
      </c>
      <c r="D237" t="n">
        <v>13.45</v>
      </c>
      <c r="E237" s="504" t="n">
        <v>0.13</v>
      </c>
      <c r="F237" s="505" t="n">
        <v>0.98</v>
      </c>
      <c r="G237" t="inlineStr">
        <is>
          <t>1.30億</t>
        </is>
      </c>
      <c r="H237" t="n">
        <v>9694</v>
      </c>
      <c r="I237" t="n">
        <v>7707</v>
      </c>
      <c r="J237" t="inlineStr">
        <is>
          <t>--</t>
        </is>
      </c>
      <c r="K237" t="n">
        <v>13.46</v>
      </c>
      <c r="L237" t="n">
        <v>13.37</v>
      </c>
      <c r="M237" s="175" t="inlineStr">
        <is>
          <t>--</t>
        </is>
      </c>
      <c r="N237" t="inlineStr">
        <is>
          <t>--</t>
        </is>
      </c>
    </row>
    <row r="238">
      <c r="A238" t="n">
        <v>932</v>
      </c>
      <c r="B238" t="inlineStr">
        <is>
          <t>兆豐永續高息等權</t>
        </is>
      </c>
      <c r="C238" t="n">
        <v>17.27</v>
      </c>
      <c r="D238" t="n">
        <v>17.56</v>
      </c>
      <c r="E238" s="504" t="n">
        <v>0.31</v>
      </c>
      <c r="F238" s="505" t="n">
        <v>1.8</v>
      </c>
      <c r="G238" t="inlineStr">
        <is>
          <t>7302萬</t>
        </is>
      </c>
      <c r="H238" t="n">
        <v>4196</v>
      </c>
      <c r="I238" t="n">
        <v>2972</v>
      </c>
      <c r="J238" t="inlineStr">
        <is>
          <t>--</t>
        </is>
      </c>
      <c r="K238" t="n">
        <v>17.56</v>
      </c>
      <c r="L238" t="n">
        <v>17.2</v>
      </c>
      <c r="M238" s="175" t="inlineStr">
        <is>
          <t>--</t>
        </is>
      </c>
      <c r="N238" t="inlineStr">
        <is>
          <t>--</t>
        </is>
      </c>
    </row>
    <row r="239">
      <c r="A239" t="inlineStr">
        <is>
          <t>00933B</t>
        </is>
      </c>
      <c r="B239" t="inlineStr">
        <is>
          <t>國泰10Y+金融債</t>
        </is>
      </c>
      <c r="C239" t="n">
        <v>15.96</v>
      </c>
      <c r="D239" t="n">
        <v>16.05</v>
      </c>
      <c r="E239" s="504" t="n">
        <v>0.1</v>
      </c>
      <c r="F239" s="505" t="n">
        <v>0.63</v>
      </c>
      <c r="G239" t="inlineStr">
        <is>
          <t>3.21億</t>
        </is>
      </c>
      <c r="H239" t="n">
        <v>20084</v>
      </c>
      <c r="I239" t="n">
        <v>11842</v>
      </c>
      <c r="J239" t="inlineStr">
        <is>
          <t>--</t>
        </is>
      </c>
      <c r="K239" t="n">
        <v>16.06</v>
      </c>
      <c r="L239" t="n">
        <v>15.95</v>
      </c>
      <c r="M239" s="175" t="inlineStr">
        <is>
          <t>--</t>
        </is>
      </c>
      <c r="N239" t="inlineStr">
        <is>
          <t>--</t>
        </is>
      </c>
    </row>
    <row r="240">
      <c r="A240" t="n">
        <v>934</v>
      </c>
      <c r="B240" t="inlineStr">
        <is>
          <t>中信成長高股息</t>
        </is>
      </c>
      <c r="C240" t="n">
        <v>28.4</v>
      </c>
      <c r="D240" t="n">
        <v>28.89</v>
      </c>
      <c r="E240" s="504" t="n">
        <v>0.7</v>
      </c>
      <c r="F240" s="505" t="n">
        <v>2.48</v>
      </c>
      <c r="G240" t="inlineStr">
        <is>
          <t>1.31億</t>
        </is>
      </c>
      <c r="H240" t="n">
        <v>4582</v>
      </c>
      <c r="I240" t="n">
        <v>5430</v>
      </c>
      <c r="J240" t="inlineStr">
        <is>
          <t>--</t>
        </is>
      </c>
      <c r="K240" t="n">
        <v>28.89</v>
      </c>
      <c r="L240" t="n">
        <v>28.25</v>
      </c>
      <c r="M240" s="175" t="inlineStr">
        <is>
          <t>--</t>
        </is>
      </c>
      <c r="N240" t="inlineStr">
        <is>
          <t>--</t>
        </is>
      </c>
    </row>
    <row r="241">
      <c r="A241" t="n">
        <v>935</v>
      </c>
      <c r="B241" t="inlineStr">
        <is>
          <t>野村臺灣新科技50</t>
        </is>
      </c>
      <c r="C241" t="n">
        <v>63</v>
      </c>
      <c r="D241" t="n">
        <v>62</v>
      </c>
      <c r="E241" s="504" t="n">
        <v>-0.4</v>
      </c>
      <c r="F241" s="505" t="n">
        <v>-0.64</v>
      </c>
      <c r="G241" t="inlineStr">
        <is>
          <t>14.1億</t>
        </is>
      </c>
      <c r="H241" t="n">
        <v>23132</v>
      </c>
      <c r="I241" t="n">
        <v>25894</v>
      </c>
      <c r="J241" t="inlineStr">
        <is>
          <t>--</t>
        </is>
      </c>
      <c r="K241" t="n">
        <v>63.15</v>
      </c>
      <c r="L241" t="n">
        <v>60.55</v>
      </c>
      <c r="M241" s="175" t="inlineStr">
        <is>
          <t>--</t>
        </is>
      </c>
      <c r="N241" t="inlineStr">
        <is>
          <t>--</t>
        </is>
      </c>
    </row>
    <row r="242">
      <c r="A242" t="n">
        <v>936</v>
      </c>
      <c r="B242" t="inlineStr">
        <is>
          <t>台新永續高息中小</t>
        </is>
      </c>
      <c r="C242" t="n">
        <v>21.45</v>
      </c>
      <c r="D242" t="n">
        <v>21.59</v>
      </c>
      <c r="E242" s="504" t="n">
        <v>0.22</v>
      </c>
      <c r="F242" s="505" t="n">
        <v>1.03</v>
      </c>
      <c r="G242" t="inlineStr">
        <is>
          <t>5351萬</t>
        </is>
      </c>
      <c r="H242" t="n">
        <v>2500</v>
      </c>
      <c r="I242" t="n">
        <v>4581</v>
      </c>
      <c r="J242" t="inlineStr">
        <is>
          <t>--</t>
        </is>
      </c>
      <c r="K242" t="n">
        <v>21.6</v>
      </c>
      <c r="L242" t="n">
        <v>21.24</v>
      </c>
      <c r="M242" s="175" t="inlineStr">
        <is>
          <t>--</t>
        </is>
      </c>
      <c r="N242" t="inlineStr">
        <is>
          <t>--</t>
        </is>
      </c>
    </row>
    <row r="243">
      <c r="A243" t="inlineStr">
        <is>
          <t>00937B</t>
        </is>
      </c>
      <c r="B243" t="inlineStr">
        <is>
          <t>群益ESG投等債20+</t>
        </is>
      </c>
      <c r="C243" t="n">
        <v>14.85</v>
      </c>
      <c r="D243" t="n">
        <v>14.95</v>
      </c>
      <c r="E243" s="504" t="n">
        <v>0.13</v>
      </c>
      <c r="F243" s="505" t="n">
        <v>0.88</v>
      </c>
      <c r="G243" t="inlineStr">
        <is>
          <t>18.6億</t>
        </is>
      </c>
      <c r="H243" t="n">
        <v>125225</v>
      </c>
      <c r="I243" t="n">
        <v>78098</v>
      </c>
      <c r="J243" t="inlineStr">
        <is>
          <t>--</t>
        </is>
      </c>
      <c r="K243" t="n">
        <v>14.96</v>
      </c>
      <c r="L243" t="n">
        <v>14.84</v>
      </c>
      <c r="M243" s="175" t="inlineStr">
        <is>
          <t>--</t>
        </is>
      </c>
      <c r="N243" t="inlineStr">
        <is>
          <t>--</t>
        </is>
      </c>
    </row>
    <row r="244">
      <c r="A244" t="n">
        <v>938</v>
      </c>
      <c r="B244" t="inlineStr">
        <is>
          <t>凱基優選30</t>
        </is>
      </c>
      <c r="C244" t="n">
        <v>22.21</v>
      </c>
      <c r="D244" t="n">
        <v>22.49</v>
      </c>
      <c r="E244" s="504" t="n">
        <v>0.26</v>
      </c>
      <c r="F244" s="505" t="n">
        <v>1.17</v>
      </c>
      <c r="G244" t="inlineStr">
        <is>
          <t>1323萬</t>
        </is>
      </c>
      <c r="H244" t="n">
        <v>592</v>
      </c>
      <c r="I244" t="n">
        <v>1709</v>
      </c>
      <c r="J244" t="inlineStr">
        <is>
          <t>--</t>
        </is>
      </c>
      <c r="K244" t="n">
        <v>22.49</v>
      </c>
      <c r="L244" t="n">
        <v>22.18</v>
      </c>
      <c r="M244" s="175" t="inlineStr">
        <is>
          <t>--</t>
        </is>
      </c>
      <c r="N244" t="inlineStr">
        <is>
          <t>--</t>
        </is>
      </c>
    </row>
    <row r="245">
      <c r="A245" t="n">
        <v>939</v>
      </c>
      <c r="B245" t="inlineStr">
        <is>
          <t>統一台灣高息動能</t>
        </is>
      </c>
      <c r="C245" t="n">
        <v>20.48</v>
      </c>
      <c r="D245" t="n">
        <v>20.5</v>
      </c>
      <c r="E245" s="504" t="n">
        <v>0.08</v>
      </c>
      <c r="F245" s="505" t="n">
        <v>0.39</v>
      </c>
      <c r="G245" t="inlineStr">
        <is>
          <t>1.76億</t>
        </is>
      </c>
      <c r="H245" t="n">
        <v>8637</v>
      </c>
      <c r="I245" t="n">
        <v>8836</v>
      </c>
      <c r="J245" t="inlineStr">
        <is>
          <t>--</t>
        </is>
      </c>
      <c r="K245" t="n">
        <v>20.5</v>
      </c>
      <c r="L245" t="n">
        <v>20.17</v>
      </c>
      <c r="M245" s="175" t="inlineStr">
        <is>
          <t>--</t>
        </is>
      </c>
      <c r="N245" t="inlineStr">
        <is>
          <t>--</t>
        </is>
      </c>
    </row>
    <row r="246">
      <c r="A246" t="n">
        <v>940</v>
      </c>
      <c r="B246" t="inlineStr">
        <is>
          <t>元大台灣價值高息</t>
        </is>
      </c>
      <c r="C246" t="n">
        <v>12.33</v>
      </c>
      <c r="D246" t="n">
        <v>12.49</v>
      </c>
      <c r="E246" s="504" t="n">
        <v>0.22</v>
      </c>
      <c r="F246" s="505" t="n">
        <v>1.79</v>
      </c>
      <c r="G246" t="inlineStr">
        <is>
          <t>8.11億</t>
        </is>
      </c>
      <c r="H246" t="n">
        <v>65593</v>
      </c>
      <c r="I246" t="n">
        <v>41034</v>
      </c>
      <c r="J246" t="inlineStr">
        <is>
          <t>--</t>
        </is>
      </c>
      <c r="K246" t="n">
        <v>12.49</v>
      </c>
      <c r="L246" t="n">
        <v>12.25</v>
      </c>
      <c r="M246" s="175" t="inlineStr">
        <is>
          <t>--</t>
        </is>
      </c>
      <c r="N246" t="inlineStr">
        <is>
          <t>--</t>
        </is>
      </c>
    </row>
    <row r="247">
      <c r="A247" t="n">
        <v>941</v>
      </c>
      <c r="B247" t="inlineStr">
        <is>
          <t>中信上游半導體</t>
        </is>
      </c>
      <c r="C247" t="n">
        <v>25.26</v>
      </c>
      <c r="D247" t="n">
        <v>25.13</v>
      </c>
      <c r="E247" s="504" t="n">
        <v>-0.22</v>
      </c>
      <c r="F247" s="505" t="n">
        <v>-0.87</v>
      </c>
      <c r="G247" t="inlineStr">
        <is>
          <t>5452萬</t>
        </is>
      </c>
      <c r="H247" t="n">
        <v>2190</v>
      </c>
      <c r="I247" t="n">
        <v>1691</v>
      </c>
      <c r="J247" t="inlineStr">
        <is>
          <t>--</t>
        </is>
      </c>
      <c r="K247" t="n">
        <v>25.26</v>
      </c>
      <c r="L247" t="n">
        <v>24.96</v>
      </c>
      <c r="M247" s="175" t="inlineStr">
        <is>
          <t>--</t>
        </is>
      </c>
      <c r="N247" t="inlineStr">
        <is>
          <t>--</t>
        </is>
      </c>
    </row>
    <row r="248">
      <c r="A248" t="inlineStr">
        <is>
          <t>00942B</t>
        </is>
      </c>
      <c r="B248" t="inlineStr">
        <is>
          <t>台新美A公司債20+</t>
        </is>
      </c>
      <c r="C248" t="n">
        <v>14.33</v>
      </c>
      <c r="D248" t="n">
        <v>14.43</v>
      </c>
      <c r="E248" s="504" t="n">
        <v>0.11</v>
      </c>
      <c r="F248" s="505" t="n">
        <v>0.77</v>
      </c>
      <c r="G248" t="inlineStr">
        <is>
          <t>4129萬</t>
        </is>
      </c>
      <c r="H248" t="n">
        <v>2869</v>
      </c>
      <c r="I248" t="n">
        <v>2517</v>
      </c>
      <c r="J248" t="inlineStr">
        <is>
          <t>--</t>
        </is>
      </c>
      <c r="K248" t="n">
        <v>14.44</v>
      </c>
      <c r="L248" t="n">
        <v>14.32</v>
      </c>
      <c r="M248" s="175" t="inlineStr">
        <is>
          <t>--</t>
        </is>
      </c>
      <c r="N248" t="inlineStr">
        <is>
          <t>--</t>
        </is>
      </c>
    </row>
    <row r="249">
      <c r="A249" t="n">
        <v>943</v>
      </c>
      <c r="B249" t="inlineStr">
        <is>
          <t>兆豐電子高息等權</t>
        </is>
      </c>
      <c r="C249" t="n">
        <v>22.56</v>
      </c>
      <c r="D249" t="n">
        <v>22.55</v>
      </c>
      <c r="E249" s="504" t="n">
        <v>0.13</v>
      </c>
      <c r="F249" s="505" t="n">
        <v>0.58</v>
      </c>
      <c r="G249" t="inlineStr">
        <is>
          <t>564萬</t>
        </is>
      </c>
      <c r="H249" t="n">
        <v>252</v>
      </c>
      <c r="I249" t="n">
        <v>236</v>
      </c>
      <c r="J249" t="inlineStr">
        <is>
          <t>--</t>
        </is>
      </c>
      <c r="K249" t="n">
        <v>22.59</v>
      </c>
      <c r="L249" t="n">
        <v>22.15</v>
      </c>
      <c r="M249" s="175" t="inlineStr">
        <is>
          <t>--</t>
        </is>
      </c>
      <c r="N249" t="inlineStr">
        <is>
          <t>--</t>
        </is>
      </c>
    </row>
    <row r="250">
      <c r="A250" t="n">
        <v>944</v>
      </c>
      <c r="B250" t="inlineStr">
        <is>
          <t>野村趨勢動能高息</t>
        </is>
      </c>
      <c r="C250" t="n">
        <v>20.7</v>
      </c>
      <c r="D250" t="n">
        <v>21</v>
      </c>
      <c r="E250" s="504" t="n">
        <v>0.4</v>
      </c>
      <c r="F250" s="505" t="n">
        <v>1.94</v>
      </c>
      <c r="G250" t="inlineStr">
        <is>
          <t>2219萬</t>
        </is>
      </c>
      <c r="H250" t="n">
        <v>1074</v>
      </c>
      <c r="I250" t="n">
        <v>1032</v>
      </c>
      <c r="J250" t="inlineStr">
        <is>
          <t>--</t>
        </is>
      </c>
      <c r="K250" t="n">
        <v>21</v>
      </c>
      <c r="L250" t="n">
        <v>20.42</v>
      </c>
      <c r="M250" s="175" t="inlineStr">
        <is>
          <t>--</t>
        </is>
      </c>
      <c r="N250" t="inlineStr">
        <is>
          <t>--</t>
        </is>
      </c>
    </row>
    <row r="251">
      <c r="A251" t="inlineStr">
        <is>
          <t>00945B</t>
        </is>
      </c>
      <c r="B251" t="inlineStr">
        <is>
          <t>凱基美國非投等債</t>
        </is>
      </c>
      <c r="C251" t="n">
        <v>14.35</v>
      </c>
      <c r="D251" t="n">
        <v>14.4</v>
      </c>
      <c r="E251" s="504" t="n">
        <v>0.04</v>
      </c>
      <c r="F251" s="505" t="n">
        <v>0.28</v>
      </c>
      <c r="G251" t="inlineStr">
        <is>
          <t>6810萬</t>
        </is>
      </c>
      <c r="H251" t="n">
        <v>4737</v>
      </c>
      <c r="I251" t="n">
        <v>6939</v>
      </c>
      <c r="J251" t="inlineStr">
        <is>
          <t>--</t>
        </is>
      </c>
      <c r="K251" t="n">
        <v>14.41</v>
      </c>
      <c r="L251" t="n">
        <v>14.35</v>
      </c>
      <c r="M251" s="175" t="inlineStr">
        <is>
          <t>--</t>
        </is>
      </c>
      <c r="N251" t="inlineStr">
        <is>
          <t>--</t>
        </is>
      </c>
    </row>
    <row r="252">
      <c r="A252" t="n">
        <v>946</v>
      </c>
      <c r="B252" t="inlineStr">
        <is>
          <t>群益科技高息成長</t>
        </is>
      </c>
      <c r="C252" t="n">
        <v>15.34</v>
      </c>
      <c r="D252" t="n">
        <v>15.48</v>
      </c>
      <c r="E252" s="504" t="n">
        <v>0.22</v>
      </c>
      <c r="F252" s="505" t="n">
        <v>1.44</v>
      </c>
      <c r="G252" t="inlineStr">
        <is>
          <t>1.40億</t>
        </is>
      </c>
      <c r="H252" t="n">
        <v>9130</v>
      </c>
      <c r="I252" t="n">
        <v>9117</v>
      </c>
      <c r="J252" t="inlineStr">
        <is>
          <t>--</t>
        </is>
      </c>
      <c r="K252" t="n">
        <v>15.48</v>
      </c>
      <c r="L252" t="n">
        <v>15.13</v>
      </c>
      <c r="M252" s="175" t="inlineStr">
        <is>
          <t>--</t>
        </is>
      </c>
      <c r="N252" t="inlineStr">
        <is>
          <t>--</t>
        </is>
      </c>
    </row>
    <row r="253">
      <c r="A253" t="n">
        <v>947</v>
      </c>
      <c r="B253" t="inlineStr">
        <is>
          <t>台新臺灣IC設計</t>
        </is>
      </c>
      <c r="C253" t="n">
        <v>40.94</v>
      </c>
      <c r="D253" t="n">
        <v>40.71</v>
      </c>
      <c r="E253" s="504" t="n">
        <v>0.61</v>
      </c>
      <c r="F253" s="505" t="n">
        <v>1.52</v>
      </c>
      <c r="G253" t="inlineStr">
        <is>
          <t>4.45億</t>
        </is>
      </c>
      <c r="H253" t="n">
        <v>11057</v>
      </c>
      <c r="I253" t="n">
        <v>10554</v>
      </c>
      <c r="J253" t="inlineStr">
        <is>
          <t>--</t>
        </is>
      </c>
      <c r="K253" t="n">
        <v>41.2</v>
      </c>
      <c r="L253" t="n">
        <v>39.6</v>
      </c>
      <c r="M253" s="175" t="inlineStr">
        <is>
          <t>--</t>
        </is>
      </c>
      <c r="N253" t="inlineStr">
        <is>
          <t>--</t>
        </is>
      </c>
    </row>
    <row r="254">
      <c r="A254" t="inlineStr">
        <is>
          <t>00948B</t>
        </is>
      </c>
      <c r="B254" t="inlineStr">
        <is>
          <t>中信優息投資級債</t>
        </is>
      </c>
      <c r="C254" t="n">
        <v>9.470000000000001</v>
      </c>
      <c r="D254" t="n">
        <v>9.539999999999999</v>
      </c>
      <c r="E254" s="504" t="n">
        <v>0.09</v>
      </c>
      <c r="F254" s="505" t="n">
        <v>0.95</v>
      </c>
      <c r="G254" t="inlineStr">
        <is>
          <t>1.33億</t>
        </is>
      </c>
      <c r="H254" t="n">
        <v>14021</v>
      </c>
      <c r="I254" t="n">
        <v>13053</v>
      </c>
      <c r="J254" t="inlineStr">
        <is>
          <t>--</t>
        </is>
      </c>
      <c r="K254" t="n">
        <v>9.550000000000001</v>
      </c>
      <c r="L254" t="n">
        <v>9.470000000000001</v>
      </c>
      <c r="M254" s="175" t="inlineStr">
        <is>
          <t>--</t>
        </is>
      </c>
      <c r="N254" t="inlineStr">
        <is>
          <t>--</t>
        </is>
      </c>
    </row>
    <row r="255">
      <c r="A255" t="n">
        <v>949</v>
      </c>
      <c r="B255" t="inlineStr">
        <is>
          <t>復華日本龍頭</t>
        </is>
      </c>
      <c r="C255" t="n">
        <v>20.61</v>
      </c>
      <c r="D255" t="n">
        <v>20.63</v>
      </c>
      <c r="E255" s="504" t="n">
        <v>0.02</v>
      </c>
      <c r="F255" s="505" t="n">
        <v>0.1</v>
      </c>
      <c r="G255" t="inlineStr">
        <is>
          <t>3093萬</t>
        </is>
      </c>
      <c r="H255" t="n">
        <v>1511</v>
      </c>
      <c r="I255" t="n">
        <v>1360</v>
      </c>
      <c r="J255" t="inlineStr">
        <is>
          <t>--</t>
        </is>
      </c>
      <c r="K255" t="n">
        <v>20.64</v>
      </c>
      <c r="L255" t="n">
        <v>20.38</v>
      </c>
      <c r="M255" s="175" t="inlineStr">
        <is>
          <t>--</t>
        </is>
      </c>
      <c r="N255" t="inlineStr">
        <is>
          <t>--</t>
        </is>
      </c>
    </row>
    <row r="256">
      <c r="A256" t="inlineStr">
        <is>
          <t>00950B</t>
        </is>
      </c>
      <c r="B256" t="inlineStr">
        <is>
          <t>凱基A級公司債</t>
        </is>
      </c>
      <c r="C256" t="n">
        <v>14.05</v>
      </c>
      <c r="D256" t="n">
        <v>14.09</v>
      </c>
      <c r="E256" s="504" t="n">
        <v>0.1</v>
      </c>
      <c r="F256" s="505" t="n">
        <v>0.71</v>
      </c>
      <c r="G256" t="inlineStr">
        <is>
          <t>7024萬</t>
        </is>
      </c>
      <c r="H256" t="n">
        <v>4998</v>
      </c>
      <c r="I256" t="n">
        <v>7417</v>
      </c>
      <c r="J256" t="inlineStr">
        <is>
          <t>--</t>
        </is>
      </c>
      <c r="K256" t="n">
        <v>14.1</v>
      </c>
      <c r="L256" t="n">
        <v>14</v>
      </c>
      <c r="M256" s="175" t="inlineStr">
        <is>
          <t>--</t>
        </is>
      </c>
      <c r="N256" t="inlineStr">
        <is>
          <t>--</t>
        </is>
      </c>
    </row>
    <row r="257">
      <c r="A257" t="n">
        <v>951</v>
      </c>
      <c r="B257" t="inlineStr">
        <is>
          <t>台新日本半導體</t>
        </is>
      </c>
      <c r="C257" t="n">
        <v>16.6</v>
      </c>
      <c r="D257" t="n">
        <v>16.94</v>
      </c>
      <c r="E257" s="504" t="n">
        <v>-0.03</v>
      </c>
      <c r="F257" s="505" t="n">
        <v>-0.18</v>
      </c>
      <c r="G257" t="inlineStr">
        <is>
          <t>7083萬</t>
        </is>
      </c>
      <c r="H257" t="n">
        <v>4267</v>
      </c>
      <c r="I257" t="n">
        <v>3702</v>
      </c>
      <c r="J257" t="inlineStr">
        <is>
          <t>--</t>
        </is>
      </c>
      <c r="K257" t="n">
        <v>16.94</v>
      </c>
      <c r="L257" t="n">
        <v>16.43</v>
      </c>
      <c r="M257" s="175" t="inlineStr">
        <is>
          <t>--</t>
        </is>
      </c>
      <c r="N257" t="inlineStr">
        <is>
          <t>--</t>
        </is>
      </c>
    </row>
    <row r="258">
      <c r="A258" t="n">
        <v>952</v>
      </c>
      <c r="B258" t="inlineStr">
        <is>
          <t>凱基台灣AI50</t>
        </is>
      </c>
      <c r="C258" t="n">
        <v>19.86</v>
      </c>
      <c r="D258" t="n">
        <v>19.9</v>
      </c>
      <c r="E258" s="504" t="n">
        <v>0.19</v>
      </c>
      <c r="F258" s="505" t="n">
        <v>0.96</v>
      </c>
      <c r="G258" t="inlineStr">
        <is>
          <t>1.06億</t>
        </is>
      </c>
      <c r="H258" t="n">
        <v>5370</v>
      </c>
      <c r="I258" t="n">
        <v>4348</v>
      </c>
      <c r="J258" t="inlineStr">
        <is>
          <t>--</t>
        </is>
      </c>
      <c r="K258" t="n">
        <v>19.97</v>
      </c>
      <c r="L258" t="n">
        <v>19.48</v>
      </c>
      <c r="M258" s="175" t="inlineStr">
        <is>
          <t>--</t>
        </is>
      </c>
      <c r="N258" t="inlineStr">
        <is>
          <t>--</t>
        </is>
      </c>
    </row>
    <row r="259">
      <c r="A259" t="inlineStr">
        <is>
          <t>00953B</t>
        </is>
      </c>
      <c r="B259" t="inlineStr">
        <is>
          <t>群益優選非投等債</t>
        </is>
      </c>
      <c r="C259" t="n">
        <v>9.529999999999999</v>
      </c>
      <c r="D259" t="n">
        <v>9.539999999999999</v>
      </c>
      <c r="E259" s="504" t="n">
        <v>0.03</v>
      </c>
      <c r="F259" s="505" t="n">
        <v>0.32</v>
      </c>
      <c r="G259" t="inlineStr">
        <is>
          <t>2.68億</t>
        </is>
      </c>
      <c r="H259" t="n">
        <v>28166</v>
      </c>
      <c r="I259" t="n">
        <v>35627</v>
      </c>
      <c r="J259" t="inlineStr">
        <is>
          <t>--</t>
        </is>
      </c>
      <c r="K259" t="n">
        <v>9.550000000000001</v>
      </c>
      <c r="L259" t="n">
        <v>9.52</v>
      </c>
      <c r="M259" s="175" t="inlineStr">
        <is>
          <t>--</t>
        </is>
      </c>
      <c r="N259" t="inlineStr">
        <is>
          <t>--</t>
        </is>
      </c>
    </row>
    <row r="260">
      <c r="A260" t="n">
        <v>954</v>
      </c>
      <c r="B260" t="inlineStr">
        <is>
          <t>中信日本半導體</t>
        </is>
      </c>
      <c r="C260" t="n">
        <v>17.85</v>
      </c>
      <c r="D260" t="n">
        <v>18.07</v>
      </c>
      <c r="E260" s="504" t="n">
        <v>-0.04</v>
      </c>
      <c r="F260" s="505" t="n">
        <v>-0.22</v>
      </c>
      <c r="G260" t="inlineStr">
        <is>
          <t>5834萬</t>
        </is>
      </c>
      <c r="H260" t="n">
        <v>3284</v>
      </c>
      <c r="I260" t="n">
        <v>5910</v>
      </c>
      <c r="J260" t="inlineStr">
        <is>
          <t>--</t>
        </is>
      </c>
      <c r="K260" t="n">
        <v>18.07</v>
      </c>
      <c r="L260" t="n">
        <v>17.56</v>
      </c>
      <c r="M260" s="175" t="inlineStr">
        <is>
          <t>--</t>
        </is>
      </c>
      <c r="N260" t="inlineStr">
        <is>
          <t>--</t>
        </is>
      </c>
    </row>
    <row r="261">
      <c r="A261" t="n">
        <v>955</v>
      </c>
      <c r="B261" t="inlineStr">
        <is>
          <t>中信日本商社</t>
        </is>
      </c>
      <c r="C261" t="n">
        <v>14.7</v>
      </c>
      <c r="D261" t="n">
        <v>14.66</v>
      </c>
      <c r="E261" s="504" t="n">
        <v>-0.08</v>
      </c>
      <c r="F261" s="505" t="n">
        <v>-0.54</v>
      </c>
      <c r="G261" t="inlineStr">
        <is>
          <t>1.90億</t>
        </is>
      </c>
      <c r="H261" t="n">
        <v>12939</v>
      </c>
      <c r="I261" t="n">
        <v>13950</v>
      </c>
      <c r="J261" t="inlineStr">
        <is>
          <t>--</t>
        </is>
      </c>
      <c r="K261" t="n">
        <v>14.77</v>
      </c>
      <c r="L261" t="n">
        <v>14.6</v>
      </c>
      <c r="M261" s="175" t="inlineStr">
        <is>
          <t>--</t>
        </is>
      </c>
      <c r="N261" t="inlineStr">
        <is>
          <t>--</t>
        </is>
      </c>
    </row>
    <row r="262">
      <c r="A262" t="n">
        <v>956</v>
      </c>
      <c r="B262" t="inlineStr">
        <is>
          <t>中信日經高股息</t>
        </is>
      </c>
      <c r="C262" t="n">
        <v>12.16</v>
      </c>
      <c r="D262" t="n">
        <v>12.15</v>
      </c>
      <c r="E262" s="504" t="n">
        <v>-0.04</v>
      </c>
      <c r="F262" s="505" t="n">
        <v>-0.33</v>
      </c>
      <c r="G262" t="inlineStr">
        <is>
          <t>744萬</t>
        </is>
      </c>
      <c r="H262" t="n">
        <v>615</v>
      </c>
      <c r="I262" t="n">
        <v>909</v>
      </c>
      <c r="J262" t="inlineStr">
        <is>
          <t>--</t>
        </is>
      </c>
      <c r="K262" t="n">
        <v>12.16</v>
      </c>
      <c r="L262" t="n">
        <v>12.06</v>
      </c>
      <c r="M262" s="175" t="inlineStr">
        <is>
          <t>--</t>
        </is>
      </c>
      <c r="N262" t="inlineStr">
        <is>
          <t>--</t>
        </is>
      </c>
    </row>
    <row r="263">
      <c r="A263" t="inlineStr">
        <is>
          <t>00957B</t>
        </is>
      </c>
      <c r="B263" t="inlineStr">
        <is>
          <t>兆豐US優選投等債</t>
        </is>
      </c>
      <c r="C263" t="n">
        <v>13.48</v>
      </c>
      <c r="D263" t="n">
        <v>13.56</v>
      </c>
      <c r="E263" s="504" t="n">
        <v>0.1</v>
      </c>
      <c r="F263" s="505" t="n">
        <v>0.74</v>
      </c>
      <c r="G263" t="inlineStr">
        <is>
          <t>4526萬</t>
        </is>
      </c>
      <c r="H263" t="n">
        <v>3350</v>
      </c>
      <c r="I263" t="n">
        <v>2361</v>
      </c>
      <c r="J263" t="inlineStr">
        <is>
          <t>--</t>
        </is>
      </c>
      <c r="K263" t="n">
        <v>13.56</v>
      </c>
      <c r="L263" t="n">
        <v>13.48</v>
      </c>
      <c r="M263" s="175" t="inlineStr">
        <is>
          <t>--</t>
        </is>
      </c>
      <c r="N263" t="inlineStr">
        <is>
          <t>--</t>
        </is>
      </c>
    </row>
    <row r="264">
      <c r="A264" t="inlineStr">
        <is>
          <t>00958B</t>
        </is>
      </c>
      <c r="B264" t="inlineStr">
        <is>
          <t>永豐ESG銀行債15+</t>
        </is>
      </c>
      <c r="C264" t="n">
        <v>9.24</v>
      </c>
      <c r="D264" t="n">
        <v>9.300000000000001</v>
      </c>
      <c r="E264" s="504" t="n">
        <v>0.06</v>
      </c>
      <c r="F264" s="505" t="n">
        <v>0.65</v>
      </c>
      <c r="G264" t="inlineStr">
        <is>
          <t>1241萬</t>
        </is>
      </c>
      <c r="H264" t="n">
        <v>1337</v>
      </c>
      <c r="I264" t="n">
        <v>1136</v>
      </c>
      <c r="J264" t="inlineStr">
        <is>
          <t>--</t>
        </is>
      </c>
      <c r="K264" t="n">
        <v>9.300000000000001</v>
      </c>
      <c r="L264" t="n">
        <v>9.24</v>
      </c>
      <c r="M264" s="175" t="inlineStr">
        <is>
          <t>--</t>
        </is>
      </c>
      <c r="N264" t="inlineStr">
        <is>
          <t>--</t>
        </is>
      </c>
    </row>
    <row r="265">
      <c r="A265" t="inlineStr">
        <is>
          <t>00959B</t>
        </is>
      </c>
      <c r="B265" t="inlineStr">
        <is>
          <t>大華投等美債15Y+</t>
        </is>
      </c>
      <c r="C265" t="n">
        <v>9.390000000000001</v>
      </c>
      <c r="D265" t="n">
        <v>9.460000000000001</v>
      </c>
      <c r="E265" s="504" t="n">
        <v>0.08</v>
      </c>
      <c r="F265" s="505" t="n">
        <v>0.85</v>
      </c>
      <c r="G265" t="inlineStr">
        <is>
          <t>2684萬</t>
        </is>
      </c>
      <c r="H265" t="n">
        <v>2858</v>
      </c>
      <c r="I265" t="n">
        <v>2945</v>
      </c>
      <c r="J265" t="inlineStr">
        <is>
          <t>--</t>
        </is>
      </c>
      <c r="K265" t="n">
        <v>9.460000000000001</v>
      </c>
      <c r="L265" t="n">
        <v>9.390000000000001</v>
      </c>
      <c r="M265" s="175" t="inlineStr">
        <is>
          <t>--</t>
        </is>
      </c>
      <c r="N265" t="inlineStr">
        <is>
          <t>--</t>
        </is>
      </c>
    </row>
    <row r="266">
      <c r="A266" t="n">
        <v>960</v>
      </c>
      <c r="B266" t="inlineStr">
        <is>
          <t>野村全球航運龍頭</t>
        </is>
      </c>
      <c r="C266" t="n">
        <v>17.15</v>
      </c>
      <c r="D266" t="n">
        <v>17.31</v>
      </c>
      <c r="E266" s="504" t="n">
        <v>0.26</v>
      </c>
      <c r="F266" s="505" t="n">
        <v>1.52</v>
      </c>
      <c r="G266" t="inlineStr">
        <is>
          <t>1785萬</t>
        </is>
      </c>
      <c r="H266" t="n">
        <v>1051</v>
      </c>
      <c r="I266" t="n">
        <v>667</v>
      </c>
      <c r="J266" t="inlineStr">
        <is>
          <t>--</t>
        </is>
      </c>
      <c r="K266" t="n">
        <v>17.31</v>
      </c>
      <c r="L266" t="n">
        <v>17.15</v>
      </c>
      <c r="M266" s="175" t="inlineStr">
        <is>
          <t>--</t>
        </is>
      </c>
      <c r="N266" t="inlineStr">
        <is>
          <t>--</t>
        </is>
      </c>
    </row>
    <row r="267">
      <c r="A267" t="n">
        <v>961</v>
      </c>
      <c r="B267" t="inlineStr">
        <is>
          <t>FT臺灣永續高息</t>
        </is>
      </c>
      <c r="C267" t="n">
        <v>12.96</v>
      </c>
      <c r="D267" t="n">
        <v>13.37</v>
      </c>
      <c r="E267" s="504" t="n">
        <v>0.59</v>
      </c>
      <c r="F267" s="505" t="n">
        <v>4.62</v>
      </c>
      <c r="G267" t="inlineStr">
        <is>
          <t>2.23億</t>
        </is>
      </c>
      <c r="H267" t="n">
        <v>16973</v>
      </c>
      <c r="I267" t="n">
        <v>4521</v>
      </c>
      <c r="J267" t="inlineStr">
        <is>
          <t>--</t>
        </is>
      </c>
      <c r="K267" t="n">
        <v>13.38</v>
      </c>
      <c r="L267" t="n">
        <v>12.94</v>
      </c>
      <c r="M267" s="175" t="inlineStr">
        <is>
          <t>--</t>
        </is>
      </c>
      <c r="N267" t="inlineStr">
        <is>
          <t>--</t>
        </is>
      </c>
    </row>
    <row r="268">
      <c r="A268" t="n">
        <v>962</v>
      </c>
      <c r="B268" t="inlineStr">
        <is>
          <t>台新AI優息動能</t>
        </is>
      </c>
      <c r="C268" t="n">
        <v>15.92</v>
      </c>
      <c r="D268" t="n">
        <v>16.08</v>
      </c>
      <c r="E268" s="504" t="n">
        <v>0.31</v>
      </c>
      <c r="F268" s="505" t="n">
        <v>1.97</v>
      </c>
      <c r="G268" t="inlineStr">
        <is>
          <t>7778萬</t>
        </is>
      </c>
      <c r="H268" t="n">
        <v>4874</v>
      </c>
      <c r="I268" t="n">
        <v>3382</v>
      </c>
      <c r="J268" t="inlineStr">
        <is>
          <t>--</t>
        </is>
      </c>
      <c r="K268" t="n">
        <v>16.11</v>
      </c>
      <c r="L268" t="n">
        <v>15.76</v>
      </c>
      <c r="M268" s="175" t="inlineStr">
        <is>
          <t>--</t>
        </is>
      </c>
      <c r="N268" t="inlineStr">
        <is>
          <t>--</t>
        </is>
      </c>
    </row>
    <row r="269">
      <c r="A269" t="n">
        <v>963</v>
      </c>
      <c r="B269" t="inlineStr">
        <is>
          <t>中信全球高股息</t>
        </is>
      </c>
      <c r="C269" t="n">
        <v>12.65</v>
      </c>
      <c r="D269" t="n">
        <v>12.66</v>
      </c>
      <c r="E269" s="504" t="n">
        <v>0.01</v>
      </c>
      <c r="F269" s="505" t="n">
        <v>0.08</v>
      </c>
      <c r="G269" t="inlineStr">
        <is>
          <t>1407萬</t>
        </is>
      </c>
      <c r="H269" t="n">
        <v>1113</v>
      </c>
      <c r="I269" t="n">
        <v>1074</v>
      </c>
      <c r="J269" t="inlineStr">
        <is>
          <t>--</t>
        </is>
      </c>
      <c r="K269" t="n">
        <v>12.68</v>
      </c>
      <c r="L269" t="n">
        <v>12.62</v>
      </c>
      <c r="M269" s="175" t="inlineStr">
        <is>
          <t>--</t>
        </is>
      </c>
      <c r="N269" t="inlineStr">
        <is>
          <t>--</t>
        </is>
      </c>
    </row>
    <row r="270">
      <c r="A270" t="n">
        <v>964</v>
      </c>
      <c r="B270" t="inlineStr">
        <is>
          <t>中信亞太高股息</t>
        </is>
      </c>
      <c r="C270" t="n">
        <v>14.62</v>
      </c>
      <c r="D270" t="n">
        <v>14.67</v>
      </c>
      <c r="E270" s="504" t="n">
        <v>0.05</v>
      </c>
      <c r="F270" s="505" t="n">
        <v>0.34</v>
      </c>
      <c r="G270" t="inlineStr">
        <is>
          <t>6886萬</t>
        </is>
      </c>
      <c r="H270" t="n">
        <v>4731</v>
      </c>
      <c r="I270" t="n">
        <v>4797</v>
      </c>
      <c r="J270" t="inlineStr">
        <is>
          <t>--</t>
        </is>
      </c>
      <c r="K270" t="n">
        <v>14.68</v>
      </c>
      <c r="L270" t="n">
        <v>14.46</v>
      </c>
      <c r="M270" s="175" t="inlineStr">
        <is>
          <t>--</t>
        </is>
      </c>
      <c r="N270" t="inlineStr">
        <is>
          <t>--</t>
        </is>
      </c>
    </row>
    <row r="271">
      <c r="A271" t="n">
        <v>965</v>
      </c>
      <c r="B271" t="inlineStr">
        <is>
          <t>元大航太防衛科技</t>
        </is>
      </c>
      <c r="C271" t="n">
        <v>25.26</v>
      </c>
      <c r="D271" t="n">
        <v>25.25</v>
      </c>
      <c r="E271" s="504" t="n">
        <v>-0.35</v>
      </c>
      <c r="F271" s="505" t="n">
        <v>-1.37</v>
      </c>
      <c r="G271" t="inlineStr">
        <is>
          <t>7703萬</t>
        </is>
      </c>
      <c r="H271" t="n">
        <v>3072</v>
      </c>
      <c r="I271" t="n">
        <v>3403</v>
      </c>
      <c r="J271" t="inlineStr">
        <is>
          <t>--</t>
        </is>
      </c>
      <c r="K271" t="n">
        <v>25.28</v>
      </c>
      <c r="L271" t="n">
        <v>25.03</v>
      </c>
      <c r="M271" s="175" t="inlineStr">
        <is>
          <t>--</t>
        </is>
      </c>
      <c r="N271" t="inlineStr">
        <is>
          <t>--</t>
        </is>
      </c>
    </row>
    <row r="272">
      <c r="A272" t="inlineStr">
        <is>
          <t>00966B</t>
        </is>
      </c>
      <c r="B272" t="inlineStr">
        <is>
          <t>統一ESG投等債15+</t>
        </is>
      </c>
      <c r="C272" t="n">
        <v>13.99</v>
      </c>
      <c r="D272" t="n">
        <v>14.1</v>
      </c>
      <c r="E272" s="504" t="n">
        <v>0.11</v>
      </c>
      <c r="F272" s="505" t="n">
        <v>0.79</v>
      </c>
      <c r="G272" t="inlineStr">
        <is>
          <t>1731萬</t>
        </is>
      </c>
      <c r="H272" t="n">
        <v>1232</v>
      </c>
      <c r="I272" t="n">
        <v>1187</v>
      </c>
      <c r="J272" t="inlineStr">
        <is>
          <t>--</t>
        </is>
      </c>
      <c r="K272" t="n">
        <v>14.1</v>
      </c>
      <c r="L272" t="n">
        <v>13.99</v>
      </c>
      <c r="M272" s="175" t="inlineStr">
        <is>
          <t>--</t>
        </is>
      </c>
      <c r="N272" t="inlineStr">
        <is>
          <t>--</t>
        </is>
      </c>
    </row>
    <row r="273">
      <c r="A273" t="inlineStr">
        <is>
          <t>00967B</t>
        </is>
      </c>
      <c r="B273" t="inlineStr">
        <is>
          <t>元大優息美債</t>
        </is>
      </c>
      <c r="C273" t="n">
        <v>9.02</v>
      </c>
      <c r="D273" t="n">
        <v>9.09</v>
      </c>
      <c r="E273" s="504" t="n">
        <v>0.07000000000000001</v>
      </c>
      <c r="F273" s="505" t="n">
        <v>0.78</v>
      </c>
      <c r="G273" t="inlineStr">
        <is>
          <t>559萬</t>
        </is>
      </c>
      <c r="H273" t="n">
        <v>616</v>
      </c>
      <c r="I273" t="n">
        <v>1817</v>
      </c>
      <c r="J273" t="inlineStr">
        <is>
          <t>--</t>
        </is>
      </c>
      <c r="K273" t="n">
        <v>9.09</v>
      </c>
      <c r="L273" t="n">
        <v>9.02</v>
      </c>
      <c r="M273" s="175" t="inlineStr">
        <is>
          <t>--</t>
        </is>
      </c>
      <c r="N273" t="inlineStr">
        <is>
          <t>--</t>
        </is>
      </c>
    </row>
    <row r="274">
      <c r="A274" t="inlineStr">
        <is>
          <t>00968B</t>
        </is>
      </c>
      <c r="B274" t="inlineStr">
        <is>
          <t>元大優息投等債</t>
        </is>
      </c>
      <c r="C274" t="n">
        <v>9.279999999999999</v>
      </c>
      <c r="D274" t="n">
        <v>9.32</v>
      </c>
      <c r="E274" s="504" t="n">
        <v>0.07000000000000001</v>
      </c>
      <c r="F274" s="505" t="n">
        <v>0.76</v>
      </c>
      <c r="G274" t="inlineStr">
        <is>
          <t>8400萬</t>
        </is>
      </c>
      <c r="H274" t="n">
        <v>9050</v>
      </c>
      <c r="I274" t="n">
        <v>4772</v>
      </c>
      <c r="J274" t="inlineStr">
        <is>
          <t>--</t>
        </is>
      </c>
      <c r="K274" t="n">
        <v>9.32</v>
      </c>
      <c r="L274" t="n">
        <v>9.26</v>
      </c>
      <c r="M274" s="175" t="inlineStr">
        <is>
          <t>--</t>
        </is>
      </c>
      <c r="N274" t="inlineStr">
        <is>
          <t>--</t>
        </is>
      </c>
    </row>
    <row r="275">
      <c r="A275" t="inlineStr">
        <is>
          <t>00969B</t>
        </is>
      </c>
      <c r="B275" t="inlineStr">
        <is>
          <t>元大零息超長美債</t>
        </is>
      </c>
      <c r="C275" t="n">
        <v>8.24</v>
      </c>
      <c r="D275" t="n">
        <v>8.32</v>
      </c>
      <c r="E275" s="504" t="n">
        <v>0.12</v>
      </c>
      <c r="F275" s="505" t="n">
        <v>1.46</v>
      </c>
      <c r="G275" t="inlineStr">
        <is>
          <t>1644萬</t>
        </is>
      </c>
      <c r="H275" t="n">
        <v>1985</v>
      </c>
      <c r="I275" t="n">
        <v>1135</v>
      </c>
      <c r="J275" t="inlineStr">
        <is>
          <t>--</t>
        </is>
      </c>
      <c r="K275" t="n">
        <v>8.34</v>
      </c>
      <c r="L275" t="n">
        <v>8.24</v>
      </c>
      <c r="M275" s="175" t="inlineStr">
        <is>
          <t>--</t>
        </is>
      </c>
      <c r="N275" t="inlineStr">
        <is>
          <t>--</t>
        </is>
      </c>
    </row>
    <row r="276">
      <c r="A276" t="inlineStr">
        <is>
          <t>00970B</t>
        </is>
      </c>
      <c r="B276" t="inlineStr">
        <is>
          <t>新光BBB投等債20+</t>
        </is>
      </c>
      <c r="C276" t="n">
        <v>9.369999999999999</v>
      </c>
      <c r="D276" t="n">
        <v>9.449999999999999</v>
      </c>
      <c r="E276" s="504" t="n">
        <v>0.08</v>
      </c>
      <c r="F276" s="505" t="n">
        <v>0.85</v>
      </c>
      <c r="G276" t="inlineStr">
        <is>
          <t>2186萬</t>
        </is>
      </c>
      <c r="H276" t="n">
        <v>2320</v>
      </c>
      <c r="I276" t="n">
        <v>2328</v>
      </c>
      <c r="J276" t="inlineStr">
        <is>
          <t>--</t>
        </is>
      </c>
      <c r="K276" t="n">
        <v>9.449999999999999</v>
      </c>
      <c r="L276" t="n">
        <v>9.369999999999999</v>
      </c>
      <c r="M276" s="175" t="inlineStr">
        <is>
          <t>--</t>
        </is>
      </c>
      <c r="N276" t="inlineStr">
        <is>
          <t>--</t>
        </is>
      </c>
    </row>
    <row r="277">
      <c r="A277" t="n">
        <v>971</v>
      </c>
      <c r="B277" t="inlineStr">
        <is>
          <t>野村美國研發龍頭</t>
        </is>
      </c>
      <c r="C277" t="n">
        <v>17.14</v>
      </c>
      <c r="D277" t="n">
        <v>17.1</v>
      </c>
      <c r="E277" s="504" t="n">
        <v>-0.04</v>
      </c>
      <c r="F277" s="505" t="n">
        <v>-0.23</v>
      </c>
      <c r="G277" t="inlineStr">
        <is>
          <t>1125萬</t>
        </is>
      </c>
      <c r="H277" t="n">
        <v>664</v>
      </c>
      <c r="I277" t="n">
        <v>848</v>
      </c>
      <c r="J277" t="inlineStr">
        <is>
          <t>--</t>
        </is>
      </c>
      <c r="K277" t="n">
        <v>17.14</v>
      </c>
      <c r="L277" t="n">
        <v>16.92</v>
      </c>
      <c r="M277" s="175" t="inlineStr">
        <is>
          <t>--</t>
        </is>
      </c>
      <c r="N277" t="inlineStr">
        <is>
          <t>--</t>
        </is>
      </c>
    </row>
    <row r="278">
      <c r="A278" t="n">
        <v>972</v>
      </c>
      <c r="B278" t="inlineStr">
        <is>
          <t>野村日本動能高息</t>
        </is>
      </c>
      <c r="C278" t="n">
        <v>18.97</v>
      </c>
      <c r="D278" t="n">
        <v>18.96</v>
      </c>
      <c r="E278" s="504" t="n">
        <v>0</v>
      </c>
      <c r="F278" s="505" t="n">
        <v>0</v>
      </c>
      <c r="G278" t="inlineStr">
        <is>
          <t>1346萬</t>
        </is>
      </c>
      <c r="H278" t="n">
        <v>717</v>
      </c>
      <c r="I278" t="n">
        <v>265</v>
      </c>
      <c r="J278" t="inlineStr">
        <is>
          <t>--</t>
        </is>
      </c>
      <c r="K278" t="n">
        <v>18.97</v>
      </c>
      <c r="L278" t="n">
        <v>18.59</v>
      </c>
      <c r="M278" s="175" t="inlineStr">
        <is>
          <t>--</t>
        </is>
      </c>
      <c r="N278" t="inlineStr">
        <is>
          <t>--</t>
        </is>
      </c>
    </row>
    <row r="279">
      <c r="A279" t="n">
        <v>9800</v>
      </c>
      <c r="B279" t="inlineStr">
        <is>
          <t>中信NASDAQ</t>
        </is>
      </c>
      <c r="C279" t="n">
        <v>13.23</v>
      </c>
      <c r="D279" t="n">
        <v>13.28</v>
      </c>
      <c r="E279" s="504" t="n">
        <v>0.02</v>
      </c>
      <c r="F279" s="505" t="n">
        <v>0.15</v>
      </c>
      <c r="G279" t="inlineStr">
        <is>
          <t>2181萬</t>
        </is>
      </c>
      <c r="H279" t="n">
        <v>1650</v>
      </c>
      <c r="I279" t="n">
        <v>3692</v>
      </c>
      <c r="J279" t="inlineStr">
        <is>
          <t>--</t>
        </is>
      </c>
      <c r="K279" t="n">
        <v>13.29</v>
      </c>
      <c r="L279" t="n">
        <v>13.19</v>
      </c>
      <c r="M279" s="175" t="inlineStr">
        <is>
          <t>--</t>
        </is>
      </c>
      <c r="N279" t="inlineStr">
        <is>
          <t>--</t>
        </is>
      </c>
    </row>
    <row r="280">
      <c r="A280" t="n">
        <v>9801</v>
      </c>
      <c r="B280" t="inlineStr">
        <is>
          <t>中信美國創新科技</t>
        </is>
      </c>
      <c r="C280" t="n">
        <v>12.63</v>
      </c>
      <c r="D280" t="n">
        <v>12.7</v>
      </c>
      <c r="E280" s="504" t="n">
        <v>0.08</v>
      </c>
      <c r="F280" s="505" t="n">
        <v>0.63</v>
      </c>
      <c r="G280" t="inlineStr">
        <is>
          <t>1404萬</t>
        </is>
      </c>
      <c r="H280" t="n">
        <v>1113</v>
      </c>
      <c r="I280" t="n">
        <v>1065</v>
      </c>
      <c r="J280" t="inlineStr">
        <is>
          <t>--</t>
        </is>
      </c>
      <c r="K280" t="n">
        <v>12.7</v>
      </c>
      <c r="L280" t="n">
        <v>12.6</v>
      </c>
      <c r="M280" s="175" t="inlineStr">
        <is>
          <t>--</t>
        </is>
      </c>
      <c r="N280" t="inlineStr">
        <is>
          <t>--</t>
        </is>
      </c>
    </row>
    <row r="281">
      <c r="A281" t="n">
        <v>9802</v>
      </c>
      <c r="B281" t="inlineStr">
        <is>
          <t>富邦旗艦50</t>
        </is>
      </c>
      <c r="C281" t="n">
        <v>20.94</v>
      </c>
      <c r="D281" t="n">
        <v>20.57</v>
      </c>
      <c r="E281" s="504" t="n">
        <v>-0.07000000000000001</v>
      </c>
      <c r="F281" s="505" t="n">
        <v>-0.34</v>
      </c>
      <c r="G281" t="inlineStr">
        <is>
          <t>1.67億</t>
        </is>
      </c>
      <c r="H281" t="n">
        <v>8096</v>
      </c>
      <c r="I281" t="n">
        <v>16809</v>
      </c>
      <c r="J281" t="inlineStr">
        <is>
          <t>--</t>
        </is>
      </c>
      <c r="K281" t="n">
        <v>21</v>
      </c>
      <c r="L281" t="n">
        <v>20.2</v>
      </c>
      <c r="M281" s="175" t="inlineStr">
        <is>
          <t>--</t>
        </is>
      </c>
      <c r="N281" t="inlineStr">
        <is>
          <t>--</t>
        </is>
      </c>
    </row>
    <row r="282">
      <c r="A282" t="n">
        <v>9803</v>
      </c>
      <c r="B282" t="inlineStr">
        <is>
          <t>玉山市值動能50</t>
        </is>
      </c>
      <c r="C282" t="n">
        <v>22.4</v>
      </c>
      <c r="D282" t="n">
        <v>22.11</v>
      </c>
      <c r="E282" s="504" t="n">
        <v>0</v>
      </c>
      <c r="F282" s="505" t="n">
        <v>0</v>
      </c>
      <c r="G282" t="inlineStr">
        <is>
          <t>8903萬</t>
        </is>
      </c>
      <c r="H282" t="n">
        <v>4040</v>
      </c>
      <c r="I282" t="n">
        <v>3057</v>
      </c>
      <c r="J282" t="inlineStr">
        <is>
          <t>--</t>
        </is>
      </c>
      <c r="K282" t="n">
        <v>22.4</v>
      </c>
      <c r="L282" t="n">
        <v>21.74</v>
      </c>
      <c r="M282" s="175" t="inlineStr">
        <is>
          <t>--</t>
        </is>
      </c>
      <c r="N282" t="inlineStr">
        <is>
          <t>--</t>
        </is>
      </c>
    </row>
    <row r="283">
      <c r="A283" t="n">
        <v>9804</v>
      </c>
      <c r="B283" t="inlineStr">
        <is>
          <t>聯邦台精彩50</t>
        </is>
      </c>
      <c r="C283" t="n">
        <v>23.86</v>
      </c>
      <c r="D283" t="n">
        <v>23.74</v>
      </c>
      <c r="E283" s="504" t="n">
        <v>-0.01</v>
      </c>
      <c r="F283" s="505" t="n">
        <v>-0.04</v>
      </c>
      <c r="G283" t="inlineStr">
        <is>
          <t>2284萬</t>
        </is>
      </c>
      <c r="H283" t="n">
        <v>964</v>
      </c>
      <c r="I283" t="n">
        <v>1275</v>
      </c>
      <c r="J283" t="inlineStr">
        <is>
          <t>--</t>
        </is>
      </c>
      <c r="K283" t="n">
        <v>24</v>
      </c>
      <c r="L283" t="n">
        <v>23.4</v>
      </c>
      <c r="M283" s="175" t="inlineStr">
        <is>
          <t>--</t>
        </is>
      </c>
      <c r="N283" t="inlineStr">
        <is>
          <t>--</t>
        </is>
      </c>
    </row>
    <row r="284">
      <c r="A284" t="n">
        <v>9805</v>
      </c>
      <c r="B284" t="inlineStr">
        <is>
          <t>新光美國電力基建</t>
        </is>
      </c>
      <c r="C284" t="n">
        <v>16.21</v>
      </c>
      <c r="D284" t="n">
        <v>16.3</v>
      </c>
      <c r="E284" s="504" t="n">
        <v>-0.17</v>
      </c>
      <c r="F284" s="505" t="n">
        <v>-1.03</v>
      </c>
      <c r="G284" t="inlineStr">
        <is>
          <t>2.82億</t>
        </is>
      </c>
      <c r="H284" t="n">
        <v>17384</v>
      </c>
      <c r="I284" t="n">
        <v>14502</v>
      </c>
      <c r="J284" t="inlineStr">
        <is>
          <t>--</t>
        </is>
      </c>
      <c r="K284" t="n">
        <v>16.32</v>
      </c>
      <c r="L284" t="n">
        <v>16.12</v>
      </c>
      <c r="M284" s="175" t="inlineStr">
        <is>
          <t>--</t>
        </is>
      </c>
      <c r="N284" t="inlineStr">
        <is>
          <t>--</t>
        </is>
      </c>
    </row>
    <row r="285">
      <c r="A285" t="n">
        <v>9806</v>
      </c>
      <c r="B285" t="inlineStr">
        <is>
          <t>台新標普500</t>
        </is>
      </c>
      <c r="C285" t="n">
        <v>13.19</v>
      </c>
      <c r="D285" t="n">
        <v>13.26</v>
      </c>
      <c r="E285" s="504" t="n">
        <v>0</v>
      </c>
      <c r="F285" s="505" t="n">
        <v>0</v>
      </c>
      <c r="G285" t="inlineStr">
        <is>
          <t>124萬</t>
        </is>
      </c>
      <c r="H285" t="n">
        <v>94</v>
      </c>
      <c r="I285" t="n">
        <v>54</v>
      </c>
      <c r="J285" t="inlineStr">
        <is>
          <t>--</t>
        </is>
      </c>
      <c r="K285" t="n">
        <v>13.26</v>
      </c>
      <c r="L285" t="n">
        <v>13.18</v>
      </c>
      <c r="M285" s="175" t="inlineStr">
        <is>
          <t>--</t>
        </is>
      </c>
      <c r="N285" t="inlineStr">
        <is>
          <t>--</t>
        </is>
      </c>
    </row>
    <row r="286">
      <c r="A286" t="n">
        <v>9807</v>
      </c>
      <c r="B286" t="inlineStr">
        <is>
          <t>台新標普科技精選</t>
        </is>
      </c>
      <c r="C286" t="n">
        <v>17.28</v>
      </c>
      <c r="D286" t="n">
        <v>17.34</v>
      </c>
      <c r="E286" s="504" t="n">
        <v>0.27</v>
      </c>
      <c r="F286" s="505" t="n">
        <v>1.58</v>
      </c>
      <c r="G286" t="inlineStr">
        <is>
          <t>104萬</t>
        </is>
      </c>
      <c r="H286" t="n">
        <v>60</v>
      </c>
      <c r="I286" t="n">
        <v>84</v>
      </c>
      <c r="J286" t="inlineStr">
        <is>
          <t>--</t>
        </is>
      </c>
      <c r="K286" t="n">
        <v>17.35</v>
      </c>
      <c r="L286" t="n">
        <v>17.26</v>
      </c>
      <c r="M286" s="175" t="inlineStr">
        <is>
          <t>--</t>
        </is>
      </c>
      <c r="N286" t="inlineStr">
        <is>
          <t>--</t>
        </is>
      </c>
    </row>
    <row r="287">
      <c r="A287" t="n">
        <v>9808</v>
      </c>
      <c r="B287" t="inlineStr">
        <is>
          <t>華南永昌優選50</t>
        </is>
      </c>
      <c r="C287" t="n">
        <v>31</v>
      </c>
      <c r="D287" t="n">
        <v>31.07</v>
      </c>
      <c r="E287" s="504" t="n">
        <v>0.13</v>
      </c>
      <c r="F287" s="505" t="n">
        <v>0.42</v>
      </c>
      <c r="G287" t="inlineStr">
        <is>
          <t>3325萬</t>
        </is>
      </c>
      <c r="H287" t="n">
        <v>1075</v>
      </c>
      <c r="I287" t="n">
        <v>1261</v>
      </c>
      <c r="J287" t="inlineStr">
        <is>
          <t>--</t>
        </is>
      </c>
      <c r="K287" t="n">
        <v>31.15</v>
      </c>
      <c r="L287" t="n">
        <v>30.73</v>
      </c>
      <c r="M287" s="175" t="inlineStr">
        <is>
          <t>--</t>
        </is>
      </c>
      <c r="N287" t="inlineStr">
        <is>
          <t>--</t>
        </is>
      </c>
    </row>
    <row r="288">
      <c r="A288" t="n">
        <v>9809</v>
      </c>
      <c r="B288" t="inlineStr">
        <is>
          <t>富邦淨零ESG50</t>
        </is>
      </c>
      <c r="C288" t="n">
        <v>17.44</v>
      </c>
      <c r="D288" t="n">
        <v>17.45</v>
      </c>
      <c r="E288" s="504" t="n">
        <v>0.12</v>
      </c>
      <c r="F288" s="505" t="n">
        <v>0.6899999999999999</v>
      </c>
      <c r="G288" t="inlineStr">
        <is>
          <t>2116萬</t>
        </is>
      </c>
      <c r="H288" t="n">
        <v>1215</v>
      </c>
      <c r="I288" t="n">
        <v>1094</v>
      </c>
      <c r="J288" t="inlineStr">
        <is>
          <t>--</t>
        </is>
      </c>
      <c r="K288" t="n">
        <v>17.54</v>
      </c>
      <c r="L288" t="n">
        <v>17.2</v>
      </c>
      <c r="M288" s="175" t="inlineStr">
        <is>
          <t>--</t>
        </is>
      </c>
      <c r="N288" t="inlineStr">
        <is>
          <t>--</t>
        </is>
      </c>
    </row>
    <row r="289">
      <c r="A289" t="inlineStr">
        <is>
          <t>00980A</t>
        </is>
      </c>
      <c r="B289" t="inlineStr">
        <is>
          <t>主動野村臺灣優選</t>
        </is>
      </c>
      <c r="C289" t="n">
        <v>24.91</v>
      </c>
      <c r="D289" t="n">
        <v>24.7</v>
      </c>
      <c r="E289" s="504" t="n">
        <v>-0.2</v>
      </c>
      <c r="F289" s="505" t="n">
        <v>-0.8</v>
      </c>
      <c r="G289" t="inlineStr">
        <is>
          <t>3.89億</t>
        </is>
      </c>
      <c r="H289" t="n">
        <v>15747</v>
      </c>
      <c r="I289" t="n">
        <v>19337</v>
      </c>
      <c r="J289" t="inlineStr">
        <is>
          <t>--</t>
        </is>
      </c>
      <c r="K289" t="n">
        <v>25.01</v>
      </c>
      <c r="L289" t="n">
        <v>24.26</v>
      </c>
      <c r="M289" s="175" t="inlineStr">
        <is>
          <t>--</t>
        </is>
      </c>
      <c r="N289" t="inlineStr">
        <is>
          <t>--</t>
        </is>
      </c>
    </row>
    <row r="290">
      <c r="A290" t="inlineStr">
        <is>
          <t>00980B</t>
        </is>
      </c>
      <c r="B290" t="inlineStr">
        <is>
          <t>台新特選IG債10+</t>
        </is>
      </c>
      <c r="C290" t="n">
        <v>9.49</v>
      </c>
      <c r="D290" t="n">
        <v>9.52</v>
      </c>
      <c r="E290" s="504" t="n">
        <v>0.07000000000000001</v>
      </c>
      <c r="F290" s="505" t="n">
        <v>0.74</v>
      </c>
      <c r="G290" t="inlineStr">
        <is>
          <t>1024萬</t>
        </is>
      </c>
      <c r="H290" t="n">
        <v>1078</v>
      </c>
      <c r="I290" t="n">
        <v>469</v>
      </c>
      <c r="J290" t="inlineStr">
        <is>
          <t>--</t>
        </is>
      </c>
      <c r="K290" t="n">
        <v>9.52</v>
      </c>
      <c r="L290" t="n">
        <v>9.48</v>
      </c>
      <c r="M290" s="175" t="inlineStr">
        <is>
          <t>--</t>
        </is>
      </c>
      <c r="N290" t="inlineStr">
        <is>
          <t>--</t>
        </is>
      </c>
    </row>
    <row r="291">
      <c r="A291" t="inlineStr">
        <is>
          <t>00980D</t>
        </is>
      </c>
      <c r="B291" t="inlineStr">
        <is>
          <t>主動聯博投等入息</t>
        </is>
      </c>
      <c r="C291" t="n">
        <v>20.31</v>
      </c>
      <c r="D291" t="n">
        <v>20.38</v>
      </c>
      <c r="E291" s="504" t="n">
        <v>0.07000000000000001</v>
      </c>
      <c r="F291" s="505" t="n">
        <v>0.34</v>
      </c>
      <c r="G291" t="inlineStr">
        <is>
          <t>1351萬</t>
        </is>
      </c>
      <c r="H291" t="n">
        <v>665</v>
      </c>
      <c r="I291" t="n">
        <v>1125</v>
      </c>
      <c r="J291" t="inlineStr">
        <is>
          <t>--</t>
        </is>
      </c>
      <c r="K291" t="n">
        <v>20.39</v>
      </c>
      <c r="L291" t="n">
        <v>20.31</v>
      </c>
      <c r="M291" s="175" t="inlineStr">
        <is>
          <t>--</t>
        </is>
      </c>
      <c r="N291" t="inlineStr">
        <is>
          <t>--</t>
        </is>
      </c>
    </row>
    <row r="292">
      <c r="A292" t="inlineStr">
        <is>
          <t>00980T</t>
        </is>
      </c>
      <c r="B292" t="inlineStr">
        <is>
          <t>平衡凱基美國TOP</t>
        </is>
      </c>
      <c r="C292" t="n">
        <v>11.8</v>
      </c>
      <c r="D292" t="n">
        <v>11.87</v>
      </c>
      <c r="E292" s="504" t="n">
        <v>0.06</v>
      </c>
      <c r="F292" s="505" t="n">
        <v>0.51</v>
      </c>
      <c r="G292" t="inlineStr">
        <is>
          <t>1550萬</t>
        </is>
      </c>
      <c r="H292" t="n">
        <v>1314</v>
      </c>
      <c r="I292" t="n">
        <v>711</v>
      </c>
      <c r="J292" t="inlineStr">
        <is>
          <t>--</t>
        </is>
      </c>
      <c r="K292" t="n">
        <v>11.87</v>
      </c>
      <c r="L292" t="n">
        <v>11.74</v>
      </c>
      <c r="M292" s="175" t="inlineStr">
        <is>
          <t>--</t>
        </is>
      </c>
      <c r="N292" t="inlineStr">
        <is>
          <t>--</t>
        </is>
      </c>
    </row>
    <row r="293">
      <c r="A293" t="n">
        <v>9810</v>
      </c>
      <c r="B293" t="inlineStr">
        <is>
          <t>玉山全球藍籌100</t>
        </is>
      </c>
      <c r="C293" t="n">
        <v>20.89</v>
      </c>
      <c r="D293" t="n">
        <v>20.96</v>
      </c>
      <c r="E293" s="504" t="n">
        <v>0.07000000000000001</v>
      </c>
      <c r="F293" s="505" t="n">
        <v>0.34</v>
      </c>
      <c r="G293" t="inlineStr">
        <is>
          <t>1510萬</t>
        </is>
      </c>
      <c r="H293" t="n">
        <v>722</v>
      </c>
      <c r="I293" t="n">
        <v>292</v>
      </c>
      <c r="J293" t="inlineStr">
        <is>
          <t>--</t>
        </is>
      </c>
      <c r="K293" t="n">
        <v>20.96</v>
      </c>
      <c r="L293" t="n">
        <v>20.89</v>
      </c>
      <c r="M293" s="175" t="inlineStr">
        <is>
          <t>--</t>
        </is>
      </c>
      <c r="N293" t="inlineStr">
        <is>
          <t>--</t>
        </is>
      </c>
    </row>
    <row r="294">
      <c r="A294" t="n">
        <v>9811</v>
      </c>
      <c r="B294" t="inlineStr">
        <is>
          <t>統一美國50</t>
        </is>
      </c>
      <c r="C294" t="n">
        <v>13.07</v>
      </c>
      <c r="D294" t="n">
        <v>13.1</v>
      </c>
      <c r="E294" s="504" t="n">
        <v>-0.01</v>
      </c>
      <c r="F294" s="505" t="n">
        <v>-0.08</v>
      </c>
      <c r="G294" t="inlineStr">
        <is>
          <t>2423萬</t>
        </is>
      </c>
      <c r="H294" t="n">
        <v>1863</v>
      </c>
      <c r="I294" t="n">
        <v>2712</v>
      </c>
      <c r="J294" t="inlineStr">
        <is>
          <t>--</t>
        </is>
      </c>
      <c r="K294" t="n">
        <v>13.11</v>
      </c>
      <c r="L294" t="n">
        <v>13.03</v>
      </c>
      <c r="M294" s="175" t="inlineStr">
        <is>
          <t>--</t>
        </is>
      </c>
      <c r="N294" t="inlineStr">
        <is>
          <t>--</t>
        </is>
      </c>
    </row>
    <row r="295">
      <c r="A295" t="n">
        <v>9812</v>
      </c>
      <c r="B295" t="inlineStr">
        <is>
          <t>野村日本東證</t>
        </is>
      </c>
      <c r="C295" t="n">
        <v>12.05</v>
      </c>
      <c r="D295" t="n">
        <v>12.1</v>
      </c>
      <c r="E295" s="504" t="n">
        <v>0.03</v>
      </c>
      <c r="F295" s="505" t="n">
        <v>0.25</v>
      </c>
      <c r="G295" t="inlineStr">
        <is>
          <t>1063萬</t>
        </is>
      </c>
      <c r="H295" t="n">
        <v>886</v>
      </c>
      <c r="I295" t="n">
        <v>1197</v>
      </c>
      <c r="J295" t="inlineStr">
        <is>
          <t>--</t>
        </is>
      </c>
      <c r="K295" t="n">
        <v>12.1</v>
      </c>
      <c r="L295" t="n">
        <v>11.94</v>
      </c>
      <c r="M295" s="175" t="inlineStr">
        <is>
          <t>--</t>
        </is>
      </c>
      <c r="N295" t="inlineStr">
        <is>
          <t>--</t>
        </is>
      </c>
    </row>
    <row r="296">
      <c r="A296" t="n">
        <v>9813</v>
      </c>
      <c r="B296" t="inlineStr">
        <is>
          <t>貝萊德標普卓越50</t>
        </is>
      </c>
      <c r="C296" t="n">
        <v>11.42</v>
      </c>
      <c r="D296" t="n">
        <v>11.45</v>
      </c>
      <c r="E296" s="504" t="n">
        <v>0.01</v>
      </c>
      <c r="F296" s="505" t="n">
        <v>0.09</v>
      </c>
      <c r="G296" t="inlineStr">
        <is>
          <t>3286萬</t>
        </is>
      </c>
      <c r="H296" t="n">
        <v>2882</v>
      </c>
      <c r="I296" t="n">
        <v>3882</v>
      </c>
      <c r="J296" t="inlineStr">
        <is>
          <t>--</t>
        </is>
      </c>
      <c r="K296" t="n">
        <v>11.46</v>
      </c>
      <c r="L296" t="n">
        <v>11.39</v>
      </c>
      <c r="M296" s="175" t="inlineStr">
        <is>
          <t>--</t>
        </is>
      </c>
      <c r="N296" t="inlineStr">
        <is>
          <t>--</t>
        </is>
      </c>
    </row>
    <row r="297">
      <c r="A297" t="n">
        <v>9814</v>
      </c>
      <c r="B297" t="inlineStr">
        <is>
          <t>富邦標普500</t>
        </is>
      </c>
      <c r="C297" t="n">
        <v>11.08</v>
      </c>
      <c r="D297" t="n">
        <v>11.11</v>
      </c>
      <c r="E297" s="504" t="n">
        <v>0.01</v>
      </c>
      <c r="F297" s="505" t="n">
        <v>0.09</v>
      </c>
      <c r="G297" t="inlineStr">
        <is>
          <t>1590萬</t>
        </is>
      </c>
      <c r="H297" t="n">
        <v>1439</v>
      </c>
      <c r="I297" t="n">
        <v>2112</v>
      </c>
      <c r="J297" t="inlineStr">
        <is>
          <t>--</t>
        </is>
      </c>
      <c r="K297" t="n">
        <v>11.12</v>
      </c>
      <c r="L297" t="n">
        <v>11.05</v>
      </c>
      <c r="M297" s="175" t="inlineStr">
        <is>
          <t>--</t>
        </is>
      </c>
      <c r="N297" t="inlineStr">
        <is>
          <t>--</t>
        </is>
      </c>
    </row>
    <row r="298">
      <c r="A298" t="n">
        <v>9815</v>
      </c>
      <c r="B298" t="inlineStr">
        <is>
          <t>大華美國MAG7+</t>
        </is>
      </c>
      <c r="C298" t="n">
        <v>11.68</v>
      </c>
      <c r="D298" t="n">
        <v>11.71</v>
      </c>
      <c r="E298" s="504" t="n">
        <v>0.03</v>
      </c>
      <c r="F298" s="505" t="n">
        <v>0.26</v>
      </c>
      <c r="G298" t="inlineStr">
        <is>
          <t>4913萬</t>
        </is>
      </c>
      <c r="H298" t="n">
        <v>4218</v>
      </c>
      <c r="I298" t="n">
        <v>7765</v>
      </c>
      <c r="J298" t="inlineStr">
        <is>
          <t>--</t>
        </is>
      </c>
      <c r="K298" t="n">
        <v>11.71</v>
      </c>
      <c r="L298" t="n">
        <v>11.63</v>
      </c>
      <c r="M298" s="175" t="inlineStr">
        <is>
          <t>--</t>
        </is>
      </c>
      <c r="N298" t="inlineStr">
        <is>
          <t>--</t>
        </is>
      </c>
    </row>
    <row r="299">
      <c r="A299" t="n">
        <v>9816</v>
      </c>
      <c r="B299" t="inlineStr">
        <is>
          <t>凱基台灣TOP50</t>
        </is>
      </c>
      <c r="C299" t="n">
        <v>15.54</v>
      </c>
      <c r="D299" t="n">
        <v>15.43</v>
      </c>
      <c r="E299" s="504" t="n">
        <v>0.03</v>
      </c>
      <c r="F299" s="505" t="n">
        <v>0.19</v>
      </c>
      <c r="G299" t="inlineStr">
        <is>
          <t>30.8億</t>
        </is>
      </c>
      <c r="H299" t="n">
        <v>201043</v>
      </c>
      <c r="I299" t="n">
        <v>203965</v>
      </c>
      <c r="J299" t="inlineStr">
        <is>
          <t>--</t>
        </is>
      </c>
      <c r="K299" t="n">
        <v>15.57</v>
      </c>
      <c r="L299" t="n">
        <v>15.2</v>
      </c>
      <c r="M299" s="175" t="inlineStr">
        <is>
          <t>--</t>
        </is>
      </c>
      <c r="N299" t="inlineStr">
        <is>
          <t>--</t>
        </is>
      </c>
    </row>
    <row r="300">
      <c r="A300" t="n">
        <v>9817</v>
      </c>
      <c r="B300" t="inlineStr">
        <is>
          <t>國泰日本不動產</t>
        </is>
      </c>
      <c r="C300" t="n">
        <v>8.699999999999999</v>
      </c>
      <c r="D300" t="n">
        <v>8.67</v>
      </c>
      <c r="E300" s="504" t="n">
        <v>-0.1</v>
      </c>
      <c r="F300" s="505" t="n">
        <v>-1.14</v>
      </c>
      <c r="G300" t="inlineStr">
        <is>
          <t>3788萬</t>
        </is>
      </c>
      <c r="H300" t="n">
        <v>4382</v>
      </c>
      <c r="I300" t="n">
        <v>5077</v>
      </c>
      <c r="J300" t="inlineStr">
        <is>
          <t>--</t>
        </is>
      </c>
      <c r="K300" t="n">
        <v>8.699999999999999</v>
      </c>
      <c r="L300" t="n">
        <v>8.640000000000001</v>
      </c>
      <c r="M300" s="175" t="inlineStr">
        <is>
          <t>--</t>
        </is>
      </c>
      <c r="N300" t="inlineStr">
        <is>
          <t>--</t>
        </is>
      </c>
    </row>
    <row r="301">
      <c r="A301" t="n">
        <v>9818</v>
      </c>
      <c r="B301" t="inlineStr">
        <is>
          <t>華南永昌NASDAQxT</t>
        </is>
      </c>
      <c r="C301" t="n">
        <v>20.04</v>
      </c>
      <c r="D301" t="n">
        <v>20.19</v>
      </c>
      <c r="E301" s="504" t="n">
        <v>0.15</v>
      </c>
      <c r="F301" s="505" t="n">
        <v>0.75</v>
      </c>
      <c r="G301" t="inlineStr">
        <is>
          <t>2671萬</t>
        </is>
      </c>
      <c r="H301" t="n">
        <v>1328</v>
      </c>
      <c r="I301" t="n">
        <v>667</v>
      </c>
      <c r="J301" t="inlineStr">
        <is>
          <t>--</t>
        </is>
      </c>
      <c r="K301" t="n">
        <v>20.19</v>
      </c>
      <c r="L301" t="n">
        <v>20.04</v>
      </c>
      <c r="M301" s="175" t="inlineStr">
        <is>
          <t>--</t>
        </is>
      </c>
      <c r="N301" t="inlineStr">
        <is>
          <t>--</t>
        </is>
      </c>
    </row>
    <row r="302">
      <c r="A302" t="n">
        <v>9819</v>
      </c>
      <c r="B302" t="inlineStr">
        <is>
          <t>中信數據及電力</t>
        </is>
      </c>
      <c r="C302" t="n">
        <v>10.93</v>
      </c>
      <c r="D302" t="n">
        <v>11.05</v>
      </c>
      <c r="E302" s="504" t="n">
        <v>0.26</v>
      </c>
      <c r="F302" s="505" t="n">
        <v>2.41</v>
      </c>
      <c r="G302" t="inlineStr">
        <is>
          <t>2.61億</t>
        </is>
      </c>
      <c r="H302" t="n">
        <v>23848</v>
      </c>
      <c r="I302" t="n">
        <v>20698</v>
      </c>
      <c r="J302" t="inlineStr">
        <is>
          <t>--</t>
        </is>
      </c>
      <c r="K302" t="n">
        <v>11.05</v>
      </c>
      <c r="L302" t="n">
        <v>10.88</v>
      </c>
      <c r="M302" s="175" t="inlineStr">
        <is>
          <t>--</t>
        </is>
      </c>
      <c r="N302" t="inlineStr">
        <is>
          <t>--</t>
        </is>
      </c>
    </row>
    <row r="303">
      <c r="A303" t="inlineStr">
        <is>
          <t>00981A</t>
        </is>
      </c>
      <c r="B303" t="inlineStr">
        <is>
          <t>主動統一台股增長</t>
        </is>
      </c>
      <c r="C303" t="n">
        <v>31.77</v>
      </c>
      <c r="D303" t="n">
        <v>31.33</v>
      </c>
      <c r="E303" s="504" t="n">
        <v>-0.37</v>
      </c>
      <c r="F303" s="505" t="n">
        <v>-1.17</v>
      </c>
      <c r="G303" t="inlineStr">
        <is>
          <t>96.9億</t>
        </is>
      </c>
      <c r="H303" t="n">
        <v>310281</v>
      </c>
      <c r="I303" t="n">
        <v>308578</v>
      </c>
      <c r="J303" t="inlineStr">
        <is>
          <t>--</t>
        </is>
      </c>
      <c r="K303" t="n">
        <v>31.81</v>
      </c>
      <c r="L303" t="n">
        <v>30.7</v>
      </c>
      <c r="M303" s="175" t="inlineStr">
        <is>
          <t>--</t>
        </is>
      </c>
      <c r="N303" t="inlineStr">
        <is>
          <t>--</t>
        </is>
      </c>
    </row>
    <row r="304">
      <c r="A304" t="inlineStr">
        <is>
          <t>00981B</t>
        </is>
      </c>
      <c r="B304" t="inlineStr">
        <is>
          <t>第一金優選非投債</t>
        </is>
      </c>
      <c r="C304" t="n">
        <v>9.109999999999999</v>
      </c>
      <c r="D304" t="n">
        <v>9.15</v>
      </c>
      <c r="E304" s="504" t="n">
        <v>0.04</v>
      </c>
      <c r="F304" s="505" t="n">
        <v>0.44</v>
      </c>
      <c r="G304" t="inlineStr">
        <is>
          <t>9840萬</t>
        </is>
      </c>
      <c r="H304" t="n">
        <v>10786</v>
      </c>
      <c r="I304" t="n">
        <v>13237</v>
      </c>
      <c r="J304" t="inlineStr">
        <is>
          <t>--</t>
        </is>
      </c>
      <c r="K304" t="n">
        <v>9.15</v>
      </c>
      <c r="L304" t="n">
        <v>9.109999999999999</v>
      </c>
      <c r="M304" s="175" t="inlineStr">
        <is>
          <t>--</t>
        </is>
      </c>
      <c r="N304" t="inlineStr">
        <is>
          <t>--</t>
        </is>
      </c>
    </row>
    <row r="305">
      <c r="A305" t="inlineStr">
        <is>
          <t>00981D</t>
        </is>
      </c>
      <c r="B305" t="inlineStr">
        <is>
          <t>主動中信非投等債</t>
        </is>
      </c>
      <c r="C305" t="n">
        <v>10.28</v>
      </c>
      <c r="D305" t="n">
        <v>10.29</v>
      </c>
      <c r="E305" s="504" t="n">
        <v>0.02</v>
      </c>
      <c r="F305" s="505" t="n">
        <v>0.19</v>
      </c>
      <c r="G305" t="inlineStr">
        <is>
          <t>6538萬</t>
        </is>
      </c>
      <c r="H305" t="n">
        <v>6359</v>
      </c>
      <c r="I305" t="n">
        <v>6423</v>
      </c>
      <c r="J305" t="inlineStr">
        <is>
          <t>--</t>
        </is>
      </c>
      <c r="K305" t="n">
        <v>10.3</v>
      </c>
      <c r="L305" t="n">
        <v>10.26</v>
      </c>
      <c r="M305" s="175" t="inlineStr">
        <is>
          <t>--</t>
        </is>
      </c>
      <c r="N305" t="inlineStr">
        <is>
          <t>--</t>
        </is>
      </c>
    </row>
    <row r="306">
      <c r="A306" t="inlineStr">
        <is>
          <t>00981T</t>
        </is>
      </c>
      <c r="B306" t="inlineStr">
        <is>
          <t>平衡凱基雙核收息</t>
        </is>
      </c>
      <c r="C306" t="n">
        <v>12.21</v>
      </c>
      <c r="D306" t="n">
        <v>12.18</v>
      </c>
      <c r="E306" s="504" t="n">
        <v>0.06</v>
      </c>
      <c r="F306" s="505" t="n">
        <v>0.5</v>
      </c>
      <c r="G306" t="inlineStr">
        <is>
          <t>6118萬</t>
        </is>
      </c>
      <c r="H306" t="n">
        <v>5026</v>
      </c>
      <c r="I306" t="n">
        <v>3582</v>
      </c>
      <c r="J306" t="inlineStr">
        <is>
          <t>--</t>
        </is>
      </c>
      <c r="K306" t="n">
        <v>12.21</v>
      </c>
      <c r="L306" t="n">
        <v>12.13</v>
      </c>
      <c r="M306" s="175" t="inlineStr">
        <is>
          <t>--</t>
        </is>
      </c>
      <c r="N306" t="inlineStr">
        <is>
          <t>--</t>
        </is>
      </c>
    </row>
    <row r="307">
      <c r="A307" t="n">
        <v>9820</v>
      </c>
      <c r="B307" t="inlineStr">
        <is>
          <t>元大納斯達克精選</t>
        </is>
      </c>
      <c r="C307" t="n">
        <v>10.75</v>
      </c>
      <c r="D307" t="n">
        <v>10.84</v>
      </c>
      <c r="E307" s="504" t="n">
        <v>0.15</v>
      </c>
      <c r="F307" s="505" t="n">
        <v>1.4</v>
      </c>
      <c r="G307" t="inlineStr">
        <is>
          <t>6.23億</t>
        </is>
      </c>
      <c r="H307" t="n">
        <v>57726</v>
      </c>
      <c r="I307" t="n">
        <v>33070</v>
      </c>
      <c r="J307" t="inlineStr">
        <is>
          <t>--</t>
        </is>
      </c>
      <c r="K307" t="n">
        <v>10.85</v>
      </c>
      <c r="L307" t="n">
        <v>10.75</v>
      </c>
      <c r="M307" s="175" t="inlineStr">
        <is>
          <t>--</t>
        </is>
      </c>
      <c r="N307" t="inlineStr">
        <is>
          <t>--</t>
        </is>
      </c>
    </row>
    <row r="308">
      <c r="A308" t="inlineStr">
        <is>
          <t>00982A</t>
        </is>
      </c>
      <c r="B308" t="inlineStr">
        <is>
          <t>主動群益台灣強棒</t>
        </is>
      </c>
      <c r="C308" t="n">
        <v>24.46</v>
      </c>
      <c r="D308" t="n">
        <v>23.83</v>
      </c>
      <c r="E308" s="504" t="n">
        <v>-0.52</v>
      </c>
      <c r="F308" s="505" t="n">
        <v>-2.14</v>
      </c>
      <c r="G308" t="inlineStr">
        <is>
          <t>15.1億</t>
        </is>
      </c>
      <c r="H308" t="n">
        <v>63170</v>
      </c>
      <c r="I308" t="n">
        <v>59230</v>
      </c>
      <c r="J308" t="inlineStr">
        <is>
          <t>--</t>
        </is>
      </c>
      <c r="K308" t="n">
        <v>24.5</v>
      </c>
      <c r="L308" t="n">
        <v>23.4</v>
      </c>
      <c r="M308" s="175" t="inlineStr">
        <is>
          <t>--</t>
        </is>
      </c>
      <c r="N308" t="inlineStr">
        <is>
          <t>--</t>
        </is>
      </c>
    </row>
    <row r="309">
      <c r="A309" t="inlineStr">
        <is>
          <t>00982B</t>
        </is>
      </c>
      <c r="B309" t="inlineStr">
        <is>
          <t>FT投資級債20+</t>
        </is>
      </c>
      <c r="C309" t="n">
        <v>9.859999999999999</v>
      </c>
      <c r="D309" t="n">
        <v>9.93</v>
      </c>
      <c r="E309" s="504" t="n">
        <v>0.07000000000000001</v>
      </c>
      <c r="F309" s="505" t="n">
        <v>0.71</v>
      </c>
      <c r="G309" t="inlineStr">
        <is>
          <t>13.9萬</t>
        </is>
      </c>
      <c r="H309" t="n">
        <v>14</v>
      </c>
      <c r="I309" t="n">
        <v>134</v>
      </c>
      <c r="J309" t="inlineStr">
        <is>
          <t>--</t>
        </is>
      </c>
      <c r="K309" t="n">
        <v>9.93</v>
      </c>
      <c r="L309" t="n">
        <v>9.859999999999999</v>
      </c>
      <c r="M309" s="175" t="inlineStr">
        <is>
          <t>--</t>
        </is>
      </c>
      <c r="N309" t="inlineStr">
        <is>
          <t>--</t>
        </is>
      </c>
    </row>
    <row r="310">
      <c r="A310" t="inlineStr">
        <is>
          <t>00982D</t>
        </is>
      </c>
      <c r="B310" t="inlineStr">
        <is>
          <t>主動富邦動態入息</t>
        </is>
      </c>
      <c r="C310" t="n">
        <v>9.92</v>
      </c>
      <c r="D310" t="n">
        <v>9.970000000000001</v>
      </c>
      <c r="E310" s="504" t="n">
        <v>0.06</v>
      </c>
      <c r="F310" s="505" t="n">
        <v>0.61</v>
      </c>
      <c r="G310" t="inlineStr">
        <is>
          <t>1296萬</t>
        </is>
      </c>
      <c r="H310" t="n">
        <v>1302</v>
      </c>
      <c r="I310" t="n">
        <v>870</v>
      </c>
      <c r="J310" t="inlineStr">
        <is>
          <t>--</t>
        </is>
      </c>
      <c r="K310" t="n">
        <v>9.970000000000001</v>
      </c>
      <c r="L310" t="n">
        <v>9.92</v>
      </c>
      <c r="M310" s="175" t="inlineStr">
        <is>
          <t>--</t>
        </is>
      </c>
      <c r="N310" t="inlineStr">
        <is>
          <t>--</t>
        </is>
      </c>
    </row>
    <row r="311">
      <c r="A311" t="inlineStr">
        <is>
          <t>00982T</t>
        </is>
      </c>
      <c r="B311" t="inlineStr">
        <is>
          <t>平衡兆豐台美動能</t>
        </is>
      </c>
      <c r="C311" t="n">
        <v>15.85</v>
      </c>
      <c r="D311" t="n">
        <v>15.85</v>
      </c>
      <c r="E311" s="504" t="n">
        <v>0.06</v>
      </c>
      <c r="F311" s="505" t="n">
        <v>0.38</v>
      </c>
      <c r="G311" t="inlineStr">
        <is>
          <t>166萬</t>
        </is>
      </c>
      <c r="H311" t="n">
        <v>105</v>
      </c>
      <c r="I311" t="n">
        <v>220</v>
      </c>
      <c r="J311" t="inlineStr">
        <is>
          <t>--</t>
        </is>
      </c>
      <c r="K311" t="n">
        <v>15.85</v>
      </c>
      <c r="L311" t="n">
        <v>15.65</v>
      </c>
      <c r="M311" s="175" t="inlineStr">
        <is>
          <t>--</t>
        </is>
      </c>
      <c r="N311" t="inlineStr">
        <is>
          <t>--</t>
        </is>
      </c>
    </row>
    <row r="312">
      <c r="A312" t="inlineStr">
        <is>
          <t>00983A</t>
        </is>
      </c>
      <c r="B312" t="inlineStr">
        <is>
          <t>主動中信ARK創新</t>
        </is>
      </c>
      <c r="C312" t="n">
        <v>12.04</v>
      </c>
      <c r="D312" t="n">
        <v>12.12</v>
      </c>
      <c r="E312" s="504" t="n">
        <v>-0.16</v>
      </c>
      <c r="F312" s="505" t="n">
        <v>-1.3</v>
      </c>
      <c r="G312" t="inlineStr">
        <is>
          <t>3146萬</t>
        </is>
      </c>
      <c r="H312" t="n">
        <v>2614</v>
      </c>
      <c r="I312" t="n">
        <v>4602</v>
      </c>
      <c r="J312" t="inlineStr">
        <is>
          <t>--</t>
        </is>
      </c>
      <c r="K312" t="n">
        <v>12.12</v>
      </c>
      <c r="L312" t="n">
        <v>12.01</v>
      </c>
      <c r="M312" s="175" t="inlineStr">
        <is>
          <t>--</t>
        </is>
      </c>
      <c r="N312" t="inlineStr">
        <is>
          <t>--</t>
        </is>
      </c>
    </row>
    <row r="313">
      <c r="A313" t="inlineStr">
        <is>
          <t>00983B</t>
        </is>
      </c>
      <c r="B313" t="inlineStr">
        <is>
          <t>大華優利美公債20</t>
        </is>
      </c>
      <c r="C313" t="n">
        <v>15.55</v>
      </c>
      <c r="D313" t="n">
        <v>15.66</v>
      </c>
      <c r="E313" s="504" t="n">
        <v>0.13</v>
      </c>
      <c r="F313" s="505" t="n">
        <v>0.84</v>
      </c>
      <c r="G313" t="inlineStr">
        <is>
          <t>1383萬</t>
        </is>
      </c>
      <c r="H313" t="n">
        <v>888</v>
      </c>
      <c r="I313" t="n">
        <v>384</v>
      </c>
      <c r="J313" t="inlineStr">
        <is>
          <t>--</t>
        </is>
      </c>
      <c r="K313" t="n">
        <v>15.66</v>
      </c>
      <c r="L313" t="n">
        <v>15.55</v>
      </c>
      <c r="M313" s="175" t="inlineStr">
        <is>
          <t>--</t>
        </is>
      </c>
      <c r="N313" t="inlineStr">
        <is>
          <t>--</t>
        </is>
      </c>
    </row>
    <row r="314">
      <c r="A314" t="inlineStr">
        <is>
          <t>00983D</t>
        </is>
      </c>
      <c r="B314" t="inlineStr">
        <is>
          <t>主動富邦複合收益</t>
        </is>
      </c>
      <c r="C314" t="n">
        <v>10.05</v>
      </c>
      <c r="D314" t="n">
        <v>10.1</v>
      </c>
      <c r="E314" s="504" t="n">
        <v>0.04</v>
      </c>
      <c r="F314" s="505" t="n">
        <v>0.4</v>
      </c>
      <c r="G314" t="inlineStr">
        <is>
          <t>1793萬</t>
        </is>
      </c>
      <c r="H314" t="n">
        <v>1780</v>
      </c>
      <c r="I314" t="n">
        <v>1125</v>
      </c>
      <c r="J314" t="inlineStr">
        <is>
          <t>--</t>
        </is>
      </c>
      <c r="K314" t="n">
        <v>10.1</v>
      </c>
      <c r="L314" t="n">
        <v>10.04</v>
      </c>
      <c r="M314" s="175" t="inlineStr">
        <is>
          <t>--</t>
        </is>
      </c>
      <c r="N314" t="inlineStr">
        <is>
          <t>--</t>
        </is>
      </c>
    </row>
    <row r="315">
      <c r="A315" t="inlineStr">
        <is>
          <t>00984A</t>
        </is>
      </c>
      <c r="B315" t="inlineStr">
        <is>
          <t>主動安聯台灣高息</t>
        </is>
      </c>
      <c r="C315" t="n">
        <v>16.55</v>
      </c>
      <c r="D315" t="n">
        <v>16.51</v>
      </c>
      <c r="E315" s="504" t="n">
        <v>0.01</v>
      </c>
      <c r="F315" s="505" t="n">
        <v>0.06</v>
      </c>
      <c r="G315" t="inlineStr">
        <is>
          <t>1.30億</t>
        </is>
      </c>
      <c r="H315" t="n">
        <v>7994</v>
      </c>
      <c r="I315" t="n">
        <v>9950</v>
      </c>
      <c r="J315" t="inlineStr">
        <is>
          <t>--</t>
        </is>
      </c>
      <c r="K315" t="n">
        <v>16.59</v>
      </c>
      <c r="L315" t="n">
        <v>16.22</v>
      </c>
      <c r="M315" s="175" t="inlineStr">
        <is>
          <t>--</t>
        </is>
      </c>
      <c r="N315" t="inlineStr">
        <is>
          <t>--</t>
        </is>
      </c>
    </row>
    <row r="316">
      <c r="A316" t="inlineStr">
        <is>
          <t>00984B</t>
        </is>
      </c>
      <c r="B316" t="inlineStr">
        <is>
          <t>大華優利美A債15</t>
        </is>
      </c>
      <c r="C316" t="n">
        <v>16.4</v>
      </c>
      <c r="D316" t="n">
        <v>16.52</v>
      </c>
      <c r="E316" s="504" t="n">
        <v>0.14</v>
      </c>
      <c r="F316" s="505" t="n">
        <v>0.85</v>
      </c>
      <c r="G316" t="inlineStr">
        <is>
          <t>4883萬</t>
        </is>
      </c>
      <c r="H316" t="n">
        <v>2978</v>
      </c>
      <c r="I316" t="n">
        <v>2285</v>
      </c>
      <c r="J316" t="inlineStr">
        <is>
          <t>--</t>
        </is>
      </c>
      <c r="K316" t="n">
        <v>16.52</v>
      </c>
      <c r="L316" t="n">
        <v>16.4</v>
      </c>
      <c r="M316" s="175" t="inlineStr">
        <is>
          <t>--</t>
        </is>
      </c>
      <c r="N316" t="inlineStr">
        <is>
          <t>--</t>
        </is>
      </c>
    </row>
    <row r="317">
      <c r="A317" t="inlineStr">
        <is>
          <t>00984D</t>
        </is>
      </c>
      <c r="B317" t="inlineStr">
        <is>
          <t>主動聯博全球非投</t>
        </is>
      </c>
      <c r="C317" t="n">
        <v>10.01</v>
      </c>
      <c r="D317" t="n">
        <v>10.04</v>
      </c>
      <c r="E317" s="504" t="n">
        <v>0.03</v>
      </c>
      <c r="F317" s="505" t="n">
        <v>0.3</v>
      </c>
      <c r="G317" t="inlineStr">
        <is>
          <t>1.51億</t>
        </is>
      </c>
      <c r="H317" t="n">
        <v>15055</v>
      </c>
      <c r="I317" t="n">
        <v>16360</v>
      </c>
      <c r="J317" t="inlineStr">
        <is>
          <t>--</t>
        </is>
      </c>
      <c r="K317" t="n">
        <v>10.04</v>
      </c>
      <c r="L317" t="n">
        <v>10</v>
      </c>
      <c r="M317" s="175" t="inlineStr">
        <is>
          <t>--</t>
        </is>
      </c>
      <c r="N317" t="inlineStr">
        <is>
          <t>--</t>
        </is>
      </c>
    </row>
    <row r="318">
      <c r="A318" t="inlineStr">
        <is>
          <t>00985A</t>
        </is>
      </c>
      <c r="B318" t="inlineStr">
        <is>
          <t>主動野村台灣50</t>
        </is>
      </c>
      <c r="C318" t="n">
        <v>22.5</v>
      </c>
      <c r="D318" t="n">
        <v>22.33</v>
      </c>
      <c r="E318" s="504" t="n">
        <v>-0.09</v>
      </c>
      <c r="F318" s="505" t="n">
        <v>-0.4</v>
      </c>
      <c r="G318" t="inlineStr">
        <is>
          <t>1.07億</t>
        </is>
      </c>
      <c r="H318" t="n">
        <v>4813</v>
      </c>
      <c r="I318" t="n">
        <v>7839</v>
      </c>
      <c r="J318" t="inlineStr">
        <is>
          <t>--</t>
        </is>
      </c>
      <c r="K318" t="n">
        <v>22.52</v>
      </c>
      <c r="L318" t="n">
        <v>22.04</v>
      </c>
      <c r="M318" s="175" t="inlineStr">
        <is>
          <t>--</t>
        </is>
      </c>
      <c r="N318" t="inlineStr">
        <is>
          <t>--</t>
        </is>
      </c>
    </row>
    <row r="319">
      <c r="A319" t="inlineStr">
        <is>
          <t>00985B</t>
        </is>
      </c>
      <c r="B319" t="inlineStr">
        <is>
          <t>群益ESG投等債0-5</t>
        </is>
      </c>
      <c r="C319" t="n">
        <v>10.11</v>
      </c>
      <c r="D319" t="n">
        <v>10.13</v>
      </c>
      <c r="E319" s="504" t="n">
        <v>0.03</v>
      </c>
      <c r="F319" s="505" t="n">
        <v>0.3</v>
      </c>
      <c r="G319" t="inlineStr">
        <is>
          <t>9938萬</t>
        </is>
      </c>
      <c r="H319" t="n">
        <v>9816</v>
      </c>
      <c r="I319" t="n">
        <v>6732</v>
      </c>
      <c r="J319" t="inlineStr">
        <is>
          <t>--</t>
        </is>
      </c>
      <c r="K319" t="n">
        <v>10.14</v>
      </c>
      <c r="L319" t="n">
        <v>10.1</v>
      </c>
      <c r="M319" s="175" t="inlineStr">
        <is>
          <t>--</t>
        </is>
      </c>
      <c r="N319" t="inlineStr">
        <is>
          <t>--</t>
        </is>
      </c>
    </row>
    <row r="320">
      <c r="A320" t="inlineStr">
        <is>
          <t>00985D</t>
        </is>
      </c>
      <c r="B320" t="inlineStr">
        <is>
          <t>主動貝萊德優投等</t>
        </is>
      </c>
      <c r="C320" t="n">
        <v>10.14</v>
      </c>
      <c r="D320" t="n">
        <v>10.2</v>
      </c>
      <c r="E320" s="504" t="n">
        <v>0.07000000000000001</v>
      </c>
      <c r="F320" s="505" t="n">
        <v>0.6899999999999999</v>
      </c>
      <c r="G320" t="inlineStr">
        <is>
          <t>411萬</t>
        </is>
      </c>
      <c r="H320" t="n">
        <v>404</v>
      </c>
      <c r="I320" t="n">
        <v>970</v>
      </c>
      <c r="J320" t="inlineStr">
        <is>
          <t>--</t>
        </is>
      </c>
      <c r="K320" t="n">
        <v>10.2</v>
      </c>
      <c r="L320" t="n">
        <v>10.14</v>
      </c>
      <c r="M320" s="175" t="inlineStr">
        <is>
          <t>--</t>
        </is>
      </c>
      <c r="N320" t="inlineStr">
        <is>
          <t>--</t>
        </is>
      </c>
    </row>
    <row r="321">
      <c r="A321" t="inlineStr">
        <is>
          <t>00986A</t>
        </is>
      </c>
      <c r="B321" t="inlineStr">
        <is>
          <t>主動台新龍頭成長</t>
        </is>
      </c>
      <c r="C321" t="n">
        <v>15.38</v>
      </c>
      <c r="D321" t="n">
        <v>15.4</v>
      </c>
      <c r="E321" s="504" t="n">
        <v>0.19</v>
      </c>
      <c r="F321" s="505" t="n">
        <v>1.25</v>
      </c>
      <c r="G321" t="inlineStr">
        <is>
          <t>1221萬</t>
        </is>
      </c>
      <c r="H321" t="n">
        <v>796</v>
      </c>
      <c r="I321" t="n">
        <v>777</v>
      </c>
      <c r="J321" t="inlineStr">
        <is>
          <t>--</t>
        </is>
      </c>
      <c r="K321" t="n">
        <v>15.4</v>
      </c>
      <c r="L321" t="n">
        <v>15.3</v>
      </c>
      <c r="M321" s="175" t="inlineStr">
        <is>
          <t>--</t>
        </is>
      </c>
      <c r="N321" t="inlineStr">
        <is>
          <t>--</t>
        </is>
      </c>
    </row>
    <row r="322">
      <c r="A322" t="inlineStr">
        <is>
          <t>00986B</t>
        </is>
      </c>
      <c r="B322" t="inlineStr">
        <is>
          <t>FT金融債10+</t>
        </is>
      </c>
      <c r="C322" t="n">
        <v>9.85</v>
      </c>
      <c r="D322" t="n">
        <v>9.9</v>
      </c>
      <c r="E322" s="504" t="n">
        <v>0.04</v>
      </c>
      <c r="F322" s="505" t="n">
        <v>0.41</v>
      </c>
      <c r="G322" t="inlineStr">
        <is>
          <t>48.4萬</t>
        </is>
      </c>
      <c r="H322" t="n">
        <v>49</v>
      </c>
      <c r="I322" t="n">
        <v>31</v>
      </c>
      <c r="J322" t="inlineStr">
        <is>
          <t>--</t>
        </is>
      </c>
      <c r="K322" t="n">
        <v>9.9</v>
      </c>
      <c r="L322" t="n">
        <v>9.85</v>
      </c>
      <c r="M322" s="175" t="inlineStr">
        <is>
          <t>--</t>
        </is>
      </c>
      <c r="N322" t="inlineStr">
        <is>
          <t>--</t>
        </is>
      </c>
    </row>
    <row r="323">
      <c r="A323" t="inlineStr">
        <is>
          <t>00986D</t>
        </is>
      </c>
      <c r="B323" t="inlineStr">
        <is>
          <t>主動復華金融債息</t>
        </is>
      </c>
      <c r="C323" t="n">
        <v>14.71</v>
      </c>
      <c r="D323" t="n">
        <v>14.8</v>
      </c>
      <c r="E323" s="504" t="n">
        <v>0.09</v>
      </c>
      <c r="F323" s="505" t="n">
        <v>0.61</v>
      </c>
      <c r="G323" t="inlineStr">
        <is>
          <t>2413萬</t>
        </is>
      </c>
      <c r="H323" t="n">
        <v>1635</v>
      </c>
      <c r="I323" t="n">
        <v>1706</v>
      </c>
      <c r="J323" t="inlineStr">
        <is>
          <t>--</t>
        </is>
      </c>
      <c r="K323" t="n">
        <v>14.8</v>
      </c>
      <c r="L323" t="n">
        <v>14.71</v>
      </c>
      <c r="M323" s="175" t="inlineStr">
        <is>
          <t>--</t>
        </is>
      </c>
      <c r="N323" t="inlineStr">
        <is>
          <t>--</t>
        </is>
      </c>
    </row>
    <row r="324">
      <c r="A324" t="inlineStr">
        <is>
          <t>00987A</t>
        </is>
      </c>
      <c r="B324" t="inlineStr">
        <is>
          <t>主動台新優勢成長</t>
        </is>
      </c>
      <c r="C324" t="n">
        <v>18.18</v>
      </c>
      <c r="D324" t="n">
        <v>17.7</v>
      </c>
      <c r="E324" s="504" t="n">
        <v>-0.46</v>
      </c>
      <c r="F324" s="505" t="n">
        <v>-2.53</v>
      </c>
      <c r="G324" t="inlineStr">
        <is>
          <t>1.35億</t>
        </is>
      </c>
      <c r="H324" t="n">
        <v>7586</v>
      </c>
      <c r="I324" t="n">
        <v>7873</v>
      </c>
      <c r="J324" t="inlineStr">
        <is>
          <t>--</t>
        </is>
      </c>
      <c r="K324" t="n">
        <v>18.19</v>
      </c>
      <c r="L324" t="n">
        <v>17.45</v>
      </c>
      <c r="M324" s="175" t="inlineStr">
        <is>
          <t>--</t>
        </is>
      </c>
      <c r="N324" t="inlineStr">
        <is>
          <t>--</t>
        </is>
      </c>
    </row>
    <row r="325">
      <c r="A325" t="inlineStr">
        <is>
          <t>00987B</t>
        </is>
      </c>
      <c r="B325" t="inlineStr">
        <is>
          <t>野村10+澳洲公債</t>
        </is>
      </c>
      <c r="C325" t="n">
        <v>15.94</v>
      </c>
      <c r="D325" t="n">
        <v>16.04</v>
      </c>
      <c r="E325" s="504" t="n">
        <v>0.03</v>
      </c>
      <c r="F325" s="505" t="n">
        <v>0.19</v>
      </c>
      <c r="G325" t="inlineStr">
        <is>
          <t>1942萬</t>
        </is>
      </c>
      <c r="H325" t="n">
        <v>1212</v>
      </c>
      <c r="I325" t="n">
        <v>1989</v>
      </c>
      <c r="J325" t="inlineStr">
        <is>
          <t>--</t>
        </is>
      </c>
      <c r="K325" t="n">
        <v>16.06</v>
      </c>
      <c r="L325" t="n">
        <v>15.94</v>
      </c>
      <c r="M325" s="175" t="inlineStr">
        <is>
          <t>--</t>
        </is>
      </c>
      <c r="N325" t="inlineStr">
        <is>
          <t>--</t>
        </is>
      </c>
    </row>
    <row r="326">
      <c r="A326" t="inlineStr">
        <is>
          <t>00988A</t>
        </is>
      </c>
      <c r="B326" t="inlineStr">
        <is>
          <t>主動統一全球創新</t>
        </is>
      </c>
      <c r="C326" t="n">
        <v>21.81</v>
      </c>
      <c r="D326" t="n">
        <v>21.7</v>
      </c>
      <c r="E326" s="504" t="n">
        <v>-0.29</v>
      </c>
      <c r="F326" s="505" t="n">
        <v>-1.32</v>
      </c>
      <c r="G326" t="inlineStr">
        <is>
          <t>24.4億</t>
        </is>
      </c>
      <c r="H326" t="n">
        <v>113601</v>
      </c>
      <c r="I326" t="n">
        <v>135348</v>
      </c>
      <c r="J326" t="inlineStr">
        <is>
          <t>--</t>
        </is>
      </c>
      <c r="K326" t="n">
        <v>21.81</v>
      </c>
      <c r="L326" t="n">
        <v>21.29</v>
      </c>
      <c r="M326" s="175" t="inlineStr">
        <is>
          <t>--</t>
        </is>
      </c>
      <c r="N326" t="inlineStr">
        <is>
          <t>--</t>
        </is>
      </c>
    </row>
    <row r="327">
      <c r="A327" t="inlineStr">
        <is>
          <t>00988B</t>
        </is>
      </c>
      <c r="B327" t="inlineStr">
        <is>
          <t>玉山嚴選非投債</t>
        </is>
      </c>
      <c r="C327" t="n">
        <v>19.72</v>
      </c>
      <c r="D327" t="n">
        <v>19.82</v>
      </c>
      <c r="E327" s="504" t="n">
        <v>0.1</v>
      </c>
      <c r="F327" s="505" t="n">
        <v>0.51</v>
      </c>
      <c r="G327" t="inlineStr">
        <is>
          <t>2060萬</t>
        </is>
      </c>
      <c r="H327" t="n">
        <v>1041</v>
      </c>
      <c r="I327" t="n">
        <v>844</v>
      </c>
      <c r="J327" t="inlineStr">
        <is>
          <t>--</t>
        </is>
      </c>
      <c r="K327" t="n">
        <v>19.82</v>
      </c>
      <c r="L327" t="n">
        <v>19.72</v>
      </c>
      <c r="M327" s="175" t="inlineStr">
        <is>
          <t>--</t>
        </is>
      </c>
      <c r="N327" t="inlineStr">
        <is>
          <t>--</t>
        </is>
      </c>
    </row>
    <row r="328">
      <c r="A328" t="inlineStr">
        <is>
          <t>00989A</t>
        </is>
      </c>
      <c r="B328" t="inlineStr">
        <is>
          <t>主動摩根美國科技</t>
        </is>
      </c>
      <c r="C328" t="n">
        <v>18.25</v>
      </c>
      <c r="D328" t="n">
        <v>18.35</v>
      </c>
      <c r="E328" s="504" t="n">
        <v>0.13</v>
      </c>
      <c r="F328" s="505" t="n">
        <v>0.71</v>
      </c>
      <c r="G328" t="inlineStr">
        <is>
          <t>2287萬</t>
        </is>
      </c>
      <c r="H328" t="n">
        <v>1250</v>
      </c>
      <c r="I328" t="n">
        <v>1924</v>
      </c>
      <c r="J328" t="inlineStr">
        <is>
          <t>--</t>
        </is>
      </c>
      <c r="K328" t="n">
        <v>18.35</v>
      </c>
      <c r="L328" t="n">
        <v>18.19</v>
      </c>
      <c r="M328" s="175" t="inlineStr">
        <is>
          <t>--</t>
        </is>
      </c>
      <c r="N328" t="inlineStr">
        <is>
          <t>--</t>
        </is>
      </c>
    </row>
    <row r="329">
      <c r="A329" t="inlineStr">
        <is>
          <t>00989B</t>
        </is>
      </c>
      <c r="B329" t="inlineStr">
        <is>
          <t>台新美國非投等債</t>
        </is>
      </c>
      <c r="C329" t="n">
        <v>9.970000000000001</v>
      </c>
      <c r="D329" t="n">
        <v>10</v>
      </c>
      <c r="E329" s="504" t="n">
        <v>0.01</v>
      </c>
      <c r="F329" s="505" t="n">
        <v>0.1</v>
      </c>
      <c r="G329" t="inlineStr">
        <is>
          <t>837萬</t>
        </is>
      </c>
      <c r="H329" t="n">
        <v>837</v>
      </c>
      <c r="I329" t="n">
        <v>554</v>
      </c>
      <c r="J329" t="inlineStr">
        <is>
          <t>--</t>
        </is>
      </c>
      <c r="K329" t="n">
        <v>10.02</v>
      </c>
      <c r="L329" t="n">
        <v>9.970000000000001</v>
      </c>
      <c r="M329" s="175" t="inlineStr">
        <is>
          <t>--</t>
        </is>
      </c>
      <c r="N329" t="inlineStr">
        <is>
          <t>--</t>
        </is>
      </c>
    </row>
    <row r="330">
      <c r="A330" t="inlineStr">
        <is>
          <t>00990A</t>
        </is>
      </c>
      <c r="B330" t="inlineStr">
        <is>
          <t>主動元大AI新經濟</t>
        </is>
      </c>
      <c r="C330" t="n">
        <v>20.26</v>
      </c>
      <c r="D330" t="n">
        <v>20.17</v>
      </c>
      <c r="E330" s="504" t="n">
        <v>-0.03</v>
      </c>
      <c r="F330" s="505" t="n">
        <v>-0.15</v>
      </c>
      <c r="G330" t="inlineStr">
        <is>
          <t>12.9億</t>
        </is>
      </c>
      <c r="H330" t="n">
        <v>64863</v>
      </c>
      <c r="I330" t="n">
        <v>50448</v>
      </c>
      <c r="J330" t="inlineStr">
        <is>
          <t>--</t>
        </is>
      </c>
      <c r="K330" t="n">
        <v>20.26</v>
      </c>
      <c r="L330" t="n">
        <v>19.76</v>
      </c>
      <c r="M330" s="175" t="inlineStr">
        <is>
          <t>--</t>
        </is>
      </c>
      <c r="N330" t="inlineStr">
        <is>
          <t>--</t>
        </is>
      </c>
    </row>
    <row r="331">
      <c r="A331" t="inlineStr">
        <is>
          <t>00991A</t>
        </is>
      </c>
      <c r="B331" t="inlineStr">
        <is>
          <t>主動復華未來50</t>
        </is>
      </c>
      <c r="C331" t="n">
        <v>20</v>
      </c>
      <c r="D331" t="n">
        <v>19.81</v>
      </c>
      <c r="E331" s="504" t="n">
        <v>-0.14</v>
      </c>
      <c r="F331" s="505" t="n">
        <v>-0.7</v>
      </c>
      <c r="G331" t="inlineStr">
        <is>
          <t>26.1億</t>
        </is>
      </c>
      <c r="H331" t="n">
        <v>133140</v>
      </c>
      <c r="I331" t="n">
        <v>131420</v>
      </c>
      <c r="J331" t="inlineStr">
        <is>
          <t>--</t>
        </is>
      </c>
      <c r="K331" t="n">
        <v>20.06</v>
      </c>
      <c r="L331" t="n">
        <v>19.36</v>
      </c>
      <c r="M331" s="175" t="inlineStr">
        <is>
          <t>--</t>
        </is>
      </c>
      <c r="N331" t="inlineStr">
        <is>
          <t>--</t>
        </is>
      </c>
    </row>
    <row r="332">
      <c r="A332" t="inlineStr">
        <is>
          <t>00992A</t>
        </is>
      </c>
      <c r="B332" t="inlineStr">
        <is>
          <t>主動群益科技創新</t>
        </is>
      </c>
      <c r="C332" t="n">
        <v>18.57</v>
      </c>
      <c r="D332" t="n">
        <v>18.14</v>
      </c>
      <c r="E332" s="504" t="n">
        <v>-0.43</v>
      </c>
      <c r="F332" s="505" t="n">
        <v>-2.32</v>
      </c>
      <c r="G332" t="inlineStr">
        <is>
          <t>14.2億</t>
        </is>
      </c>
      <c r="H332" t="n">
        <v>77965</v>
      </c>
      <c r="I332" t="n">
        <v>119296</v>
      </c>
      <c r="J332" t="inlineStr">
        <is>
          <t>--</t>
        </is>
      </c>
      <c r="K332" t="n">
        <v>18.62</v>
      </c>
      <c r="L332" t="n">
        <v>17.87</v>
      </c>
      <c r="M332" s="175" t="inlineStr">
        <is>
          <t>--</t>
        </is>
      </c>
      <c r="N332" t="inlineStr">
        <is>
          <t>--</t>
        </is>
      </c>
    </row>
    <row r="333">
      <c r="A333" t="inlineStr">
        <is>
          <t>00993A</t>
        </is>
      </c>
      <c r="B333" t="inlineStr">
        <is>
          <t>主動安聯台灣</t>
        </is>
      </c>
      <c r="C333" t="n">
        <v>13.86</v>
      </c>
      <c r="D333" t="n">
        <v>13.63</v>
      </c>
      <c r="E333" s="504" t="n">
        <v>-0.23</v>
      </c>
      <c r="F333" s="505" t="n">
        <v>-1.66</v>
      </c>
      <c r="G333" t="inlineStr">
        <is>
          <t>1.30億</t>
        </is>
      </c>
      <c r="H333" t="n">
        <v>9562</v>
      </c>
      <c r="I333" t="n">
        <v>13832</v>
      </c>
      <c r="J333" t="inlineStr">
        <is>
          <t>--</t>
        </is>
      </c>
      <c r="K333" t="n">
        <v>13.91</v>
      </c>
      <c r="L333" t="n">
        <v>13.39</v>
      </c>
      <c r="M333" s="175" t="inlineStr">
        <is>
          <t>--</t>
        </is>
      </c>
      <c r="N333" t="inlineStr">
        <is>
          <t>--</t>
        </is>
      </c>
    </row>
    <row r="334">
      <c r="A334" t="inlineStr">
        <is>
          <t>00994A</t>
        </is>
      </c>
      <c r="B334" t="inlineStr">
        <is>
          <t>主動第一金台股優</t>
        </is>
      </c>
      <c r="C334" t="n">
        <v>18.67</v>
      </c>
      <c r="D334" t="n">
        <v>18.34</v>
      </c>
      <c r="E334" s="504" t="n">
        <v>-0.31</v>
      </c>
      <c r="F334" s="505" t="n">
        <v>-1.66</v>
      </c>
      <c r="G334" t="inlineStr">
        <is>
          <t>3.12億</t>
        </is>
      </c>
      <c r="H334" t="n">
        <v>17142</v>
      </c>
      <c r="I334" t="n">
        <v>13373</v>
      </c>
      <c r="J334" t="inlineStr">
        <is>
          <t>--</t>
        </is>
      </c>
      <c r="K334" t="n">
        <v>18.71</v>
      </c>
      <c r="L334" t="n">
        <v>17.96</v>
      </c>
      <c r="M334" s="175" t="inlineStr">
        <is>
          <t>--</t>
        </is>
      </c>
      <c r="N334" t="inlineStr">
        <is>
          <t>--</t>
        </is>
      </c>
    </row>
    <row r="335">
      <c r="A335" t="inlineStr">
        <is>
          <t>00995A</t>
        </is>
      </c>
      <c r="B335" t="inlineStr">
        <is>
          <t>主動中信台灣卓越</t>
        </is>
      </c>
      <c r="C335" t="n">
        <v>18.27</v>
      </c>
      <c r="D335" t="n">
        <v>17.88</v>
      </c>
      <c r="E335" s="504" t="n">
        <v>-0.38</v>
      </c>
      <c r="F335" s="505" t="n">
        <v>-2.08</v>
      </c>
      <c r="G335" t="inlineStr">
        <is>
          <t>1.58億</t>
        </is>
      </c>
      <c r="H335" t="n">
        <v>8869</v>
      </c>
      <c r="I335" t="n">
        <v>9205</v>
      </c>
      <c r="J335" t="inlineStr">
        <is>
          <t>--</t>
        </is>
      </c>
      <c r="K335" t="n">
        <v>18.28</v>
      </c>
      <c r="L335" t="n">
        <v>17.55</v>
      </c>
      <c r="M335" s="175" t="inlineStr">
        <is>
          <t>--</t>
        </is>
      </c>
      <c r="N335" t="inlineStr">
        <is>
          <t>--</t>
        </is>
      </c>
    </row>
    <row r="336">
      <c r="A336" t="inlineStr">
        <is>
          <t>00996A</t>
        </is>
      </c>
      <c r="B336" t="inlineStr">
        <is>
          <t>主動兆豐台灣豐收</t>
        </is>
      </c>
      <c r="C336" t="n">
        <v>15.81</v>
      </c>
      <c r="D336" t="n">
        <v>15.54</v>
      </c>
      <c r="E336" s="504" t="n">
        <v>-0.18</v>
      </c>
      <c r="F336" s="505" t="n">
        <v>-1.15</v>
      </c>
      <c r="G336" t="inlineStr">
        <is>
          <t>2.19億</t>
        </is>
      </c>
      <c r="H336" t="n">
        <v>14166</v>
      </c>
      <c r="I336" t="n">
        <v>18886</v>
      </c>
      <c r="J336" t="inlineStr">
        <is>
          <t>--</t>
        </is>
      </c>
      <c r="K336" t="n">
        <v>15.83</v>
      </c>
      <c r="L336" t="n">
        <v>15.18</v>
      </c>
      <c r="M336" s="175" t="inlineStr">
        <is>
          <t>--</t>
        </is>
      </c>
      <c r="N336" t="inlineStr">
        <is>
          <t>--</t>
        </is>
      </c>
    </row>
    <row r="337">
      <c r="A337" t="inlineStr">
        <is>
          <t>00997A</t>
        </is>
      </c>
      <c r="B337" t="inlineStr">
        <is>
          <t>主動群益美國增長</t>
        </is>
      </c>
      <c r="C337" t="n">
        <v>13.27</v>
      </c>
      <c r="D337" t="n">
        <v>13.26</v>
      </c>
      <c r="E337" s="504" t="n">
        <v>-0.05</v>
      </c>
      <c r="F337" s="505" t="n">
        <v>-0.38</v>
      </c>
      <c r="G337" t="inlineStr">
        <is>
          <t>2.52億</t>
        </is>
      </c>
      <c r="H337" t="n">
        <v>19122</v>
      </c>
      <c r="I337" t="n">
        <v>26546</v>
      </c>
      <c r="J337" t="inlineStr">
        <is>
          <t>--</t>
        </is>
      </c>
      <c r="K337" t="n">
        <v>13.27</v>
      </c>
      <c r="L337" t="n">
        <v>13.11</v>
      </c>
      <c r="M337" s="175" t="inlineStr">
        <is>
          <t>--</t>
        </is>
      </c>
      <c r="N337" t="inlineStr">
        <is>
          <t>--</t>
        </is>
      </c>
    </row>
    <row r="338">
      <c r="A338" t="inlineStr">
        <is>
          <t>00998A</t>
        </is>
      </c>
      <c r="B338" t="inlineStr">
        <is>
          <t>主動復華金融股息</t>
        </is>
      </c>
      <c r="C338" t="n">
        <v>16.1</v>
      </c>
      <c r="D338" t="n">
        <v>16.15</v>
      </c>
      <c r="E338" s="504" t="n">
        <v>0.12</v>
      </c>
      <c r="F338" s="505" t="n">
        <v>0.75</v>
      </c>
      <c r="G338" t="inlineStr">
        <is>
          <t>6916萬</t>
        </is>
      </c>
      <c r="H338" t="n">
        <v>4300</v>
      </c>
      <c r="I338" t="n">
        <v>2477</v>
      </c>
      <c r="J338" t="inlineStr">
        <is>
          <t>--</t>
        </is>
      </c>
      <c r="K338" t="n">
        <v>16.17</v>
      </c>
      <c r="L338" t="n">
        <v>16.03</v>
      </c>
      <c r="M338" s="175" t="inlineStr">
        <is>
          <t>--</t>
        </is>
      </c>
      <c r="N338" t="inlineStr">
        <is>
          <t>--</t>
        </is>
      </c>
    </row>
    <row r="339">
      <c r="A339" t="inlineStr">
        <is>
          <t>00999A</t>
        </is>
      </c>
      <c r="B339" t="inlineStr">
        <is>
          <t>主動野村臺灣高息</t>
        </is>
      </c>
      <c r="C339" t="n">
        <v>11.17</v>
      </c>
      <c r="D339" t="n">
        <v>11.2</v>
      </c>
      <c r="E339" s="504" t="n">
        <v>0.04</v>
      </c>
      <c r="F339" s="505" t="n">
        <v>0.36</v>
      </c>
      <c r="G339" t="inlineStr">
        <is>
          <t>4.82億</t>
        </is>
      </c>
      <c r="H339" t="n">
        <v>43342</v>
      </c>
      <c r="I339" t="n">
        <v>58982</v>
      </c>
      <c r="J339" t="inlineStr">
        <is>
          <t>--</t>
        </is>
      </c>
      <c r="K339" t="n">
        <v>11.2</v>
      </c>
      <c r="L339" t="n">
        <v>11.06</v>
      </c>
      <c r="M339" s="175" t="inlineStr">
        <is>
          <t>--</t>
        </is>
      </c>
      <c r="N339" t="inlineStr">
        <is>
          <t>--</t>
        </is>
      </c>
    </row>
    <row r="340">
      <c r="A340" t="n">
        <v>20000</v>
      </c>
      <c r="B340" t="inlineStr">
        <is>
          <t>富邦特選蘋果N</t>
        </is>
      </c>
      <c r="C340" t="n">
        <v>34.35</v>
      </c>
      <c r="D340" t="n">
        <v>34.41</v>
      </c>
      <c r="E340" s="504" t="n">
        <v>-0.31</v>
      </c>
      <c r="F340" s="505" t="n">
        <v>-0.89</v>
      </c>
      <c r="G340" t="inlineStr">
        <is>
          <t>24.0萬</t>
        </is>
      </c>
      <c r="H340" t="n">
        <v>7</v>
      </c>
      <c r="I340" t="n">
        <v>3</v>
      </c>
      <c r="J340" t="inlineStr">
        <is>
          <t>--</t>
        </is>
      </c>
      <c r="K340" t="n">
        <v>34.41</v>
      </c>
      <c r="L340" t="n">
        <v>34.12</v>
      </c>
      <c r="M340" s="175" t="inlineStr">
        <is>
          <t>--</t>
        </is>
      </c>
      <c r="N340" t="inlineStr">
        <is>
          <t>--</t>
        </is>
      </c>
    </row>
    <row r="341">
      <c r="A341" t="n">
        <v>20001</v>
      </c>
      <c r="B341" t="inlineStr">
        <is>
          <t>富邦存股雙十N</t>
        </is>
      </c>
      <c r="C341" t="n">
        <v>25.9</v>
      </c>
      <c r="D341" t="n">
        <v>25.9</v>
      </c>
      <c r="E341" s="504" t="n">
        <v>0.08</v>
      </c>
      <c r="F341" s="505" t="n">
        <v>0.31</v>
      </c>
      <c r="G341" t="inlineStr">
        <is>
          <t>28.5萬</t>
        </is>
      </c>
      <c r="H341" t="n">
        <v>11</v>
      </c>
      <c r="I341" t="n">
        <v>1</v>
      </c>
      <c r="J341" t="inlineStr">
        <is>
          <t>--</t>
        </is>
      </c>
      <c r="K341" t="n">
        <v>25.9</v>
      </c>
      <c r="L341" t="n">
        <v>25.9</v>
      </c>
      <c r="M341" s="175" t="inlineStr">
        <is>
          <t>--</t>
        </is>
      </c>
      <c r="N341" t="inlineStr">
        <is>
          <t>--</t>
        </is>
      </c>
    </row>
    <row r="342">
      <c r="A342" t="n">
        <v>20011</v>
      </c>
      <c r="B342" t="inlineStr">
        <is>
          <t>統一微波高息20N</t>
        </is>
      </c>
      <c r="C342" t="inlineStr">
        <is>
          <t>--</t>
        </is>
      </c>
      <c r="D342" t="inlineStr">
        <is>
          <t>--</t>
        </is>
      </c>
      <c r="E342" s="504" t="inlineStr">
        <is>
          <t>--</t>
        </is>
      </c>
      <c r="F342" s="505" t="inlineStr">
        <is>
          <t>--</t>
        </is>
      </c>
      <c r="G342" t="inlineStr">
        <is>
          <t>--</t>
        </is>
      </c>
      <c r="H342" t="n">
        <v>0</v>
      </c>
      <c r="I342" t="n">
        <v>1</v>
      </c>
      <c r="J342" t="inlineStr">
        <is>
          <t>--</t>
        </is>
      </c>
      <c r="K342" t="inlineStr">
        <is>
          <t>--</t>
        </is>
      </c>
      <c r="L342" t="inlineStr">
        <is>
          <t>--</t>
        </is>
      </c>
      <c r="M342" s="175" t="inlineStr">
        <is>
          <t>--</t>
        </is>
      </c>
      <c r="N342" t="inlineStr">
        <is>
          <t>--</t>
        </is>
      </c>
    </row>
    <row r="343">
      <c r="A343" t="n">
        <v>20012</v>
      </c>
      <c r="B343" t="inlineStr">
        <is>
          <t>富邦行動通訊N</t>
        </is>
      </c>
      <c r="C343" t="inlineStr">
        <is>
          <t>--</t>
        </is>
      </c>
      <c r="D343" t="inlineStr">
        <is>
          <t>--</t>
        </is>
      </c>
      <c r="E343" s="504" t="inlineStr">
        <is>
          <t>--</t>
        </is>
      </c>
      <c r="F343" s="505" t="inlineStr">
        <is>
          <t>--</t>
        </is>
      </c>
      <c r="G343" t="inlineStr">
        <is>
          <t>--</t>
        </is>
      </c>
      <c r="H343" t="n">
        <v>0</v>
      </c>
      <c r="I343" t="n">
        <v>4</v>
      </c>
      <c r="J343" t="inlineStr">
        <is>
          <t>--</t>
        </is>
      </c>
      <c r="K343" t="inlineStr">
        <is>
          <t>--</t>
        </is>
      </c>
      <c r="L343" t="inlineStr">
        <is>
          <t>--</t>
        </is>
      </c>
      <c r="M343" s="175" t="inlineStr">
        <is>
          <t>--</t>
        </is>
      </c>
      <c r="N343" t="inlineStr">
        <is>
          <t>--</t>
        </is>
      </c>
    </row>
    <row r="344">
      <c r="A344" t="inlineStr">
        <is>
          <t>02001L</t>
        </is>
      </c>
      <c r="B344" t="inlineStr">
        <is>
          <t>富邦蘋果正二N</t>
        </is>
      </c>
      <c r="C344" t="n">
        <v>178.65</v>
      </c>
      <c r="D344" t="n">
        <v>183.65</v>
      </c>
      <c r="E344" s="504" t="n">
        <v>4.3</v>
      </c>
      <c r="F344" s="505" t="n">
        <v>2.4</v>
      </c>
      <c r="G344" t="inlineStr">
        <is>
          <t>2402萬</t>
        </is>
      </c>
      <c r="H344" t="n">
        <v>135</v>
      </c>
      <c r="I344" t="n">
        <v>180</v>
      </c>
      <c r="J344" t="inlineStr">
        <is>
          <t>--</t>
        </is>
      </c>
      <c r="K344" t="n">
        <v>183.65</v>
      </c>
      <c r="L344" t="n">
        <v>171.75</v>
      </c>
      <c r="M344" s="175" t="inlineStr">
        <is>
          <t>--</t>
        </is>
      </c>
      <c r="N344" t="inlineStr">
        <is>
          <t>--</t>
        </is>
      </c>
    </row>
    <row r="345">
      <c r="A345" t="n">
        <v>20020</v>
      </c>
      <c r="B345" t="inlineStr">
        <is>
          <t>元大台股領航N</t>
        </is>
      </c>
      <c r="C345" t="n">
        <v>29.15</v>
      </c>
      <c r="D345" t="n">
        <v>28.74</v>
      </c>
      <c r="E345" s="504" t="n">
        <v>-0.25</v>
      </c>
      <c r="F345" s="505" t="n">
        <v>-0.86</v>
      </c>
      <c r="G345" t="inlineStr">
        <is>
          <t>60.6萬</t>
        </is>
      </c>
      <c r="H345" t="n">
        <v>21</v>
      </c>
      <c r="I345" t="n">
        <v>60</v>
      </c>
      <c r="J345" t="inlineStr">
        <is>
          <t>--</t>
        </is>
      </c>
      <c r="K345" t="n">
        <v>29.5</v>
      </c>
      <c r="L345" t="n">
        <v>28.55</v>
      </c>
      <c r="M345" s="175" t="inlineStr">
        <is>
          <t>--</t>
        </is>
      </c>
      <c r="N345" t="inlineStr">
        <is>
          <t>--</t>
        </is>
      </c>
    </row>
    <row r="346">
      <c r="A346" t="n">
        <v>20025</v>
      </c>
      <c r="B346" t="inlineStr">
        <is>
          <t>統一亞洲半導體N</t>
        </is>
      </c>
      <c r="C346" t="n">
        <v>41.1</v>
      </c>
      <c r="D346" t="n">
        <v>41.15</v>
      </c>
      <c r="E346" s="504" t="n">
        <v>-0.65</v>
      </c>
      <c r="F346" s="505" t="n">
        <v>-1.56</v>
      </c>
      <c r="G346" t="inlineStr">
        <is>
          <t>312萬</t>
        </is>
      </c>
      <c r="H346" t="n">
        <v>76</v>
      </c>
      <c r="I346" t="n">
        <v>168</v>
      </c>
      <c r="J346" t="inlineStr">
        <is>
          <t>--</t>
        </is>
      </c>
      <c r="K346" t="n">
        <v>41.38</v>
      </c>
      <c r="L346" t="n">
        <v>40.91</v>
      </c>
      <c r="M346" s="175" t="inlineStr">
        <is>
          <t>--</t>
        </is>
      </c>
      <c r="N346" t="inlineStr">
        <is>
          <t>--</t>
        </is>
      </c>
    </row>
    <row r="347">
      <c r="A347" t="n">
        <v>20027</v>
      </c>
      <c r="B347" t="inlineStr">
        <is>
          <t>元大上櫃ESG成長N</t>
        </is>
      </c>
      <c r="C347" t="n">
        <v>11.5</v>
      </c>
      <c r="D347" t="n">
        <v>11.34</v>
      </c>
      <c r="E347" s="504" t="n">
        <v>-0.15</v>
      </c>
      <c r="F347" s="505" t="n">
        <v>-1.31</v>
      </c>
      <c r="G347" t="inlineStr">
        <is>
          <t>216萬</t>
        </is>
      </c>
      <c r="H347" t="n">
        <v>189</v>
      </c>
      <c r="I347" t="n">
        <v>73</v>
      </c>
      <c r="J347" t="inlineStr">
        <is>
          <t>--</t>
        </is>
      </c>
      <c r="K347" t="n">
        <v>11.53</v>
      </c>
      <c r="L347" t="n">
        <v>11.3</v>
      </c>
      <c r="M347" s="175" t="inlineStr">
        <is>
          <t>--</t>
        </is>
      </c>
      <c r="N347" t="inlineStr">
        <is>
          <t>--</t>
        </is>
      </c>
    </row>
    <row r="348">
      <c r="A348" t="n">
        <v>20028</v>
      </c>
      <c r="B348" t="inlineStr">
        <is>
          <t>元大特選電動車N</t>
        </is>
      </c>
      <c r="C348" t="n">
        <v>21.94</v>
      </c>
      <c r="D348" t="n">
        <v>21.55</v>
      </c>
      <c r="E348" s="504" t="n">
        <v>-0.39</v>
      </c>
      <c r="F348" s="505" t="n">
        <v>-1.78</v>
      </c>
      <c r="G348" t="inlineStr">
        <is>
          <t>86.1萬</t>
        </is>
      </c>
      <c r="H348" t="n">
        <v>40</v>
      </c>
      <c r="I348" t="n">
        <v>27</v>
      </c>
      <c r="J348" t="inlineStr">
        <is>
          <t>--</t>
        </is>
      </c>
      <c r="K348" t="n">
        <v>21.94</v>
      </c>
      <c r="L348" t="n">
        <v>21.46</v>
      </c>
      <c r="M348" s="175" t="inlineStr">
        <is>
          <t>--</t>
        </is>
      </c>
      <c r="N348" t="inlineStr">
        <is>
          <t>--</t>
        </is>
      </c>
    </row>
    <row r="349">
      <c r="A349" t="n">
        <v>20029</v>
      </c>
      <c r="B349" t="inlineStr">
        <is>
          <t>元大ESG高股息N</t>
        </is>
      </c>
      <c r="C349" t="n">
        <v>18.5</v>
      </c>
      <c r="D349" t="n">
        <v>18.26</v>
      </c>
      <c r="E349" s="504" t="n">
        <v>-0.13</v>
      </c>
      <c r="F349" s="505" t="n">
        <v>-0.71</v>
      </c>
      <c r="G349" t="inlineStr">
        <is>
          <t>106萬</t>
        </is>
      </c>
      <c r="H349" t="n">
        <v>58</v>
      </c>
      <c r="I349" t="n">
        <v>36</v>
      </c>
      <c r="J349" t="inlineStr">
        <is>
          <t>--</t>
        </is>
      </c>
      <c r="K349" t="n">
        <v>18.78</v>
      </c>
      <c r="L349" t="n">
        <v>18</v>
      </c>
      <c r="M349" s="175" t="inlineStr">
        <is>
          <t>--</t>
        </is>
      </c>
      <c r="N349" t="inlineStr">
        <is>
          <t>--</t>
        </is>
      </c>
    </row>
    <row r="350">
      <c r="A350" t="n">
        <v>20030</v>
      </c>
      <c r="B350" t="inlineStr">
        <is>
          <t>統一智慧電動車N</t>
        </is>
      </c>
      <c r="C350" t="inlineStr">
        <is>
          <t>--</t>
        </is>
      </c>
      <c r="D350" t="inlineStr">
        <is>
          <t>--</t>
        </is>
      </c>
      <c r="E350" s="504" t="inlineStr">
        <is>
          <t>--</t>
        </is>
      </c>
      <c r="F350" s="505" t="inlineStr">
        <is>
          <t>--</t>
        </is>
      </c>
      <c r="G350" t="inlineStr">
        <is>
          <t>--</t>
        </is>
      </c>
      <c r="H350" t="n">
        <v>0</v>
      </c>
      <c r="I350" t="n">
        <v>21</v>
      </c>
      <c r="J350" t="inlineStr">
        <is>
          <t>--</t>
        </is>
      </c>
      <c r="K350" t="inlineStr">
        <is>
          <t>--</t>
        </is>
      </c>
      <c r="L350" t="inlineStr">
        <is>
          <t>--</t>
        </is>
      </c>
      <c r="M350" s="175" t="inlineStr">
        <is>
          <t>--</t>
        </is>
      </c>
      <c r="N350" t="inlineStr">
        <is>
          <t>--</t>
        </is>
      </c>
    </row>
    <row r="351">
      <c r="A351" t="n">
        <v>20031</v>
      </c>
      <c r="B351" t="inlineStr">
        <is>
          <t>統一IC設計臺灣N</t>
        </is>
      </c>
      <c r="C351" t="n">
        <v>11.06</v>
      </c>
      <c r="D351" t="n">
        <v>10.85</v>
      </c>
      <c r="E351" s="504" t="n">
        <v>-0.17</v>
      </c>
      <c r="F351" s="505" t="n">
        <v>-1.54</v>
      </c>
      <c r="G351" t="inlineStr">
        <is>
          <t>77.5萬</t>
        </is>
      </c>
      <c r="H351" t="n">
        <v>71</v>
      </c>
      <c r="I351" t="n">
        <v>52</v>
      </c>
      <c r="J351" t="inlineStr">
        <is>
          <t>--</t>
        </is>
      </c>
      <c r="K351" t="n">
        <v>11.19</v>
      </c>
      <c r="L351" t="n">
        <v>10.85</v>
      </c>
      <c r="M351" s="175" t="inlineStr">
        <is>
          <t>--</t>
        </is>
      </c>
      <c r="N351" t="inlineStr">
        <is>
          <t>--</t>
        </is>
      </c>
    </row>
    <row r="352">
      <c r="A352" t="n">
        <v>20032</v>
      </c>
      <c r="B352" t="inlineStr">
        <is>
          <t>元大綠能N</t>
        </is>
      </c>
      <c r="C352" t="inlineStr">
        <is>
          <t>--</t>
        </is>
      </c>
      <c r="D352" t="inlineStr">
        <is>
          <t>--</t>
        </is>
      </c>
      <c r="E352" s="504" t="inlineStr">
        <is>
          <t>--</t>
        </is>
      </c>
      <c r="F352" s="505" t="inlineStr">
        <is>
          <t>--</t>
        </is>
      </c>
      <c r="G352" t="inlineStr">
        <is>
          <t>--</t>
        </is>
      </c>
      <c r="H352" t="n">
        <v>0</v>
      </c>
      <c r="I352" t="n">
        <v>13</v>
      </c>
      <c r="J352" t="inlineStr">
        <is>
          <t>--</t>
        </is>
      </c>
      <c r="K352" t="inlineStr">
        <is>
          <t>--</t>
        </is>
      </c>
      <c r="L352" t="inlineStr">
        <is>
          <t>--</t>
        </is>
      </c>
      <c r="M352" s="175" t="inlineStr">
        <is>
          <t>--</t>
        </is>
      </c>
      <c r="N352" t="inlineStr">
        <is>
          <t>--</t>
        </is>
      </c>
    </row>
    <row r="353">
      <c r="A353" t="n">
        <v>20033</v>
      </c>
      <c r="B353" t="inlineStr">
        <is>
          <t>統一恒生科期N</t>
        </is>
      </c>
      <c r="C353" t="n">
        <v>4.01</v>
      </c>
      <c r="D353" t="n">
        <v>4.09</v>
      </c>
      <c r="E353" s="504" t="n">
        <v>0.12</v>
      </c>
      <c r="F353" s="505" t="n">
        <v>3.02</v>
      </c>
      <c r="G353" t="inlineStr">
        <is>
          <t>43.9萬</t>
        </is>
      </c>
      <c r="H353" t="n">
        <v>108</v>
      </c>
      <c r="I353" t="n">
        <v>11</v>
      </c>
      <c r="J353" t="inlineStr">
        <is>
          <t>--</t>
        </is>
      </c>
      <c r="K353" t="n">
        <v>4.11</v>
      </c>
      <c r="L353" t="n">
        <v>4.01</v>
      </c>
      <c r="M353" s="175" t="inlineStr">
        <is>
          <t>--</t>
        </is>
      </c>
      <c r="N353" t="inlineStr">
        <is>
          <t>--</t>
        </is>
      </c>
    </row>
    <row r="354">
      <c r="A354" t="n">
        <v>20034</v>
      </c>
      <c r="B354" t="inlineStr">
        <is>
          <t>元大IC設計N</t>
        </is>
      </c>
      <c r="C354" t="n">
        <v>15.09</v>
      </c>
      <c r="D354" t="n">
        <v>14.62</v>
      </c>
      <c r="E354" s="504" t="n">
        <v>-0.15</v>
      </c>
      <c r="F354" s="505" t="n">
        <v>-1.02</v>
      </c>
      <c r="G354" t="inlineStr">
        <is>
          <t>194萬</t>
        </is>
      </c>
      <c r="H354" t="n">
        <v>131</v>
      </c>
      <c r="I354" t="n">
        <v>48</v>
      </c>
      <c r="J354" t="inlineStr">
        <is>
          <t>--</t>
        </is>
      </c>
      <c r="K354" t="n">
        <v>15.12</v>
      </c>
      <c r="L354" t="n">
        <v>14.62</v>
      </c>
      <c r="M354" s="175" t="inlineStr">
        <is>
          <t>--</t>
        </is>
      </c>
      <c r="N354" t="inlineStr">
        <is>
          <t>--</t>
        </is>
      </c>
    </row>
    <row r="355">
      <c r="A355" t="n">
        <v>20035</v>
      </c>
      <c r="B355" t="inlineStr">
        <is>
          <t>元大上櫃ESG高息N</t>
        </is>
      </c>
      <c r="C355" t="n">
        <v>15.2</v>
      </c>
      <c r="D355" t="n">
        <v>15.2</v>
      </c>
      <c r="E355" s="504" t="n">
        <v>0.04</v>
      </c>
      <c r="F355" s="505" t="n">
        <v>0.26</v>
      </c>
      <c r="G355" t="inlineStr">
        <is>
          <t>1.52萬</t>
        </is>
      </c>
      <c r="H355" t="n">
        <v>1</v>
      </c>
      <c r="I355" t="n">
        <v>2</v>
      </c>
      <c r="J355" t="inlineStr">
        <is>
          <t>--</t>
        </is>
      </c>
      <c r="K355" t="n">
        <v>15.2</v>
      </c>
      <c r="L355" t="n">
        <v>15.2</v>
      </c>
      <c r="M355" s="175" t="inlineStr">
        <is>
          <t>--</t>
        </is>
      </c>
      <c r="N355" t="inlineStr">
        <is>
          <t>--</t>
        </is>
      </c>
    </row>
    <row r="356">
      <c r="A356" t="n">
        <v>20036</v>
      </c>
      <c r="B356" t="inlineStr">
        <is>
          <t>元大金融配息N</t>
        </is>
      </c>
      <c r="C356" t="inlineStr">
        <is>
          <t>--</t>
        </is>
      </c>
      <c r="D356" t="inlineStr">
        <is>
          <t>--</t>
        </is>
      </c>
      <c r="E356" s="504" t="inlineStr">
        <is>
          <t>--</t>
        </is>
      </c>
      <c r="F356" s="505" t="inlineStr">
        <is>
          <t>--</t>
        </is>
      </c>
      <c r="G356" t="inlineStr">
        <is>
          <t>--</t>
        </is>
      </c>
      <c r="H356" t="n">
        <v>0</v>
      </c>
      <c r="I356" t="n">
        <v>7</v>
      </c>
      <c r="J356" t="inlineStr">
        <is>
          <t>--</t>
        </is>
      </c>
      <c r="K356" t="inlineStr">
        <is>
          <t>--</t>
        </is>
      </c>
      <c r="L356" t="inlineStr">
        <is>
          <t>--</t>
        </is>
      </c>
      <c r="M356" s="175" t="inlineStr">
        <is>
          <t>--</t>
        </is>
      </c>
      <c r="N356" t="inlineStr">
        <is>
          <t>--</t>
        </is>
      </c>
    </row>
    <row r="357">
      <c r="A357" t="n">
        <v>20037</v>
      </c>
      <c r="B357" t="inlineStr">
        <is>
          <t>元大金融高股息N</t>
        </is>
      </c>
      <c r="C357" t="n">
        <v>9.24</v>
      </c>
      <c r="D357" t="n">
        <v>9.380000000000001</v>
      </c>
      <c r="E357" s="504" t="n">
        <v>0.31</v>
      </c>
      <c r="F357" s="505" t="n">
        <v>3.42</v>
      </c>
      <c r="G357" t="inlineStr">
        <is>
          <t>52.9萬</t>
        </is>
      </c>
      <c r="H357" t="n">
        <v>57</v>
      </c>
      <c r="I357" t="n">
        <v>15</v>
      </c>
      <c r="J357" t="inlineStr">
        <is>
          <t>--</t>
        </is>
      </c>
      <c r="K357" t="n">
        <v>9.41</v>
      </c>
      <c r="L357" t="n">
        <v>9.24</v>
      </c>
      <c r="M357" s="175" t="inlineStr">
        <is>
          <t>--</t>
        </is>
      </c>
      <c r="N357" t="inlineStr">
        <is>
          <t>--</t>
        </is>
      </c>
    </row>
    <row r="358">
      <c r="A358" t="n">
        <v>20038</v>
      </c>
      <c r="B358" t="inlineStr">
        <is>
          <t>元大ESG配息N</t>
        </is>
      </c>
      <c r="C358" t="n">
        <v>14.4</v>
      </c>
      <c r="D358" t="n">
        <v>14.1</v>
      </c>
      <c r="E358" s="504" t="n">
        <v>-0.05</v>
      </c>
      <c r="F358" s="505" t="n">
        <v>-0.35</v>
      </c>
      <c r="G358" t="inlineStr">
        <is>
          <t>72.0萬</t>
        </is>
      </c>
      <c r="H358" t="n">
        <v>51</v>
      </c>
      <c r="I358" t="n">
        <v>47</v>
      </c>
      <c r="J358" t="inlineStr">
        <is>
          <t>--</t>
        </is>
      </c>
      <c r="K358" t="n">
        <v>14.4</v>
      </c>
      <c r="L358" t="n">
        <v>13.82</v>
      </c>
      <c r="M358" s="175" t="inlineStr">
        <is>
          <t>--</t>
        </is>
      </c>
      <c r="N358" t="inlineStr">
        <is>
          <t>--</t>
        </is>
      </c>
    </row>
    <row r="359">
      <c r="A359" t="n">
        <v>20039</v>
      </c>
      <c r="B359" t="inlineStr">
        <is>
          <t>元大加權N</t>
        </is>
      </c>
      <c r="C359" t="n">
        <v>14.44</v>
      </c>
      <c r="D359" t="n">
        <v>14.5</v>
      </c>
      <c r="E359" s="504" t="n">
        <v>0.05</v>
      </c>
      <c r="F359" s="505" t="n">
        <v>0.35</v>
      </c>
      <c r="G359" t="inlineStr">
        <is>
          <t>37.6萬</t>
        </is>
      </c>
      <c r="H359" t="n">
        <v>26</v>
      </c>
      <c r="I359" t="n">
        <v>8</v>
      </c>
      <c r="J359" t="inlineStr">
        <is>
          <t>--</t>
        </is>
      </c>
      <c r="K359" t="n">
        <v>14.5</v>
      </c>
      <c r="L359" t="n">
        <v>14.33</v>
      </c>
      <c r="M359" s="175" t="inlineStr">
        <is>
          <t>--</t>
        </is>
      </c>
      <c r="N359" t="inlineStr">
        <is>
          <t>--</t>
        </is>
      </c>
    </row>
    <row r="360">
      <c r="A360" t="n">
        <v>20040</v>
      </c>
      <c r="B360" t="inlineStr">
        <is>
          <t>元大上櫃ESG龍頭N</t>
        </is>
      </c>
      <c r="C360" t="inlineStr">
        <is>
          <t>--</t>
        </is>
      </c>
      <c r="D360" t="inlineStr">
        <is>
          <t>--</t>
        </is>
      </c>
      <c r="E360" s="504" t="inlineStr">
        <is>
          <t>--</t>
        </is>
      </c>
      <c r="F360" s="505" t="inlineStr">
        <is>
          <t>--</t>
        </is>
      </c>
      <c r="G360" t="inlineStr">
        <is>
          <t>--</t>
        </is>
      </c>
      <c r="H360" t="n">
        <v>0</v>
      </c>
      <c r="I360" t="n">
        <v>0</v>
      </c>
      <c r="J360" t="inlineStr">
        <is>
          <t>--</t>
        </is>
      </c>
      <c r="K360" t="inlineStr">
        <is>
          <t>--</t>
        </is>
      </c>
      <c r="L360" t="inlineStr">
        <is>
          <t>--</t>
        </is>
      </c>
      <c r="M360" s="175" t="inlineStr">
        <is>
          <t>--</t>
        </is>
      </c>
      <c r="N360" t="inlineStr">
        <is>
          <t>--</t>
        </is>
      </c>
    </row>
    <row r="361">
      <c r="A361" t="n">
        <v>20041</v>
      </c>
      <c r="B361" t="inlineStr">
        <is>
          <t>兆豐半導體氣候N</t>
        </is>
      </c>
      <c r="C361" t="n">
        <v>19.8</v>
      </c>
      <c r="D361" t="n">
        <v>19.08</v>
      </c>
      <c r="E361" s="504" t="n">
        <v>-0.52</v>
      </c>
      <c r="F361" s="505" t="n">
        <v>-2.65</v>
      </c>
      <c r="G361" t="inlineStr">
        <is>
          <t>55.5萬</t>
        </is>
      </c>
      <c r="H361" t="n">
        <v>29</v>
      </c>
      <c r="I361" t="n">
        <v>43</v>
      </c>
      <c r="J361" t="inlineStr">
        <is>
          <t>--</t>
        </is>
      </c>
      <c r="K361" t="n">
        <v>19.8</v>
      </c>
      <c r="L361" t="n">
        <v>19</v>
      </c>
      <c r="M361" s="175" t="inlineStr">
        <is>
          <t>--</t>
        </is>
      </c>
      <c r="N361" t="inlineStr">
        <is>
          <t>--</t>
        </is>
      </c>
    </row>
    <row r="362">
      <c r="A362" t="n">
        <v>1101</v>
      </c>
      <c r="B362" t="inlineStr">
        <is>
          <t>台泥</t>
        </is>
      </c>
      <c r="C362" t="n">
        <v>24.55</v>
      </c>
      <c r="D362" t="n">
        <v>24.65</v>
      </c>
      <c r="E362" s="504" t="n">
        <v>0.1</v>
      </c>
      <c r="F362" s="505" t="n">
        <v>0.41</v>
      </c>
      <c r="G362" t="inlineStr">
        <is>
          <t>8.09億</t>
        </is>
      </c>
      <c r="H362" t="n">
        <v>32910</v>
      </c>
      <c r="I362" t="n">
        <v>36440</v>
      </c>
      <c r="J362" t="n">
        <v>752.3200000000001</v>
      </c>
      <c r="K362" t="n">
        <v>24.8</v>
      </c>
      <c r="L362" t="n">
        <v>24.4</v>
      </c>
      <c r="M362" s="175" t="n">
        <v>0.44</v>
      </c>
      <c r="N362" t="inlineStr">
        <is>
          <t>台灣最大水泥廠</t>
        </is>
      </c>
    </row>
    <row r="363">
      <c r="A363" t="n">
        <v>1102</v>
      </c>
      <c r="B363" t="inlineStr">
        <is>
          <t>亞泥</t>
        </is>
      </c>
      <c r="C363" t="n">
        <v>33.7</v>
      </c>
      <c r="D363" t="n">
        <v>33.8</v>
      </c>
      <c r="E363" s="504" t="n">
        <v>0</v>
      </c>
      <c r="F363" s="505" t="n">
        <v>0</v>
      </c>
      <c r="G363" t="inlineStr">
        <is>
          <t>8.95億</t>
        </is>
      </c>
      <c r="H363" t="n">
        <v>26291</v>
      </c>
      <c r="I363" t="n">
        <v>55623</v>
      </c>
      <c r="J363" t="n">
        <v>354.66</v>
      </c>
      <c r="K363" t="n">
        <v>34.4</v>
      </c>
      <c r="L363" t="n">
        <v>33.6</v>
      </c>
      <c r="M363" s="175" t="n">
        <v>0.74</v>
      </c>
      <c r="N363" t="inlineStr">
        <is>
          <t>台灣前二大水泥廠</t>
        </is>
      </c>
    </row>
    <row r="364">
      <c r="A364" t="n">
        <v>1103</v>
      </c>
      <c r="B364" t="inlineStr">
        <is>
          <t>嘉泥</t>
        </is>
      </c>
      <c r="C364" t="n">
        <v>13.4</v>
      </c>
      <c r="D364" t="n">
        <v>13.25</v>
      </c>
      <c r="E364" s="504" t="n">
        <v>-0.05</v>
      </c>
      <c r="F364" s="505" t="n">
        <v>-0.38</v>
      </c>
      <c r="G364" t="inlineStr">
        <is>
          <t>738萬</t>
        </is>
      </c>
      <c r="H364" t="n">
        <v>559</v>
      </c>
      <c r="I364" t="n">
        <v>404</v>
      </c>
      <c r="J364" t="n">
        <v>83.29000000000001</v>
      </c>
      <c r="K364" t="n">
        <v>13.4</v>
      </c>
      <c r="L364" t="n">
        <v>13.1</v>
      </c>
      <c r="M364" s="175" t="n">
        <v>0.07000000000000001</v>
      </c>
      <c r="N364" t="inlineStr">
        <is>
          <t>主要從事水泥通路貿易</t>
        </is>
      </c>
    </row>
    <row r="365">
      <c r="A365" t="n">
        <v>1104</v>
      </c>
      <c r="B365" t="inlineStr">
        <is>
          <t>環泥</t>
        </is>
      </c>
      <c r="C365" t="n">
        <v>28</v>
      </c>
      <c r="D365" t="n">
        <v>28.6</v>
      </c>
      <c r="E365" s="504" t="n">
        <v>0.7</v>
      </c>
      <c r="F365" s="505" t="n">
        <v>2.51</v>
      </c>
      <c r="G365" t="inlineStr">
        <is>
          <t>3360萬</t>
        </is>
      </c>
      <c r="H365" t="n">
        <v>1189</v>
      </c>
      <c r="I365" t="n">
        <v>834</v>
      </c>
      <c r="J365" t="n">
        <v>68.67</v>
      </c>
      <c r="K365" t="n">
        <v>28.6</v>
      </c>
      <c r="L365" t="n">
        <v>27.95</v>
      </c>
      <c r="M365" s="175" t="n">
        <v>0.17</v>
      </c>
      <c r="N365" t="inlineStr">
        <is>
          <t>台灣最大石膏板供應商</t>
        </is>
      </c>
    </row>
    <row r="366">
      <c r="A366" t="n">
        <v>1108</v>
      </c>
      <c r="B366" t="inlineStr">
        <is>
          <t>幸福</t>
        </is>
      </c>
      <c r="C366" t="n">
        <v>13.85</v>
      </c>
      <c r="D366" t="n">
        <v>13.8</v>
      </c>
      <c r="E366" s="504" t="n">
        <v>0</v>
      </c>
      <c r="F366" s="505" t="n">
        <v>0</v>
      </c>
      <c r="G366" t="inlineStr">
        <is>
          <t>412萬</t>
        </is>
      </c>
      <c r="H366" t="n">
        <v>299</v>
      </c>
      <c r="I366" t="n">
        <v>293</v>
      </c>
      <c r="J366" t="n">
        <v>40.47</v>
      </c>
      <c r="K366" t="n">
        <v>13.85</v>
      </c>
      <c r="L366" t="n">
        <v>13.75</v>
      </c>
      <c r="M366" s="175" t="n">
        <v>0.07000000000000001</v>
      </c>
      <c r="N366" t="inlineStr">
        <is>
          <t>台灣第三大水泥廠</t>
        </is>
      </c>
    </row>
    <row r="367">
      <c r="A367" t="n">
        <v>1109</v>
      </c>
      <c r="B367" t="inlineStr">
        <is>
          <t>信大</t>
        </is>
      </c>
      <c r="C367" t="n">
        <v>14.65</v>
      </c>
      <c r="D367" t="n">
        <v>14.65</v>
      </c>
      <c r="E367" s="504" t="n">
        <v>0</v>
      </c>
      <c r="F367" s="505" t="n">
        <v>0</v>
      </c>
      <c r="G367" t="inlineStr">
        <is>
          <t>131萬</t>
        </is>
      </c>
      <c r="H367" t="n">
        <v>91</v>
      </c>
      <c r="I367" t="n">
        <v>140</v>
      </c>
      <c r="J367" t="n">
        <v>34.12</v>
      </c>
      <c r="K367" t="n">
        <v>14.65</v>
      </c>
      <c r="L367" t="n">
        <v>14.5</v>
      </c>
      <c r="M367" s="175" t="n">
        <v>0.03</v>
      </c>
      <c r="N367" t="inlineStr">
        <is>
          <t>銷售市場以台北、宜蘭、基隆、桃園等為主</t>
        </is>
      </c>
    </row>
    <row r="368">
      <c r="A368" t="n">
        <v>1110</v>
      </c>
      <c r="B368" t="inlineStr">
        <is>
          <t>東泥</t>
        </is>
      </c>
      <c r="C368" t="n">
        <v>14.6</v>
      </c>
      <c r="D368" t="n">
        <v>14.5</v>
      </c>
      <c r="E368" s="504" t="n">
        <v>-0.1</v>
      </c>
      <c r="F368" s="505" t="n">
        <v>-0.68</v>
      </c>
      <c r="G368" t="inlineStr">
        <is>
          <t>238萬</t>
        </is>
      </c>
      <c r="H368" t="n">
        <v>165</v>
      </c>
      <c r="I368" t="n">
        <v>275</v>
      </c>
      <c r="J368" t="n">
        <v>57.2</v>
      </c>
      <c r="K368" t="n">
        <v>14.6</v>
      </c>
      <c r="L368" t="n">
        <v>14.25</v>
      </c>
      <c r="M368" s="175" t="n">
        <v>0.03</v>
      </c>
      <c r="N368" t="inlineStr">
        <is>
          <t>台灣中南部市場水泥供應商</t>
        </is>
      </c>
    </row>
    <row r="369">
      <c r="A369" t="n">
        <v>1201</v>
      </c>
      <c r="B369" t="inlineStr">
        <is>
          <t>味全</t>
        </is>
      </c>
      <c r="C369" t="n">
        <v>12.35</v>
      </c>
      <c r="D369" t="n">
        <v>12.2</v>
      </c>
      <c r="E369" s="504" t="n">
        <v>-0.1</v>
      </c>
      <c r="F369" s="505" t="n">
        <v>-0.8100000000000001</v>
      </c>
      <c r="G369" t="inlineStr">
        <is>
          <t>713萬</t>
        </is>
      </c>
      <c r="H369" t="n">
        <v>582</v>
      </c>
      <c r="I369" t="n">
        <v>610</v>
      </c>
      <c r="J369" t="n">
        <v>50.61</v>
      </c>
      <c r="K369" t="n">
        <v>12.35</v>
      </c>
      <c r="L369" t="n">
        <v>12.2</v>
      </c>
      <c r="M369" s="175" t="n">
        <v>0.12</v>
      </c>
      <c r="N369" t="inlineStr">
        <is>
          <t>老牌綜合食品大廠</t>
        </is>
      </c>
    </row>
    <row r="370">
      <c r="A370" t="n">
        <v>1203</v>
      </c>
      <c r="B370" t="inlineStr">
        <is>
          <t>味王</t>
        </is>
      </c>
      <c r="C370" t="n">
        <v>43.5</v>
      </c>
      <c r="D370" t="n">
        <v>44.15</v>
      </c>
      <c r="E370" s="504" t="n">
        <v>0.5</v>
      </c>
      <c r="F370" s="505" t="n">
        <v>1.15</v>
      </c>
      <c r="G370" t="inlineStr">
        <is>
          <t>74.2萬</t>
        </is>
      </c>
      <c r="H370" t="n">
        <v>17</v>
      </c>
      <c r="I370" t="n">
        <v>24</v>
      </c>
      <c r="J370" t="n">
        <v>24</v>
      </c>
      <c r="K370" t="n">
        <v>44.15</v>
      </c>
      <c r="L370" t="n">
        <v>43.4</v>
      </c>
      <c r="M370" s="175" t="n">
        <v>0.01</v>
      </c>
      <c r="N370" t="inlineStr">
        <is>
          <t>老牌食品廠</t>
        </is>
      </c>
    </row>
    <row r="371">
      <c r="A371" t="n">
        <v>1210</v>
      </c>
      <c r="B371" t="inlineStr">
        <is>
          <t>大成</t>
        </is>
      </c>
      <c r="C371" t="n">
        <v>52.2</v>
      </c>
      <c r="D371" t="n">
        <v>52.8</v>
      </c>
      <c r="E371" s="504" t="n">
        <v>0.3</v>
      </c>
      <c r="F371" s="505" t="n">
        <v>0.57</v>
      </c>
      <c r="G371" t="inlineStr">
        <is>
          <t>5.40億</t>
        </is>
      </c>
      <c r="H371" t="n">
        <v>10278</v>
      </c>
      <c r="I371" t="n">
        <v>2505</v>
      </c>
      <c r="J371" t="n">
        <v>89.48</v>
      </c>
      <c r="K371" t="n">
        <v>53.3</v>
      </c>
      <c r="L371" t="n">
        <v>51.7</v>
      </c>
      <c r="M371" s="175" t="n">
        <v>1.15</v>
      </c>
      <c r="N371" t="inlineStr">
        <is>
          <t>白肉雞電宰加工廠及飼料大廠</t>
        </is>
      </c>
    </row>
    <row r="372">
      <c r="A372" t="n">
        <v>1213</v>
      </c>
      <c r="B372" t="inlineStr">
        <is>
          <t>大飲</t>
        </is>
      </c>
      <c r="C372" t="n">
        <v>8.25</v>
      </c>
      <c r="D372" t="n">
        <v>8.44</v>
      </c>
      <c r="E372" s="504" t="n">
        <v>-0.06</v>
      </c>
      <c r="F372" s="505" t="n">
        <v>-0.71</v>
      </c>
      <c r="G372" t="inlineStr">
        <is>
          <t>4.14萬</t>
        </is>
      </c>
      <c r="H372" t="n">
        <v>5</v>
      </c>
      <c r="I372" t="n">
        <v>21</v>
      </c>
      <c r="J372" t="n">
        <v>5.66</v>
      </c>
      <c r="K372" t="n">
        <v>8.44</v>
      </c>
      <c r="L372" t="n">
        <v>8.25</v>
      </c>
      <c r="M372" s="175" t="n">
        <v>0.01</v>
      </c>
      <c r="N372" t="inlineStr">
        <is>
          <t>產品以蘋果西打為主</t>
        </is>
      </c>
    </row>
    <row r="373">
      <c r="A373" t="n">
        <v>1215</v>
      </c>
      <c r="B373" t="inlineStr">
        <is>
          <t>卜蜂</t>
        </is>
      </c>
      <c r="C373" t="n">
        <v>121</v>
      </c>
      <c r="D373" t="n">
        <v>117.5</v>
      </c>
      <c r="E373" s="504" t="n">
        <v>-4</v>
      </c>
      <c r="F373" s="505" t="n">
        <v>-3.29</v>
      </c>
      <c r="G373" t="inlineStr">
        <is>
          <t>5.15億</t>
        </is>
      </c>
      <c r="H373" t="n">
        <v>4379</v>
      </c>
      <c r="I373" t="n">
        <v>3724</v>
      </c>
      <c r="J373" t="n">
        <v>29.48</v>
      </c>
      <c r="K373" t="n">
        <v>121.5</v>
      </c>
      <c r="L373" t="n">
        <v>116.5</v>
      </c>
      <c r="M373" s="175" t="n">
        <v>1.49</v>
      </c>
      <c r="N373" t="inlineStr">
        <is>
          <t>台灣白肉雞供應商及飼料大廠</t>
        </is>
      </c>
    </row>
    <row r="374">
      <c r="A374" t="n">
        <v>1216</v>
      </c>
      <c r="B374" t="inlineStr">
        <is>
          <t>統一</t>
        </is>
      </c>
      <c r="C374" t="n">
        <v>73.3</v>
      </c>
      <c r="D374" t="n">
        <v>74.2</v>
      </c>
      <c r="E374" s="504" t="n">
        <v>0.5</v>
      </c>
      <c r="F374" s="505" t="n">
        <v>0.68</v>
      </c>
      <c r="G374" t="inlineStr">
        <is>
          <t>18.9億</t>
        </is>
      </c>
      <c r="H374" t="n">
        <v>25712</v>
      </c>
      <c r="I374" t="n">
        <v>25306</v>
      </c>
      <c r="J374" t="n">
        <v>568.2</v>
      </c>
      <c r="K374" t="n">
        <v>74.3</v>
      </c>
      <c r="L374" t="n">
        <v>72</v>
      </c>
      <c r="M374" s="175" t="n">
        <v>0.45</v>
      </c>
      <c r="N374" t="inlineStr">
        <is>
          <t>台灣食品業龍頭廠之一</t>
        </is>
      </c>
    </row>
    <row r="375">
      <c r="A375" t="n">
        <v>1217</v>
      </c>
      <c r="B375" t="inlineStr">
        <is>
          <t>愛之味</t>
        </is>
      </c>
      <c r="C375" t="n">
        <v>9.859999999999999</v>
      </c>
      <c r="D375" t="n">
        <v>9.84</v>
      </c>
      <c r="E375" s="504" t="n">
        <v>0.02</v>
      </c>
      <c r="F375" s="505" t="n">
        <v>0.2</v>
      </c>
      <c r="G375" t="inlineStr">
        <is>
          <t>845萬</t>
        </is>
      </c>
      <c r="H375" t="n">
        <v>864</v>
      </c>
      <c r="I375" t="n">
        <v>840</v>
      </c>
      <c r="J375" t="n">
        <v>49.45</v>
      </c>
      <c r="K375" t="n">
        <v>9.859999999999999</v>
      </c>
      <c r="L375" t="n">
        <v>9.75</v>
      </c>
      <c r="M375" s="175" t="n">
        <v>0.17</v>
      </c>
      <c r="N375" t="inlineStr">
        <is>
          <t>以飲料、傳統類罐頭為主的食品商</t>
        </is>
      </c>
    </row>
    <row r="376">
      <c r="A376" t="n">
        <v>1218</v>
      </c>
      <c r="B376" t="inlineStr">
        <is>
          <t>泰山</t>
        </is>
      </c>
      <c r="C376" t="n">
        <v>19.3</v>
      </c>
      <c r="D376" t="n">
        <v>19.4</v>
      </c>
      <c r="E376" s="504" t="n">
        <v>0.1</v>
      </c>
      <c r="F376" s="505" t="n">
        <v>0.52</v>
      </c>
      <c r="G376" t="inlineStr">
        <is>
          <t>2550萬</t>
        </is>
      </c>
      <c r="H376" t="n">
        <v>1317</v>
      </c>
      <c r="I376" t="n">
        <v>1003</v>
      </c>
      <c r="J376" t="n">
        <v>50</v>
      </c>
      <c r="K376" t="n">
        <v>19.5</v>
      </c>
      <c r="L376" t="n">
        <v>19.15</v>
      </c>
      <c r="M376" s="175" t="n">
        <v>0.26</v>
      </c>
      <c r="N376" t="inlineStr">
        <is>
          <t>台灣油脂、飲料大廠</t>
        </is>
      </c>
    </row>
    <row r="377">
      <c r="A377" t="n">
        <v>1219</v>
      </c>
      <c r="B377" t="inlineStr">
        <is>
          <t>福壽</t>
        </is>
      </c>
      <c r="C377" t="n">
        <v>12.7</v>
      </c>
      <c r="D377" t="n">
        <v>12.75</v>
      </c>
      <c r="E377" s="504" t="n">
        <v>0.05</v>
      </c>
      <c r="F377" s="505" t="n">
        <v>0.39</v>
      </c>
      <c r="G377" t="inlineStr">
        <is>
          <t>650萬</t>
        </is>
      </c>
      <c r="H377" t="n">
        <v>511</v>
      </c>
      <c r="I377" t="n">
        <v>455</v>
      </c>
      <c r="J377" t="n">
        <v>34.12</v>
      </c>
      <c r="K377" t="n">
        <v>12.8</v>
      </c>
      <c r="L377" t="n">
        <v>12.65</v>
      </c>
      <c r="M377" s="175" t="n">
        <v>0.15</v>
      </c>
      <c r="N377" t="inlineStr">
        <is>
          <t>台灣知名農糧油脂、寵物飼料大廠</t>
        </is>
      </c>
    </row>
    <row r="378">
      <c r="A378" t="n">
        <v>1220</v>
      </c>
      <c r="B378" t="inlineStr">
        <is>
          <t>台榮</t>
        </is>
      </c>
      <c r="C378" t="n">
        <v>11.7</v>
      </c>
      <c r="D378" t="n">
        <v>11.75</v>
      </c>
      <c r="E378" s="504" t="n">
        <v>0.05</v>
      </c>
      <c r="F378" s="505" t="n">
        <v>0.43</v>
      </c>
      <c r="G378" t="inlineStr">
        <is>
          <t>167萬</t>
        </is>
      </c>
      <c r="H378" t="n">
        <v>143</v>
      </c>
      <c r="I378" t="n">
        <v>132</v>
      </c>
      <c r="J378" t="n">
        <v>17.71</v>
      </c>
      <c r="K378" t="n">
        <v>11.75</v>
      </c>
      <c r="L378" t="n">
        <v>11.6</v>
      </c>
      <c r="M378" s="175" t="n">
        <v>0.08</v>
      </c>
      <c r="N378" t="inlineStr">
        <is>
          <t>台灣知名果糖大廠，並生產飼料及水產品</t>
        </is>
      </c>
    </row>
    <row r="379">
      <c r="A379" t="n">
        <v>1225</v>
      </c>
      <c r="B379" t="inlineStr">
        <is>
          <t>福懋油</t>
        </is>
      </c>
      <c r="C379" t="n">
        <v>29.7</v>
      </c>
      <c r="D379" t="n">
        <v>29.6</v>
      </c>
      <c r="E379" s="504" t="n">
        <v>-0.1</v>
      </c>
      <c r="F379" s="505" t="n">
        <v>-0.34</v>
      </c>
      <c r="G379" t="inlineStr">
        <is>
          <t>367萬</t>
        </is>
      </c>
      <c r="H379" t="n">
        <v>124</v>
      </c>
      <c r="I379" t="n">
        <v>182</v>
      </c>
      <c r="J379" t="n">
        <v>24.23</v>
      </c>
      <c r="K379" t="n">
        <v>29.8</v>
      </c>
      <c r="L379" t="n">
        <v>29.3</v>
      </c>
      <c r="M379" s="175" t="n">
        <v>0.05</v>
      </c>
      <c r="N379" t="inlineStr">
        <is>
          <t>台灣油脂、飼料大廠</t>
        </is>
      </c>
    </row>
    <row r="380">
      <c r="A380" t="n">
        <v>1227</v>
      </c>
      <c r="B380" t="inlineStr">
        <is>
          <t>佳格</t>
        </is>
      </c>
      <c r="C380" t="n">
        <v>28.2</v>
      </c>
      <c r="D380" t="n">
        <v>27.95</v>
      </c>
      <c r="E380" s="504" t="n">
        <v>-0.25</v>
      </c>
      <c r="F380" s="505" t="n">
        <v>-0.89</v>
      </c>
      <c r="G380" t="inlineStr">
        <is>
          <t>1.43億</t>
        </is>
      </c>
      <c r="H380" t="n">
        <v>5104</v>
      </c>
      <c r="I380" t="n">
        <v>1592</v>
      </c>
      <c r="J380" t="n">
        <v>91.51000000000001</v>
      </c>
      <c r="K380" t="n">
        <v>28.3</v>
      </c>
      <c r="L380" t="n">
        <v>27.95</v>
      </c>
      <c r="M380" s="175" t="n">
        <v>0.5600000000000001</v>
      </c>
      <c r="N380" t="inlineStr">
        <is>
          <t>台灣最大穀物營養品與油品供應商</t>
        </is>
      </c>
    </row>
    <row r="381">
      <c r="A381" t="n">
        <v>1229</v>
      </c>
      <c r="B381" t="inlineStr">
        <is>
          <t>聯華</t>
        </is>
      </c>
      <c r="C381" t="n">
        <v>40.4</v>
      </c>
      <c r="D381" t="n">
        <v>43.2</v>
      </c>
      <c r="E381" s="504" t="n">
        <v>2.8</v>
      </c>
      <c r="F381" s="505" t="n">
        <v>6.93</v>
      </c>
      <c r="G381" t="inlineStr">
        <is>
          <t>6.22億</t>
        </is>
      </c>
      <c r="H381" t="n">
        <v>14593</v>
      </c>
      <c r="I381" t="n">
        <v>3783</v>
      </c>
      <c r="J381" t="n">
        <v>179.6</v>
      </c>
      <c r="K381" t="n">
        <v>43.9</v>
      </c>
      <c r="L381" t="n">
        <v>40.05</v>
      </c>
      <c r="M381" s="175" t="n">
        <v>0.8100000000000001</v>
      </c>
      <c r="N381" t="inlineStr">
        <is>
          <t>聯華神通集團之創始公司，是台灣麵粉品牌龍頭企業</t>
        </is>
      </c>
    </row>
    <row r="382">
      <c r="A382" t="n">
        <v>1231</v>
      </c>
      <c r="B382" t="inlineStr">
        <is>
          <t>聯華食</t>
        </is>
      </c>
      <c r="C382" t="n">
        <v>85.8</v>
      </c>
      <c r="D382" t="n">
        <v>86.09999999999999</v>
      </c>
      <c r="E382" s="504" t="n">
        <v>0.1</v>
      </c>
      <c r="F382" s="505" t="n">
        <v>0.12</v>
      </c>
      <c r="G382" t="inlineStr">
        <is>
          <t>2942萬</t>
        </is>
      </c>
      <c r="H382" t="n">
        <v>343</v>
      </c>
      <c r="I382" t="n">
        <v>443</v>
      </c>
      <c r="J382" t="n">
        <v>29.85</v>
      </c>
      <c r="K382" t="n">
        <v>86.2</v>
      </c>
      <c r="L382" t="n">
        <v>85.3</v>
      </c>
      <c r="M382" s="175" t="n">
        <v>0.11</v>
      </c>
      <c r="N382" t="inlineStr">
        <is>
          <t>台灣休閒食品大廠，並供應7-11鮮食產品</t>
        </is>
      </c>
    </row>
    <row r="383">
      <c r="A383" t="n">
        <v>1232</v>
      </c>
      <c r="B383" t="inlineStr">
        <is>
          <t>大統益</t>
        </is>
      </c>
      <c r="C383" t="n">
        <v>147.5</v>
      </c>
      <c r="D383" t="n">
        <v>148</v>
      </c>
      <c r="E383" s="504" t="n">
        <v>0.5</v>
      </c>
      <c r="F383" s="505" t="n">
        <v>0.34</v>
      </c>
      <c r="G383" t="inlineStr">
        <is>
          <t>3173萬</t>
        </is>
      </c>
      <c r="H383" t="n">
        <v>215</v>
      </c>
      <c r="I383" t="n">
        <v>167</v>
      </c>
      <c r="J383" t="n">
        <v>16</v>
      </c>
      <c r="K383" t="n">
        <v>148.5</v>
      </c>
      <c r="L383" t="n">
        <v>147</v>
      </c>
      <c r="M383" s="175" t="n">
        <v>0.13</v>
      </c>
      <c r="N383" t="inlineStr">
        <is>
          <t>台灣最大黃豆加工製造廠，是豆粉與油脂製造龍頭</t>
        </is>
      </c>
    </row>
    <row r="384">
      <c r="A384" t="n">
        <v>1233</v>
      </c>
      <c r="B384" t="inlineStr">
        <is>
          <t>天仁</t>
        </is>
      </c>
      <c r="C384" t="n">
        <v>27.9</v>
      </c>
      <c r="D384" t="n">
        <v>27.6</v>
      </c>
      <c r="E384" s="504" t="n">
        <v>-0.2</v>
      </c>
      <c r="F384" s="505" t="n">
        <v>-0.72</v>
      </c>
      <c r="G384" t="inlineStr">
        <is>
          <t>139萬</t>
        </is>
      </c>
      <c r="H384" t="n">
        <v>50</v>
      </c>
      <c r="I384" t="n">
        <v>245</v>
      </c>
      <c r="J384" t="n">
        <v>9.06</v>
      </c>
      <c r="K384" t="n">
        <v>27.9</v>
      </c>
      <c r="L384" t="n">
        <v>27.6</v>
      </c>
      <c r="M384" s="175" t="n">
        <v>0.06</v>
      </c>
      <c r="N384" t="inlineStr">
        <is>
          <t>台灣知名茶葉廠並轉投資喫茶趣</t>
        </is>
      </c>
    </row>
    <row r="385">
      <c r="A385" t="n">
        <v>1234</v>
      </c>
      <c r="B385" t="inlineStr">
        <is>
          <t>黑松</t>
        </is>
      </c>
      <c r="C385" t="n">
        <v>34.5</v>
      </c>
      <c r="D385" t="n">
        <v>34.9</v>
      </c>
      <c r="E385" s="504" t="n">
        <v>0.35</v>
      </c>
      <c r="F385" s="505" t="n">
        <v>1.01</v>
      </c>
      <c r="G385" t="inlineStr">
        <is>
          <t>558萬</t>
        </is>
      </c>
      <c r="H385" t="n">
        <v>161</v>
      </c>
      <c r="I385" t="n">
        <v>177</v>
      </c>
      <c r="J385" t="n">
        <v>40.19</v>
      </c>
      <c r="K385" t="n">
        <v>34.9</v>
      </c>
      <c r="L385" t="n">
        <v>34.4</v>
      </c>
      <c r="M385" s="175" t="n">
        <v>0.04</v>
      </c>
      <c r="N385" t="inlineStr">
        <is>
          <t>主要從事黑松品牌飲料製造及酒品代理</t>
        </is>
      </c>
    </row>
    <row r="386">
      <c r="A386" t="n">
        <v>1235</v>
      </c>
      <c r="B386" t="inlineStr">
        <is>
          <t>興泰</t>
        </is>
      </c>
      <c r="C386" t="n">
        <v>41.45</v>
      </c>
      <c r="D386" t="n">
        <v>40.95</v>
      </c>
      <c r="E386" s="504" t="n">
        <v>-0.15</v>
      </c>
      <c r="F386" s="505" t="n">
        <v>-0.36</v>
      </c>
      <c r="G386" t="inlineStr">
        <is>
          <t>56.7萬</t>
        </is>
      </c>
      <c r="H386" t="n">
        <v>14</v>
      </c>
      <c r="I386" t="n">
        <v>72</v>
      </c>
      <c r="J386" t="n">
        <v>18.86</v>
      </c>
      <c r="K386" t="n">
        <v>41.45</v>
      </c>
      <c r="L386" t="n">
        <v>39.3</v>
      </c>
      <c r="M386" s="175" t="n">
        <v>0.01</v>
      </c>
      <c r="N386" t="inlineStr">
        <is>
          <t>生產畜產及水產類飼料之廠商</t>
        </is>
      </c>
    </row>
    <row r="387">
      <c r="A387" t="n">
        <v>1236</v>
      </c>
      <c r="B387" t="inlineStr">
        <is>
          <t>宏亞</t>
        </is>
      </c>
      <c r="C387" t="n">
        <v>24.85</v>
      </c>
      <c r="D387" t="n">
        <v>24.7</v>
      </c>
      <c r="E387" s="504" t="n">
        <v>0.1</v>
      </c>
      <c r="F387" s="505" t="n">
        <v>0.41</v>
      </c>
      <c r="G387" t="inlineStr">
        <is>
          <t>44.4萬</t>
        </is>
      </c>
      <c r="H387" t="n">
        <v>18</v>
      </c>
      <c r="I387" t="n">
        <v>34</v>
      </c>
      <c r="J387" t="n">
        <v>8.67</v>
      </c>
      <c r="K387" t="n">
        <v>24.85</v>
      </c>
      <c r="L387" t="n">
        <v>24.5</v>
      </c>
      <c r="M387" s="175" t="n">
        <v>0.02</v>
      </c>
      <c r="N387" t="inlineStr">
        <is>
          <t>旗下七七巧克力與禮坊喜餅為知名品牌</t>
        </is>
      </c>
    </row>
    <row r="388">
      <c r="A388" t="n">
        <v>1240</v>
      </c>
      <c r="B388" t="inlineStr">
        <is>
          <t>茂生農經</t>
        </is>
      </c>
      <c r="C388" t="n">
        <v>57</v>
      </c>
      <c r="D388" t="n">
        <v>57.2</v>
      </c>
      <c r="E388" s="504" t="n">
        <v>-0.1</v>
      </c>
      <c r="F388" s="505" t="n">
        <v>-0.17</v>
      </c>
      <c r="G388" t="inlineStr">
        <is>
          <t>137萬</t>
        </is>
      </c>
      <c r="H388" t="n">
        <v>24</v>
      </c>
      <c r="I388" t="n">
        <v>17</v>
      </c>
      <c r="J388" t="n">
        <v>4.42</v>
      </c>
      <c r="K388" t="n">
        <v>57.2</v>
      </c>
      <c r="L388" t="n">
        <v>56.9</v>
      </c>
      <c r="M388" s="175" t="n">
        <v>0.05</v>
      </c>
      <c r="N388" t="inlineStr">
        <is>
          <t>家禽家畜飼料、大宗原料供應商</t>
        </is>
      </c>
    </row>
    <row r="389">
      <c r="A389" t="n">
        <v>1256</v>
      </c>
      <c r="B389" t="inlineStr">
        <is>
          <t>鮮活果汁-KY</t>
        </is>
      </c>
      <c r="C389" t="n">
        <v>212</v>
      </c>
      <c r="D389" t="n">
        <v>203</v>
      </c>
      <c r="E389" s="504" t="n">
        <v>-6.5</v>
      </c>
      <c r="F389" s="505" t="n">
        <v>-3.1</v>
      </c>
      <c r="G389" t="inlineStr">
        <is>
          <t>3668萬</t>
        </is>
      </c>
      <c r="H389" t="n">
        <v>179</v>
      </c>
      <c r="I389" t="n">
        <v>268</v>
      </c>
      <c r="J389" t="n">
        <v>3.58</v>
      </c>
      <c r="K389" t="n">
        <v>212</v>
      </c>
      <c r="L389" t="n">
        <v>201.5</v>
      </c>
      <c r="M389" s="175" t="n">
        <v>0.5</v>
      </c>
      <c r="N389" t="inlineStr">
        <is>
          <t>大陸新茶飲上游原料供應商</t>
        </is>
      </c>
    </row>
    <row r="390">
      <c r="A390" t="n">
        <v>1259</v>
      </c>
      <c r="B390" t="inlineStr">
        <is>
          <t>安心</t>
        </is>
      </c>
      <c r="C390" t="n">
        <v>58</v>
      </c>
      <c r="D390" t="n">
        <v>57.7</v>
      </c>
      <c r="E390" s="504" t="n">
        <v>-0.3</v>
      </c>
      <c r="F390" s="505" t="n">
        <v>-0.52</v>
      </c>
      <c r="G390" t="inlineStr">
        <is>
          <t>45.7萬</t>
        </is>
      </c>
      <c r="H390" t="n">
        <v>8</v>
      </c>
      <c r="I390" t="n">
        <v>10</v>
      </c>
      <c r="J390" t="n">
        <v>3.24</v>
      </c>
      <c r="K390" t="n">
        <v>58</v>
      </c>
      <c r="L390" t="n">
        <v>56.7</v>
      </c>
      <c r="M390" s="175" t="n">
        <v>0.02</v>
      </c>
      <c r="N390" t="inlineStr">
        <is>
          <t>東元旗下，以摩斯為速食餐飲連鎖品牌</t>
        </is>
      </c>
    </row>
    <row r="391">
      <c r="A391" t="n">
        <v>1264</v>
      </c>
      <c r="B391" t="inlineStr">
        <is>
          <t>德麥</t>
        </is>
      </c>
      <c r="C391" t="n">
        <v>268</v>
      </c>
      <c r="D391" t="n">
        <v>267</v>
      </c>
      <c r="E391" s="504" t="n">
        <v>0</v>
      </c>
      <c r="F391" s="505" t="n">
        <v>0</v>
      </c>
      <c r="G391" t="inlineStr">
        <is>
          <t>1575萬</t>
        </is>
      </c>
      <c r="H391" t="n">
        <v>59</v>
      </c>
      <c r="I391" t="n">
        <v>62</v>
      </c>
      <c r="J391" t="n">
        <v>3.71</v>
      </c>
      <c r="K391" t="n">
        <v>269</v>
      </c>
      <c r="L391" t="n">
        <v>265</v>
      </c>
      <c r="M391" s="175" t="n">
        <v>0.16</v>
      </c>
      <c r="N391" t="inlineStr">
        <is>
          <t>台灣最大烘焙原物料供應商</t>
        </is>
      </c>
    </row>
    <row r="392">
      <c r="A392" t="n">
        <v>1268</v>
      </c>
      <c r="B392" t="inlineStr">
        <is>
          <t>漢來美食</t>
        </is>
      </c>
      <c r="C392" t="n">
        <v>169</v>
      </c>
      <c r="D392" t="n">
        <v>169</v>
      </c>
      <c r="E392" s="504" t="n">
        <v>0</v>
      </c>
      <c r="F392" s="505" t="n">
        <v>0</v>
      </c>
      <c r="G392" t="inlineStr">
        <is>
          <t>473萬</t>
        </is>
      </c>
      <c r="H392" t="n">
        <v>28</v>
      </c>
      <c r="I392" t="n">
        <v>33</v>
      </c>
      <c r="J392" t="n">
        <v>4.22</v>
      </c>
      <c r="K392" t="n">
        <v>169.5</v>
      </c>
      <c r="L392" t="n">
        <v>168.5</v>
      </c>
      <c r="M392" s="175" t="n">
        <v>0.07000000000000001</v>
      </c>
      <c r="N392" t="inlineStr">
        <is>
          <t>台灣知名餐飲集團，經營多元品牌</t>
        </is>
      </c>
    </row>
    <row r="393">
      <c r="A393" t="n">
        <v>1294</v>
      </c>
      <c r="B393" t="inlineStr">
        <is>
          <t>漢田生技</t>
        </is>
      </c>
      <c r="C393" t="n">
        <v>78</v>
      </c>
      <c r="D393" t="n">
        <v>78</v>
      </c>
      <c r="E393" s="504" t="n">
        <v>0</v>
      </c>
      <c r="F393" s="505" t="n">
        <v>0</v>
      </c>
      <c r="G393" t="inlineStr">
        <is>
          <t>15.6萬</t>
        </is>
      </c>
      <c r="H393" t="n">
        <v>2</v>
      </c>
      <c r="I393" t="n">
        <v>20</v>
      </c>
      <c r="J393" t="n">
        <v>3.06</v>
      </c>
      <c r="K393" t="n">
        <v>78</v>
      </c>
      <c r="L393" t="n">
        <v>78</v>
      </c>
      <c r="M393" s="175" t="n">
        <v>0.01</v>
      </c>
      <c r="N393" t="inlineStr">
        <is>
          <t>台灣知名的液劑、晶凍保健食品代工廠</t>
        </is>
      </c>
    </row>
    <row r="394">
      <c r="A394" t="n">
        <v>1295</v>
      </c>
      <c r="B394" t="inlineStr">
        <is>
          <t>生合</t>
        </is>
      </c>
      <c r="C394" t="n">
        <v>50.1</v>
      </c>
      <c r="D394" t="n">
        <v>48.5</v>
      </c>
      <c r="E394" s="504" t="n">
        <v>-1.5</v>
      </c>
      <c r="F394" s="505" t="n">
        <v>-3</v>
      </c>
      <c r="G394" t="inlineStr">
        <is>
          <t>603萬</t>
        </is>
      </c>
      <c r="H394" t="n">
        <v>123</v>
      </c>
      <c r="I394" t="n">
        <v>76</v>
      </c>
      <c r="J394" t="n">
        <v>3.45</v>
      </c>
      <c r="K394" t="n">
        <v>50.2</v>
      </c>
      <c r="L394" t="n">
        <v>48.1</v>
      </c>
      <c r="M394" s="175" t="n">
        <v>0.36</v>
      </c>
      <c r="N394" t="inlineStr">
        <is>
          <t>台灣專精乳酸菌研發與生產製造商</t>
        </is>
      </c>
    </row>
    <row r="395">
      <c r="A395" t="n">
        <v>1301</v>
      </c>
      <c r="B395" t="inlineStr">
        <is>
          <t>台塑</t>
        </is>
      </c>
      <c r="C395" t="n">
        <v>49.75</v>
      </c>
      <c r="D395" t="n">
        <v>50.9</v>
      </c>
      <c r="E395" s="504" t="n">
        <v>0.9</v>
      </c>
      <c r="F395" s="505" t="n">
        <v>1.8</v>
      </c>
      <c r="G395" t="inlineStr">
        <is>
          <t>26.1億</t>
        </is>
      </c>
      <c r="H395" t="n">
        <v>51928</v>
      </c>
      <c r="I395" t="n">
        <v>34497</v>
      </c>
      <c r="J395" t="n">
        <v>636.5700000000001</v>
      </c>
      <c r="K395" t="n">
        <v>51.1</v>
      </c>
      <c r="L395" t="n">
        <v>49.15</v>
      </c>
      <c r="M395" s="175" t="n">
        <v>0.82</v>
      </c>
      <c r="N395" t="inlineStr">
        <is>
          <t>台灣最大塑化集團，亞洲最大PVC生產商</t>
        </is>
      </c>
    </row>
    <row r="396">
      <c r="A396" t="n">
        <v>1303</v>
      </c>
      <c r="B396" t="inlineStr">
        <is>
          <t>南亞</t>
        </is>
      </c>
      <c r="C396" t="n">
        <v>110</v>
      </c>
      <c r="D396" t="n">
        <v>112.5</v>
      </c>
      <c r="E396" s="504" t="n">
        <v>5</v>
      </c>
      <c r="F396" s="505" t="n">
        <v>4.65</v>
      </c>
      <c r="G396" t="inlineStr">
        <is>
          <t>170億</t>
        </is>
      </c>
      <c r="H396" t="n">
        <v>150854</v>
      </c>
      <c r="I396" t="n">
        <v>115784</v>
      </c>
      <c r="J396" t="n">
        <v>793.08</v>
      </c>
      <c r="K396" t="n">
        <v>118</v>
      </c>
      <c r="L396" t="n">
        <v>108.5</v>
      </c>
      <c r="M396" s="175" t="n">
        <v>1.9</v>
      </c>
      <c r="N396" t="inlineStr">
        <is>
          <t>全球最大的塑膠加工廠、第四大EG廠</t>
        </is>
      </c>
    </row>
    <row r="397">
      <c r="A397" t="n">
        <v>1304</v>
      </c>
      <c r="B397" t="inlineStr">
        <is>
          <t>台聚</t>
        </is>
      </c>
      <c r="C397" t="n">
        <v>13.4</v>
      </c>
      <c r="D397" t="n">
        <v>13.3</v>
      </c>
      <c r="E397" s="504" t="n">
        <v>0.3</v>
      </c>
      <c r="F397" s="505" t="n">
        <v>2.31</v>
      </c>
      <c r="G397" t="inlineStr">
        <is>
          <t>1.36億</t>
        </is>
      </c>
      <c r="H397" t="n">
        <v>10374</v>
      </c>
      <c r="I397" t="n">
        <v>7849</v>
      </c>
      <c r="J397" t="n">
        <v>118.88</v>
      </c>
      <c r="K397" t="n">
        <v>13.4</v>
      </c>
      <c r="L397" t="n">
        <v>12.95</v>
      </c>
      <c r="M397" s="175" t="n">
        <v>0.87</v>
      </c>
      <c r="N397" t="inlineStr">
        <is>
          <t>台灣EVA、PE知名廠商</t>
        </is>
      </c>
    </row>
    <row r="398">
      <c r="A398" t="n">
        <v>1305</v>
      </c>
      <c r="B398" t="inlineStr">
        <is>
          <t>華夏</t>
        </is>
      </c>
      <c r="C398" t="n">
        <v>13.1</v>
      </c>
      <c r="D398" t="n">
        <v>13.1</v>
      </c>
      <c r="E398" s="504" t="n">
        <v>0.25</v>
      </c>
      <c r="F398" s="505" t="n">
        <v>1.95</v>
      </c>
      <c r="G398" t="inlineStr">
        <is>
          <t>5817萬</t>
        </is>
      </c>
      <c r="H398" t="n">
        <v>4478</v>
      </c>
      <c r="I398" t="n">
        <v>4530</v>
      </c>
      <c r="J398" t="n">
        <v>58.11</v>
      </c>
      <c r="K398" t="n">
        <v>13.3</v>
      </c>
      <c r="L398" t="n">
        <v>12.8</v>
      </c>
      <c r="M398" s="175" t="n">
        <v>0.77</v>
      </c>
      <c r="N398" t="inlineStr">
        <is>
          <t>台灣第二大PVC廠，轉投資台氯</t>
        </is>
      </c>
    </row>
    <row r="399">
      <c r="A399" t="n">
        <v>1307</v>
      </c>
      <c r="B399" t="inlineStr">
        <is>
          <t>三芳</t>
        </is>
      </c>
      <c r="C399" t="n">
        <v>32.55</v>
      </c>
      <c r="D399" t="n">
        <v>33.15</v>
      </c>
      <c r="E399" s="504" t="n">
        <v>0.65</v>
      </c>
      <c r="F399" s="505" t="n">
        <v>2</v>
      </c>
      <c r="G399" t="inlineStr">
        <is>
          <t>5056萬</t>
        </is>
      </c>
      <c r="H399" t="n">
        <v>1542</v>
      </c>
      <c r="I399" t="n">
        <v>1057</v>
      </c>
      <c r="J399" t="n">
        <v>39.78</v>
      </c>
      <c r="K399" t="n">
        <v>33.2</v>
      </c>
      <c r="L399" t="n">
        <v>32.15</v>
      </c>
      <c r="M399" s="175" t="n">
        <v>0.39</v>
      </c>
      <c r="N399" t="inlineStr">
        <is>
          <t>全球最大的合成皮生產商</t>
        </is>
      </c>
    </row>
    <row r="400">
      <c r="A400" t="n">
        <v>1308</v>
      </c>
      <c r="B400" t="inlineStr">
        <is>
          <t>亞聚</t>
        </is>
      </c>
      <c r="C400" t="n">
        <v>13.8</v>
      </c>
      <c r="D400" t="n">
        <v>13.85</v>
      </c>
      <c r="E400" s="504" t="n">
        <v>0.2</v>
      </c>
      <c r="F400" s="505" t="n">
        <v>1.47</v>
      </c>
      <c r="G400" t="inlineStr">
        <is>
          <t>7031萬</t>
        </is>
      </c>
      <c r="H400" t="n">
        <v>5135</v>
      </c>
      <c r="I400" t="n">
        <v>3791</v>
      </c>
      <c r="J400" t="n">
        <v>59.37</v>
      </c>
      <c r="K400" t="n">
        <v>13.95</v>
      </c>
      <c r="L400" t="n">
        <v>13.5</v>
      </c>
      <c r="M400" s="175" t="n">
        <v>0.86</v>
      </c>
      <c r="N400" t="inlineStr">
        <is>
          <t>台聚轉投資之EVA及LDPE知名廠商</t>
        </is>
      </c>
    </row>
    <row r="401">
      <c r="A401" t="n">
        <v>1309</v>
      </c>
      <c r="B401" t="inlineStr">
        <is>
          <t>台達化</t>
        </is>
      </c>
      <c r="C401" t="n">
        <v>16.4</v>
      </c>
      <c r="D401" t="n">
        <v>16.55</v>
      </c>
      <c r="E401" s="504" t="n">
        <v>0.35</v>
      </c>
      <c r="F401" s="505" t="n">
        <v>2.16</v>
      </c>
      <c r="G401" t="inlineStr">
        <is>
          <t>1.52億</t>
        </is>
      </c>
      <c r="H401" t="n">
        <v>9116</v>
      </c>
      <c r="I401" t="n">
        <v>7610</v>
      </c>
      <c r="J401" t="n">
        <v>39.76</v>
      </c>
      <c r="K401" t="n">
        <v>17.15</v>
      </c>
      <c r="L401" t="n">
        <v>16.3</v>
      </c>
      <c r="M401" s="175" t="n">
        <v>2.29</v>
      </c>
      <c r="N401" t="inlineStr">
        <is>
          <t>台灣第三大PS廠</t>
        </is>
      </c>
    </row>
    <row r="402">
      <c r="A402" t="n">
        <v>1310</v>
      </c>
      <c r="B402" t="inlineStr">
        <is>
          <t>台苯</t>
        </is>
      </c>
      <c r="C402" t="n">
        <v>8.449999999999999</v>
      </c>
      <c r="D402" t="n">
        <v>8.65</v>
      </c>
      <c r="E402" s="504" t="n">
        <v>0.32</v>
      </c>
      <c r="F402" s="505" t="n">
        <v>3.84</v>
      </c>
      <c r="G402" t="inlineStr">
        <is>
          <t>5308萬</t>
        </is>
      </c>
      <c r="H402" t="n">
        <v>6282</v>
      </c>
      <c r="I402" t="n">
        <v>4425</v>
      </c>
      <c r="J402" t="n">
        <v>52.79</v>
      </c>
      <c r="K402" t="n">
        <v>8.65</v>
      </c>
      <c r="L402" t="n">
        <v>8.390000000000001</v>
      </c>
      <c r="M402" s="175" t="n">
        <v>1.19</v>
      </c>
      <c r="N402" t="inlineStr">
        <is>
          <t>台灣第三大SM廠</t>
        </is>
      </c>
    </row>
    <row r="403">
      <c r="A403" t="n">
        <v>1312</v>
      </c>
      <c r="B403" t="inlineStr">
        <is>
          <t>國喬</t>
        </is>
      </c>
      <c r="C403" t="n">
        <v>13.25</v>
      </c>
      <c r="D403" t="n">
        <v>13.25</v>
      </c>
      <c r="E403" s="504" t="n">
        <v>1.2</v>
      </c>
      <c r="F403" s="505" t="n">
        <v>9.960000000000001</v>
      </c>
      <c r="G403" t="inlineStr">
        <is>
          <t>1.53億</t>
        </is>
      </c>
      <c r="H403" t="n">
        <v>11560</v>
      </c>
      <c r="I403" t="n">
        <v>15717</v>
      </c>
      <c r="J403" t="n">
        <v>110.66</v>
      </c>
      <c r="K403" t="n">
        <v>13.25</v>
      </c>
      <c r="L403" t="n">
        <v>13.25</v>
      </c>
      <c r="M403" s="175" t="n">
        <v>1.04</v>
      </c>
      <c r="N403" t="inlineStr">
        <is>
          <t>台灣第二大SM及ABS廠</t>
        </is>
      </c>
    </row>
    <row r="404">
      <c r="A404" t="n">
        <v>1313</v>
      </c>
      <c r="B404" t="inlineStr">
        <is>
          <t>聯成</t>
        </is>
      </c>
      <c r="C404" t="n">
        <v>11.05</v>
      </c>
      <c r="D404" t="n">
        <v>11.15</v>
      </c>
      <c r="E404" s="504" t="n">
        <v>0.2</v>
      </c>
      <c r="F404" s="505" t="n">
        <v>1.83</v>
      </c>
      <c r="G404" t="inlineStr">
        <is>
          <t>9594萬</t>
        </is>
      </c>
      <c r="H404" t="n">
        <v>8738</v>
      </c>
      <c r="I404" t="n">
        <v>3930</v>
      </c>
      <c r="J404" t="n">
        <v>133.08</v>
      </c>
      <c r="K404" t="n">
        <v>11.15</v>
      </c>
      <c r="L404" t="n">
        <v>10.8</v>
      </c>
      <c r="M404" s="175" t="n">
        <v>0.66</v>
      </c>
      <c r="N404" t="inlineStr">
        <is>
          <t>全球最大可塑劑及苯酐供應商</t>
        </is>
      </c>
    </row>
    <row r="405">
      <c r="A405" t="n">
        <v>1314</v>
      </c>
      <c r="B405" t="inlineStr">
        <is>
          <t>中石化</t>
        </is>
      </c>
      <c r="C405" t="n">
        <v>7.14</v>
      </c>
      <c r="D405" t="n">
        <v>7.53</v>
      </c>
      <c r="E405" s="504" t="n">
        <v>0.43</v>
      </c>
      <c r="F405" s="505" t="n">
        <v>6.06</v>
      </c>
      <c r="G405" t="inlineStr">
        <is>
          <t>5.17億</t>
        </is>
      </c>
      <c r="H405" t="n">
        <v>70019</v>
      </c>
      <c r="I405" t="n">
        <v>19997</v>
      </c>
      <c r="J405" t="n">
        <v>378.49</v>
      </c>
      <c r="K405" t="n">
        <v>7.54</v>
      </c>
      <c r="L405" t="n">
        <v>7.12</v>
      </c>
      <c r="M405" s="175" t="n">
        <v>1.85</v>
      </c>
      <c r="N405" t="inlineStr">
        <is>
          <t>台灣第一大CPL廠</t>
        </is>
      </c>
    </row>
    <row r="406">
      <c r="A406" t="n">
        <v>1315</v>
      </c>
      <c r="B406" t="inlineStr">
        <is>
          <t>達新</t>
        </is>
      </c>
      <c r="C406" t="n">
        <v>62.4</v>
      </c>
      <c r="D406" t="n">
        <v>62.6</v>
      </c>
      <c r="E406" s="504" t="n">
        <v>0.3</v>
      </c>
      <c r="F406" s="505" t="n">
        <v>0.48</v>
      </c>
      <c r="G406" t="inlineStr">
        <is>
          <t>175萬</t>
        </is>
      </c>
      <c r="H406" t="n">
        <v>28</v>
      </c>
      <c r="I406" t="n">
        <v>57</v>
      </c>
      <c r="J406" t="n">
        <v>9.91</v>
      </c>
      <c r="K406" t="n">
        <v>62.7</v>
      </c>
      <c r="L406" t="n">
        <v>62</v>
      </c>
      <c r="M406" s="175" t="n">
        <v>0.03</v>
      </c>
      <c r="N406" t="inlineStr">
        <is>
          <t>台灣知名雨衣及成衣製造商</t>
        </is>
      </c>
    </row>
    <row r="407">
      <c r="A407" t="n">
        <v>1316</v>
      </c>
      <c r="B407" t="inlineStr">
        <is>
          <t>上曜</t>
        </is>
      </c>
      <c r="C407" t="n">
        <v>10.45</v>
      </c>
      <c r="D407" t="n">
        <v>10.3</v>
      </c>
      <c r="E407" s="504" t="n">
        <v>-0.05</v>
      </c>
      <c r="F407" s="505" t="n">
        <v>-0.48</v>
      </c>
      <c r="G407" t="inlineStr">
        <is>
          <t>1876萬</t>
        </is>
      </c>
      <c r="H407" t="n">
        <v>1831</v>
      </c>
      <c r="I407" t="n">
        <v>2279</v>
      </c>
      <c r="J407" t="n">
        <v>40.16</v>
      </c>
      <c r="K407" t="n">
        <v>10.45</v>
      </c>
      <c r="L407" t="n">
        <v>10.15</v>
      </c>
      <c r="M407" s="175" t="n">
        <v>0.5</v>
      </c>
      <c r="N407" t="inlineStr">
        <is>
          <t>上曜集團旗下豪宅品牌</t>
        </is>
      </c>
    </row>
    <row r="408">
      <c r="A408" t="n">
        <v>1319</v>
      </c>
      <c r="B408" t="inlineStr">
        <is>
          <t>東陽</t>
        </is>
      </c>
      <c r="C408" t="n">
        <v>87.8</v>
      </c>
      <c r="D408" t="n">
        <v>92.09999999999999</v>
      </c>
      <c r="E408" s="504" t="n">
        <v>4.6</v>
      </c>
      <c r="F408" s="505" t="n">
        <v>5.26</v>
      </c>
      <c r="G408" t="inlineStr">
        <is>
          <t>13.4億</t>
        </is>
      </c>
      <c r="H408" t="n">
        <v>14653</v>
      </c>
      <c r="I408" t="n">
        <v>7831</v>
      </c>
      <c r="J408" t="n">
        <v>59.15</v>
      </c>
      <c r="K408" t="n">
        <v>93.90000000000001</v>
      </c>
      <c r="L408" t="n">
        <v>87.8</v>
      </c>
      <c r="M408" s="175" t="n">
        <v>2.48</v>
      </c>
      <c r="N408" t="inlineStr">
        <is>
          <t>全球第一大汽車AM塑膠件製造商</t>
        </is>
      </c>
    </row>
    <row r="409">
      <c r="A409" t="n">
        <v>1321</v>
      </c>
      <c r="B409" t="inlineStr">
        <is>
          <t>大洋</t>
        </is>
      </c>
      <c r="C409" t="n">
        <v>28.7</v>
      </c>
      <c r="D409" t="n">
        <v>28.45</v>
      </c>
      <c r="E409" s="504" t="n">
        <v>-0.05</v>
      </c>
      <c r="F409" s="505" t="n">
        <v>-0.18</v>
      </c>
      <c r="G409" t="inlineStr">
        <is>
          <t>674萬</t>
        </is>
      </c>
      <c r="H409" t="n">
        <v>238</v>
      </c>
      <c r="I409" t="n">
        <v>262</v>
      </c>
      <c r="J409" t="n">
        <v>22.72</v>
      </c>
      <c r="K409" t="n">
        <v>28.7</v>
      </c>
      <c r="L409" t="n">
        <v>28.2</v>
      </c>
      <c r="M409" s="175" t="n">
        <v>0.1</v>
      </c>
      <c r="N409" t="inlineStr">
        <is>
          <t>台灣第三大PVC廠，並有資產開發題材</t>
        </is>
      </c>
    </row>
    <row r="410">
      <c r="A410" t="n">
        <v>1323</v>
      </c>
      <c r="B410" t="inlineStr">
        <is>
          <t>永裕</t>
        </is>
      </c>
      <c r="C410" t="n">
        <v>20.3</v>
      </c>
      <c r="D410" t="n">
        <v>20.45</v>
      </c>
      <c r="E410" s="504" t="n">
        <v>0.4</v>
      </c>
      <c r="F410" s="505" t="n">
        <v>2</v>
      </c>
      <c r="G410" t="inlineStr">
        <is>
          <t>434萬</t>
        </is>
      </c>
      <c r="H410" t="n">
        <v>213</v>
      </c>
      <c r="I410" t="n">
        <v>131</v>
      </c>
      <c r="J410" t="n">
        <v>9.130000000000001</v>
      </c>
      <c r="K410" t="n">
        <v>20.8</v>
      </c>
      <c r="L410" t="n">
        <v>20.15</v>
      </c>
      <c r="M410" s="175" t="n">
        <v>0.23</v>
      </c>
      <c r="N410" t="inlineStr">
        <is>
          <t>台灣知名的塑膠瓶及軟管製造商</t>
        </is>
      </c>
    </row>
    <row r="411">
      <c r="A411" t="n">
        <v>1324</v>
      </c>
      <c r="B411" t="inlineStr">
        <is>
          <t>地球</t>
        </is>
      </c>
      <c r="C411" t="n">
        <v>10.45</v>
      </c>
      <c r="D411" t="n">
        <v>10.4</v>
      </c>
      <c r="E411" s="504" t="n">
        <v>0.05</v>
      </c>
      <c r="F411" s="505" t="n">
        <v>0.48</v>
      </c>
      <c r="G411" t="inlineStr">
        <is>
          <t>69.5萬</t>
        </is>
      </c>
      <c r="H411" t="n">
        <v>67</v>
      </c>
      <c r="I411" t="n">
        <v>114</v>
      </c>
      <c r="J411" t="n">
        <v>7.51</v>
      </c>
      <c r="K411" t="n">
        <v>10.5</v>
      </c>
      <c r="L411" t="n">
        <v>10.3</v>
      </c>
      <c r="M411" s="175" t="n">
        <v>0.09</v>
      </c>
      <c r="N411" t="inlineStr">
        <is>
          <t>台灣主要PVC膠帶供應商</t>
        </is>
      </c>
    </row>
    <row r="412">
      <c r="A412" t="n">
        <v>1325</v>
      </c>
      <c r="B412" t="inlineStr">
        <is>
          <t>恆大</t>
        </is>
      </c>
      <c r="C412" t="n">
        <v>26.8</v>
      </c>
      <c r="D412" t="n">
        <v>26.3</v>
      </c>
      <c r="E412" s="504" t="n">
        <v>-0.5</v>
      </c>
      <c r="F412" s="505" t="n">
        <v>-1.87</v>
      </c>
      <c r="G412" t="inlineStr">
        <is>
          <t>1491萬</t>
        </is>
      </c>
      <c r="H412" t="n">
        <v>567</v>
      </c>
      <c r="I412" t="n">
        <v>382</v>
      </c>
      <c r="J412" t="n">
        <v>8.529999999999999</v>
      </c>
      <c r="K412" t="n">
        <v>26.8</v>
      </c>
      <c r="L412" t="n">
        <v>26.25</v>
      </c>
      <c r="M412" s="175" t="n">
        <v>0.66</v>
      </c>
      <c r="N412" t="inlineStr">
        <is>
          <t>台灣最大的紡結不織布生產廠</t>
        </is>
      </c>
    </row>
    <row r="413">
      <c r="A413" t="n">
        <v>1326</v>
      </c>
      <c r="B413" t="inlineStr">
        <is>
          <t>台化</t>
        </is>
      </c>
      <c r="C413" t="n">
        <v>54</v>
      </c>
      <c r="D413" t="n">
        <v>54.4</v>
      </c>
      <c r="E413" s="504" t="n">
        <v>0.6</v>
      </c>
      <c r="F413" s="505" t="n">
        <v>1.12</v>
      </c>
      <c r="G413" t="inlineStr">
        <is>
          <t>50.7億</t>
        </is>
      </c>
      <c r="H413" t="n">
        <v>92763</v>
      </c>
      <c r="I413" t="n">
        <v>41420</v>
      </c>
      <c r="J413" t="n">
        <v>586.12</v>
      </c>
      <c r="K413" t="n">
        <v>56.9</v>
      </c>
      <c r="L413" t="n">
        <v>52.8</v>
      </c>
      <c r="M413" s="175" t="n">
        <v>1.58</v>
      </c>
      <c r="N413" t="inlineStr">
        <is>
          <t>台灣最大的PTA廠</t>
        </is>
      </c>
    </row>
    <row r="414">
      <c r="A414" t="n">
        <v>1336</v>
      </c>
      <c r="B414" t="inlineStr">
        <is>
          <t>台翰</t>
        </is>
      </c>
      <c r="C414" t="n">
        <v>13.65</v>
      </c>
      <c r="D414" t="n">
        <v>13.5</v>
      </c>
      <c r="E414" s="504" t="n">
        <v>-0.05</v>
      </c>
      <c r="F414" s="505" t="n">
        <v>-0.37</v>
      </c>
      <c r="G414" t="inlineStr">
        <is>
          <t>211萬</t>
        </is>
      </c>
      <c r="H414" t="n">
        <v>156</v>
      </c>
      <c r="I414" t="n">
        <v>119</v>
      </c>
      <c r="J414" t="n">
        <v>7.76</v>
      </c>
      <c r="K414" t="n">
        <v>13.65</v>
      </c>
      <c r="L414" t="n">
        <v>13.4</v>
      </c>
      <c r="M414" s="175" t="n">
        <v>0.2</v>
      </c>
      <c r="N414" t="inlineStr">
        <is>
          <t>宣德轉投資之消費電子產品外殼製造商</t>
        </is>
      </c>
    </row>
    <row r="415">
      <c r="A415" t="n">
        <v>1337</v>
      </c>
      <c r="B415" t="inlineStr">
        <is>
          <t>再生-KY</t>
        </is>
      </c>
      <c r="C415" t="n">
        <v>5</v>
      </c>
      <c r="D415" t="n">
        <v>5.1</v>
      </c>
      <c r="E415" s="504" t="n">
        <v>0.17</v>
      </c>
      <c r="F415" s="505" t="n">
        <v>3.45</v>
      </c>
      <c r="G415" t="inlineStr">
        <is>
          <t>476萬</t>
        </is>
      </c>
      <c r="H415" t="n">
        <v>962</v>
      </c>
      <c r="I415" t="n">
        <v>852</v>
      </c>
      <c r="J415" t="n">
        <v>26.9</v>
      </c>
      <c r="K415" t="n">
        <v>5.1</v>
      </c>
      <c r="L415" t="n">
        <v>4.95</v>
      </c>
      <c r="M415" s="175" t="n">
        <v>0.36</v>
      </c>
      <c r="N415" t="inlineStr">
        <is>
          <t>大陸第一大EVA發泡材商</t>
        </is>
      </c>
    </row>
    <row r="416">
      <c r="A416" t="n">
        <v>1338</v>
      </c>
      <c r="B416" t="inlineStr">
        <is>
          <t>廣華-KY</t>
        </is>
      </c>
      <c r="C416" t="n">
        <v>16.5</v>
      </c>
      <c r="D416" t="n">
        <v>16.45</v>
      </c>
      <c r="E416" s="504" t="n">
        <v>0.1</v>
      </c>
      <c r="F416" s="505" t="n">
        <v>0.61</v>
      </c>
      <c r="G416" t="inlineStr">
        <is>
          <t>883萬</t>
        </is>
      </c>
      <c r="H416" t="n">
        <v>544</v>
      </c>
      <c r="I416" t="n">
        <v>386</v>
      </c>
      <c r="J416" t="n">
        <v>8.380000000000001</v>
      </c>
      <c r="K416" t="n">
        <v>16.5</v>
      </c>
      <c r="L416" t="n">
        <v>16.05</v>
      </c>
      <c r="M416" s="175" t="n">
        <v>0.65</v>
      </c>
      <c r="N416" t="inlineStr">
        <is>
          <t>汽車OEM塑膠內飾件大廠，供應以大陸市場為主</t>
        </is>
      </c>
    </row>
    <row r="417">
      <c r="A417" t="n">
        <v>1339</v>
      </c>
      <c r="B417" t="inlineStr">
        <is>
          <t>昭輝</t>
        </is>
      </c>
      <c r="C417" t="n">
        <v>44.65</v>
      </c>
      <c r="D417" t="n">
        <v>44.6</v>
      </c>
      <c r="E417" s="504" t="n">
        <v>0.25</v>
      </c>
      <c r="F417" s="505" t="n">
        <v>0.5600000000000001</v>
      </c>
      <c r="G417" t="inlineStr">
        <is>
          <t>1007萬</t>
        </is>
      </c>
      <c r="H417" t="n">
        <v>227</v>
      </c>
      <c r="I417" t="n">
        <v>668</v>
      </c>
      <c r="J417" t="n">
        <v>7.41</v>
      </c>
      <c r="K417" t="n">
        <v>45.15</v>
      </c>
      <c r="L417" t="n">
        <v>43.95</v>
      </c>
      <c r="M417" s="175" t="n">
        <v>0.31</v>
      </c>
      <c r="N417" t="inlineStr">
        <is>
          <t>台灣第二大汽車AM塑膠件製造商</t>
        </is>
      </c>
    </row>
    <row r="418">
      <c r="A418" t="n">
        <v>1340</v>
      </c>
      <c r="B418" t="inlineStr">
        <is>
          <t>勝悅-KY</t>
        </is>
      </c>
      <c r="C418" t="n">
        <v>5.43</v>
      </c>
      <c r="D418" t="n">
        <v>5.49</v>
      </c>
      <c r="E418" s="504" t="n">
        <v>0.02</v>
      </c>
      <c r="F418" s="505" t="n">
        <v>0.37</v>
      </c>
      <c r="G418" t="inlineStr">
        <is>
          <t>201萬</t>
        </is>
      </c>
      <c r="H418" t="n">
        <v>367</v>
      </c>
      <c r="I418" t="n">
        <v>556</v>
      </c>
      <c r="J418" t="n">
        <v>15.29</v>
      </c>
      <c r="K418" t="n">
        <v>5.56</v>
      </c>
      <c r="L418" t="n">
        <v>5.41</v>
      </c>
      <c r="M418" s="175" t="n">
        <v>0.24</v>
      </c>
      <c r="N418" t="inlineStr">
        <is>
          <t>專注旅館及第三方物流承租收入事業</t>
        </is>
      </c>
    </row>
    <row r="419">
      <c r="A419" t="n">
        <v>1341</v>
      </c>
      <c r="B419" t="inlineStr">
        <is>
          <t>富林-KY</t>
        </is>
      </c>
      <c r="C419" t="n">
        <v>61.3</v>
      </c>
      <c r="D419" t="n">
        <v>62.2</v>
      </c>
      <c r="E419" s="504" t="n">
        <v>0.2</v>
      </c>
      <c r="F419" s="505" t="n">
        <v>0.32</v>
      </c>
      <c r="G419" t="inlineStr">
        <is>
          <t>36.8萬</t>
        </is>
      </c>
      <c r="H419" t="n">
        <v>6</v>
      </c>
      <c r="I419" t="n">
        <v>11</v>
      </c>
      <c r="J419" t="n">
        <v>5.29</v>
      </c>
      <c r="K419" t="n">
        <v>62.2</v>
      </c>
      <c r="L419" t="n">
        <v>61.2</v>
      </c>
      <c r="M419" s="175" t="n">
        <v>0.01</v>
      </c>
      <c r="N419" t="inlineStr">
        <is>
          <t>越南第一大PVC人造皮革生產商</t>
        </is>
      </c>
    </row>
    <row r="420">
      <c r="A420" t="n">
        <v>1342</v>
      </c>
      <c r="B420" t="inlineStr">
        <is>
          <t>八貫</t>
        </is>
      </c>
      <c r="C420" t="n">
        <v>93.59999999999999</v>
      </c>
      <c r="D420" t="n">
        <v>94.40000000000001</v>
      </c>
      <c r="E420" s="504" t="n">
        <v>1.6</v>
      </c>
      <c r="F420" s="505" t="n">
        <v>1.72</v>
      </c>
      <c r="G420" t="inlineStr">
        <is>
          <t>4365萬</t>
        </is>
      </c>
      <c r="H420" t="n">
        <v>465</v>
      </c>
      <c r="I420" t="n">
        <v>277</v>
      </c>
      <c r="J420" t="n">
        <v>7.8</v>
      </c>
      <c r="K420" t="n">
        <v>95</v>
      </c>
      <c r="L420" t="n">
        <v>92.90000000000001</v>
      </c>
      <c r="M420" s="175" t="n">
        <v>0.6</v>
      </c>
      <c r="N420" t="inlineStr">
        <is>
          <t>台灣機能性皮布料及薄膜製造商</t>
        </is>
      </c>
    </row>
    <row r="421">
      <c r="A421" t="n">
        <v>1402</v>
      </c>
      <c r="B421" t="inlineStr">
        <is>
          <t>遠東新</t>
        </is>
      </c>
      <c r="C421" t="n">
        <v>25.1</v>
      </c>
      <c r="D421" t="n">
        <v>26.25</v>
      </c>
      <c r="E421" s="504" t="n">
        <v>1.2</v>
      </c>
      <c r="F421" s="505" t="n">
        <v>4.79</v>
      </c>
      <c r="G421" t="inlineStr">
        <is>
          <t>32.8億</t>
        </is>
      </c>
      <c r="H421" t="n">
        <v>125232</v>
      </c>
      <c r="I421" t="n">
        <v>145879</v>
      </c>
      <c r="J421" t="n">
        <v>535.29</v>
      </c>
      <c r="K421" t="n">
        <v>26.8</v>
      </c>
      <c r="L421" t="n">
        <v>25.1</v>
      </c>
      <c r="M421" s="175" t="n">
        <v>2.34</v>
      </c>
      <c r="N421" t="inlineStr">
        <is>
          <t>全球前五大聚酯製造商，集團轉投資橫跨領域廣</t>
        </is>
      </c>
    </row>
    <row r="422">
      <c r="A422" t="n">
        <v>1409</v>
      </c>
      <c r="B422" t="inlineStr">
        <is>
          <t>新纖</t>
        </is>
      </c>
      <c r="C422" t="n">
        <v>27.55</v>
      </c>
      <c r="D422" t="n">
        <v>27.55</v>
      </c>
      <c r="E422" s="504" t="n">
        <v>2.5</v>
      </c>
      <c r="F422" s="505" t="n">
        <v>9.98</v>
      </c>
      <c r="G422" t="inlineStr">
        <is>
          <t>7.07億</t>
        </is>
      </c>
      <c r="H422" t="n">
        <v>25680</v>
      </c>
      <c r="I422" t="n">
        <v>36908</v>
      </c>
      <c r="J422" t="n">
        <v>161.84</v>
      </c>
      <c r="K422" t="n">
        <v>27.55</v>
      </c>
      <c r="L422" t="n">
        <v>27.55</v>
      </c>
      <c r="M422" s="175" t="n">
        <v>1.59</v>
      </c>
      <c r="N422" t="inlineStr">
        <is>
          <t>新光集團旗下，台灣知名化纖廠</t>
        </is>
      </c>
    </row>
    <row r="423">
      <c r="A423" t="n">
        <v>1410</v>
      </c>
      <c r="B423" t="inlineStr">
        <is>
          <t>南染</t>
        </is>
      </c>
      <c r="C423" t="n">
        <v>25.95</v>
      </c>
      <c r="D423" t="n">
        <v>25.5</v>
      </c>
      <c r="E423" s="504" t="n">
        <v>-0.4</v>
      </c>
      <c r="F423" s="505" t="n">
        <v>-1.54</v>
      </c>
      <c r="G423" t="inlineStr">
        <is>
          <t>123萬</t>
        </is>
      </c>
      <c r="H423" t="n">
        <v>48</v>
      </c>
      <c r="I423" t="n">
        <v>76</v>
      </c>
      <c r="J423" t="n">
        <v>6.2</v>
      </c>
      <c r="K423" t="n">
        <v>26</v>
      </c>
      <c r="L423" t="n">
        <v>25.4</v>
      </c>
      <c r="M423" s="175" t="n">
        <v>0.08</v>
      </c>
      <c r="N423" t="inlineStr">
        <is>
          <t>轉型為不動產租賃業務</t>
        </is>
      </c>
    </row>
    <row r="424">
      <c r="A424" t="n">
        <v>1413</v>
      </c>
      <c r="B424" t="inlineStr">
        <is>
          <t>宏洲</t>
        </is>
      </c>
      <c r="C424" t="n">
        <v>9.630000000000001</v>
      </c>
      <c r="D424" t="n">
        <v>9.49</v>
      </c>
      <c r="E424" s="504" t="n">
        <v>0.07000000000000001</v>
      </c>
      <c r="F424" s="505" t="n">
        <v>0.74</v>
      </c>
      <c r="G424" t="inlineStr">
        <is>
          <t>32.2萬</t>
        </is>
      </c>
      <c r="H424" t="n">
        <v>34</v>
      </c>
      <c r="I424" t="n">
        <v>55</v>
      </c>
      <c r="J424" t="n">
        <v>13.21</v>
      </c>
      <c r="K424" t="n">
        <v>9.69</v>
      </c>
      <c r="L424" t="n">
        <v>9.359999999999999</v>
      </c>
      <c r="M424" s="175" t="n">
        <v>0.03</v>
      </c>
      <c r="N424" t="inlineStr">
        <is>
          <t>宜進入主，聚酯粒、聚酯絲與加工絲一貫廠</t>
        </is>
      </c>
    </row>
    <row r="425">
      <c r="A425" t="n">
        <v>1414</v>
      </c>
      <c r="B425" t="inlineStr">
        <is>
          <t>東和</t>
        </is>
      </c>
      <c r="C425" t="n">
        <v>15</v>
      </c>
      <c r="D425" t="n">
        <v>15.7</v>
      </c>
      <c r="E425" s="504" t="n">
        <v>0.7</v>
      </c>
      <c r="F425" s="505" t="n">
        <v>4.67</v>
      </c>
      <c r="G425" t="inlineStr">
        <is>
          <t>594萬</t>
        </is>
      </c>
      <c r="H425" t="n">
        <v>389</v>
      </c>
      <c r="I425" t="n">
        <v>215</v>
      </c>
      <c r="J425" t="n">
        <v>19.8</v>
      </c>
      <c r="K425" t="n">
        <v>15.7</v>
      </c>
      <c r="L425" t="n">
        <v>15</v>
      </c>
      <c r="M425" s="175" t="n">
        <v>0.2</v>
      </c>
      <c r="N425" t="inlineStr">
        <is>
          <t>棉混紡紗大廠</t>
        </is>
      </c>
    </row>
    <row r="426">
      <c r="A426" t="n">
        <v>1416</v>
      </c>
      <c r="B426" t="inlineStr">
        <is>
          <t>廣豐</t>
        </is>
      </c>
      <c r="C426" t="n">
        <v>11.3</v>
      </c>
      <c r="D426" t="n">
        <v>11.5</v>
      </c>
      <c r="E426" s="504" t="n">
        <v>0.25</v>
      </c>
      <c r="F426" s="505" t="n">
        <v>2.22</v>
      </c>
      <c r="G426" t="inlineStr">
        <is>
          <t>771萬</t>
        </is>
      </c>
      <c r="H426" t="n">
        <v>675</v>
      </c>
      <c r="I426" t="n">
        <v>332</v>
      </c>
      <c r="J426" t="n">
        <v>18.53</v>
      </c>
      <c r="K426" t="n">
        <v>11.55</v>
      </c>
      <c r="L426" t="n">
        <v>11.3</v>
      </c>
      <c r="M426" s="175" t="n">
        <v>0.36</v>
      </c>
      <c r="N426" t="inlineStr">
        <is>
          <t>專注金融業應用系統開發</t>
        </is>
      </c>
    </row>
    <row r="427">
      <c r="A427" t="n">
        <v>1417</v>
      </c>
      <c r="B427" t="inlineStr">
        <is>
          <t>嘉裕</t>
        </is>
      </c>
      <c r="C427" t="n">
        <v>8.24</v>
      </c>
      <c r="D427" t="n">
        <v>8.26</v>
      </c>
      <c r="E427" s="504" t="n">
        <v>0.06</v>
      </c>
      <c r="F427" s="505" t="n">
        <v>0.73</v>
      </c>
      <c r="G427" t="inlineStr">
        <is>
          <t>189萬</t>
        </is>
      </c>
      <c r="H427" t="n">
        <v>229</v>
      </c>
      <c r="I427" t="n">
        <v>171</v>
      </c>
      <c r="J427" t="n">
        <v>18.99</v>
      </c>
      <c r="K427" t="n">
        <v>8.289999999999999</v>
      </c>
      <c r="L427" t="n">
        <v>8.199999999999999</v>
      </c>
      <c r="M427" s="175" t="n">
        <v>0.12</v>
      </c>
      <c r="N427" t="inlineStr">
        <is>
          <t>裕隆集團旗下，台灣知名男性西服供應商</t>
        </is>
      </c>
    </row>
    <row r="428">
      <c r="A428" t="n">
        <v>1418</v>
      </c>
      <c r="B428" t="inlineStr">
        <is>
          <t>東華</t>
        </is>
      </c>
      <c r="C428" t="n">
        <v>18.95</v>
      </c>
      <c r="D428" t="n">
        <v>19.1</v>
      </c>
      <c r="E428" s="504" t="n">
        <v>0</v>
      </c>
      <c r="F428" s="505" t="n">
        <v>0</v>
      </c>
      <c r="G428" t="inlineStr">
        <is>
          <t>70.0萬</t>
        </is>
      </c>
      <c r="H428" t="n">
        <v>37</v>
      </c>
      <c r="I428" t="n">
        <v>72</v>
      </c>
      <c r="J428" t="n">
        <v>5.68</v>
      </c>
      <c r="K428" t="n">
        <v>19.1</v>
      </c>
      <c r="L428" t="n">
        <v>18.55</v>
      </c>
      <c r="M428" s="175" t="n">
        <v>0.08</v>
      </c>
      <c r="N428" t="inlineStr">
        <is>
          <t>台灣老牌的亞克力棉製造商</t>
        </is>
      </c>
    </row>
    <row r="429">
      <c r="A429" t="n">
        <v>1419</v>
      </c>
      <c r="B429" t="inlineStr">
        <is>
          <t>新紡</t>
        </is>
      </c>
      <c r="C429" t="n">
        <v>65.40000000000001</v>
      </c>
      <c r="D429" t="n">
        <v>65.8</v>
      </c>
      <c r="E429" s="504" t="n">
        <v>-0.2</v>
      </c>
      <c r="F429" s="505" t="n">
        <v>-0.3</v>
      </c>
      <c r="G429" t="inlineStr">
        <is>
          <t>804萬</t>
        </is>
      </c>
      <c r="H429" t="n">
        <v>123</v>
      </c>
      <c r="I429" t="n">
        <v>277</v>
      </c>
      <c r="J429" t="n">
        <v>30</v>
      </c>
      <c r="K429" t="n">
        <v>66</v>
      </c>
      <c r="L429" t="n">
        <v>64.7</v>
      </c>
      <c r="M429" s="175" t="n">
        <v>0.04</v>
      </c>
      <c r="N429" t="inlineStr">
        <is>
          <t>新光集團旗下，平織布生產商，士林三寶之一</t>
        </is>
      </c>
    </row>
    <row r="430">
      <c r="A430" t="n">
        <v>1423</v>
      </c>
      <c r="B430" t="inlineStr">
        <is>
          <t>利華</t>
        </is>
      </c>
      <c r="C430" t="n">
        <v>41.75</v>
      </c>
      <c r="D430" t="n">
        <v>43.05</v>
      </c>
      <c r="E430" s="504" t="n">
        <v>1.6</v>
      </c>
      <c r="F430" s="505" t="n">
        <v>3.86</v>
      </c>
      <c r="G430" t="inlineStr">
        <is>
          <t>3594萬</t>
        </is>
      </c>
      <c r="H430" t="n">
        <v>847</v>
      </c>
      <c r="I430" t="n">
        <v>138</v>
      </c>
      <c r="J430" t="n">
        <v>9.960000000000001</v>
      </c>
      <c r="K430" t="n">
        <v>43.7</v>
      </c>
      <c r="L430" t="n">
        <v>41.4</v>
      </c>
      <c r="M430" s="175" t="n">
        <v>0.85</v>
      </c>
      <c r="N430" t="inlineStr">
        <is>
          <t>台灣第一大的專業毛條生產商</t>
        </is>
      </c>
    </row>
    <row r="431">
      <c r="A431" t="n">
        <v>1432</v>
      </c>
      <c r="B431" t="inlineStr">
        <is>
          <t>大魯閣</t>
        </is>
      </c>
      <c r="C431" t="n">
        <v>16.85</v>
      </c>
      <c r="D431" t="n">
        <v>16.9</v>
      </c>
      <c r="E431" s="504" t="n">
        <v>0.1</v>
      </c>
      <c r="F431" s="505" t="n">
        <v>0.6</v>
      </c>
      <c r="G431" t="inlineStr">
        <is>
          <t>522萬</t>
        </is>
      </c>
      <c r="H431" t="n">
        <v>311</v>
      </c>
      <c r="I431" t="n">
        <v>514</v>
      </c>
      <c r="J431" t="n">
        <v>10.8</v>
      </c>
      <c r="K431" t="n">
        <v>16.95</v>
      </c>
      <c r="L431" t="n">
        <v>16.8</v>
      </c>
      <c r="M431" s="175" t="n">
        <v>0.35</v>
      </c>
      <c r="N431" t="inlineStr">
        <is>
          <t>經營型娛樂購物中心事業</t>
        </is>
      </c>
    </row>
    <row r="432">
      <c r="A432" t="n">
        <v>1434</v>
      </c>
      <c r="B432" t="inlineStr">
        <is>
          <t>福懋</t>
        </is>
      </c>
      <c r="C432" t="n">
        <v>15.55</v>
      </c>
      <c r="D432" t="n">
        <v>15.75</v>
      </c>
      <c r="E432" s="504" t="n">
        <v>0.2</v>
      </c>
      <c r="F432" s="505" t="n">
        <v>1.29</v>
      </c>
      <c r="G432" t="inlineStr">
        <is>
          <t>4389萬</t>
        </is>
      </c>
      <c r="H432" t="n">
        <v>2798</v>
      </c>
      <c r="I432" t="n">
        <v>2959</v>
      </c>
      <c r="J432" t="n">
        <v>168.47</v>
      </c>
      <c r="K432" t="n">
        <v>15.8</v>
      </c>
      <c r="L432" t="n">
        <v>15.5</v>
      </c>
      <c r="M432" s="175" t="n">
        <v>0.17</v>
      </c>
      <c r="N432" t="inlineStr">
        <is>
          <t>台塑集團旗下，台灣知名輪胎簾布製造商</t>
        </is>
      </c>
    </row>
    <row r="433">
      <c r="A433" t="n">
        <v>1436</v>
      </c>
      <c r="B433" t="inlineStr">
        <is>
          <t>華友聯</t>
        </is>
      </c>
      <c r="C433" t="n">
        <v>44.7</v>
      </c>
      <c r="D433" t="n">
        <v>45</v>
      </c>
      <c r="E433" s="504" t="n">
        <v>0.3</v>
      </c>
      <c r="F433" s="505" t="n">
        <v>0.67</v>
      </c>
      <c r="G433" t="inlineStr">
        <is>
          <t>1214萬</t>
        </is>
      </c>
      <c r="H433" t="n">
        <v>270</v>
      </c>
      <c r="I433" t="n">
        <v>285</v>
      </c>
      <c r="J433" t="n">
        <v>19.42</v>
      </c>
      <c r="K433" t="n">
        <v>45.3</v>
      </c>
      <c r="L433" t="n">
        <v>44.7</v>
      </c>
      <c r="M433" s="175" t="n">
        <v>0.14</v>
      </c>
      <c r="N433" t="inlineStr">
        <is>
          <t>主打首購族及換屋族市場的建商</t>
        </is>
      </c>
    </row>
    <row r="434">
      <c r="A434" t="n">
        <v>1437</v>
      </c>
      <c r="B434" t="inlineStr">
        <is>
          <t>勤益控</t>
        </is>
      </c>
      <c r="C434" t="n">
        <v>28.45</v>
      </c>
      <c r="D434" t="n">
        <v>28.65</v>
      </c>
      <c r="E434" s="504" t="n">
        <v>0.25</v>
      </c>
      <c r="F434" s="505" t="n">
        <v>0.88</v>
      </c>
      <c r="G434" t="inlineStr">
        <is>
          <t>286萬</t>
        </is>
      </c>
      <c r="H434" t="n">
        <v>100</v>
      </c>
      <c r="I434" t="n">
        <v>343</v>
      </c>
      <c r="J434" t="n">
        <v>20.19</v>
      </c>
      <c r="K434" t="n">
        <v>28.65</v>
      </c>
      <c r="L434" t="n">
        <v>28.45</v>
      </c>
      <c r="M434" s="175" t="n">
        <v>0.05</v>
      </c>
      <c r="N434" t="inlineStr">
        <is>
          <t>投資控股公司，從事地產、紡織貿易及投資事業</t>
        </is>
      </c>
    </row>
    <row r="435">
      <c r="A435" t="n">
        <v>1438</v>
      </c>
      <c r="B435" t="inlineStr">
        <is>
          <t>三地開發</t>
        </is>
      </c>
      <c r="C435" t="n">
        <v>20.35</v>
      </c>
      <c r="D435" t="n">
        <v>19.7</v>
      </c>
      <c r="E435" s="504" t="n">
        <v>-0.3</v>
      </c>
      <c r="F435" s="505" t="n">
        <v>-1.5</v>
      </c>
      <c r="G435" t="inlineStr">
        <is>
          <t>160萬</t>
        </is>
      </c>
      <c r="H435" t="n">
        <v>81</v>
      </c>
      <c r="I435" t="n">
        <v>47</v>
      </c>
      <c r="J435" t="n">
        <v>11.12</v>
      </c>
      <c r="K435" t="n">
        <v>20.35</v>
      </c>
      <c r="L435" t="n">
        <v>19.55</v>
      </c>
      <c r="M435" s="175" t="n">
        <v>0.07000000000000001</v>
      </c>
      <c r="N435" t="inlineStr">
        <is>
          <t>開發以台南及高雄地區為主力的建商</t>
        </is>
      </c>
    </row>
    <row r="436">
      <c r="A436" t="n">
        <v>1439</v>
      </c>
      <c r="B436" t="inlineStr">
        <is>
          <t>雋揚</t>
        </is>
      </c>
      <c r="C436" t="n">
        <v>25.25</v>
      </c>
      <c r="D436" t="n">
        <v>25.6</v>
      </c>
      <c r="E436" s="504" t="n">
        <v>0</v>
      </c>
      <c r="F436" s="505" t="n">
        <v>0</v>
      </c>
      <c r="G436" t="inlineStr">
        <is>
          <t>111萬</t>
        </is>
      </c>
      <c r="H436" t="n">
        <v>44</v>
      </c>
      <c r="I436" t="n">
        <v>52</v>
      </c>
      <c r="J436" t="n">
        <v>9.199999999999999</v>
      </c>
      <c r="K436" t="n">
        <v>25.75</v>
      </c>
      <c r="L436" t="n">
        <v>25</v>
      </c>
      <c r="M436" s="175" t="n">
        <v>0.05</v>
      </c>
      <c r="N436" t="inlineStr">
        <is>
          <t>國揚集團旗下，著重開發危老及都更計畫</t>
        </is>
      </c>
    </row>
    <row r="437">
      <c r="A437" t="n">
        <v>1440</v>
      </c>
      <c r="B437" t="inlineStr">
        <is>
          <t>南紡</t>
        </is>
      </c>
      <c r="C437" t="n">
        <v>12.95</v>
      </c>
      <c r="D437" t="n">
        <v>14.2</v>
      </c>
      <c r="E437" s="504" t="n">
        <v>1.25</v>
      </c>
      <c r="F437" s="505" t="n">
        <v>9.65</v>
      </c>
      <c r="G437" t="inlineStr">
        <is>
          <t>2.56億</t>
        </is>
      </c>
      <c r="H437" t="n">
        <v>18647</v>
      </c>
      <c r="I437" t="n">
        <v>4351</v>
      </c>
      <c r="J437" t="n">
        <v>165.68</v>
      </c>
      <c r="K437" t="n">
        <v>14.2</v>
      </c>
      <c r="L437" t="n">
        <v>12.85</v>
      </c>
      <c r="M437" s="175" t="n">
        <v>1.13</v>
      </c>
      <c r="N437" t="inlineStr">
        <is>
          <t>台灣最大的聚酯棉與紡紗廠，並經營夢時代購物中心</t>
        </is>
      </c>
    </row>
    <row r="438">
      <c r="A438" t="n">
        <v>1441</v>
      </c>
      <c r="B438" t="inlineStr">
        <is>
          <t>大東</t>
        </is>
      </c>
      <c r="C438" t="n">
        <v>9.369999999999999</v>
      </c>
      <c r="D438" t="n">
        <v>9.6</v>
      </c>
      <c r="E438" s="504" t="n">
        <v>0.23</v>
      </c>
      <c r="F438" s="505" t="n">
        <v>2.45</v>
      </c>
      <c r="G438" t="inlineStr">
        <is>
          <t>15.9萬</t>
        </is>
      </c>
      <c r="H438" t="n">
        <v>18</v>
      </c>
      <c r="I438" t="n">
        <v>55</v>
      </c>
      <c r="J438" t="n">
        <v>7.17</v>
      </c>
      <c r="K438" t="n">
        <v>9.6</v>
      </c>
      <c r="L438" t="n">
        <v>9.26</v>
      </c>
      <c r="M438" s="175" t="n">
        <v>0.03</v>
      </c>
      <c r="N438" t="inlineStr">
        <is>
          <t>台灣主要棉紡生產企業</t>
        </is>
      </c>
    </row>
    <row r="439">
      <c r="A439" t="n">
        <v>1442</v>
      </c>
      <c r="B439" t="inlineStr">
        <is>
          <t>名軒</t>
        </is>
      </c>
      <c r="C439" t="n">
        <v>26.95</v>
      </c>
      <c r="D439" t="n">
        <v>27.2</v>
      </c>
      <c r="E439" s="504" t="n">
        <v>0.4</v>
      </c>
      <c r="F439" s="505" t="n">
        <v>1.49</v>
      </c>
      <c r="G439" t="inlineStr">
        <is>
          <t>1762萬</t>
        </is>
      </c>
      <c r="H439" t="n">
        <v>651</v>
      </c>
      <c r="I439" t="n">
        <v>399</v>
      </c>
      <c r="J439" t="n">
        <v>36.62</v>
      </c>
      <c r="K439" t="n">
        <v>27.3</v>
      </c>
      <c r="L439" t="n">
        <v>26.5</v>
      </c>
      <c r="M439" s="175" t="n">
        <v>0.18</v>
      </c>
      <c r="N439" t="inlineStr">
        <is>
          <t>麗寶集團旗下成員</t>
        </is>
      </c>
    </row>
    <row r="440">
      <c r="A440" t="n">
        <v>1443</v>
      </c>
      <c r="B440" t="inlineStr">
        <is>
          <t>立益物流</t>
        </is>
      </c>
      <c r="C440" t="n">
        <v>25.4</v>
      </c>
      <c r="D440" t="n">
        <v>25.2</v>
      </c>
      <c r="E440" s="504" t="n">
        <v>0.1</v>
      </c>
      <c r="F440" s="505" t="n">
        <v>0.4</v>
      </c>
      <c r="G440" t="inlineStr">
        <is>
          <t>75.0萬</t>
        </is>
      </c>
      <c r="H440" t="n">
        <v>30</v>
      </c>
      <c r="I440" t="n">
        <v>24</v>
      </c>
      <c r="J440" t="n">
        <v>13.53</v>
      </c>
      <c r="K440" t="n">
        <v>25.4</v>
      </c>
      <c r="L440" t="n">
        <v>24.6</v>
      </c>
      <c r="M440" s="175" t="n">
        <v>0.02</v>
      </c>
      <c r="N440" t="inlineStr">
        <is>
          <t>從事物流倉儲服務及經營房地產</t>
        </is>
      </c>
    </row>
    <row r="441">
      <c r="A441" t="n">
        <v>1444</v>
      </c>
      <c r="B441" t="inlineStr">
        <is>
          <t>力麗</t>
        </is>
      </c>
      <c r="C441" t="n">
        <v>6.9</v>
      </c>
      <c r="D441" t="n">
        <v>6.8</v>
      </c>
      <c r="E441" s="504" t="n">
        <v>0.06</v>
      </c>
      <c r="F441" s="505" t="n">
        <v>0.89</v>
      </c>
      <c r="G441" t="inlineStr">
        <is>
          <t>3416萬</t>
        </is>
      </c>
      <c r="H441" t="n">
        <v>5010</v>
      </c>
      <c r="I441" t="n">
        <v>2676</v>
      </c>
      <c r="J441" t="n">
        <v>99.56</v>
      </c>
      <c r="K441" t="n">
        <v>6.98</v>
      </c>
      <c r="L441" t="n">
        <v>6.62</v>
      </c>
      <c r="M441" s="175" t="n">
        <v>0.5</v>
      </c>
      <c r="N441" t="inlineStr">
        <is>
          <t>台灣聚酯加工絲龍頭廠</t>
        </is>
      </c>
    </row>
    <row r="442">
      <c r="A442" t="n">
        <v>1445</v>
      </c>
      <c r="B442" t="inlineStr">
        <is>
          <t>大宇</t>
        </is>
      </c>
      <c r="C442" t="n">
        <v>11.6</v>
      </c>
      <c r="D442" t="n">
        <v>11.6</v>
      </c>
      <c r="E442" s="504" t="n">
        <v>0</v>
      </c>
      <c r="F442" s="505" t="n">
        <v>0</v>
      </c>
      <c r="G442" t="inlineStr">
        <is>
          <t>36.3萬</t>
        </is>
      </c>
      <c r="H442" t="n">
        <v>31</v>
      </c>
      <c r="I442" t="n">
        <v>117</v>
      </c>
      <c r="J442" t="n">
        <v>13.07</v>
      </c>
      <c r="K442" t="n">
        <v>11.85</v>
      </c>
      <c r="L442" t="n">
        <v>11.6</v>
      </c>
      <c r="M442" s="175" t="n">
        <v>0.02</v>
      </c>
      <c r="N442" t="inlineStr">
        <is>
          <t>台灣專業的織布廠</t>
        </is>
      </c>
    </row>
    <row r="443">
      <c r="A443" t="n">
        <v>1446</v>
      </c>
      <c r="B443" t="inlineStr">
        <is>
          <t>宏和</t>
        </is>
      </c>
      <c r="C443" t="n">
        <v>16</v>
      </c>
      <c r="D443" t="n">
        <v>16.2</v>
      </c>
      <c r="E443" s="504" t="n">
        <v>0.1</v>
      </c>
      <c r="F443" s="505" t="n">
        <v>0.62</v>
      </c>
      <c r="G443" t="inlineStr">
        <is>
          <t>345萬</t>
        </is>
      </c>
      <c r="H443" t="n">
        <v>216</v>
      </c>
      <c r="I443" t="n">
        <v>247</v>
      </c>
      <c r="J443" t="n">
        <v>13.77</v>
      </c>
      <c r="K443" t="n">
        <v>16.3</v>
      </c>
      <c r="L443" t="n">
        <v>15.85</v>
      </c>
      <c r="M443" s="175" t="n">
        <v>0.16</v>
      </c>
      <c r="N443" t="inlineStr">
        <is>
          <t>台灣知名的長短纖布廠</t>
        </is>
      </c>
    </row>
    <row r="444">
      <c r="A444" t="n">
        <v>1447</v>
      </c>
      <c r="B444" t="inlineStr">
        <is>
          <t>力鵬</t>
        </is>
      </c>
      <c r="C444" t="n">
        <v>6.35</v>
      </c>
      <c r="D444" t="n">
        <v>6.34</v>
      </c>
      <c r="E444" s="504" t="n">
        <v>0.01</v>
      </c>
      <c r="F444" s="505" t="n">
        <v>0.16</v>
      </c>
      <c r="G444" t="inlineStr">
        <is>
          <t>1594萬</t>
        </is>
      </c>
      <c r="H444" t="n">
        <v>2506</v>
      </c>
      <c r="I444" t="n">
        <v>3198</v>
      </c>
      <c r="J444" t="n">
        <v>91.01000000000001</v>
      </c>
      <c r="K444" t="n">
        <v>6.58</v>
      </c>
      <c r="L444" t="n">
        <v>6.2</v>
      </c>
      <c r="M444" s="175" t="n">
        <v>0.28</v>
      </c>
      <c r="N444" t="inlineStr">
        <is>
          <t>力麗集團旗下，台灣知名尼龍粒大廠</t>
        </is>
      </c>
    </row>
    <row r="445">
      <c r="A445" t="n">
        <v>1449</v>
      </c>
      <c r="B445" t="inlineStr">
        <is>
          <t>佳和</t>
        </is>
      </c>
      <c r="C445" t="n">
        <v>14.7</v>
      </c>
      <c r="D445" t="n">
        <v>13.8</v>
      </c>
      <c r="E445" s="504" t="n">
        <v>-0.25</v>
      </c>
      <c r="F445" s="505" t="n">
        <v>-1.78</v>
      </c>
      <c r="G445" t="inlineStr">
        <is>
          <t>5447萬</t>
        </is>
      </c>
      <c r="H445" t="n">
        <v>3930</v>
      </c>
      <c r="I445" t="n">
        <v>1780</v>
      </c>
      <c r="J445" t="n">
        <v>12.71</v>
      </c>
      <c r="K445" t="n">
        <v>14.7</v>
      </c>
      <c r="L445" t="n">
        <v>13.3</v>
      </c>
      <c r="M445" s="175" t="n">
        <v>3.09</v>
      </c>
      <c r="N445" t="inlineStr">
        <is>
          <t>織布生產商，產品為先染及長纖織物</t>
        </is>
      </c>
    </row>
    <row r="446">
      <c r="A446" t="n">
        <v>1451</v>
      </c>
      <c r="B446" t="inlineStr">
        <is>
          <t>年興</t>
        </is>
      </c>
      <c r="C446" t="n">
        <v>16.55</v>
      </c>
      <c r="D446" t="n">
        <v>16.7</v>
      </c>
      <c r="E446" s="504" t="n">
        <v>0.05</v>
      </c>
      <c r="F446" s="505" t="n">
        <v>0.3</v>
      </c>
      <c r="G446" t="inlineStr">
        <is>
          <t>197萬</t>
        </is>
      </c>
      <c r="H446" t="n">
        <v>118</v>
      </c>
      <c r="I446" t="n">
        <v>260</v>
      </c>
      <c r="J446" t="n">
        <v>19.8</v>
      </c>
      <c r="K446" t="n">
        <v>16.75</v>
      </c>
      <c r="L446" t="n">
        <v>16.55</v>
      </c>
      <c r="M446" s="175" t="n">
        <v>0.06</v>
      </c>
      <c r="N446" t="inlineStr">
        <is>
          <t>全球最大的牛仔成衣廠</t>
        </is>
      </c>
    </row>
    <row r="447">
      <c r="A447" t="n">
        <v>1452</v>
      </c>
      <c r="B447" t="inlineStr">
        <is>
          <t>宏益</t>
        </is>
      </c>
      <c r="C447" t="n">
        <v>10.7</v>
      </c>
      <c r="D447" t="n">
        <v>10.65</v>
      </c>
      <c r="E447" s="504" t="n">
        <v>0.1</v>
      </c>
      <c r="F447" s="505" t="n">
        <v>0.95</v>
      </c>
      <c r="G447" t="inlineStr">
        <is>
          <t>88.6萬</t>
        </is>
      </c>
      <c r="H447" t="n">
        <v>83</v>
      </c>
      <c r="I447" t="n">
        <v>132</v>
      </c>
      <c r="J447" t="n">
        <v>13.26</v>
      </c>
      <c r="K447" t="n">
        <v>10.8</v>
      </c>
      <c r="L447" t="n">
        <v>10.55</v>
      </c>
      <c r="M447" s="175" t="n">
        <v>0.06</v>
      </c>
      <c r="N447" t="inlineStr">
        <is>
          <t>台灣專業的加工絲一貫廠</t>
        </is>
      </c>
    </row>
    <row r="448">
      <c r="A448" t="n">
        <v>1453</v>
      </c>
      <c r="B448" t="inlineStr">
        <is>
          <t>大將</t>
        </is>
      </c>
      <c r="C448" t="n">
        <v>11.1</v>
      </c>
      <c r="D448" t="n">
        <v>11.15</v>
      </c>
      <c r="E448" s="504" t="n">
        <v>0</v>
      </c>
      <c r="F448" s="505" t="n">
        <v>0</v>
      </c>
      <c r="G448" t="inlineStr">
        <is>
          <t>124萬</t>
        </is>
      </c>
      <c r="H448" t="n">
        <v>112</v>
      </c>
      <c r="I448" t="n">
        <v>80</v>
      </c>
      <c r="J448" t="n">
        <v>11.32</v>
      </c>
      <c r="K448" t="n">
        <v>11.15</v>
      </c>
      <c r="L448" t="n">
        <v>11.05</v>
      </c>
      <c r="M448" s="175" t="n">
        <v>0.1</v>
      </c>
      <c r="N448" t="inlineStr">
        <is>
          <t>主要經營營建開發及紡織買賣</t>
        </is>
      </c>
    </row>
    <row r="449">
      <c r="A449" t="n">
        <v>1454</v>
      </c>
      <c r="B449" t="inlineStr">
        <is>
          <t>台富</t>
        </is>
      </c>
      <c r="C449" t="n">
        <v>13.2</v>
      </c>
      <c r="D449" t="n">
        <v>13.4</v>
      </c>
      <c r="E449" s="504" t="n">
        <v>0.4</v>
      </c>
      <c r="F449" s="505" t="n">
        <v>3.08</v>
      </c>
      <c r="G449" t="inlineStr">
        <is>
          <t>336萬</t>
        </is>
      </c>
      <c r="H449" t="n">
        <v>244</v>
      </c>
      <c r="I449" t="n">
        <v>115</v>
      </c>
      <c r="J449" t="n">
        <v>12.98</v>
      </c>
      <c r="K449" t="n">
        <v>14.3</v>
      </c>
      <c r="L449" t="n">
        <v>13</v>
      </c>
      <c r="M449" s="175" t="n">
        <v>0.19</v>
      </c>
      <c r="N449" t="inlineStr">
        <is>
          <t>台灣加工絲、織布一貫廠</t>
        </is>
      </c>
    </row>
    <row r="450">
      <c r="A450" t="n">
        <v>1455</v>
      </c>
      <c r="B450" t="inlineStr">
        <is>
          <t>集盛</t>
        </is>
      </c>
      <c r="C450" t="n">
        <v>9.07</v>
      </c>
      <c r="D450" t="n">
        <v>9.199999999999999</v>
      </c>
      <c r="E450" s="504" t="n">
        <v>0.18</v>
      </c>
      <c r="F450" s="505" t="n">
        <v>2</v>
      </c>
      <c r="G450" t="inlineStr">
        <is>
          <t>1732萬</t>
        </is>
      </c>
      <c r="H450" t="n">
        <v>1894</v>
      </c>
      <c r="I450" t="n">
        <v>1225</v>
      </c>
      <c r="J450" t="n">
        <v>53.17</v>
      </c>
      <c r="K450" t="n">
        <v>9.35</v>
      </c>
      <c r="L450" t="n">
        <v>8.99</v>
      </c>
      <c r="M450" s="175" t="n">
        <v>0.36</v>
      </c>
      <c r="N450" t="inlineStr">
        <is>
          <t>台灣前三大尼龍粒廠商及前四大聚酯加工絲廠</t>
        </is>
      </c>
    </row>
    <row r="451">
      <c r="A451" t="n">
        <v>1456</v>
      </c>
      <c r="B451" t="inlineStr">
        <is>
          <t>怡華</t>
        </is>
      </c>
      <c r="C451" t="n">
        <v>12.3</v>
      </c>
      <c r="D451" t="n">
        <v>12.6</v>
      </c>
      <c r="E451" s="504" t="n">
        <v>0.1</v>
      </c>
      <c r="F451" s="505" t="n">
        <v>0.8</v>
      </c>
      <c r="G451" t="inlineStr">
        <is>
          <t>111萬</t>
        </is>
      </c>
      <c r="H451" t="n">
        <v>89</v>
      </c>
      <c r="I451" t="n">
        <v>96</v>
      </c>
      <c r="J451" t="n">
        <v>9.369999999999999</v>
      </c>
      <c r="K451" t="n">
        <v>12.6</v>
      </c>
      <c r="L451" t="n">
        <v>12.3</v>
      </c>
      <c r="M451" s="175" t="n">
        <v>0.09</v>
      </c>
      <c r="N451" t="inlineStr">
        <is>
          <t>元邦集團旗下，為綜合性紡織廠及營建商</t>
        </is>
      </c>
    </row>
    <row r="452">
      <c r="A452" t="n">
        <v>1457</v>
      </c>
      <c r="B452" t="inlineStr">
        <is>
          <t>宜進</t>
        </is>
      </c>
      <c r="C452" t="n">
        <v>13.95</v>
      </c>
      <c r="D452" t="n">
        <v>13.95</v>
      </c>
      <c r="E452" s="504" t="n">
        <v>-0.05</v>
      </c>
      <c r="F452" s="505" t="n">
        <v>-0.36</v>
      </c>
      <c r="G452" t="inlineStr">
        <is>
          <t>353萬</t>
        </is>
      </c>
      <c r="H452" t="n">
        <v>254</v>
      </c>
      <c r="I452" t="n">
        <v>158</v>
      </c>
      <c r="J452" t="n">
        <v>31.67</v>
      </c>
      <c r="K452" t="n">
        <v>14</v>
      </c>
      <c r="L452" t="n">
        <v>13.85</v>
      </c>
      <c r="M452" s="175" t="n">
        <v>0.08</v>
      </c>
      <c r="N452" t="inlineStr">
        <is>
          <t>台灣前五大加工絲廠之一</t>
        </is>
      </c>
    </row>
    <row r="453">
      <c r="A453" t="n">
        <v>1459</v>
      </c>
      <c r="B453" t="inlineStr">
        <is>
          <t>聯發</t>
        </is>
      </c>
      <c r="C453" t="n">
        <v>11.55</v>
      </c>
      <c r="D453" t="n">
        <v>11.6</v>
      </c>
      <c r="E453" s="504" t="n">
        <v>0.05</v>
      </c>
      <c r="F453" s="505" t="n">
        <v>0.43</v>
      </c>
      <c r="G453" t="inlineStr">
        <is>
          <t>209萬</t>
        </is>
      </c>
      <c r="H453" t="n">
        <v>181</v>
      </c>
      <c r="I453" t="n">
        <v>322</v>
      </c>
      <c r="J453" t="n">
        <v>35.86</v>
      </c>
      <c r="K453" t="n">
        <v>11.7</v>
      </c>
      <c r="L453" t="n">
        <v>11.5</v>
      </c>
      <c r="M453" s="175" t="n">
        <v>0.05</v>
      </c>
      <c r="N453" t="inlineStr">
        <is>
          <t>台灣十大聚酯加工絲廠之一</t>
        </is>
      </c>
    </row>
    <row r="454">
      <c r="A454" t="n">
        <v>1460</v>
      </c>
      <c r="B454" t="inlineStr">
        <is>
          <t>宏遠</t>
        </is>
      </c>
      <c r="C454" t="n">
        <v>7.04</v>
      </c>
      <c r="D454" t="n">
        <v>7.14</v>
      </c>
      <c r="E454" s="504" t="n">
        <v>0.14</v>
      </c>
      <c r="F454" s="505" t="n">
        <v>2</v>
      </c>
      <c r="G454" t="inlineStr">
        <is>
          <t>986萬</t>
        </is>
      </c>
      <c r="H454" t="n">
        <v>1394</v>
      </c>
      <c r="I454" t="n">
        <v>687</v>
      </c>
      <c r="J454" t="n">
        <v>69.45999999999999</v>
      </c>
      <c r="K454" t="n">
        <v>7.15</v>
      </c>
      <c r="L454" t="n">
        <v>6.95</v>
      </c>
      <c r="M454" s="175" t="n">
        <v>0.2</v>
      </c>
      <c r="N454" t="inlineStr">
        <is>
          <t>遠東集團旗下，是一家長短織一貫布廠</t>
        </is>
      </c>
    </row>
    <row r="455">
      <c r="A455" t="n">
        <v>1463</v>
      </c>
      <c r="B455" t="inlineStr">
        <is>
          <t>強盛新</t>
        </is>
      </c>
      <c r="C455" t="n">
        <v>17.8</v>
      </c>
      <c r="D455" t="n">
        <v>17.7</v>
      </c>
      <c r="E455" s="504" t="n">
        <v>-0.1</v>
      </c>
      <c r="F455" s="505" t="n">
        <v>-0.5600000000000001</v>
      </c>
      <c r="G455" t="inlineStr">
        <is>
          <t>81.8萬</t>
        </is>
      </c>
      <c r="H455" t="n">
        <v>46</v>
      </c>
      <c r="I455" t="n">
        <v>46</v>
      </c>
      <c r="J455" t="n">
        <v>17.33</v>
      </c>
      <c r="K455" t="n">
        <v>17.85</v>
      </c>
      <c r="L455" t="n">
        <v>17.7</v>
      </c>
      <c r="M455" s="175" t="n">
        <v>0.03</v>
      </c>
      <c r="N455" t="inlineStr">
        <is>
          <t>台灣專業的染整廠之一</t>
        </is>
      </c>
    </row>
    <row r="456">
      <c r="A456" t="n">
        <v>1464</v>
      </c>
      <c r="B456" t="inlineStr">
        <is>
          <t>得力</t>
        </is>
      </c>
      <c r="C456" t="n">
        <v>10.4</v>
      </c>
      <c r="D456" t="n">
        <v>10.3</v>
      </c>
      <c r="E456" s="504" t="n">
        <v>0.05</v>
      </c>
      <c r="F456" s="505" t="n">
        <v>0.49</v>
      </c>
      <c r="G456" t="inlineStr">
        <is>
          <t>631萬</t>
        </is>
      </c>
      <c r="H456" t="n">
        <v>614</v>
      </c>
      <c r="I456" t="n">
        <v>508</v>
      </c>
      <c r="J456" t="n">
        <v>42.56</v>
      </c>
      <c r="K456" t="n">
        <v>10.4</v>
      </c>
      <c r="L456" t="n">
        <v>10.15</v>
      </c>
      <c r="M456" s="175" t="n">
        <v>0.14</v>
      </c>
      <c r="N456" t="inlineStr">
        <is>
          <t>台灣老牌織染一貫化布廠</t>
        </is>
      </c>
    </row>
    <row r="457">
      <c r="A457" t="n">
        <v>1465</v>
      </c>
      <c r="B457" t="inlineStr">
        <is>
          <t>偉全</t>
        </is>
      </c>
      <c r="C457" t="n">
        <v>12.5</v>
      </c>
      <c r="D457" t="n">
        <v>12.5</v>
      </c>
      <c r="E457" s="504" t="n">
        <v>0</v>
      </c>
      <c r="F457" s="505" t="n">
        <v>0</v>
      </c>
      <c r="G457" t="inlineStr">
        <is>
          <t>274萬</t>
        </is>
      </c>
      <c r="H457" t="n">
        <v>221</v>
      </c>
      <c r="I457" t="n">
        <v>124</v>
      </c>
      <c r="J457" t="n">
        <v>10.36</v>
      </c>
      <c r="K457" t="n">
        <v>12.75</v>
      </c>
      <c r="L457" t="n">
        <v>12.3</v>
      </c>
      <c r="M457" s="175" t="n">
        <v>0.21</v>
      </c>
      <c r="N457" t="inlineStr">
        <is>
          <t>台灣專業的長纖布廠</t>
        </is>
      </c>
    </row>
    <row r="458">
      <c r="A458" t="n">
        <v>1466</v>
      </c>
      <c r="B458" t="inlineStr">
        <is>
          <t>聚隆</t>
        </is>
      </c>
      <c r="C458" t="n">
        <v>14.2</v>
      </c>
      <c r="D458" t="n">
        <v>14.35</v>
      </c>
      <c r="E458" s="504" t="n">
        <v>0.15</v>
      </c>
      <c r="F458" s="505" t="n">
        <v>1.06</v>
      </c>
      <c r="G458" t="inlineStr">
        <is>
          <t>243萬</t>
        </is>
      </c>
      <c r="H458" t="n">
        <v>173</v>
      </c>
      <c r="I458" t="n">
        <v>328</v>
      </c>
      <c r="J458" t="n">
        <v>11.12</v>
      </c>
      <c r="K458" t="n">
        <v>14.35</v>
      </c>
      <c r="L458" t="n">
        <v>13.95</v>
      </c>
      <c r="M458" s="175" t="n">
        <v>0.16</v>
      </c>
      <c r="N458" t="inlineStr">
        <is>
          <t>台灣前二大的尼龍加工絲廠之一</t>
        </is>
      </c>
    </row>
    <row r="459">
      <c r="A459" t="n">
        <v>1467</v>
      </c>
      <c r="B459" t="inlineStr">
        <is>
          <t>南緯</t>
        </is>
      </c>
      <c r="C459" t="n">
        <v>7.42</v>
      </c>
      <c r="D459" t="n">
        <v>7.42</v>
      </c>
      <c r="E459" s="504" t="n">
        <v>0.05</v>
      </c>
      <c r="F459" s="505" t="n">
        <v>0.68</v>
      </c>
      <c r="G459" t="inlineStr">
        <is>
          <t>349萬</t>
        </is>
      </c>
      <c r="H459" t="n">
        <v>476</v>
      </c>
      <c r="I459" t="n">
        <v>421</v>
      </c>
      <c r="J459" t="n">
        <v>23.36</v>
      </c>
      <c r="K459" t="n">
        <v>7.42</v>
      </c>
      <c r="L459" t="n">
        <v>7.26</v>
      </c>
      <c r="M459" s="175" t="n">
        <v>0.28</v>
      </c>
      <c r="N459" t="inlineStr">
        <is>
          <t>為品牌大廠代工及與Wal-mart合作的成衣廠</t>
        </is>
      </c>
    </row>
    <row r="460">
      <c r="A460" t="n">
        <v>1468</v>
      </c>
      <c r="B460" t="inlineStr">
        <is>
          <t>昶和</t>
        </is>
      </c>
      <c r="C460" t="n">
        <v>12</v>
      </c>
      <c r="D460" t="n">
        <v>12.1</v>
      </c>
      <c r="E460" s="504" t="n">
        <v>0</v>
      </c>
      <c r="F460" s="505" t="n">
        <v>0</v>
      </c>
      <c r="G460" t="inlineStr">
        <is>
          <t>65.5萬</t>
        </is>
      </c>
      <c r="H460" t="n">
        <v>55</v>
      </c>
      <c r="I460" t="n">
        <v>53</v>
      </c>
      <c r="J460" t="n">
        <v>16.04</v>
      </c>
      <c r="K460" t="n">
        <v>12.1</v>
      </c>
      <c r="L460" t="n">
        <v>11.8</v>
      </c>
      <c r="M460" s="175" t="n">
        <v>0.03</v>
      </c>
      <c r="N460" t="inlineStr">
        <is>
          <t>尼龍長織布廠</t>
        </is>
      </c>
    </row>
    <row r="461">
      <c r="A461" t="n">
        <v>1470</v>
      </c>
      <c r="B461" t="inlineStr">
        <is>
          <t>大統新創</t>
        </is>
      </c>
      <c r="C461" t="n">
        <v>22.85</v>
      </c>
      <c r="D461" t="n">
        <v>22.7</v>
      </c>
      <c r="E461" s="504" t="n">
        <v>0.05</v>
      </c>
      <c r="F461" s="505" t="n">
        <v>0.22</v>
      </c>
      <c r="G461" t="inlineStr">
        <is>
          <t>20.4萬</t>
        </is>
      </c>
      <c r="H461" t="n">
        <v>9</v>
      </c>
      <c r="I461" t="n">
        <v>11</v>
      </c>
      <c r="J461" t="n">
        <v>8.58</v>
      </c>
      <c r="K461" t="n">
        <v>22.85</v>
      </c>
      <c r="L461" t="n">
        <v>22.55</v>
      </c>
      <c r="M461" s="175" t="n">
        <v>0.01</v>
      </c>
      <c r="N461" t="inlineStr">
        <is>
          <t>台灣知名的染整廠，並跨足機能布</t>
        </is>
      </c>
    </row>
    <row r="462">
      <c r="A462" t="n">
        <v>1471</v>
      </c>
      <c r="B462" t="inlineStr">
        <is>
          <t>首利</t>
        </is>
      </c>
      <c r="C462" t="n">
        <v>12.4</v>
      </c>
      <c r="D462" t="n">
        <v>12</v>
      </c>
      <c r="E462" s="504" t="n">
        <v>-0.25</v>
      </c>
      <c r="F462" s="505" t="n">
        <v>-2.04</v>
      </c>
      <c r="G462" t="inlineStr">
        <is>
          <t>3912萬</t>
        </is>
      </c>
      <c r="H462" t="n">
        <v>3303</v>
      </c>
      <c r="I462" t="n">
        <v>1524</v>
      </c>
      <c r="J462" t="n">
        <v>15.04</v>
      </c>
      <c r="K462" t="n">
        <v>12.4</v>
      </c>
      <c r="L462" t="n">
        <v>11.3</v>
      </c>
      <c r="M462" s="175" t="n">
        <v>2.27</v>
      </c>
      <c r="N462" t="inlineStr">
        <is>
          <t>台灣電源供應器及機殼廠</t>
        </is>
      </c>
    </row>
    <row r="463">
      <c r="A463" t="n">
        <v>1472</v>
      </c>
      <c r="B463" t="inlineStr">
        <is>
          <t>三洋實業</t>
        </is>
      </c>
      <c r="C463" t="n">
        <v>90</v>
      </c>
      <c r="D463" t="n">
        <v>90</v>
      </c>
      <c r="E463" s="504" t="n">
        <v>0</v>
      </c>
      <c r="F463" s="505" t="n">
        <v>0</v>
      </c>
      <c r="G463" t="inlineStr">
        <is>
          <t>99.1萬</t>
        </is>
      </c>
      <c r="H463" t="n">
        <v>11</v>
      </c>
      <c r="I463" t="n">
        <v>38</v>
      </c>
      <c r="J463" t="n">
        <v>5.25</v>
      </c>
      <c r="K463" t="n">
        <v>90.5</v>
      </c>
      <c r="L463" t="n">
        <v>90</v>
      </c>
      <c r="M463" s="175" t="n">
        <v>0.02</v>
      </c>
      <c r="N463" t="inlineStr">
        <is>
          <t>承建公共工程、商辦、住宅等營造工程</t>
        </is>
      </c>
    </row>
    <row r="464">
      <c r="A464" t="n">
        <v>1473</v>
      </c>
      <c r="B464" t="inlineStr">
        <is>
          <t>台南</t>
        </is>
      </c>
      <c r="C464" t="n">
        <v>21.4</v>
      </c>
      <c r="D464" t="n">
        <v>21.1</v>
      </c>
      <c r="E464" s="504" t="n">
        <v>-0.1</v>
      </c>
      <c r="F464" s="505" t="n">
        <v>-0.47</v>
      </c>
      <c r="G464" t="inlineStr">
        <is>
          <t>346萬</t>
        </is>
      </c>
      <c r="H464" t="n">
        <v>165</v>
      </c>
      <c r="I464" t="n">
        <v>151</v>
      </c>
      <c r="J464" t="n">
        <v>14.62</v>
      </c>
      <c r="K464" t="n">
        <v>21.4</v>
      </c>
      <c r="L464" t="n">
        <v>20.75</v>
      </c>
      <c r="M464" s="175" t="n">
        <v>0.11</v>
      </c>
      <c r="N464" t="inlineStr">
        <is>
          <t>台灣前三大成衣製造商，在大陸有Tony wear自有品牌</t>
        </is>
      </c>
    </row>
    <row r="465">
      <c r="A465" t="n">
        <v>1474</v>
      </c>
      <c r="B465" t="inlineStr">
        <is>
          <t>弘裕</t>
        </is>
      </c>
      <c r="C465" t="n">
        <v>10.25</v>
      </c>
      <c r="D465" t="n">
        <v>10.1</v>
      </c>
      <c r="E465" s="504" t="n">
        <v>-0.1</v>
      </c>
      <c r="F465" s="505" t="n">
        <v>-0.98</v>
      </c>
      <c r="G465" t="inlineStr">
        <is>
          <t>104萬</t>
        </is>
      </c>
      <c r="H465" t="n">
        <v>103</v>
      </c>
      <c r="I465" t="n">
        <v>258</v>
      </c>
      <c r="J465" t="n">
        <v>12.99</v>
      </c>
      <c r="K465" t="n">
        <v>10.4</v>
      </c>
      <c r="L465" t="n">
        <v>10.05</v>
      </c>
      <c r="M465" s="175" t="n">
        <v>0.08</v>
      </c>
      <c r="N465" t="inlineStr">
        <is>
          <t>台灣最大的工業用布廠</t>
        </is>
      </c>
    </row>
    <row r="466">
      <c r="A466" t="n">
        <v>1475</v>
      </c>
      <c r="B466" t="inlineStr">
        <is>
          <t>業旺</t>
        </is>
      </c>
      <c r="C466" t="n">
        <v>25.05</v>
      </c>
      <c r="D466" t="n">
        <v>25</v>
      </c>
      <c r="E466" s="504" t="n">
        <v>-0.1</v>
      </c>
      <c r="F466" s="505" t="n">
        <v>-0.4</v>
      </c>
      <c r="G466" t="inlineStr">
        <is>
          <t>47.4萬</t>
        </is>
      </c>
      <c r="H466" t="n">
        <v>19</v>
      </c>
      <c r="I466" t="n">
        <v>67</v>
      </c>
      <c r="J466" t="n">
        <v>6.6</v>
      </c>
      <c r="K466" t="n">
        <v>25.05</v>
      </c>
      <c r="L466" t="n">
        <v>24.85</v>
      </c>
      <c r="M466" s="175" t="n">
        <v>0.03</v>
      </c>
      <c r="N466" t="inlineStr">
        <is>
          <t>台灣紡織助染劑廠</t>
        </is>
      </c>
    </row>
    <row r="467">
      <c r="A467" t="n">
        <v>1476</v>
      </c>
      <c r="B467" t="inlineStr">
        <is>
          <t>儒鴻</t>
        </is>
      </c>
      <c r="C467" t="n">
        <v>352.5</v>
      </c>
      <c r="D467" t="n">
        <v>351.5</v>
      </c>
      <c r="E467" s="504" t="n">
        <v>-1.5</v>
      </c>
      <c r="F467" s="505" t="n">
        <v>-0.42</v>
      </c>
      <c r="G467" t="inlineStr">
        <is>
          <t>7.41億</t>
        </is>
      </c>
      <c r="H467" t="n">
        <v>2108</v>
      </c>
      <c r="I467" t="n">
        <v>2265</v>
      </c>
      <c r="J467" t="n">
        <v>27.44</v>
      </c>
      <c r="K467" t="n">
        <v>356.5</v>
      </c>
      <c r="L467" t="n">
        <v>347.5</v>
      </c>
      <c r="M467" s="175" t="n">
        <v>0.77</v>
      </c>
      <c r="N467" t="inlineStr">
        <is>
          <t>台灣最大針織布及前二大成衣代工廠</t>
        </is>
      </c>
    </row>
    <row r="468">
      <c r="A468" t="n">
        <v>1477</v>
      </c>
      <c r="B468" t="inlineStr">
        <is>
          <t>聚陽</t>
        </is>
      </c>
      <c r="C468" t="n">
        <v>222.5</v>
      </c>
      <c r="D468" t="n">
        <v>226</v>
      </c>
      <c r="E468" s="504" t="n">
        <v>3.5</v>
      </c>
      <c r="F468" s="505" t="n">
        <v>1.57</v>
      </c>
      <c r="G468" t="inlineStr">
        <is>
          <t>5.35億</t>
        </is>
      </c>
      <c r="H468" t="n">
        <v>2405</v>
      </c>
      <c r="I468" t="n">
        <v>2820</v>
      </c>
      <c r="J468" t="n">
        <v>24.67</v>
      </c>
      <c r="K468" t="n">
        <v>226</v>
      </c>
      <c r="L468" t="n">
        <v>220.5</v>
      </c>
      <c r="M468" s="175" t="n">
        <v>0.97</v>
      </c>
      <c r="N468" t="inlineStr">
        <is>
          <t>全球前五大、台灣第一大成衣代工廠</t>
        </is>
      </c>
    </row>
    <row r="469">
      <c r="A469" t="n">
        <v>1503</v>
      </c>
      <c r="B469" t="inlineStr">
        <is>
          <t>士電</t>
        </is>
      </c>
      <c r="C469" t="n">
        <v>220.5</v>
      </c>
      <c r="D469" t="n">
        <v>222</v>
      </c>
      <c r="E469" s="504" t="n">
        <v>1.5</v>
      </c>
      <c r="F469" s="505" t="n">
        <v>0.68</v>
      </c>
      <c r="G469" t="inlineStr">
        <is>
          <t>13.7億</t>
        </is>
      </c>
      <c r="H469" t="n">
        <v>6263</v>
      </c>
      <c r="I469" t="n">
        <v>12870</v>
      </c>
      <c r="J469" t="n">
        <v>52.1</v>
      </c>
      <c r="K469" t="n">
        <v>222.5</v>
      </c>
      <c r="L469" t="n">
        <v>214</v>
      </c>
      <c r="M469" s="175" t="n">
        <v>1.2</v>
      </c>
      <c r="N469" t="inlineStr">
        <is>
          <t>屬仰德集團，本業以電機相關產品為主，為士林三寶之一</t>
        </is>
      </c>
    </row>
    <row r="470">
      <c r="A470" t="n">
        <v>1504</v>
      </c>
      <c r="B470" t="inlineStr">
        <is>
          <t>東元</t>
        </is>
      </c>
      <c r="C470" t="n">
        <v>76.59999999999999</v>
      </c>
      <c r="D470" t="n">
        <v>75.5</v>
      </c>
      <c r="E470" s="504" t="n">
        <v>-3.2</v>
      </c>
      <c r="F470" s="505" t="n">
        <v>-4.07</v>
      </c>
      <c r="G470" t="inlineStr">
        <is>
          <t>32.5億</t>
        </is>
      </c>
      <c r="H470" t="n">
        <v>42972</v>
      </c>
      <c r="I470" t="n">
        <v>60240</v>
      </c>
      <c r="J470" t="n">
        <v>237.64</v>
      </c>
      <c r="K470" t="n">
        <v>77.90000000000001</v>
      </c>
      <c r="L470" t="n">
        <v>74.40000000000001</v>
      </c>
      <c r="M470" s="175" t="n">
        <v>1.81</v>
      </c>
      <c r="N470" t="inlineStr">
        <is>
          <t>多角化經營的台灣老牌家電廠</t>
        </is>
      </c>
    </row>
    <row r="471">
      <c r="A471" t="n">
        <v>1506</v>
      </c>
      <c r="B471" t="inlineStr">
        <is>
          <t>正道</t>
        </is>
      </c>
      <c r="C471" t="n">
        <v>10.1</v>
      </c>
      <c r="D471" t="n">
        <v>10.1</v>
      </c>
      <c r="E471" s="504" t="n">
        <v>0</v>
      </c>
      <c r="F471" s="505" t="n">
        <v>0</v>
      </c>
      <c r="G471" t="inlineStr">
        <is>
          <t>763萬</t>
        </is>
      </c>
      <c r="H471" t="n">
        <v>762</v>
      </c>
      <c r="I471" t="n">
        <v>499</v>
      </c>
      <c r="J471" t="n">
        <v>30.04</v>
      </c>
      <c r="K471" t="n">
        <v>10.15</v>
      </c>
      <c r="L471" t="n">
        <v>9.9</v>
      </c>
      <c r="M471" s="175" t="n">
        <v>0.46</v>
      </c>
      <c r="N471" t="inlineStr">
        <is>
          <t>台灣知名活塞與汽車鍛件製造商</t>
        </is>
      </c>
    </row>
    <row r="472">
      <c r="A472" t="n">
        <v>1512</v>
      </c>
      <c r="B472" t="inlineStr">
        <is>
          <t>瑞利</t>
        </is>
      </c>
      <c r="C472" t="n">
        <v>6.77</v>
      </c>
      <c r="D472" t="n">
        <v>6.96</v>
      </c>
      <c r="E472" s="504" t="n">
        <v>0.16</v>
      </c>
      <c r="F472" s="505" t="n">
        <v>2.35</v>
      </c>
      <c r="G472" t="inlineStr">
        <is>
          <t>98.3萬</t>
        </is>
      </c>
      <c r="H472" t="n">
        <v>145</v>
      </c>
      <c r="I472" t="n">
        <v>166</v>
      </c>
      <c r="J472" t="n">
        <v>9.82</v>
      </c>
      <c r="K472" t="n">
        <v>6.96</v>
      </c>
      <c r="L472" t="n">
        <v>6.7</v>
      </c>
      <c r="M472" s="175" t="n">
        <v>0.15</v>
      </c>
      <c r="N472" t="inlineStr">
        <is>
          <t>主要經營體育用品零售店及汽車鈑金業務</t>
        </is>
      </c>
    </row>
    <row r="473">
      <c r="A473" t="n">
        <v>1513</v>
      </c>
      <c r="B473" t="inlineStr">
        <is>
          <t>中興電</t>
        </is>
      </c>
      <c r="C473" t="n">
        <v>169.5</v>
      </c>
      <c r="D473" t="n">
        <v>168</v>
      </c>
      <c r="E473" s="504" t="n">
        <v>-0.5</v>
      </c>
      <c r="F473" s="505" t="n">
        <v>-0.3</v>
      </c>
      <c r="G473" t="inlineStr">
        <is>
          <t>14.2億</t>
        </is>
      </c>
      <c r="H473" t="n">
        <v>8538</v>
      </c>
      <c r="I473" t="n">
        <v>23667</v>
      </c>
      <c r="J473" t="n">
        <v>50.31</v>
      </c>
      <c r="K473" t="n">
        <v>170</v>
      </c>
      <c r="L473" t="n">
        <v>165</v>
      </c>
      <c r="M473" s="175" t="n">
        <v>1.7</v>
      </c>
      <c r="N473" t="inlineStr">
        <is>
          <t>台灣知名重電及機電工程廠商</t>
        </is>
      </c>
    </row>
    <row r="474">
      <c r="A474" t="n">
        <v>1514</v>
      </c>
      <c r="B474" t="inlineStr">
        <is>
          <t>亞力</t>
        </is>
      </c>
      <c r="C474" t="n">
        <v>126</v>
      </c>
      <c r="D474" t="n">
        <v>124</v>
      </c>
      <c r="E474" s="504" t="n">
        <v>-2.5</v>
      </c>
      <c r="F474" s="505" t="n">
        <v>-1.98</v>
      </c>
      <c r="G474" t="inlineStr">
        <is>
          <t>5.59億</t>
        </is>
      </c>
      <c r="H474" t="n">
        <v>4533</v>
      </c>
      <c r="I474" t="n">
        <v>12054</v>
      </c>
      <c r="J474" t="n">
        <v>27.31</v>
      </c>
      <c r="K474" t="n">
        <v>126</v>
      </c>
      <c r="L474" t="n">
        <v>121</v>
      </c>
      <c r="M474" s="175" t="n">
        <v>1.66</v>
      </c>
      <c r="N474" t="inlineStr">
        <is>
          <t>生產配電盤、電力變壓器為主的電機公司</t>
        </is>
      </c>
    </row>
    <row r="475">
      <c r="A475" t="n">
        <v>1515</v>
      </c>
      <c r="B475" t="inlineStr">
        <is>
          <t>力山</t>
        </is>
      </c>
      <c r="C475" t="n">
        <v>22.25</v>
      </c>
      <c r="D475" t="n">
        <v>22</v>
      </c>
      <c r="E475" s="504" t="n">
        <v>-0.1</v>
      </c>
      <c r="F475" s="505" t="n">
        <v>-0.45</v>
      </c>
      <c r="G475" t="inlineStr">
        <is>
          <t>1342萬</t>
        </is>
      </c>
      <c r="H475" t="n">
        <v>619</v>
      </c>
      <c r="I475" t="n">
        <v>1153</v>
      </c>
      <c r="J475" t="n">
        <v>18.15</v>
      </c>
      <c r="K475" t="n">
        <v>22.25</v>
      </c>
      <c r="L475" t="n">
        <v>21.7</v>
      </c>
      <c r="M475" s="175" t="n">
        <v>0.34</v>
      </c>
      <c r="N475" t="inlineStr">
        <is>
          <t>台灣知名健身器材代工廠</t>
        </is>
      </c>
    </row>
    <row r="476">
      <c r="A476" t="n">
        <v>1516</v>
      </c>
      <c r="B476" t="inlineStr">
        <is>
          <t>川飛</t>
        </is>
      </c>
      <c r="C476" t="n">
        <v>21</v>
      </c>
      <c r="D476" t="n">
        <v>21</v>
      </c>
      <c r="E476" s="504" t="n">
        <v>0</v>
      </c>
      <c r="F476" s="505" t="n">
        <v>0</v>
      </c>
      <c r="G476" t="inlineStr">
        <is>
          <t>109萬</t>
        </is>
      </c>
      <c r="H476" t="n">
        <v>52</v>
      </c>
      <c r="I476" t="n">
        <v>111</v>
      </c>
      <c r="J476" t="n">
        <v>4</v>
      </c>
      <c r="K476" t="n">
        <v>21</v>
      </c>
      <c r="L476" t="n">
        <v>20.7</v>
      </c>
      <c r="M476" s="175" t="n">
        <v>0.13</v>
      </c>
      <c r="N476" t="inlineStr">
        <is>
          <t>從事電子零組件買賣，並跨足電動車電池導電柄</t>
        </is>
      </c>
    </row>
    <row r="477">
      <c r="A477" t="n">
        <v>1517</v>
      </c>
      <c r="B477" t="inlineStr">
        <is>
          <t>利奇</t>
        </is>
      </c>
      <c r="C477" t="n">
        <v>10.1</v>
      </c>
      <c r="D477" t="n">
        <v>10.2</v>
      </c>
      <c r="E477" s="504" t="n">
        <v>0</v>
      </c>
      <c r="F477" s="505" t="n">
        <v>0</v>
      </c>
      <c r="G477" t="inlineStr">
        <is>
          <t>198萬</t>
        </is>
      </c>
      <c r="H477" t="n">
        <v>196</v>
      </c>
      <c r="I477" t="n">
        <v>352</v>
      </c>
      <c r="J477" t="n">
        <v>22</v>
      </c>
      <c r="K477" t="n">
        <v>10.2</v>
      </c>
      <c r="L477" t="n">
        <v>10.05</v>
      </c>
      <c r="M477" s="175" t="n">
        <v>0.09</v>
      </c>
      <c r="N477" t="inlineStr">
        <is>
          <t>台灣老牌自行車零件廠</t>
        </is>
      </c>
    </row>
    <row r="478">
      <c r="A478" t="n">
        <v>1519</v>
      </c>
      <c r="B478" t="inlineStr">
        <is>
          <t>華城</t>
        </is>
      </c>
      <c r="C478" t="n">
        <v>874</v>
      </c>
      <c r="D478" t="n">
        <v>850</v>
      </c>
      <c r="E478" s="504" t="n">
        <v>-20</v>
      </c>
      <c r="F478" s="505" t="n">
        <v>-2.3</v>
      </c>
      <c r="G478" t="inlineStr">
        <is>
          <t>18.3億</t>
        </is>
      </c>
      <c r="H478" t="n">
        <v>2146</v>
      </c>
      <c r="I478" t="n">
        <v>4743</v>
      </c>
      <c r="J478" t="n">
        <v>31.59</v>
      </c>
      <c r="K478" t="n">
        <v>875</v>
      </c>
      <c r="L478" t="n">
        <v>839</v>
      </c>
      <c r="M478" s="175" t="n">
        <v>0.68</v>
      </c>
      <c r="N478" t="inlineStr">
        <is>
          <t>生產電力變壓器為主之重電廠</t>
        </is>
      </c>
    </row>
    <row r="479">
      <c r="A479" t="n">
        <v>1521</v>
      </c>
      <c r="B479" t="inlineStr">
        <is>
          <t>大億</t>
        </is>
      </c>
      <c r="C479" t="n">
        <v>29</v>
      </c>
      <c r="D479" t="n">
        <v>27.8</v>
      </c>
      <c r="E479" s="504" t="n">
        <v>-0.55</v>
      </c>
      <c r="F479" s="505" t="n">
        <v>-1.94</v>
      </c>
      <c r="G479" t="inlineStr">
        <is>
          <t>510萬</t>
        </is>
      </c>
      <c r="H479" t="n">
        <v>181</v>
      </c>
      <c r="I479" t="n">
        <v>259</v>
      </c>
      <c r="J479" t="n">
        <v>7.62</v>
      </c>
      <c r="K479" t="n">
        <v>29</v>
      </c>
      <c r="L479" t="n">
        <v>27.6</v>
      </c>
      <c r="M479" s="175" t="n">
        <v>0.24</v>
      </c>
      <c r="N479" t="inlineStr">
        <is>
          <t>台灣最大OEM車燈製造商</t>
        </is>
      </c>
    </row>
    <row r="480">
      <c r="A480" t="n">
        <v>1522</v>
      </c>
      <c r="B480" t="inlineStr">
        <is>
          <t>堤維西</t>
        </is>
      </c>
      <c r="C480" t="n">
        <v>32.85</v>
      </c>
      <c r="D480" t="n">
        <v>33.1</v>
      </c>
      <c r="E480" s="504" t="n">
        <v>0.25</v>
      </c>
      <c r="F480" s="505" t="n">
        <v>0.76</v>
      </c>
      <c r="G480" t="inlineStr">
        <is>
          <t>8976萬</t>
        </is>
      </c>
      <c r="H480" t="n">
        <v>2767</v>
      </c>
      <c r="I480" t="n">
        <v>4867</v>
      </c>
      <c r="J480" t="n">
        <v>31.29</v>
      </c>
      <c r="K480" t="n">
        <v>33.15</v>
      </c>
      <c r="L480" t="n">
        <v>32</v>
      </c>
      <c r="M480" s="175" t="n">
        <v>0.88</v>
      </c>
      <c r="N480" t="inlineStr">
        <is>
          <t>台灣前二大AM車燈製造商之一</t>
        </is>
      </c>
    </row>
    <row r="481">
      <c r="A481" t="n">
        <v>1524</v>
      </c>
      <c r="B481" t="inlineStr">
        <is>
          <t>耿鼎</t>
        </is>
      </c>
      <c r="C481" t="n">
        <v>32.5</v>
      </c>
      <c r="D481" t="n">
        <v>33.45</v>
      </c>
      <c r="E481" s="504" t="n">
        <v>0.75</v>
      </c>
      <c r="F481" s="505" t="n">
        <v>2.29</v>
      </c>
      <c r="G481" t="inlineStr">
        <is>
          <t>1.77億</t>
        </is>
      </c>
      <c r="H481" t="n">
        <v>5371</v>
      </c>
      <c r="I481" t="n">
        <v>6600</v>
      </c>
      <c r="J481" t="n">
        <v>16.53</v>
      </c>
      <c r="K481" t="n">
        <v>33.9</v>
      </c>
      <c r="L481" t="n">
        <v>31.85</v>
      </c>
      <c r="M481" s="175" t="n">
        <v>3.25</v>
      </c>
      <c r="N481" t="inlineStr">
        <is>
          <t>為汽車AM鈑金件製造商</t>
        </is>
      </c>
    </row>
    <row r="482">
      <c r="A482" t="n">
        <v>1525</v>
      </c>
      <c r="B482" t="inlineStr">
        <is>
          <t>江申</t>
        </is>
      </c>
      <c r="C482" t="n">
        <v>71</v>
      </c>
      <c r="D482" t="n">
        <v>70.5</v>
      </c>
      <c r="E482" s="504" t="n">
        <v>0.3</v>
      </c>
      <c r="F482" s="505" t="n">
        <v>0.43</v>
      </c>
      <c r="G482" t="inlineStr">
        <is>
          <t>302萬</t>
        </is>
      </c>
      <c r="H482" t="n">
        <v>43</v>
      </c>
      <c r="I482" t="n">
        <v>96</v>
      </c>
      <c r="J482" t="n">
        <v>7.34</v>
      </c>
      <c r="K482" t="n">
        <v>71.7</v>
      </c>
      <c r="L482" t="n">
        <v>68.59999999999999</v>
      </c>
      <c r="M482" s="175" t="n">
        <v>0.06</v>
      </c>
      <c r="N482" t="inlineStr">
        <is>
          <t>台灣最大商用車車架及木床製造商</t>
        </is>
      </c>
    </row>
    <row r="483">
      <c r="A483" t="n">
        <v>1526</v>
      </c>
      <c r="B483" t="inlineStr">
        <is>
          <t>日馳</t>
        </is>
      </c>
      <c r="C483" t="n">
        <v>14.8</v>
      </c>
      <c r="D483" t="n">
        <v>15.1</v>
      </c>
      <c r="E483" s="504" t="n">
        <v>0.45</v>
      </c>
      <c r="F483" s="505" t="n">
        <v>3.07</v>
      </c>
      <c r="G483" t="inlineStr">
        <is>
          <t>660萬</t>
        </is>
      </c>
      <c r="H483" t="n">
        <v>440</v>
      </c>
      <c r="I483" t="n">
        <v>125</v>
      </c>
      <c r="J483" t="n">
        <v>6</v>
      </c>
      <c r="K483" t="n">
        <v>15.6</v>
      </c>
      <c r="L483" t="n">
        <v>14.8</v>
      </c>
      <c r="M483" s="175" t="n">
        <v>0.73</v>
      </c>
      <c r="N483" t="inlineStr">
        <is>
          <t>全球知名的自行車內、外變速器製造商</t>
        </is>
      </c>
    </row>
    <row r="484">
      <c r="A484" t="n">
        <v>1527</v>
      </c>
      <c r="B484" t="inlineStr">
        <is>
          <t>鑽全</t>
        </is>
      </c>
      <c r="C484" t="n">
        <v>33.5</v>
      </c>
      <c r="D484" t="n">
        <v>33.45</v>
      </c>
      <c r="E484" s="504" t="n">
        <v>-0.05</v>
      </c>
      <c r="F484" s="505" t="n">
        <v>-0.15</v>
      </c>
      <c r="G484" t="inlineStr">
        <is>
          <t>904萬</t>
        </is>
      </c>
      <c r="H484" t="n">
        <v>271</v>
      </c>
      <c r="I484" t="n">
        <v>448</v>
      </c>
      <c r="J484" t="n">
        <v>13.86</v>
      </c>
      <c r="K484" t="n">
        <v>33.7</v>
      </c>
      <c r="L484" t="n">
        <v>33.1</v>
      </c>
      <c r="M484" s="175" t="n">
        <v>0.2</v>
      </c>
      <c r="N484" t="inlineStr">
        <is>
          <t>台灣最大的釘槍代工大廠</t>
        </is>
      </c>
    </row>
    <row r="485">
      <c r="A485" t="n">
        <v>1528</v>
      </c>
      <c r="B485" t="inlineStr">
        <is>
          <t>恩德</t>
        </is>
      </c>
      <c r="C485" t="n">
        <v>29.9</v>
      </c>
      <c r="D485" t="n">
        <v>30.05</v>
      </c>
      <c r="E485" s="504" t="n">
        <v>2.7</v>
      </c>
      <c r="F485" s="505" t="n">
        <v>9.869999999999999</v>
      </c>
      <c r="G485" t="inlineStr">
        <is>
          <t>4.23億</t>
        </is>
      </c>
      <c r="H485" t="n">
        <v>14104</v>
      </c>
      <c r="I485" t="n">
        <v>6060</v>
      </c>
      <c r="J485" t="n">
        <v>19.13</v>
      </c>
      <c r="K485" t="n">
        <v>30.05</v>
      </c>
      <c r="L485" t="n">
        <v>29.7</v>
      </c>
      <c r="M485" s="175" t="n">
        <v>7.37</v>
      </c>
      <c r="N485" t="inlineStr">
        <is>
          <t>台灣生產PCB鑽孔機、成型機與木工機械廠商</t>
        </is>
      </c>
    </row>
    <row r="486">
      <c r="A486" t="n">
        <v>1529</v>
      </c>
      <c r="B486" t="inlineStr">
        <is>
          <t>樂事綠能</t>
        </is>
      </c>
      <c r="C486" t="n">
        <v>22.75</v>
      </c>
      <c r="D486" t="n">
        <v>22.45</v>
      </c>
      <c r="E486" s="504" t="n">
        <v>-0.15</v>
      </c>
      <c r="F486" s="505" t="n">
        <v>-0.66</v>
      </c>
      <c r="G486" t="inlineStr">
        <is>
          <t>1664萬</t>
        </is>
      </c>
      <c r="H486" t="n">
        <v>743</v>
      </c>
      <c r="I486" t="n">
        <v>1414</v>
      </c>
      <c r="J486" t="n">
        <v>15.51</v>
      </c>
      <c r="K486" t="n">
        <v>22.75</v>
      </c>
      <c r="L486" t="n">
        <v>22.05</v>
      </c>
      <c r="M486" s="175" t="n">
        <v>0.48</v>
      </c>
      <c r="N486" t="inlineStr">
        <is>
          <t>以重電事業及太陽能光電業務為主</t>
        </is>
      </c>
    </row>
    <row r="487">
      <c r="A487" t="n">
        <v>1530</v>
      </c>
      <c r="B487" t="inlineStr">
        <is>
          <t>亞崴</t>
        </is>
      </c>
      <c r="C487" t="n">
        <v>34.6</v>
      </c>
      <c r="D487" t="n">
        <v>32.5</v>
      </c>
      <c r="E487" s="504" t="n">
        <v>-1.6</v>
      </c>
      <c r="F487" s="505" t="n">
        <v>-4.69</v>
      </c>
      <c r="G487" t="inlineStr">
        <is>
          <t>1907萬</t>
        </is>
      </c>
      <c r="H487" t="n">
        <v>572</v>
      </c>
      <c r="I487" t="n">
        <v>1360</v>
      </c>
      <c r="J487" t="n">
        <v>9.460000000000001</v>
      </c>
      <c r="K487" t="n">
        <v>35.45</v>
      </c>
      <c r="L487" t="n">
        <v>32</v>
      </c>
      <c r="M487" s="175" t="n">
        <v>0.6</v>
      </c>
      <c r="N487" t="inlineStr">
        <is>
          <t>台灣知名CNC加工機及龍門機製造商</t>
        </is>
      </c>
    </row>
    <row r="488">
      <c r="A488" t="n">
        <v>1531</v>
      </c>
      <c r="B488" t="inlineStr">
        <is>
          <t>高林股</t>
        </is>
      </c>
      <c r="C488" t="n">
        <v>12.4</v>
      </c>
      <c r="D488" t="n">
        <v>12.4</v>
      </c>
      <c r="E488" s="504" t="n">
        <v>0</v>
      </c>
      <c r="F488" s="505" t="n">
        <v>0</v>
      </c>
      <c r="G488" t="inlineStr">
        <is>
          <t>333萬</t>
        </is>
      </c>
      <c r="H488" t="n">
        <v>271</v>
      </c>
      <c r="I488" t="n">
        <v>244</v>
      </c>
      <c r="J488" t="n">
        <v>18.21</v>
      </c>
      <c r="K488" t="n">
        <v>12.45</v>
      </c>
      <c r="L488" t="n">
        <v>12.2</v>
      </c>
      <c r="M488" s="175" t="n">
        <v>0.15</v>
      </c>
      <c r="N488" t="inlineStr">
        <is>
          <t>全球前三大工業用縫紉機商 自有品牌SiRUBA</t>
        </is>
      </c>
    </row>
    <row r="489">
      <c r="A489" t="n">
        <v>1532</v>
      </c>
      <c r="B489" t="inlineStr">
        <is>
          <t>勤美</t>
        </is>
      </c>
      <c r="C489" t="n">
        <v>21.8</v>
      </c>
      <c r="D489" t="n">
        <v>21.6</v>
      </c>
      <c r="E489" s="504" t="n">
        <v>-0.1</v>
      </c>
      <c r="F489" s="505" t="n">
        <v>-0.46</v>
      </c>
      <c r="G489" t="inlineStr">
        <is>
          <t>2038萬</t>
        </is>
      </c>
      <c r="H489" t="n">
        <v>945</v>
      </c>
      <c r="I489" t="n">
        <v>950</v>
      </c>
      <c r="J489" t="n">
        <v>42.26</v>
      </c>
      <c r="K489" t="n">
        <v>21.8</v>
      </c>
      <c r="L489" t="n">
        <v>21.4</v>
      </c>
      <c r="M489" s="175" t="n">
        <v>0.22</v>
      </c>
      <c r="N489" t="inlineStr">
        <is>
          <t>事業涵蓋金屬成型、建設住宅、飯店、商場等領域</t>
        </is>
      </c>
    </row>
    <row r="490">
      <c r="A490" t="n">
        <v>1533</v>
      </c>
      <c r="B490" t="inlineStr">
        <is>
          <t>車王電</t>
        </is>
      </c>
      <c r="C490" t="n">
        <v>39.5</v>
      </c>
      <c r="D490" t="n">
        <v>38.3</v>
      </c>
      <c r="E490" s="504" t="n">
        <v>-1.55</v>
      </c>
      <c r="F490" s="505" t="n">
        <v>-3.89</v>
      </c>
      <c r="G490" t="inlineStr">
        <is>
          <t>2194萬</t>
        </is>
      </c>
      <c r="H490" t="n">
        <v>574</v>
      </c>
      <c r="I490" t="n">
        <v>845</v>
      </c>
      <c r="J490" t="n">
        <v>9.85</v>
      </c>
      <c r="K490" t="n">
        <v>39.55</v>
      </c>
      <c r="L490" t="n">
        <v>37.7</v>
      </c>
      <c r="M490" s="175" t="n">
        <v>0.58</v>
      </c>
      <c r="N490" t="inlineStr">
        <is>
          <t>主攻AM車用電子零組件之大廠</t>
        </is>
      </c>
    </row>
    <row r="491">
      <c r="A491" t="n">
        <v>1535</v>
      </c>
      <c r="B491" t="inlineStr">
        <is>
          <t>中宇</t>
        </is>
      </c>
      <c r="C491" t="n">
        <v>50</v>
      </c>
      <c r="D491" t="n">
        <v>50</v>
      </c>
      <c r="E491" s="504" t="n">
        <v>0</v>
      </c>
      <c r="F491" s="505" t="n">
        <v>0</v>
      </c>
      <c r="G491" t="inlineStr">
        <is>
          <t>320萬</t>
        </is>
      </c>
      <c r="H491" t="n">
        <v>64</v>
      </c>
      <c r="I491" t="n">
        <v>107</v>
      </c>
      <c r="J491" t="n">
        <v>12.37</v>
      </c>
      <c r="K491" t="n">
        <v>50.3</v>
      </c>
      <c r="L491" t="n">
        <v>49.8</v>
      </c>
      <c r="M491" s="175" t="n">
        <v>0.05</v>
      </c>
      <c r="N491" t="inlineStr">
        <is>
          <t>中鋼集團旗下，環保工程廠商</t>
        </is>
      </c>
    </row>
    <row r="492">
      <c r="A492" t="n">
        <v>1536</v>
      </c>
      <c r="B492" t="inlineStr">
        <is>
          <t>和大</t>
        </is>
      </c>
      <c r="C492" t="n">
        <v>54.4</v>
      </c>
      <c r="D492" t="n">
        <v>52.5</v>
      </c>
      <c r="E492" s="504" t="n">
        <v>-1.4</v>
      </c>
      <c r="F492" s="505" t="n">
        <v>-2.6</v>
      </c>
      <c r="G492" t="inlineStr">
        <is>
          <t>1.91億</t>
        </is>
      </c>
      <c r="H492" t="n">
        <v>3648</v>
      </c>
      <c r="I492" t="n">
        <v>6090</v>
      </c>
      <c r="J492" t="n">
        <v>27.9</v>
      </c>
      <c r="K492" t="n">
        <v>54.4</v>
      </c>
      <c r="L492" t="n">
        <v>51.3</v>
      </c>
      <c r="M492" s="175" t="n">
        <v>1.31</v>
      </c>
      <c r="N492" t="inlineStr">
        <is>
          <t>台灣最大、全球前十大車廠之傳動零組件供應商</t>
        </is>
      </c>
    </row>
    <row r="493">
      <c r="A493" t="n">
        <v>1537</v>
      </c>
      <c r="B493" t="inlineStr">
        <is>
          <t>廣隆</t>
        </is>
      </c>
      <c r="C493" t="n">
        <v>125</v>
      </c>
      <c r="D493" t="n">
        <v>126</v>
      </c>
      <c r="E493" s="504" t="n">
        <v>0</v>
      </c>
      <c r="F493" s="505" t="n">
        <v>0</v>
      </c>
      <c r="G493" t="inlineStr">
        <is>
          <t>1270萬</t>
        </is>
      </c>
      <c r="H493" t="n">
        <v>101</v>
      </c>
      <c r="I493" t="n">
        <v>108</v>
      </c>
      <c r="J493" t="n">
        <v>8.210000000000001</v>
      </c>
      <c r="K493" t="n">
        <v>126</v>
      </c>
      <c r="L493" t="n">
        <v>125</v>
      </c>
      <c r="M493" s="175" t="n">
        <v>0.12</v>
      </c>
      <c r="N493" t="inlineStr">
        <is>
          <t>鉛酸蓄電池專業製造商</t>
        </is>
      </c>
    </row>
    <row r="494">
      <c r="A494" t="n">
        <v>1538</v>
      </c>
      <c r="B494" t="inlineStr">
        <is>
          <t>正峰</t>
        </is>
      </c>
      <c r="C494" t="n">
        <v>11.35</v>
      </c>
      <c r="D494" t="n">
        <v>11.7</v>
      </c>
      <c r="E494" s="504" t="n">
        <v>0</v>
      </c>
      <c r="F494" s="505" t="n">
        <v>0</v>
      </c>
      <c r="G494" t="inlineStr">
        <is>
          <t>14.5萬</t>
        </is>
      </c>
      <c r="H494" t="n">
        <v>13</v>
      </c>
      <c r="I494" t="n">
        <v>7</v>
      </c>
      <c r="J494" t="n">
        <v>3.23</v>
      </c>
      <c r="K494" t="n">
        <v>11.7</v>
      </c>
      <c r="L494" t="n">
        <v>11</v>
      </c>
      <c r="M494" s="175" t="n">
        <v>0.04</v>
      </c>
      <c r="N494" t="inlineStr">
        <is>
          <t>以生產電動工具機、汽車燈具為主的廠商</t>
        </is>
      </c>
    </row>
    <row r="495">
      <c r="A495" t="n">
        <v>1539</v>
      </c>
      <c r="B495" t="inlineStr">
        <is>
          <t>巨庭</t>
        </is>
      </c>
      <c r="C495" t="n">
        <v>16.2</v>
      </c>
      <c r="D495" t="n">
        <v>16.2</v>
      </c>
      <c r="E495" s="504" t="n">
        <v>0</v>
      </c>
      <c r="F495" s="505" t="n">
        <v>0</v>
      </c>
      <c r="G495" t="inlineStr">
        <is>
          <t>192萬</t>
        </is>
      </c>
      <c r="H495" t="n">
        <v>119</v>
      </c>
      <c r="I495" t="n">
        <v>184</v>
      </c>
      <c r="J495" t="n">
        <v>6.54</v>
      </c>
      <c r="K495" t="n">
        <v>16.25</v>
      </c>
      <c r="L495" t="n">
        <v>16.05</v>
      </c>
      <c r="M495" s="175" t="n">
        <v>0.18</v>
      </c>
      <c r="N495" t="inlineStr">
        <is>
          <t>DIY鉋木機領導廠商</t>
        </is>
      </c>
    </row>
    <row r="496">
      <c r="A496" t="n">
        <v>1540</v>
      </c>
      <c r="B496" t="inlineStr">
        <is>
          <t>喬福</t>
        </is>
      </c>
      <c r="C496" t="n">
        <v>22.55</v>
      </c>
      <c r="D496" t="n">
        <v>22.75</v>
      </c>
      <c r="E496" s="504" t="n">
        <v>0.55</v>
      </c>
      <c r="F496" s="505" t="n">
        <v>2.48</v>
      </c>
      <c r="G496" t="inlineStr">
        <is>
          <t>2254萬</t>
        </is>
      </c>
      <c r="H496" t="n">
        <v>997</v>
      </c>
      <c r="I496" t="n">
        <v>515</v>
      </c>
      <c r="J496" t="n">
        <v>8.550000000000001</v>
      </c>
      <c r="K496" t="n">
        <v>23.15</v>
      </c>
      <c r="L496" t="n">
        <v>22</v>
      </c>
      <c r="M496" s="175" t="n">
        <v>1.17</v>
      </c>
      <c r="N496" t="inlineStr">
        <is>
          <t>台灣中大型工具機製造大廠，以客製化為主</t>
        </is>
      </c>
    </row>
    <row r="497">
      <c r="A497" t="n">
        <v>1541</v>
      </c>
      <c r="B497" t="inlineStr">
        <is>
          <t>錩泰</t>
        </is>
      </c>
      <c r="C497" t="n">
        <v>21.55</v>
      </c>
      <c r="D497" t="n">
        <v>22.15</v>
      </c>
      <c r="E497" s="504" t="n">
        <v>0.2</v>
      </c>
      <c r="F497" s="505" t="n">
        <v>0.91</v>
      </c>
      <c r="G497" t="inlineStr">
        <is>
          <t>183萬</t>
        </is>
      </c>
      <c r="H497" t="n">
        <v>84</v>
      </c>
      <c r="I497" t="n">
        <v>62</v>
      </c>
      <c r="J497" t="n">
        <v>7.88</v>
      </c>
      <c r="K497" t="n">
        <v>22.85</v>
      </c>
      <c r="L497" t="n">
        <v>21.35</v>
      </c>
      <c r="M497" s="175" t="n">
        <v>0.11</v>
      </c>
      <c r="N497" t="inlineStr">
        <is>
          <t>圓鋸機、線鋸機等桌上型木工機的代工廠商</t>
        </is>
      </c>
    </row>
    <row r="498">
      <c r="A498" t="n">
        <v>1558</v>
      </c>
      <c r="B498" t="inlineStr">
        <is>
          <t>伸興</t>
        </is>
      </c>
      <c r="C498" t="n">
        <v>91.5</v>
      </c>
      <c r="D498" t="n">
        <v>91.09999999999999</v>
      </c>
      <c r="E498" s="504" t="n">
        <v>-0.5</v>
      </c>
      <c r="F498" s="505" t="n">
        <v>-0.55</v>
      </c>
      <c r="G498" t="inlineStr">
        <is>
          <t>264萬</t>
        </is>
      </c>
      <c r="H498" t="n">
        <v>29</v>
      </c>
      <c r="I498" t="n">
        <v>90</v>
      </c>
      <c r="J498" t="n">
        <v>6.45</v>
      </c>
      <c r="K498" t="n">
        <v>91.5</v>
      </c>
      <c r="L498" t="n">
        <v>91</v>
      </c>
      <c r="M498" s="175" t="n">
        <v>0.04</v>
      </c>
      <c r="N498" t="inlineStr">
        <is>
          <t>全球最大家用縫紉機ODM廠</t>
        </is>
      </c>
    </row>
    <row r="499">
      <c r="A499" t="n">
        <v>1560</v>
      </c>
      <c r="B499" t="inlineStr">
        <is>
          <t>中砂</t>
        </is>
      </c>
      <c r="C499" t="n">
        <v>711</v>
      </c>
      <c r="D499" t="n">
        <v>697</v>
      </c>
      <c r="E499" s="504" t="n">
        <v>-20</v>
      </c>
      <c r="F499" s="505" t="n">
        <v>-2.79</v>
      </c>
      <c r="G499" t="inlineStr">
        <is>
          <t>19.3億</t>
        </is>
      </c>
      <c r="H499" t="n">
        <v>2753</v>
      </c>
      <c r="I499" t="n">
        <v>1723</v>
      </c>
      <c r="J499" t="n">
        <v>14.98</v>
      </c>
      <c r="K499" t="n">
        <v>715</v>
      </c>
      <c r="L499" t="n">
        <v>688</v>
      </c>
      <c r="M499" s="175" t="n">
        <v>1.87</v>
      </c>
      <c r="N499" t="inlineStr">
        <is>
          <t>台灣從事砂輪及再生晶圓生產製造廠商</t>
        </is>
      </c>
    </row>
    <row r="500">
      <c r="A500" t="n">
        <v>1563</v>
      </c>
      <c r="B500" t="inlineStr">
        <is>
          <t>巧新</t>
        </is>
      </c>
      <c r="C500" t="n">
        <v>70</v>
      </c>
      <c r="D500" t="n">
        <v>69.8</v>
      </c>
      <c r="E500" s="504" t="n">
        <v>-0.1</v>
      </c>
      <c r="F500" s="505" t="n">
        <v>-0.14</v>
      </c>
      <c r="G500" t="inlineStr">
        <is>
          <t>3.32億</t>
        </is>
      </c>
      <c r="H500" t="n">
        <v>4897</v>
      </c>
      <c r="I500" t="n">
        <v>6120</v>
      </c>
      <c r="J500" t="n">
        <v>22.56</v>
      </c>
      <c r="K500" t="n">
        <v>70</v>
      </c>
      <c r="L500" t="n">
        <v>64.90000000000001</v>
      </c>
      <c r="M500" s="175" t="n">
        <v>2.17</v>
      </c>
      <c r="N500" t="inlineStr">
        <is>
          <t>全球汽車鍛造輪圈大廠</t>
        </is>
      </c>
    </row>
    <row r="501">
      <c r="A501" t="n">
        <v>1565</v>
      </c>
      <c r="B501" t="inlineStr">
        <is>
          <t>精華</t>
        </is>
      </c>
      <c r="C501" t="n">
        <v>93.7</v>
      </c>
      <c r="D501" t="n">
        <v>94.40000000000001</v>
      </c>
      <c r="E501" s="504" t="n">
        <v>0.1</v>
      </c>
      <c r="F501" s="505" t="n">
        <v>0.11</v>
      </c>
      <c r="G501" t="inlineStr">
        <is>
          <t>2226萬</t>
        </is>
      </c>
      <c r="H501" t="n">
        <v>237</v>
      </c>
      <c r="I501" t="n">
        <v>163</v>
      </c>
      <c r="J501" t="n">
        <v>5.04</v>
      </c>
      <c r="K501" t="n">
        <v>94.40000000000001</v>
      </c>
      <c r="L501" t="n">
        <v>93.40000000000001</v>
      </c>
      <c r="M501" s="175" t="n">
        <v>0.47</v>
      </c>
      <c r="N501" t="inlineStr">
        <is>
          <t>台灣隱形眼鏡製造龍頭企業，並擁有「帝康」自有品牌</t>
        </is>
      </c>
    </row>
    <row r="502">
      <c r="A502" t="n">
        <v>1568</v>
      </c>
      <c r="B502" t="inlineStr">
        <is>
          <t>倉佑</t>
        </is>
      </c>
      <c r="C502" t="n">
        <v>50</v>
      </c>
      <c r="D502" t="n">
        <v>48.4</v>
      </c>
      <c r="E502" s="504" t="n">
        <v>-1.4</v>
      </c>
      <c r="F502" s="505" t="n">
        <v>-2.81</v>
      </c>
      <c r="G502" t="inlineStr">
        <is>
          <t>1.00億</t>
        </is>
      </c>
      <c r="H502" t="n">
        <v>2085</v>
      </c>
      <c r="I502" t="n">
        <v>4449</v>
      </c>
      <c r="J502" t="n">
        <v>10.31</v>
      </c>
      <c r="K502" t="n">
        <v>50</v>
      </c>
      <c r="L502" t="n">
        <v>46.95</v>
      </c>
      <c r="M502" s="175" t="n">
        <v>2.02</v>
      </c>
      <c r="N502" t="inlineStr">
        <is>
          <t>汽車自動變速箱零組件製造商</t>
        </is>
      </c>
    </row>
    <row r="503">
      <c r="A503" t="n">
        <v>1569</v>
      </c>
      <c r="B503" t="inlineStr">
        <is>
          <t>濱川</t>
        </is>
      </c>
      <c r="C503" t="n">
        <v>51.1</v>
      </c>
      <c r="D503" t="n">
        <v>53.6</v>
      </c>
      <c r="E503" s="504" t="n">
        <v>2.4</v>
      </c>
      <c r="F503" s="505" t="n">
        <v>4.69</v>
      </c>
      <c r="G503" t="inlineStr">
        <is>
          <t>7983萬</t>
        </is>
      </c>
      <c r="H503" t="n">
        <v>1539</v>
      </c>
      <c r="I503" t="n">
        <v>834</v>
      </c>
      <c r="J503" t="n">
        <v>14.42</v>
      </c>
      <c r="K503" t="n">
        <v>53.6</v>
      </c>
      <c r="L503" t="n">
        <v>50.5</v>
      </c>
      <c r="M503" s="175" t="n">
        <v>1.07</v>
      </c>
      <c r="N503" t="inlineStr">
        <is>
          <t>全球NB鍵盤支架領導廠商</t>
        </is>
      </c>
    </row>
    <row r="504">
      <c r="A504" t="n">
        <v>1570</v>
      </c>
      <c r="B504" t="inlineStr">
        <is>
          <t>力肯</t>
        </is>
      </c>
      <c r="C504" t="n">
        <v>54.8</v>
      </c>
      <c r="D504" t="n">
        <v>54.8</v>
      </c>
      <c r="E504" s="504" t="n">
        <v>1.8</v>
      </c>
      <c r="F504" s="505" t="n">
        <v>3.4</v>
      </c>
      <c r="G504" t="inlineStr">
        <is>
          <t>3379萬</t>
        </is>
      </c>
      <c r="H504" t="n">
        <v>620</v>
      </c>
      <c r="I504" t="n">
        <v>983</v>
      </c>
      <c r="J504" t="n">
        <v>5.15</v>
      </c>
      <c r="K504" t="n">
        <v>56.6</v>
      </c>
      <c r="L504" t="n">
        <v>52.3</v>
      </c>
      <c r="M504" s="175" t="n">
        <v>1.2</v>
      </c>
      <c r="N504" t="inlineStr">
        <is>
          <t>台灣氣動釘槍製造廠商</t>
        </is>
      </c>
    </row>
    <row r="505">
      <c r="A505" t="n">
        <v>1580</v>
      </c>
      <c r="B505" t="inlineStr">
        <is>
          <t>新麥</t>
        </is>
      </c>
      <c r="C505" t="n">
        <v>123.5</v>
      </c>
      <c r="D505" t="n">
        <v>125</v>
      </c>
      <c r="E505" s="504" t="n">
        <v>2</v>
      </c>
      <c r="F505" s="505" t="n">
        <v>1.63</v>
      </c>
      <c r="G505" t="inlineStr">
        <is>
          <t>1732萬</t>
        </is>
      </c>
      <c r="H505" t="n">
        <v>140</v>
      </c>
      <c r="I505" t="n">
        <v>91</v>
      </c>
      <c r="J505" t="n">
        <v>4.93</v>
      </c>
      <c r="K505" t="n">
        <v>125.5</v>
      </c>
      <c r="L505" t="n">
        <v>122.5</v>
      </c>
      <c r="M505" s="175" t="n">
        <v>0.28</v>
      </c>
      <c r="N505" t="inlineStr">
        <is>
          <t>亞洲最大烘焙設備製造廠</t>
        </is>
      </c>
    </row>
    <row r="506">
      <c r="A506" t="n">
        <v>1582</v>
      </c>
      <c r="B506" t="inlineStr">
        <is>
          <t>信錦</t>
        </is>
      </c>
      <c r="C506" t="n">
        <v>114.5</v>
      </c>
      <c r="D506" t="n">
        <v>112</v>
      </c>
      <c r="E506" s="504" t="n">
        <v>-2</v>
      </c>
      <c r="F506" s="505" t="n">
        <v>-1.75</v>
      </c>
      <c r="G506" t="inlineStr">
        <is>
          <t>4.78億</t>
        </is>
      </c>
      <c r="H506" t="n">
        <v>4284</v>
      </c>
      <c r="I506" t="n">
        <v>12049</v>
      </c>
      <c r="J506" t="n">
        <v>14.43</v>
      </c>
      <c r="K506" t="n">
        <v>115</v>
      </c>
      <c r="L506" t="n">
        <v>109</v>
      </c>
      <c r="M506" s="175" t="n">
        <v>2.97</v>
      </c>
      <c r="N506" t="inlineStr">
        <is>
          <t>全球螢幕架樞紐製造龍頭</t>
        </is>
      </c>
    </row>
    <row r="507">
      <c r="A507" t="n">
        <v>1583</v>
      </c>
      <c r="B507" t="inlineStr">
        <is>
          <t>程泰</t>
        </is>
      </c>
      <c r="C507" t="n">
        <v>56.5</v>
      </c>
      <c r="D507" t="n">
        <v>55.3</v>
      </c>
      <c r="E507" s="504" t="n">
        <v>-2</v>
      </c>
      <c r="F507" s="505" t="n">
        <v>-3.49</v>
      </c>
      <c r="G507" t="inlineStr">
        <is>
          <t>689萬</t>
        </is>
      </c>
      <c r="H507" t="n">
        <v>125</v>
      </c>
      <c r="I507" t="n">
        <v>315</v>
      </c>
      <c r="J507" t="n">
        <v>10.94</v>
      </c>
      <c r="K507" t="n">
        <v>57.9</v>
      </c>
      <c r="L507" t="n">
        <v>53.8</v>
      </c>
      <c r="M507" s="175" t="n">
        <v>0.11</v>
      </c>
      <c r="N507" t="inlineStr">
        <is>
          <t>台灣規模最大的專業CNC車床製造商</t>
        </is>
      </c>
    </row>
    <row r="508">
      <c r="A508" t="n">
        <v>1584</v>
      </c>
      <c r="B508" t="inlineStr">
        <is>
          <t>精剛</t>
        </is>
      </c>
      <c r="C508" t="n">
        <v>19.85</v>
      </c>
      <c r="D508" t="n">
        <v>19.85</v>
      </c>
      <c r="E508" s="504" t="n">
        <v>0</v>
      </c>
      <c r="F508" s="505" t="n">
        <v>0</v>
      </c>
      <c r="G508" t="inlineStr">
        <is>
          <t>1514萬</t>
        </is>
      </c>
      <c r="H508" t="n">
        <v>766</v>
      </c>
      <c r="I508" t="n">
        <v>1101</v>
      </c>
      <c r="J508" t="n">
        <v>23.25</v>
      </c>
      <c r="K508" t="n">
        <v>19.95</v>
      </c>
      <c r="L508" t="n">
        <v>19.65</v>
      </c>
      <c r="M508" s="175" t="n">
        <v>0.33</v>
      </c>
      <c r="N508" t="inlineStr">
        <is>
          <t>台灣鋼鐵集團旗下合金鋼廠</t>
        </is>
      </c>
    </row>
    <row r="509">
      <c r="A509" t="n">
        <v>1586</v>
      </c>
      <c r="B509" t="inlineStr">
        <is>
          <t>和勤</t>
        </is>
      </c>
      <c r="C509" t="n">
        <v>21.85</v>
      </c>
      <c r="D509" t="n">
        <v>22.1</v>
      </c>
      <c r="E509" s="504" t="n">
        <v>0.25</v>
      </c>
      <c r="F509" s="505" t="n">
        <v>1.14</v>
      </c>
      <c r="G509" t="inlineStr">
        <is>
          <t>2303萬</t>
        </is>
      </c>
      <c r="H509" t="n">
        <v>1047</v>
      </c>
      <c r="I509" t="n">
        <v>330</v>
      </c>
      <c r="J509" t="n">
        <v>10.68</v>
      </c>
      <c r="K509" t="n">
        <v>22.35</v>
      </c>
      <c r="L509" t="n">
        <v>21.8</v>
      </c>
      <c r="M509" s="175" t="n">
        <v>0.98</v>
      </c>
      <c r="N509" t="inlineStr">
        <is>
          <t>台灣汽車及硬碟零件雙核心精沖技術大廠</t>
        </is>
      </c>
    </row>
    <row r="510">
      <c r="A510" t="n">
        <v>1587</v>
      </c>
      <c r="B510" t="inlineStr">
        <is>
          <t>吉茂</t>
        </is>
      </c>
      <c r="C510" t="n">
        <v>30.75</v>
      </c>
      <c r="D510" t="n">
        <v>29.9</v>
      </c>
      <c r="E510" s="504" t="n">
        <v>-0.75</v>
      </c>
      <c r="F510" s="505" t="n">
        <v>-2.45</v>
      </c>
      <c r="G510" t="inlineStr">
        <is>
          <t>1995萬</t>
        </is>
      </c>
      <c r="H510" t="n">
        <v>667</v>
      </c>
      <c r="I510" t="n">
        <v>1751</v>
      </c>
      <c r="J510" t="n">
        <v>8.01</v>
      </c>
      <c r="K510" t="n">
        <v>30.75</v>
      </c>
      <c r="L510" t="n">
        <v>29.55</v>
      </c>
      <c r="M510" s="175" t="n">
        <v>0.83</v>
      </c>
      <c r="N510" t="inlineStr">
        <is>
          <t>台灣最大汽車水箱製造廠</t>
        </is>
      </c>
    </row>
    <row r="511">
      <c r="A511" t="n">
        <v>1590</v>
      </c>
      <c r="B511" t="inlineStr">
        <is>
          <t>亞德客-KY</t>
        </is>
      </c>
      <c r="C511" t="n">
        <v>1330</v>
      </c>
      <c r="D511" t="n">
        <v>1280</v>
      </c>
      <c r="E511" s="504" t="n">
        <v>-70</v>
      </c>
      <c r="F511" s="505" t="n">
        <v>-5.19</v>
      </c>
      <c r="G511" t="inlineStr">
        <is>
          <t>12.5億</t>
        </is>
      </c>
      <c r="H511" t="n">
        <v>979</v>
      </c>
      <c r="I511" t="n">
        <v>1154</v>
      </c>
      <c r="J511" t="n">
        <v>20</v>
      </c>
      <c r="K511" t="n">
        <v>1340</v>
      </c>
      <c r="L511" t="n">
        <v>1245</v>
      </c>
      <c r="M511" s="175" t="n">
        <v>0.49</v>
      </c>
      <c r="N511" t="inlineStr">
        <is>
          <t>大陸前三大氣動元件供應商之一</t>
        </is>
      </c>
    </row>
    <row r="512">
      <c r="A512" t="n">
        <v>1591</v>
      </c>
      <c r="B512" t="inlineStr">
        <is>
          <t>駿吉-KY</t>
        </is>
      </c>
      <c r="C512" t="n">
        <v>43.4</v>
      </c>
      <c r="D512" t="n">
        <v>41.85</v>
      </c>
      <c r="E512" s="504" t="n">
        <v>-0.1</v>
      </c>
      <c r="F512" s="505" t="n">
        <v>-0.24</v>
      </c>
      <c r="G512" t="inlineStr">
        <is>
          <t>387萬</t>
        </is>
      </c>
      <c r="H512" t="n">
        <v>93</v>
      </c>
      <c r="I512" t="n">
        <v>283</v>
      </c>
      <c r="J512" t="n">
        <v>3.8</v>
      </c>
      <c r="K512" t="n">
        <v>43.4</v>
      </c>
      <c r="L512" t="n">
        <v>40.8</v>
      </c>
      <c r="M512" s="175" t="n">
        <v>0.24</v>
      </c>
      <c r="N512" t="inlineStr">
        <is>
          <t>東南亞最大氣動式工業用槍釘供應商</t>
        </is>
      </c>
    </row>
    <row r="513">
      <c r="A513" t="n">
        <v>1593</v>
      </c>
      <c r="B513" t="inlineStr">
        <is>
          <t>祺驊</t>
        </is>
      </c>
      <c r="C513" t="n">
        <v>31.3</v>
      </c>
      <c r="D513" t="n">
        <v>31.3</v>
      </c>
      <c r="E513" s="504" t="n">
        <v>0.1</v>
      </c>
      <c r="F513" s="505" t="n">
        <v>0.32</v>
      </c>
      <c r="G513" t="inlineStr">
        <is>
          <t>113萬</t>
        </is>
      </c>
      <c r="H513" t="n">
        <v>36</v>
      </c>
      <c r="I513" t="n">
        <v>31</v>
      </c>
      <c r="J513" t="n">
        <v>3.98</v>
      </c>
      <c r="K513" t="n">
        <v>31.5</v>
      </c>
      <c r="L513" t="n">
        <v>31.15</v>
      </c>
      <c r="M513" s="175" t="n">
        <v>0.09</v>
      </c>
      <c r="N513" t="inlineStr">
        <is>
          <t>台灣運動器材零組件製造商</t>
        </is>
      </c>
    </row>
    <row r="514">
      <c r="A514" t="n">
        <v>1595</v>
      </c>
      <c r="B514" t="inlineStr">
        <is>
          <t>川寶</t>
        </is>
      </c>
      <c r="C514" t="n">
        <v>78.59999999999999</v>
      </c>
      <c r="D514" t="n">
        <v>76.40000000000001</v>
      </c>
      <c r="E514" s="504" t="n">
        <v>-3.6</v>
      </c>
      <c r="F514" s="505" t="n">
        <v>-4.5</v>
      </c>
      <c r="G514" t="inlineStr">
        <is>
          <t>1.90億</t>
        </is>
      </c>
      <c r="H514" t="n">
        <v>2479</v>
      </c>
      <c r="I514" t="n">
        <v>3502</v>
      </c>
      <c r="J514" t="n">
        <v>5.44</v>
      </c>
      <c r="K514" t="n">
        <v>79.7</v>
      </c>
      <c r="L514" t="n">
        <v>75</v>
      </c>
      <c r="M514" s="175" t="n">
        <v>4.57</v>
      </c>
      <c r="N514" t="inlineStr">
        <is>
          <t>全球知名PCB半自動曝光機廠</t>
        </is>
      </c>
    </row>
    <row r="515">
      <c r="A515" t="n">
        <v>1597</v>
      </c>
      <c r="B515" t="inlineStr">
        <is>
          <t>直得</t>
        </is>
      </c>
      <c r="C515" t="n">
        <v>181.5</v>
      </c>
      <c r="D515" t="n">
        <v>169.5</v>
      </c>
      <c r="E515" s="504" t="n">
        <v>-11</v>
      </c>
      <c r="F515" s="505" t="n">
        <v>-6.09</v>
      </c>
      <c r="G515" t="inlineStr">
        <is>
          <t>8.13億</t>
        </is>
      </c>
      <c r="H515" t="n">
        <v>4819</v>
      </c>
      <c r="I515" t="n">
        <v>7698</v>
      </c>
      <c r="J515" t="n">
        <v>8.93</v>
      </c>
      <c r="K515" t="n">
        <v>181.5</v>
      </c>
      <c r="L515" t="n">
        <v>164</v>
      </c>
      <c r="M515" s="175" t="n">
        <v>5.4</v>
      </c>
      <c r="N515" t="inlineStr">
        <is>
          <t>全球知名的微型線性滑軌元件廠商</t>
        </is>
      </c>
    </row>
    <row r="516">
      <c r="A516" t="n">
        <v>1598</v>
      </c>
      <c r="B516" t="inlineStr">
        <is>
          <t>岱宇</t>
        </is>
      </c>
      <c r="C516" t="n">
        <v>21</v>
      </c>
      <c r="D516" t="n">
        <v>20.4</v>
      </c>
      <c r="E516" s="504" t="n">
        <v>-0.25</v>
      </c>
      <c r="F516" s="505" t="n">
        <v>-1.21</v>
      </c>
      <c r="G516" t="inlineStr">
        <is>
          <t>612萬</t>
        </is>
      </c>
      <c r="H516" t="n">
        <v>299</v>
      </c>
      <c r="I516" t="n">
        <v>333</v>
      </c>
      <c r="J516" t="n">
        <v>17.91</v>
      </c>
      <c r="K516" t="n">
        <v>21</v>
      </c>
      <c r="L516" t="n">
        <v>20.2</v>
      </c>
      <c r="M516" s="175" t="n">
        <v>0.17</v>
      </c>
      <c r="N516" t="inlineStr">
        <is>
          <t>全球前三大家用健身器材廠商</t>
        </is>
      </c>
    </row>
    <row r="517">
      <c r="A517" t="n">
        <v>1599</v>
      </c>
      <c r="B517" t="inlineStr">
        <is>
          <t>宏佳騰</t>
        </is>
      </c>
      <c r="C517" t="n">
        <v>23.45</v>
      </c>
      <c r="D517" t="n">
        <v>23.8</v>
      </c>
      <c r="E517" s="504" t="n">
        <v>0.3</v>
      </c>
      <c r="F517" s="505" t="n">
        <v>1.28</v>
      </c>
      <c r="G517" t="inlineStr">
        <is>
          <t>228萬</t>
        </is>
      </c>
      <c r="H517" t="n">
        <v>96</v>
      </c>
      <c r="I517" t="n">
        <v>71</v>
      </c>
      <c r="J517" t="n">
        <v>7.3</v>
      </c>
      <c r="K517" t="n">
        <v>24</v>
      </c>
      <c r="L517" t="n">
        <v>23.45</v>
      </c>
      <c r="M517" s="175" t="n">
        <v>0.13</v>
      </c>
      <c r="N517" t="inlineStr">
        <is>
          <t>以自有品牌「AEON」沙灘車起家並跨入機車領域的業者</t>
        </is>
      </c>
    </row>
    <row r="518">
      <c r="A518" t="n">
        <v>1603</v>
      </c>
      <c r="B518" t="inlineStr">
        <is>
          <t>華電</t>
        </is>
      </c>
      <c r="C518" t="n">
        <v>32</v>
      </c>
      <c r="D518" t="n">
        <v>32.25</v>
      </c>
      <c r="E518" s="504" t="n">
        <v>0.25</v>
      </c>
      <c r="F518" s="505" t="n">
        <v>0.78</v>
      </c>
      <c r="G518" t="inlineStr">
        <is>
          <t>1348萬</t>
        </is>
      </c>
      <c r="H518" t="n">
        <v>421</v>
      </c>
      <c r="I518" t="n">
        <v>528</v>
      </c>
      <c r="J518" t="n">
        <v>19.17</v>
      </c>
      <c r="K518" t="n">
        <v>32.4</v>
      </c>
      <c r="L518" t="n">
        <v>31.7</v>
      </c>
      <c r="M518" s="175" t="n">
        <v>0.22</v>
      </c>
      <c r="N518" t="inlineStr">
        <is>
          <t>台灣老牌電線電纜業者，並跨入鋁門窗生產</t>
        </is>
      </c>
    </row>
    <row r="519">
      <c r="A519" t="n">
        <v>1604</v>
      </c>
      <c r="B519" t="inlineStr">
        <is>
          <t>聲寶</t>
        </is>
      </c>
      <c r="C519" t="n">
        <v>23.15</v>
      </c>
      <c r="D519" t="n">
        <v>23.1</v>
      </c>
      <c r="E519" s="504" t="n">
        <v>-0.1</v>
      </c>
      <c r="F519" s="505" t="n">
        <v>-0.43</v>
      </c>
      <c r="G519" t="inlineStr">
        <is>
          <t>735萬</t>
        </is>
      </c>
      <c r="H519" t="n">
        <v>322</v>
      </c>
      <c r="I519" t="n">
        <v>475</v>
      </c>
      <c r="J519" t="n">
        <v>38.42</v>
      </c>
      <c r="K519" t="n">
        <v>23.2</v>
      </c>
      <c r="L519" t="n">
        <v>23.05</v>
      </c>
      <c r="M519" s="175" t="n">
        <v>0.08</v>
      </c>
      <c r="N519" t="inlineStr">
        <is>
          <t>台灣知名家電品牌</t>
        </is>
      </c>
    </row>
    <row r="520">
      <c r="A520" t="n">
        <v>1605</v>
      </c>
      <c r="B520" t="inlineStr">
        <is>
          <t>華新</t>
        </is>
      </c>
      <c r="C520" t="n">
        <v>39.7</v>
      </c>
      <c r="D520" t="n">
        <v>40.45</v>
      </c>
      <c r="E520" s="504" t="n">
        <v>0.75</v>
      </c>
      <c r="F520" s="505" t="n">
        <v>1.89</v>
      </c>
      <c r="G520" t="inlineStr">
        <is>
          <t>32.2億</t>
        </is>
      </c>
      <c r="H520" t="n">
        <v>81379</v>
      </c>
      <c r="I520" t="n">
        <v>70960</v>
      </c>
      <c r="J520" t="n">
        <v>443.13</v>
      </c>
      <c r="K520" t="n">
        <v>40.9</v>
      </c>
      <c r="L520" t="n">
        <v>38.7</v>
      </c>
      <c r="M520" s="175" t="n">
        <v>1.84</v>
      </c>
      <c r="N520" t="inlineStr">
        <is>
          <t>大中華區電線電纜及不鏽鋼領導廠商</t>
        </is>
      </c>
    </row>
    <row r="521">
      <c r="A521" t="n">
        <v>1608</v>
      </c>
      <c r="B521" t="inlineStr">
        <is>
          <t>華榮</t>
        </is>
      </c>
      <c r="C521" t="n">
        <v>36.3</v>
      </c>
      <c r="D521" t="n">
        <v>35.85</v>
      </c>
      <c r="E521" s="504" t="n">
        <v>1.05</v>
      </c>
      <c r="F521" s="505" t="n">
        <v>3.02</v>
      </c>
      <c r="G521" t="inlineStr">
        <is>
          <t>5.87億</t>
        </is>
      </c>
      <c r="H521" t="n">
        <v>16247</v>
      </c>
      <c r="I521" t="n">
        <v>5638</v>
      </c>
      <c r="J521" t="n">
        <v>63.28</v>
      </c>
      <c r="K521" t="n">
        <v>37.2</v>
      </c>
      <c r="L521" t="n">
        <v>35.15</v>
      </c>
      <c r="M521" s="175" t="n">
        <v>2.57</v>
      </c>
      <c r="N521" t="inlineStr">
        <is>
          <t>台灣超高壓電力電纜線路統包工程知名業者</t>
        </is>
      </c>
    </row>
    <row r="522">
      <c r="A522" t="n">
        <v>1609</v>
      </c>
      <c r="B522" t="inlineStr">
        <is>
          <t>大亞</t>
        </is>
      </c>
      <c r="C522" t="n">
        <v>39</v>
      </c>
      <c r="D522" t="n">
        <v>38.35</v>
      </c>
      <c r="E522" s="504" t="n">
        <v>-0.65</v>
      </c>
      <c r="F522" s="505" t="n">
        <v>-1.67</v>
      </c>
      <c r="G522" t="inlineStr">
        <is>
          <t>4.04億</t>
        </is>
      </c>
      <c r="H522" t="n">
        <v>10569</v>
      </c>
      <c r="I522" t="n">
        <v>17877</v>
      </c>
      <c r="J522" t="n">
        <v>78.53</v>
      </c>
      <c r="K522" t="n">
        <v>39</v>
      </c>
      <c r="L522" t="n">
        <v>37.7</v>
      </c>
      <c r="M522" s="175" t="n">
        <v>1.35</v>
      </c>
      <c r="N522" t="inlineStr">
        <is>
          <t>國內電力電纜、漆包線知名廠商</t>
        </is>
      </c>
    </row>
    <row r="523">
      <c r="A523" t="n">
        <v>1611</v>
      </c>
      <c r="B523" t="inlineStr">
        <is>
          <t>中電</t>
        </is>
      </c>
      <c r="C523" t="n">
        <v>12.3</v>
      </c>
      <c r="D523" t="n">
        <v>12.45</v>
      </c>
      <c r="E523" s="504" t="n">
        <v>0.1</v>
      </c>
      <c r="F523" s="505" t="n">
        <v>0.8100000000000001</v>
      </c>
      <c r="G523" t="inlineStr">
        <is>
          <t>1583萬</t>
        </is>
      </c>
      <c r="H523" t="n">
        <v>1297</v>
      </c>
      <c r="I523" t="n">
        <v>1163</v>
      </c>
      <c r="J523" t="n">
        <v>32.27</v>
      </c>
      <c r="K523" t="n">
        <v>12.45</v>
      </c>
      <c r="L523" t="n">
        <v>12.05</v>
      </c>
      <c r="M523" s="175" t="n">
        <v>0.4</v>
      </c>
      <c r="N523" t="inlineStr">
        <is>
          <t>以東亞照明品牌銷售燈具及LED照明產品</t>
        </is>
      </c>
    </row>
    <row r="524">
      <c r="A524" t="n">
        <v>1612</v>
      </c>
      <c r="B524" t="inlineStr">
        <is>
          <t>宏泰</t>
        </is>
      </c>
      <c r="C524" t="n">
        <v>38</v>
      </c>
      <c r="D524" t="n">
        <v>37.6</v>
      </c>
      <c r="E524" s="504" t="n">
        <v>-0.05</v>
      </c>
      <c r="F524" s="505" t="n">
        <v>-0.13</v>
      </c>
      <c r="G524" t="inlineStr">
        <is>
          <t>4998萬</t>
        </is>
      </c>
      <c r="H524" t="n">
        <v>1332</v>
      </c>
      <c r="I524" t="n">
        <v>1501</v>
      </c>
      <c r="J524" t="n">
        <v>31.61</v>
      </c>
      <c r="K524" t="n">
        <v>38</v>
      </c>
      <c r="L524" t="n">
        <v>37.15</v>
      </c>
      <c r="M524" s="175" t="n">
        <v>0.42</v>
      </c>
      <c r="N524" t="inlineStr">
        <is>
          <t>台灣電力電纜業者之一</t>
        </is>
      </c>
    </row>
    <row r="525">
      <c r="A525" t="n">
        <v>1614</v>
      </c>
      <c r="B525" t="inlineStr">
        <is>
          <t>三洋電</t>
        </is>
      </c>
      <c r="C525" t="n">
        <v>32.2</v>
      </c>
      <c r="D525" t="n">
        <v>32.7</v>
      </c>
      <c r="E525" s="504" t="n">
        <v>0.55</v>
      </c>
      <c r="F525" s="505" t="n">
        <v>1.71</v>
      </c>
      <c r="G525" t="inlineStr">
        <is>
          <t>231萬</t>
        </is>
      </c>
      <c r="H525" t="n">
        <v>71</v>
      </c>
      <c r="I525" t="n">
        <v>68</v>
      </c>
      <c r="J525" t="n">
        <v>26.91</v>
      </c>
      <c r="K525" t="n">
        <v>32.8</v>
      </c>
      <c r="L525" t="n">
        <v>32.2</v>
      </c>
      <c r="M525" s="175" t="n">
        <v>0.03</v>
      </c>
      <c r="N525" t="inlineStr">
        <is>
          <t>台灣知名家電品牌</t>
        </is>
      </c>
    </row>
    <row r="526">
      <c r="A526" t="n">
        <v>1615</v>
      </c>
      <c r="B526" t="inlineStr">
        <is>
          <t>大山</t>
        </is>
      </c>
      <c r="C526" t="n">
        <v>44.15</v>
      </c>
      <c r="D526" t="n">
        <v>44.05</v>
      </c>
      <c r="E526" s="504" t="n">
        <v>0.15</v>
      </c>
      <c r="F526" s="505" t="n">
        <v>0.34</v>
      </c>
      <c r="G526" t="inlineStr">
        <is>
          <t>1011萬</t>
        </is>
      </c>
      <c r="H526" t="n">
        <v>230</v>
      </c>
      <c r="I526" t="n">
        <v>264</v>
      </c>
      <c r="J526" t="n">
        <v>19.67</v>
      </c>
      <c r="K526" t="n">
        <v>44.45</v>
      </c>
      <c r="L526" t="n">
        <v>43.55</v>
      </c>
      <c r="M526" s="175" t="n">
        <v>0.12</v>
      </c>
      <c r="N526" t="inlineStr">
        <is>
          <t>台灣知名電力電纜公司</t>
        </is>
      </c>
    </row>
    <row r="527">
      <c r="A527" t="n">
        <v>1616</v>
      </c>
      <c r="B527" t="inlineStr">
        <is>
          <t>億泰</t>
        </is>
      </c>
      <c r="C527" t="n">
        <v>22.35</v>
      </c>
      <c r="D527" t="n">
        <v>22.15</v>
      </c>
      <c r="E527" s="504" t="n">
        <v>0</v>
      </c>
      <c r="F527" s="505" t="n">
        <v>0</v>
      </c>
      <c r="G527" t="inlineStr">
        <is>
          <t>1501萬</t>
        </is>
      </c>
      <c r="H527" t="n">
        <v>683</v>
      </c>
      <c r="I527" t="n">
        <v>717</v>
      </c>
      <c r="J527" t="n">
        <v>19.41</v>
      </c>
      <c r="K527" t="n">
        <v>22.35</v>
      </c>
      <c r="L527" t="n">
        <v>21.85</v>
      </c>
      <c r="M527" s="175" t="n">
        <v>0.35</v>
      </c>
      <c r="N527" t="inlineStr">
        <is>
          <t>國內電力電纜業者</t>
        </is>
      </c>
    </row>
    <row r="528">
      <c r="A528" t="n">
        <v>1617</v>
      </c>
      <c r="B528" t="inlineStr">
        <is>
          <t>榮星</t>
        </is>
      </c>
      <c r="C528" t="n">
        <v>17</v>
      </c>
      <c r="D528" t="n">
        <v>16.5</v>
      </c>
      <c r="E528" s="504" t="n">
        <v>-0.4</v>
      </c>
      <c r="F528" s="505" t="n">
        <v>-2.37</v>
      </c>
      <c r="G528" t="inlineStr">
        <is>
          <t>901萬</t>
        </is>
      </c>
      <c r="H528" t="n">
        <v>542</v>
      </c>
      <c r="I528" t="n">
        <v>509</v>
      </c>
      <c r="J528" t="n">
        <v>16.95</v>
      </c>
      <c r="K528" t="n">
        <v>17</v>
      </c>
      <c r="L528" t="n">
        <v>16.4</v>
      </c>
      <c r="M528" s="175" t="n">
        <v>0.32</v>
      </c>
      <c r="N528" t="inlineStr">
        <is>
          <t>專業漆包線及電子用線大廠</t>
        </is>
      </c>
    </row>
    <row r="529">
      <c r="A529" t="n">
        <v>1618</v>
      </c>
      <c r="B529" t="inlineStr">
        <is>
          <t>合機</t>
        </is>
      </c>
      <c r="C529" t="n">
        <v>42.7</v>
      </c>
      <c r="D529" t="n">
        <v>42.5</v>
      </c>
      <c r="E529" s="504" t="n">
        <v>-0.1</v>
      </c>
      <c r="F529" s="505" t="n">
        <v>-0.23</v>
      </c>
      <c r="G529" t="inlineStr">
        <is>
          <t>4327萬</t>
        </is>
      </c>
      <c r="H529" t="n">
        <v>1027</v>
      </c>
      <c r="I529" t="n">
        <v>2504</v>
      </c>
      <c r="J529" t="n">
        <v>19.27</v>
      </c>
      <c r="K529" t="n">
        <v>42.7</v>
      </c>
      <c r="L529" t="n">
        <v>41.95</v>
      </c>
      <c r="M529" s="175" t="n">
        <v>0.53</v>
      </c>
      <c r="N529" t="inlineStr">
        <is>
          <t>台灣主要電力電纜廠</t>
        </is>
      </c>
    </row>
    <row r="530">
      <c r="A530" t="n">
        <v>1623</v>
      </c>
      <c r="B530" t="inlineStr">
        <is>
          <t>大東電</t>
        </is>
      </c>
      <c r="C530" t="n">
        <v>240</v>
      </c>
      <c r="D530" t="n">
        <v>234</v>
      </c>
      <c r="E530" s="504" t="n">
        <v>-6</v>
      </c>
      <c r="F530" s="505" t="n">
        <v>-2.5</v>
      </c>
      <c r="G530" t="inlineStr">
        <is>
          <t>5604萬</t>
        </is>
      </c>
      <c r="H530" t="n">
        <v>239</v>
      </c>
      <c r="I530" t="n">
        <v>455</v>
      </c>
      <c r="J530" t="n">
        <v>6.6</v>
      </c>
      <c r="K530" t="n">
        <v>240</v>
      </c>
      <c r="L530" t="n">
        <v>232</v>
      </c>
      <c r="M530" s="175" t="n">
        <v>0.36</v>
      </c>
      <c r="N530" t="inlineStr">
        <is>
          <t>台灣知名電力電纜公司</t>
        </is>
      </c>
    </row>
    <row r="531">
      <c r="A531" t="n">
        <v>1626</v>
      </c>
      <c r="B531" t="inlineStr">
        <is>
          <t>艾美特-KY</t>
        </is>
      </c>
      <c r="C531" t="n">
        <v>10</v>
      </c>
      <c r="D531" t="n">
        <v>10.1</v>
      </c>
      <c r="E531" s="504" t="n">
        <v>0.1</v>
      </c>
      <c r="F531" s="505" t="n">
        <v>1</v>
      </c>
      <c r="G531" t="inlineStr">
        <is>
          <t>144萬</t>
        </is>
      </c>
      <c r="H531" t="n">
        <v>144</v>
      </c>
      <c r="I531" t="n">
        <v>169</v>
      </c>
      <c r="J531" t="n">
        <v>14.98</v>
      </c>
      <c r="K531" t="n">
        <v>10.1</v>
      </c>
      <c r="L531" t="n">
        <v>9.99</v>
      </c>
      <c r="M531" s="175" t="n">
        <v>0.1</v>
      </c>
      <c r="N531" t="inlineStr">
        <is>
          <t>大陸「艾美特AIRMATE」品牌小家電生產商</t>
        </is>
      </c>
    </row>
    <row r="532">
      <c r="A532" t="n">
        <v>1702</v>
      </c>
      <c r="B532" t="inlineStr">
        <is>
          <t>南僑</t>
        </is>
      </c>
      <c r="C532" t="n">
        <v>30.9</v>
      </c>
      <c r="D532" t="n">
        <v>31.15</v>
      </c>
      <c r="E532" s="504" t="n">
        <v>0.35</v>
      </c>
      <c r="F532" s="505" t="n">
        <v>1.14</v>
      </c>
      <c r="G532" t="inlineStr">
        <is>
          <t>1920萬</t>
        </is>
      </c>
      <c r="H532" t="n">
        <v>622</v>
      </c>
      <c r="I532" t="n">
        <v>766</v>
      </c>
      <c r="J532" t="n">
        <v>29.41</v>
      </c>
      <c r="K532" t="n">
        <v>31.2</v>
      </c>
      <c r="L532" t="n">
        <v>30.6</v>
      </c>
      <c r="M532" s="175" t="n">
        <v>0.21</v>
      </c>
      <c r="N532" t="inlineStr">
        <is>
          <t>台灣最大烘焙用油脂廠，轉投資餐飲事業眾多品牌</t>
        </is>
      </c>
    </row>
    <row r="533">
      <c r="A533" t="n">
        <v>1707</v>
      </c>
      <c r="B533" t="inlineStr">
        <is>
          <t>葡萄王</t>
        </is>
      </c>
      <c r="C533" t="n">
        <v>100.5</v>
      </c>
      <c r="D533" t="n">
        <v>100.5</v>
      </c>
      <c r="E533" s="504" t="n">
        <v>0</v>
      </c>
      <c r="F533" s="505" t="n">
        <v>0</v>
      </c>
      <c r="G533" t="inlineStr">
        <is>
          <t>3143萬</t>
        </is>
      </c>
      <c r="H533" t="n">
        <v>312</v>
      </c>
      <c r="I533" t="n">
        <v>507</v>
      </c>
      <c r="J533" t="n">
        <v>14.81</v>
      </c>
      <c r="K533" t="n">
        <v>101.5</v>
      </c>
      <c r="L533" t="n">
        <v>100</v>
      </c>
      <c r="M533" s="175" t="n">
        <v>0.21</v>
      </c>
      <c r="N533" t="inlineStr">
        <is>
          <t>台灣保健食品製造領導廠商</t>
        </is>
      </c>
    </row>
    <row r="534">
      <c r="A534" t="n">
        <v>1708</v>
      </c>
      <c r="B534" t="inlineStr">
        <is>
          <t>東鹼</t>
        </is>
      </c>
      <c r="C534" t="n">
        <v>38.6</v>
      </c>
      <c r="D534" t="n">
        <v>39.45</v>
      </c>
      <c r="E534" s="504" t="n">
        <v>0.85</v>
      </c>
      <c r="F534" s="505" t="n">
        <v>2.2</v>
      </c>
      <c r="G534" t="inlineStr">
        <is>
          <t>1.37億</t>
        </is>
      </c>
      <c r="H534" t="n">
        <v>3539</v>
      </c>
      <c r="I534" t="n">
        <v>3376</v>
      </c>
      <c r="J534" t="n">
        <v>24.9</v>
      </c>
      <c r="K534" t="n">
        <v>39.65</v>
      </c>
      <c r="L534" t="n">
        <v>38.1</v>
      </c>
      <c r="M534" s="175" t="n">
        <v>1.42</v>
      </c>
      <c r="N534" t="inlineStr">
        <is>
          <t>台灣老牌硫酸鉀(SOP)肥料廠</t>
        </is>
      </c>
    </row>
    <row r="535">
      <c r="A535" t="n">
        <v>1709</v>
      </c>
      <c r="B535" t="inlineStr">
        <is>
          <t>和益</t>
        </is>
      </c>
      <c r="C535" t="n">
        <v>19.8</v>
      </c>
      <c r="D535" t="n">
        <v>19.75</v>
      </c>
      <c r="E535" s="504" t="n">
        <v>0.25</v>
      </c>
      <c r="F535" s="505" t="n">
        <v>1.28</v>
      </c>
      <c r="G535" t="inlineStr">
        <is>
          <t>3189萬</t>
        </is>
      </c>
      <c r="H535" t="n">
        <v>1609</v>
      </c>
      <c r="I535" t="n">
        <v>1241</v>
      </c>
      <c r="J535" t="n">
        <v>47.7</v>
      </c>
      <c r="K535" t="n">
        <v>20</v>
      </c>
      <c r="L535" t="n">
        <v>19.5</v>
      </c>
      <c r="M535" s="175" t="n">
        <v>0.34</v>
      </c>
      <c r="N535" t="inlineStr">
        <is>
          <t>台灣烷化品大廠、且為唯一氫化石油樹脂商</t>
        </is>
      </c>
    </row>
    <row r="536">
      <c r="A536" t="n">
        <v>1710</v>
      </c>
      <c r="B536" t="inlineStr">
        <is>
          <t>東聯</t>
        </is>
      </c>
      <c r="C536" t="n">
        <v>13.8</v>
      </c>
      <c r="D536" t="n">
        <v>14.55</v>
      </c>
      <c r="E536" s="504" t="n">
        <v>0.9</v>
      </c>
      <c r="F536" s="505" t="n">
        <v>6.59</v>
      </c>
      <c r="G536" t="inlineStr">
        <is>
          <t>1.99億</t>
        </is>
      </c>
      <c r="H536" t="n">
        <v>13939</v>
      </c>
      <c r="I536" t="n">
        <v>7578</v>
      </c>
      <c r="J536" t="n">
        <v>88.56999999999999</v>
      </c>
      <c r="K536" t="n">
        <v>14.6</v>
      </c>
      <c r="L536" t="n">
        <v>13.75</v>
      </c>
      <c r="M536" s="175" t="n">
        <v>1.57</v>
      </c>
      <c r="N536" t="inlineStr">
        <is>
          <t>遠東集團旗下，EG大廠</t>
        </is>
      </c>
    </row>
    <row r="537">
      <c r="A537" t="n">
        <v>1711</v>
      </c>
      <c r="B537" t="inlineStr">
        <is>
          <t>永光</t>
        </is>
      </c>
      <c r="C537" t="n">
        <v>49.7</v>
      </c>
      <c r="D537" t="n">
        <v>47.95</v>
      </c>
      <c r="E537" s="504" t="n">
        <v>-1.4</v>
      </c>
      <c r="F537" s="505" t="n">
        <v>-2.84</v>
      </c>
      <c r="G537" t="inlineStr">
        <is>
          <t>5.58億</t>
        </is>
      </c>
      <c r="H537" t="n">
        <v>11574</v>
      </c>
      <c r="I537" t="n">
        <v>14256</v>
      </c>
      <c r="J537" t="n">
        <v>54.78</v>
      </c>
      <c r="K537" t="n">
        <v>50.1</v>
      </c>
      <c r="L537" t="n">
        <v>47</v>
      </c>
      <c r="M537" s="175" t="n">
        <v>2.11</v>
      </c>
      <c r="N537" t="inlineStr">
        <is>
          <t>亞洲染料廠龍頭</t>
        </is>
      </c>
    </row>
    <row r="538">
      <c r="A538" t="n">
        <v>1712</v>
      </c>
      <c r="B538" t="inlineStr">
        <is>
          <t>興農</t>
        </is>
      </c>
      <c r="C538" t="n">
        <v>39</v>
      </c>
      <c r="D538" t="n">
        <v>39.1</v>
      </c>
      <c r="E538" s="504" t="n">
        <v>0.1</v>
      </c>
      <c r="F538" s="505" t="n">
        <v>0.26</v>
      </c>
      <c r="G538" t="inlineStr">
        <is>
          <t>4252萬</t>
        </is>
      </c>
      <c r="H538" t="n">
        <v>1092</v>
      </c>
      <c r="I538" t="n">
        <v>1319</v>
      </c>
      <c r="J538" t="n">
        <v>42.05</v>
      </c>
      <c r="K538" t="n">
        <v>39.35</v>
      </c>
      <c r="L538" t="n">
        <v>38.65</v>
      </c>
      <c r="M538" s="175" t="n">
        <v>0.26</v>
      </c>
      <c r="N538" t="inlineStr">
        <is>
          <t>台灣農藥市場龍頭公司</t>
        </is>
      </c>
    </row>
    <row r="539">
      <c r="A539" t="n">
        <v>1713</v>
      </c>
      <c r="B539" t="inlineStr">
        <is>
          <t>國化</t>
        </is>
      </c>
      <c r="C539" t="n">
        <v>49.7</v>
      </c>
      <c r="D539" t="n">
        <v>49</v>
      </c>
      <c r="E539" s="504" t="n">
        <v>-0.5</v>
      </c>
      <c r="F539" s="505" t="n">
        <v>-1.01</v>
      </c>
      <c r="G539" t="inlineStr">
        <is>
          <t>994萬</t>
        </is>
      </c>
      <c r="H539" t="n">
        <v>203</v>
      </c>
      <c r="I539" t="n">
        <v>339</v>
      </c>
      <c r="J539" t="n">
        <v>15.1</v>
      </c>
      <c r="K539" t="n">
        <v>49.7</v>
      </c>
      <c r="L539" t="n">
        <v>48.6</v>
      </c>
      <c r="M539" s="175" t="n">
        <v>0.13</v>
      </c>
      <c r="N539" t="inlineStr">
        <is>
          <t>保險粉生產商</t>
        </is>
      </c>
    </row>
    <row r="540">
      <c r="A540" t="n">
        <v>1714</v>
      </c>
      <c r="B540" t="inlineStr">
        <is>
          <t>和桐</t>
        </is>
      </c>
      <c r="C540" t="n">
        <v>9.890000000000001</v>
      </c>
      <c r="D540" t="n">
        <v>10</v>
      </c>
      <c r="E540" s="504" t="n">
        <v>0.19</v>
      </c>
      <c r="F540" s="505" t="n">
        <v>1.94</v>
      </c>
      <c r="G540" t="inlineStr">
        <is>
          <t>8804萬</t>
        </is>
      </c>
      <c r="H540" t="n">
        <v>8863</v>
      </c>
      <c r="I540" t="n">
        <v>4000</v>
      </c>
      <c r="J540" t="n">
        <v>99.18000000000001</v>
      </c>
      <c r="K540" t="n">
        <v>10.1</v>
      </c>
      <c r="L540" t="n">
        <v>9.77</v>
      </c>
      <c r="M540" s="175" t="n">
        <v>0.89</v>
      </c>
      <c r="N540" t="inlineStr">
        <is>
          <t>亞洲最大正烷屬烴供應商</t>
        </is>
      </c>
    </row>
    <row r="541">
      <c r="A541" t="n">
        <v>1717</v>
      </c>
      <c r="B541" t="inlineStr">
        <is>
          <t>長興</t>
        </is>
      </c>
      <c r="C541" t="n">
        <v>81.7</v>
      </c>
      <c r="D541" t="n">
        <v>78.7</v>
      </c>
      <c r="E541" s="504" t="n">
        <v>-2.8</v>
      </c>
      <c r="F541" s="505" t="n">
        <v>-3.44</v>
      </c>
      <c r="G541" t="inlineStr">
        <is>
          <t>22.4億</t>
        </is>
      </c>
      <c r="H541" t="n">
        <v>28470</v>
      </c>
      <c r="I541" t="n">
        <v>44348</v>
      </c>
      <c r="J541" t="n">
        <v>117.22</v>
      </c>
      <c r="K541" t="n">
        <v>81.8</v>
      </c>
      <c r="L541" t="n">
        <v>76.8</v>
      </c>
      <c r="M541" s="175" t="n">
        <v>2.43</v>
      </c>
      <c r="N541" t="inlineStr">
        <is>
          <t>亞洲最大合成樹脂廠，亦是全球最大乾膜光阻劑</t>
        </is>
      </c>
    </row>
    <row r="542">
      <c r="A542" t="n">
        <v>1718</v>
      </c>
      <c r="B542" t="inlineStr">
        <is>
          <t>中纖</t>
        </is>
      </c>
      <c r="C542" t="n">
        <v>8</v>
      </c>
      <c r="D542" t="n">
        <v>8</v>
      </c>
      <c r="E542" s="504" t="n">
        <v>0.72</v>
      </c>
      <c r="F542" s="505" t="n">
        <v>9.890000000000001</v>
      </c>
      <c r="G542" t="inlineStr">
        <is>
          <t>3.89億</t>
        </is>
      </c>
      <c r="H542" t="n">
        <v>48859</v>
      </c>
      <c r="I542" t="n">
        <v>7385</v>
      </c>
      <c r="J542" t="n">
        <v>168.59</v>
      </c>
      <c r="K542" t="n">
        <v>8</v>
      </c>
      <c r="L542" t="n">
        <v>7.7</v>
      </c>
      <c r="M542" s="175" t="n">
        <v>2.9</v>
      </c>
      <c r="N542" t="inlineStr">
        <is>
          <t>台灣化纖及EG重要供應商</t>
        </is>
      </c>
    </row>
    <row r="543">
      <c r="A543" t="n">
        <v>1720</v>
      </c>
      <c r="B543" t="inlineStr">
        <is>
          <t>生達</t>
        </is>
      </c>
      <c r="C543" t="n">
        <v>61.3</v>
      </c>
      <c r="D543" t="n">
        <v>62</v>
      </c>
      <c r="E543" s="504" t="n">
        <v>0.4</v>
      </c>
      <c r="F543" s="505" t="n">
        <v>0.65</v>
      </c>
      <c r="G543" t="inlineStr">
        <is>
          <t>1425萬</t>
        </is>
      </c>
      <c r="H543" t="n">
        <v>231</v>
      </c>
      <c r="I543" t="n">
        <v>300</v>
      </c>
      <c r="J543" t="n">
        <v>17.87</v>
      </c>
      <c r="K543" t="n">
        <v>62.1</v>
      </c>
      <c r="L543" t="n">
        <v>61.3</v>
      </c>
      <c r="M543" s="175" t="n">
        <v>0.13</v>
      </c>
      <c r="N543" t="inlineStr">
        <is>
          <t>台灣前三大學名藥廠</t>
        </is>
      </c>
    </row>
    <row r="544">
      <c r="A544" t="n">
        <v>1721</v>
      </c>
      <c r="B544" t="inlineStr">
        <is>
          <t>三晃</t>
        </is>
      </c>
      <c r="C544" t="n">
        <v>28.05</v>
      </c>
      <c r="D544" t="n">
        <v>27.35</v>
      </c>
      <c r="E544" s="504" t="n">
        <v>-0.75</v>
      </c>
      <c r="F544" s="505" t="n">
        <v>-2.67</v>
      </c>
      <c r="G544" t="inlineStr">
        <is>
          <t>9927萬</t>
        </is>
      </c>
      <c r="H544" t="n">
        <v>3639</v>
      </c>
      <c r="I544" t="n">
        <v>4896</v>
      </c>
      <c r="J544" t="n">
        <v>18.49</v>
      </c>
      <c r="K544" t="n">
        <v>28.05</v>
      </c>
      <c r="L544" t="n">
        <v>27</v>
      </c>
      <c r="M544" s="175" t="n">
        <v>1.97</v>
      </c>
      <c r="N544" t="inlineStr">
        <is>
          <t>油墨、表面處理劑、PU樹脂生產企業</t>
        </is>
      </c>
    </row>
    <row r="545">
      <c r="A545" t="n">
        <v>1722</v>
      </c>
      <c r="B545" t="inlineStr">
        <is>
          <t>台肥</t>
        </is>
      </c>
      <c r="C545" t="n">
        <v>47</v>
      </c>
      <c r="D545" t="n">
        <v>47.05</v>
      </c>
      <c r="E545" s="504" t="n">
        <v>0</v>
      </c>
      <c r="F545" s="505" t="n">
        <v>0</v>
      </c>
      <c r="G545" t="inlineStr">
        <is>
          <t>1.25億</t>
        </is>
      </c>
      <c r="H545" t="n">
        <v>2665</v>
      </c>
      <c r="I545" t="n">
        <v>3240</v>
      </c>
      <c r="J545" t="n">
        <v>98</v>
      </c>
      <c r="K545" t="n">
        <v>47.3</v>
      </c>
      <c r="L545" t="n">
        <v>46.8</v>
      </c>
      <c r="M545" s="175" t="n">
        <v>0.27</v>
      </c>
      <c r="N545" t="inlineStr">
        <is>
          <t>台灣最大肥料及化學廠商</t>
        </is>
      </c>
    </row>
    <row r="546">
      <c r="A546" t="n">
        <v>1723</v>
      </c>
      <c r="B546" t="inlineStr">
        <is>
          <t>中碳</t>
        </is>
      </c>
      <c r="C546" t="n">
        <v>83.8</v>
      </c>
      <c r="D546" t="n">
        <v>83.7</v>
      </c>
      <c r="E546" s="504" t="n">
        <v>-0.2</v>
      </c>
      <c r="F546" s="505" t="n">
        <v>-0.24</v>
      </c>
      <c r="G546" t="inlineStr">
        <is>
          <t>7398萬</t>
        </is>
      </c>
      <c r="H546" t="n">
        <v>892</v>
      </c>
      <c r="I546" t="n">
        <v>881</v>
      </c>
      <c r="J546" t="n">
        <v>23.69</v>
      </c>
      <c r="K546" t="n">
        <v>83.90000000000001</v>
      </c>
      <c r="L546" t="n">
        <v>82.2</v>
      </c>
      <c r="M546" s="175" t="n">
        <v>0.38</v>
      </c>
      <c r="N546" t="inlineStr">
        <is>
          <t>中鋼集團旗下，台灣唯一煤化工製造商</t>
        </is>
      </c>
    </row>
    <row r="547">
      <c r="A547" t="n">
        <v>1725</v>
      </c>
      <c r="B547" t="inlineStr">
        <is>
          <t>元禎</t>
        </is>
      </c>
      <c r="C547" t="n">
        <v>32.3</v>
      </c>
      <c r="D547" t="n">
        <v>32.45</v>
      </c>
      <c r="E547" s="504" t="n">
        <v>0.15</v>
      </c>
      <c r="F547" s="505" t="n">
        <v>0.46</v>
      </c>
      <c r="G547" t="inlineStr">
        <is>
          <t>522萬</t>
        </is>
      </c>
      <c r="H547" t="n">
        <v>162</v>
      </c>
      <c r="I547" t="n">
        <v>237</v>
      </c>
      <c r="J547" t="n">
        <v>18.18</v>
      </c>
      <c r="K547" t="n">
        <v>32.5</v>
      </c>
      <c r="L547" t="n">
        <v>31.85</v>
      </c>
      <c r="M547" s="175" t="n">
        <v>0.09</v>
      </c>
      <c r="N547" t="inlineStr">
        <is>
          <t>石化原料之專業代理商</t>
        </is>
      </c>
    </row>
    <row r="548">
      <c r="A548" t="n">
        <v>1726</v>
      </c>
      <c r="B548" t="inlineStr">
        <is>
          <t>永記</t>
        </is>
      </c>
      <c r="C548" t="n">
        <v>77.7</v>
      </c>
      <c r="D548" t="n">
        <v>78</v>
      </c>
      <c r="E548" s="504" t="n">
        <v>0.2</v>
      </c>
      <c r="F548" s="505" t="n">
        <v>0.26</v>
      </c>
      <c r="G548" t="inlineStr">
        <is>
          <t>203萬</t>
        </is>
      </c>
      <c r="H548" t="n">
        <v>26</v>
      </c>
      <c r="I548" t="n">
        <v>60</v>
      </c>
      <c r="J548" t="n">
        <v>16.2</v>
      </c>
      <c r="K548" t="n">
        <v>78.40000000000001</v>
      </c>
      <c r="L548" t="n">
        <v>77.5</v>
      </c>
      <c r="M548" s="175" t="n">
        <v>0.02</v>
      </c>
      <c r="N548" t="inlineStr">
        <is>
          <t>台灣最大油漆廠，主要生產防火漆</t>
        </is>
      </c>
    </row>
    <row r="549">
      <c r="A549" t="n">
        <v>1727</v>
      </c>
      <c r="B549" t="inlineStr">
        <is>
          <t>中華化</t>
        </is>
      </c>
      <c r="C549" t="n">
        <v>96.2</v>
      </c>
      <c r="D549" t="n">
        <v>95.5</v>
      </c>
      <c r="E549" s="504" t="n">
        <v>0.1</v>
      </c>
      <c r="F549" s="505" t="n">
        <v>0.1</v>
      </c>
      <c r="G549" t="inlineStr">
        <is>
          <t>6.92億</t>
        </is>
      </c>
      <c r="H549" t="n">
        <v>7228</v>
      </c>
      <c r="I549" t="n">
        <v>10254</v>
      </c>
      <c r="J549" t="n">
        <v>12.8</v>
      </c>
      <c r="K549" t="n">
        <v>98.5</v>
      </c>
      <c r="L549" t="n">
        <v>93.5</v>
      </c>
      <c r="M549" s="175" t="n">
        <v>5.65</v>
      </c>
      <c r="N549" t="inlineStr">
        <is>
          <t>台灣主要生產硫酸產品之廠商</t>
        </is>
      </c>
    </row>
    <row r="550">
      <c r="A550" t="n">
        <v>1730</v>
      </c>
      <c r="B550" t="inlineStr">
        <is>
          <t>花仙子</t>
        </is>
      </c>
      <c r="C550" t="n">
        <v>52.5</v>
      </c>
      <c r="D550" t="n">
        <v>52.6</v>
      </c>
      <c r="E550" s="504" t="n">
        <v>0.1</v>
      </c>
      <c r="F550" s="505" t="n">
        <v>0.19</v>
      </c>
      <c r="G550" t="inlineStr">
        <is>
          <t>351萬</t>
        </is>
      </c>
      <c r="H550" t="n">
        <v>67</v>
      </c>
      <c r="I550" t="n">
        <v>45</v>
      </c>
      <c r="J550" t="n">
        <v>6.32</v>
      </c>
      <c r="K550" t="n">
        <v>52.6</v>
      </c>
      <c r="L550" t="n">
        <v>52.3</v>
      </c>
      <c r="M550" s="175" t="n">
        <v>0.11</v>
      </c>
      <c r="N550" t="inlineStr">
        <is>
          <t>台灣最大家庭日用品廠商</t>
        </is>
      </c>
    </row>
    <row r="551">
      <c r="A551" t="n">
        <v>1731</v>
      </c>
      <c r="B551" t="inlineStr">
        <is>
          <t>美吾華</t>
        </is>
      </c>
      <c r="C551" t="n">
        <v>21.4</v>
      </c>
      <c r="D551" t="n">
        <v>21.3</v>
      </c>
      <c r="E551" s="504" t="n">
        <v>-0.1</v>
      </c>
      <c r="F551" s="505" t="n">
        <v>-0.47</v>
      </c>
      <c r="G551" t="inlineStr">
        <is>
          <t>503萬</t>
        </is>
      </c>
      <c r="H551" t="n">
        <v>236</v>
      </c>
      <c r="I551" t="n">
        <v>228</v>
      </c>
      <c r="J551" t="n">
        <v>13.29</v>
      </c>
      <c r="K551" t="n">
        <v>21.45</v>
      </c>
      <c r="L551" t="n">
        <v>21.2</v>
      </c>
      <c r="M551" s="175" t="n">
        <v>0.18</v>
      </c>
      <c r="N551" t="inlineStr">
        <is>
          <t>藥品代理並生產自有品牌染髮劑及沐浴用品</t>
        </is>
      </c>
    </row>
    <row r="552">
      <c r="A552" t="n">
        <v>1732</v>
      </c>
      <c r="B552" t="inlineStr">
        <is>
          <t>毛寶</t>
        </is>
      </c>
      <c r="C552" t="n">
        <v>26.45</v>
      </c>
      <c r="D552" t="n">
        <v>26.2</v>
      </c>
      <c r="E552" s="504" t="n">
        <v>-0.25</v>
      </c>
      <c r="F552" s="505" t="n">
        <v>-0.95</v>
      </c>
      <c r="G552" t="inlineStr">
        <is>
          <t>629萬</t>
        </is>
      </c>
      <c r="H552" t="n">
        <v>240</v>
      </c>
      <c r="I552" t="n">
        <v>227</v>
      </c>
      <c r="J552" t="n">
        <v>4.24</v>
      </c>
      <c r="K552" t="n">
        <v>26.45</v>
      </c>
      <c r="L552" t="n">
        <v>26.1</v>
      </c>
      <c r="M552" s="175" t="n">
        <v>0.57</v>
      </c>
      <c r="N552" t="inlineStr">
        <is>
          <t>台灣主要清潔用品大廠</t>
        </is>
      </c>
    </row>
    <row r="553">
      <c r="A553" t="n">
        <v>1733</v>
      </c>
      <c r="B553" t="inlineStr">
        <is>
          <t>五鼎</t>
        </is>
      </c>
      <c r="C553" t="n">
        <v>30.2</v>
      </c>
      <c r="D553" t="n">
        <v>30.35</v>
      </c>
      <c r="E553" s="504" t="n">
        <v>0.25</v>
      </c>
      <c r="F553" s="505" t="n">
        <v>0.83</v>
      </c>
      <c r="G553" t="inlineStr">
        <is>
          <t>815萬</t>
        </is>
      </c>
      <c r="H553" t="n">
        <v>269</v>
      </c>
      <c r="I553" t="n">
        <v>226</v>
      </c>
      <c r="J553" t="n">
        <v>10</v>
      </c>
      <c r="K553" t="n">
        <v>30.4</v>
      </c>
      <c r="L553" t="n">
        <v>30.15</v>
      </c>
      <c r="M553" s="175" t="n">
        <v>0.27</v>
      </c>
      <c r="N553" t="inlineStr">
        <is>
          <t>台灣血糖測試儀製造的龍頭企業</t>
        </is>
      </c>
    </row>
    <row r="554">
      <c r="A554" t="n">
        <v>1734</v>
      </c>
      <c r="B554" t="inlineStr">
        <is>
          <t>杏輝</t>
        </is>
      </c>
      <c r="C554" t="n">
        <v>31.1</v>
      </c>
      <c r="D554" t="n">
        <v>31.3</v>
      </c>
      <c r="E554" s="504" t="n">
        <v>0.3</v>
      </c>
      <c r="F554" s="505" t="n">
        <v>0.97</v>
      </c>
      <c r="G554" t="inlineStr">
        <is>
          <t>1723萬</t>
        </is>
      </c>
      <c r="H554" t="n">
        <v>554</v>
      </c>
      <c r="I554" t="n">
        <v>468</v>
      </c>
      <c r="J554" t="n">
        <v>19.02</v>
      </c>
      <c r="K554" t="n">
        <v>31.3</v>
      </c>
      <c r="L554" t="n">
        <v>30.85</v>
      </c>
      <c r="M554" s="175" t="n">
        <v>0.29</v>
      </c>
      <c r="N554" t="inlineStr">
        <is>
          <t>台灣老牌學名藥製造商，並跨足保健食品及中草藥原料開發</t>
        </is>
      </c>
    </row>
    <row r="555">
      <c r="A555" t="n">
        <v>1735</v>
      </c>
      <c r="B555" t="inlineStr">
        <is>
          <t>日勝化</t>
        </is>
      </c>
      <c r="C555" t="n">
        <v>25.15</v>
      </c>
      <c r="D555" t="n">
        <v>25.15</v>
      </c>
      <c r="E555" s="504" t="n">
        <v>-0.15</v>
      </c>
      <c r="F555" s="505" t="n">
        <v>-0.59</v>
      </c>
      <c r="G555" t="inlineStr">
        <is>
          <t>999萬</t>
        </is>
      </c>
      <c r="H555" t="n">
        <v>403</v>
      </c>
      <c r="I555" t="n">
        <v>595</v>
      </c>
      <c r="J555" t="n">
        <v>9.94</v>
      </c>
      <c r="K555" t="n">
        <v>25.3</v>
      </c>
      <c r="L555" t="n">
        <v>24.5</v>
      </c>
      <c r="M555" s="175" t="n">
        <v>0.41</v>
      </c>
      <c r="N555" t="inlineStr">
        <is>
          <t>專業合成皮用PU樹脂製造商</t>
        </is>
      </c>
    </row>
    <row r="556">
      <c r="A556" t="n">
        <v>1736</v>
      </c>
      <c r="B556" t="inlineStr">
        <is>
          <t>喬山</t>
        </is>
      </c>
      <c r="C556" t="n">
        <v>118</v>
      </c>
      <c r="D556" t="n">
        <v>118</v>
      </c>
      <c r="E556" s="504" t="n">
        <v>-0.5</v>
      </c>
      <c r="F556" s="505" t="n">
        <v>-0.42</v>
      </c>
      <c r="G556" t="inlineStr">
        <is>
          <t>7198萬</t>
        </is>
      </c>
      <c r="H556" t="n">
        <v>605</v>
      </c>
      <c r="I556" t="n">
        <v>692</v>
      </c>
      <c r="J556" t="n">
        <v>30.34</v>
      </c>
      <c r="K556" t="n">
        <v>122</v>
      </c>
      <c r="L556" t="n">
        <v>117</v>
      </c>
      <c r="M556" s="175" t="n">
        <v>0.2</v>
      </c>
      <c r="N556" t="inlineStr">
        <is>
          <t>全球最大商用健身器材、前三大家用健身器材廠商</t>
        </is>
      </c>
    </row>
    <row r="557">
      <c r="A557" t="n">
        <v>1737</v>
      </c>
      <c r="B557" t="inlineStr">
        <is>
          <t>臺鹽</t>
        </is>
      </c>
      <c r="C557" t="n">
        <v>31.6</v>
      </c>
      <c r="D557" t="n">
        <v>31.6</v>
      </c>
      <c r="E557" s="504" t="n">
        <v>0</v>
      </c>
      <c r="F557" s="505" t="n">
        <v>0</v>
      </c>
      <c r="G557" t="inlineStr">
        <is>
          <t>544萬</t>
        </is>
      </c>
      <c r="H557" t="n">
        <v>172</v>
      </c>
      <c r="I557" t="n">
        <v>187</v>
      </c>
      <c r="J557" t="n">
        <v>20</v>
      </c>
      <c r="K557" t="n">
        <v>31.75</v>
      </c>
      <c r="L557" t="n">
        <v>31.55</v>
      </c>
      <c r="M557" s="175" t="n">
        <v>0.09</v>
      </c>
      <c r="N557" t="inlineStr">
        <is>
          <t>台灣最大製鹽商，並跨足生技及水產品</t>
        </is>
      </c>
    </row>
    <row r="558">
      <c r="A558" t="n">
        <v>1742</v>
      </c>
      <c r="B558" t="inlineStr">
        <is>
          <t>台蠟</t>
        </is>
      </c>
      <c r="C558" t="n">
        <v>15.5</v>
      </c>
      <c r="D558" t="n">
        <v>15.5</v>
      </c>
      <c r="E558" s="504" t="n">
        <v>0.1</v>
      </c>
      <c r="F558" s="505" t="n">
        <v>0.65</v>
      </c>
      <c r="G558" t="inlineStr">
        <is>
          <t>81.8萬</t>
        </is>
      </c>
      <c r="H558" t="n">
        <v>53</v>
      </c>
      <c r="I558" t="n">
        <v>32</v>
      </c>
      <c r="J558" t="n">
        <v>9.27</v>
      </c>
      <c r="K558" t="n">
        <v>15.5</v>
      </c>
      <c r="L558" t="n">
        <v>15.3</v>
      </c>
      <c r="M558" s="175" t="n">
        <v>0.06</v>
      </c>
      <c r="N558" t="inlineStr">
        <is>
          <t>台灣唯一蠟品專業製造商</t>
        </is>
      </c>
    </row>
    <row r="559">
      <c r="A559" t="n">
        <v>1752</v>
      </c>
      <c r="B559" t="inlineStr">
        <is>
          <t>南光</t>
        </is>
      </c>
      <c r="C559" t="n">
        <v>33</v>
      </c>
      <c r="D559" t="n">
        <v>32.55</v>
      </c>
      <c r="E559" s="504" t="n">
        <v>-0.4</v>
      </c>
      <c r="F559" s="505" t="n">
        <v>-1.21</v>
      </c>
      <c r="G559" t="inlineStr">
        <is>
          <t>358萬</t>
        </is>
      </c>
      <c r="H559" t="n">
        <v>110</v>
      </c>
      <c r="I559" t="n">
        <v>91</v>
      </c>
      <c r="J559" t="n">
        <v>10.1</v>
      </c>
      <c r="K559" t="n">
        <v>33</v>
      </c>
      <c r="L559" t="n">
        <v>32.3</v>
      </c>
      <c r="M559" s="175" t="n">
        <v>0.11</v>
      </c>
      <c r="N559" t="inlineStr">
        <is>
          <t>台灣最大針劑製藥廠</t>
        </is>
      </c>
    </row>
    <row r="560">
      <c r="A560" t="n">
        <v>1760</v>
      </c>
      <c r="B560" t="inlineStr">
        <is>
          <t>寶齡富錦</t>
        </is>
      </c>
      <c r="C560" t="n">
        <v>60.9</v>
      </c>
      <c r="D560" t="n">
        <v>60.4</v>
      </c>
      <c r="E560" s="504" t="n">
        <v>-0.3</v>
      </c>
      <c r="F560" s="505" t="n">
        <v>-0.49</v>
      </c>
      <c r="G560" t="inlineStr">
        <is>
          <t>1516萬</t>
        </is>
      </c>
      <c r="H560" t="n">
        <v>252</v>
      </c>
      <c r="I560" t="n">
        <v>236</v>
      </c>
      <c r="J560" t="n">
        <v>8.57</v>
      </c>
      <c r="K560" t="n">
        <v>60.9</v>
      </c>
      <c r="L560" t="n">
        <v>60</v>
      </c>
      <c r="M560" s="175" t="n">
        <v>0.29</v>
      </c>
      <c r="N560" t="inlineStr">
        <is>
          <t>台灣老牌學名藥廠，經營西藥與醫美保健事業</t>
        </is>
      </c>
    </row>
    <row r="561">
      <c r="A561" t="n">
        <v>1762</v>
      </c>
      <c r="B561" t="inlineStr">
        <is>
          <t>中化生</t>
        </is>
      </c>
      <c r="C561" t="n">
        <v>38.75</v>
      </c>
      <c r="D561" t="n">
        <v>38.9</v>
      </c>
      <c r="E561" s="504" t="n">
        <v>0.15</v>
      </c>
      <c r="F561" s="505" t="n">
        <v>0.39</v>
      </c>
      <c r="G561" t="inlineStr">
        <is>
          <t>856萬</t>
        </is>
      </c>
      <c r="H561" t="n">
        <v>222</v>
      </c>
      <c r="I561" t="n">
        <v>515</v>
      </c>
      <c r="J561" t="n">
        <v>7.69</v>
      </c>
      <c r="K561" t="n">
        <v>39</v>
      </c>
      <c r="L561" t="n">
        <v>38.25</v>
      </c>
      <c r="M561" s="175" t="n">
        <v>0.29</v>
      </c>
      <c r="N561" t="inlineStr">
        <is>
          <t>中化旗下原料藥製造商，MMF與MCB在美國為龍頭地位</t>
        </is>
      </c>
    </row>
    <row r="562">
      <c r="A562" t="n">
        <v>1773</v>
      </c>
      <c r="B562" t="inlineStr">
        <is>
          <t>勝一</t>
        </is>
      </c>
      <c r="C562" t="n">
        <v>183</v>
      </c>
      <c r="D562" t="n">
        <v>179</v>
      </c>
      <c r="E562" s="504" t="n">
        <v>-6</v>
      </c>
      <c r="F562" s="505" t="n">
        <v>-3.24</v>
      </c>
      <c r="G562" t="inlineStr">
        <is>
          <t>1.88億</t>
        </is>
      </c>
      <c r="H562" t="n">
        <v>1049</v>
      </c>
      <c r="I562" t="n">
        <v>1756</v>
      </c>
      <c r="J562" t="n">
        <v>30</v>
      </c>
      <c r="K562" t="n">
        <v>183.5</v>
      </c>
      <c r="L562" t="n">
        <v>175.5</v>
      </c>
      <c r="M562" s="175" t="n">
        <v>0.35</v>
      </c>
      <c r="N562" t="inlineStr">
        <is>
          <t>台灣第2大溶劑廠商</t>
        </is>
      </c>
    </row>
    <row r="563">
      <c r="A563" t="n">
        <v>1776</v>
      </c>
      <c r="B563" t="inlineStr">
        <is>
          <t>展宇</t>
        </is>
      </c>
      <c r="C563" t="n">
        <v>18.2</v>
      </c>
      <c r="D563" t="n">
        <v>18.5</v>
      </c>
      <c r="E563" s="504" t="n">
        <v>0.15</v>
      </c>
      <c r="F563" s="505" t="n">
        <v>0.82</v>
      </c>
      <c r="G563" t="inlineStr">
        <is>
          <t>456萬</t>
        </is>
      </c>
      <c r="H563" t="n">
        <v>251</v>
      </c>
      <c r="I563" t="n">
        <v>145</v>
      </c>
      <c r="J563" t="n">
        <v>6.01</v>
      </c>
      <c r="K563" t="n">
        <v>18.75</v>
      </c>
      <c r="L563" t="n">
        <v>17.7</v>
      </c>
      <c r="M563" s="175" t="n">
        <v>0.42</v>
      </c>
      <c r="N563" t="inlineStr">
        <is>
          <t>台灣PU樹脂及硬化劑大廠</t>
        </is>
      </c>
    </row>
    <row r="564">
      <c r="A564" t="n">
        <v>1777</v>
      </c>
      <c r="B564" t="inlineStr">
        <is>
          <t>生泰</t>
        </is>
      </c>
      <c r="C564" t="n">
        <v>71.59999999999999</v>
      </c>
      <c r="D564" t="n">
        <v>71.7</v>
      </c>
      <c r="E564" s="504" t="n">
        <v>0.1</v>
      </c>
      <c r="F564" s="505" t="n">
        <v>0.14</v>
      </c>
      <c r="G564" t="inlineStr">
        <is>
          <t>302萬</t>
        </is>
      </c>
      <c r="H564" t="n">
        <v>42</v>
      </c>
      <c r="I564" t="n">
        <v>29</v>
      </c>
      <c r="J564" t="n">
        <v>4.46</v>
      </c>
      <c r="K564" t="n">
        <v>72.59999999999999</v>
      </c>
      <c r="L564" t="n">
        <v>71.40000000000001</v>
      </c>
      <c r="M564" s="175" t="n">
        <v>0.09</v>
      </c>
      <c r="N564" t="inlineStr">
        <is>
          <t>生達集團旗下開發及產製原料藥廠商</t>
        </is>
      </c>
    </row>
    <row r="565">
      <c r="A565" t="n">
        <v>1781</v>
      </c>
      <c r="B565" t="inlineStr">
        <is>
          <t>合世</t>
        </is>
      </c>
      <c r="C565" t="n">
        <v>10.95</v>
      </c>
      <c r="D565" t="n">
        <v>12</v>
      </c>
      <c r="E565" s="504" t="n">
        <v>1.05</v>
      </c>
      <c r="F565" s="505" t="n">
        <v>9.59</v>
      </c>
      <c r="G565" t="inlineStr">
        <is>
          <t>276萬</t>
        </is>
      </c>
      <c r="H565" t="n">
        <v>232</v>
      </c>
      <c r="I565" t="n">
        <v>54</v>
      </c>
      <c r="J565" t="n">
        <v>4.74</v>
      </c>
      <c r="K565" t="n">
        <v>12</v>
      </c>
      <c r="L565" t="n">
        <v>10.95</v>
      </c>
      <c r="M565" s="175" t="n">
        <v>0.49</v>
      </c>
      <c r="N565" t="inlineStr">
        <is>
          <t>全球前三大電子式血壓計廠</t>
        </is>
      </c>
    </row>
    <row r="566">
      <c r="A566" t="n">
        <v>1783</v>
      </c>
      <c r="B566" t="inlineStr">
        <is>
          <t>和康生</t>
        </is>
      </c>
      <c r="C566" t="n">
        <v>38.8</v>
      </c>
      <c r="D566" t="n">
        <v>38.65</v>
      </c>
      <c r="E566" s="504" t="n">
        <v>-0.15</v>
      </c>
      <c r="F566" s="505" t="n">
        <v>-0.39</v>
      </c>
      <c r="G566" t="inlineStr">
        <is>
          <t>464萬</t>
        </is>
      </c>
      <c r="H566" t="n">
        <v>120</v>
      </c>
      <c r="I566" t="n">
        <v>128</v>
      </c>
      <c r="J566" t="n">
        <v>8.970000000000001</v>
      </c>
      <c r="K566" t="n">
        <v>39</v>
      </c>
      <c r="L566" t="n">
        <v>38.45</v>
      </c>
      <c r="M566" s="175" t="n">
        <v>0.13</v>
      </c>
      <c r="N566" t="inlineStr">
        <is>
          <t>專注膠原蛋白之高階醫材及醫美保養產品</t>
        </is>
      </c>
    </row>
    <row r="567">
      <c r="A567" t="n">
        <v>1784</v>
      </c>
      <c r="B567" t="inlineStr">
        <is>
          <t>訊聯</t>
        </is>
      </c>
      <c r="C567" t="n">
        <v>66.3</v>
      </c>
      <c r="D567" t="n">
        <v>65.5</v>
      </c>
      <c r="E567" s="504" t="n">
        <v>-0.7</v>
      </c>
      <c r="F567" s="505" t="n">
        <v>-1.06</v>
      </c>
      <c r="G567" t="inlineStr">
        <is>
          <t>2139萬</t>
        </is>
      </c>
      <c r="H567" t="n">
        <v>326</v>
      </c>
      <c r="I567" t="n">
        <v>428</v>
      </c>
      <c r="J567" t="n">
        <v>5.31</v>
      </c>
      <c r="K567" t="n">
        <v>66.3</v>
      </c>
      <c r="L567" t="n">
        <v>65.2</v>
      </c>
      <c r="M567" s="175" t="n">
        <v>0.61</v>
      </c>
      <c r="N567" t="inlineStr">
        <is>
          <t>台灣首家私營臍帶血公司</t>
        </is>
      </c>
    </row>
    <row r="568">
      <c r="A568" t="n">
        <v>1785</v>
      </c>
      <c r="B568" t="inlineStr">
        <is>
          <t>光洋科</t>
        </is>
      </c>
      <c r="C568" t="n">
        <v>155.5</v>
      </c>
      <c r="D568" t="n">
        <v>144</v>
      </c>
      <c r="E568" s="504" t="n">
        <v>-13</v>
      </c>
      <c r="F568" s="505" t="n">
        <v>-8.279999999999999</v>
      </c>
      <c r="G568" t="inlineStr">
        <is>
          <t>53.6億</t>
        </is>
      </c>
      <c r="H568" t="n">
        <v>36591</v>
      </c>
      <c r="I568" t="n">
        <v>42652</v>
      </c>
      <c r="J568" t="n">
        <v>59.6</v>
      </c>
      <c r="K568" t="n">
        <v>155.5</v>
      </c>
      <c r="L568" t="n">
        <v>141.5</v>
      </c>
      <c r="M568" s="175" t="n">
        <v>6.14</v>
      </c>
      <c r="N568" t="inlineStr">
        <is>
          <t>全球最大硬碟靶材供應商</t>
        </is>
      </c>
    </row>
    <row r="569">
      <c r="A569" t="n">
        <v>1786</v>
      </c>
      <c r="B569" t="inlineStr">
        <is>
          <t>科妍</t>
        </is>
      </c>
      <c r="C569" t="n">
        <v>54.9</v>
      </c>
      <c r="D569" t="n">
        <v>54.5</v>
      </c>
      <c r="E569" s="504" t="n">
        <v>-0.3</v>
      </c>
      <c r="F569" s="505" t="n">
        <v>-0.55</v>
      </c>
      <c r="G569" t="inlineStr">
        <is>
          <t>1354萬</t>
        </is>
      </c>
      <c r="H569" t="n">
        <v>251</v>
      </c>
      <c r="I569" t="n">
        <v>323</v>
      </c>
      <c r="J569" t="n">
        <v>7.48</v>
      </c>
      <c r="K569" t="n">
        <v>55</v>
      </c>
      <c r="L569" t="n">
        <v>53.3</v>
      </c>
      <c r="M569" s="175" t="n">
        <v>0.34</v>
      </c>
      <c r="N569" t="inlineStr">
        <is>
          <t>台灣首家醫療級玻尿酸醫材廠</t>
        </is>
      </c>
    </row>
    <row r="570">
      <c r="A570" t="n">
        <v>1788</v>
      </c>
      <c r="B570" t="inlineStr">
        <is>
          <t>杏昌</t>
        </is>
      </c>
      <c r="C570" t="n">
        <v>134.5</v>
      </c>
      <c r="D570" t="n">
        <v>134</v>
      </c>
      <c r="E570" s="504" t="n">
        <v>0</v>
      </c>
      <c r="F570" s="505" t="n">
        <v>0</v>
      </c>
      <c r="G570" t="inlineStr">
        <is>
          <t>751萬</t>
        </is>
      </c>
      <c r="H570" t="n">
        <v>56</v>
      </c>
      <c r="I570" t="n">
        <v>71</v>
      </c>
      <c r="J570" t="n">
        <v>4.45</v>
      </c>
      <c r="K570" t="n">
        <v>134.5</v>
      </c>
      <c r="L570" t="n">
        <v>134</v>
      </c>
      <c r="M570" s="175" t="n">
        <v>0.13</v>
      </c>
      <c r="N570" t="inlineStr">
        <is>
          <t>代理歐美日一線廠牌醫療器材為主</t>
        </is>
      </c>
    </row>
    <row r="571">
      <c r="A571" t="n">
        <v>1789</v>
      </c>
      <c r="B571" t="inlineStr">
        <is>
          <t>神隆</t>
        </is>
      </c>
      <c r="C571" t="n">
        <v>19.85</v>
      </c>
      <c r="D571" t="n">
        <v>20.05</v>
      </c>
      <c r="E571" s="504" t="n">
        <v>0.35</v>
      </c>
      <c r="F571" s="505" t="n">
        <v>1.78</v>
      </c>
      <c r="G571" t="inlineStr">
        <is>
          <t>1412萬</t>
        </is>
      </c>
      <c r="H571" t="n">
        <v>713</v>
      </c>
      <c r="I571" t="n">
        <v>826</v>
      </c>
      <c r="J571" t="n">
        <v>79.06999999999999</v>
      </c>
      <c r="K571" t="n">
        <v>20.05</v>
      </c>
      <c r="L571" t="n">
        <v>19.5</v>
      </c>
      <c r="M571" s="175" t="n">
        <v>0.09</v>
      </c>
      <c r="N571" t="inlineStr">
        <is>
          <t>台灣原料藥龍頭企業</t>
        </is>
      </c>
    </row>
    <row r="572">
      <c r="A572" t="n">
        <v>1795</v>
      </c>
      <c r="B572" t="inlineStr">
        <is>
          <t>美時</t>
        </is>
      </c>
      <c r="C572" t="n">
        <v>198.5</v>
      </c>
      <c r="D572" t="n">
        <v>196</v>
      </c>
      <c r="E572" s="504" t="n">
        <v>-2.5</v>
      </c>
      <c r="F572" s="505" t="n">
        <v>-1.26</v>
      </c>
      <c r="G572" t="inlineStr">
        <is>
          <t>2.42億</t>
        </is>
      </c>
      <c r="H572" t="n">
        <v>1237</v>
      </c>
      <c r="I572" t="n">
        <v>1866</v>
      </c>
      <c r="J572" t="n">
        <v>26.69</v>
      </c>
      <c r="K572" t="n">
        <v>198.5</v>
      </c>
      <c r="L572" t="n">
        <v>194.5</v>
      </c>
      <c r="M572" s="175" t="n">
        <v>0.46</v>
      </c>
      <c r="N572" t="inlineStr">
        <is>
          <t>台灣老牌學名藥廠，從事困難學名藥與癌症學名藥之製造</t>
        </is>
      </c>
    </row>
    <row r="573">
      <c r="A573" t="n">
        <v>1796</v>
      </c>
      <c r="B573" t="inlineStr">
        <is>
          <t>金穎生技</t>
        </is>
      </c>
      <c r="C573" t="n">
        <v>35.5</v>
      </c>
      <c r="D573" t="n">
        <v>36.15</v>
      </c>
      <c r="E573" s="504" t="n">
        <v>0.65</v>
      </c>
      <c r="F573" s="505" t="n">
        <v>1.83</v>
      </c>
      <c r="G573" t="inlineStr">
        <is>
          <t>64.7萬</t>
        </is>
      </c>
      <c r="H573" t="n">
        <v>18</v>
      </c>
      <c r="I573" t="n">
        <v>16</v>
      </c>
      <c r="J573" t="n">
        <v>4.15</v>
      </c>
      <c r="K573" t="n">
        <v>36.4</v>
      </c>
      <c r="L573" t="n">
        <v>35.5</v>
      </c>
      <c r="M573" s="175" t="n">
        <v>0.04</v>
      </c>
      <c r="N573" t="inlineStr">
        <is>
          <t>為醱酵原料及保健品廠商</t>
        </is>
      </c>
    </row>
    <row r="574">
      <c r="A574" t="n">
        <v>1799</v>
      </c>
      <c r="B574" t="inlineStr">
        <is>
          <t>易威</t>
        </is>
      </c>
      <c r="C574" t="n">
        <v>32.85</v>
      </c>
      <c r="D574" t="n">
        <v>33.4</v>
      </c>
      <c r="E574" s="504" t="n">
        <v>0.35</v>
      </c>
      <c r="F574" s="505" t="n">
        <v>1.06</v>
      </c>
      <c r="G574" t="inlineStr">
        <is>
          <t>701萬</t>
        </is>
      </c>
      <c r="H574" t="n">
        <v>207</v>
      </c>
      <c r="I574" t="n">
        <v>151</v>
      </c>
      <c r="J574" t="n">
        <v>12.47</v>
      </c>
      <c r="K574" t="n">
        <v>34.65</v>
      </c>
      <c r="L574" t="n">
        <v>32.75</v>
      </c>
      <c r="M574" s="175" t="n">
        <v>0.17</v>
      </c>
      <c r="N574" t="inlineStr">
        <is>
          <t>台灣特殊學名藥研發廠</t>
        </is>
      </c>
    </row>
    <row r="575">
      <c r="A575" t="n">
        <v>1802</v>
      </c>
      <c r="B575" t="inlineStr">
        <is>
          <t>台玻</t>
        </is>
      </c>
      <c r="C575" t="n">
        <v>75.5</v>
      </c>
      <c r="D575" t="n">
        <v>71</v>
      </c>
      <c r="E575" s="504" t="n">
        <v>-3.8</v>
      </c>
      <c r="F575" s="505" t="n">
        <v>-5.08</v>
      </c>
      <c r="G575" t="inlineStr">
        <is>
          <t>109億</t>
        </is>
      </c>
      <c r="H575" t="n">
        <v>148403</v>
      </c>
      <c r="I575" t="n">
        <v>180590</v>
      </c>
      <c r="J575" t="n">
        <v>290.81</v>
      </c>
      <c r="K575" t="n">
        <v>76.8</v>
      </c>
      <c r="L575" t="n">
        <v>70.59999999999999</v>
      </c>
      <c r="M575" s="175" t="n">
        <v>5.1</v>
      </c>
      <c r="N575" t="inlineStr">
        <is>
          <t>台灣第一大玻璃生產商</t>
        </is>
      </c>
    </row>
    <row r="576">
      <c r="A576" t="n">
        <v>1805</v>
      </c>
      <c r="B576" t="inlineStr">
        <is>
          <t>寶徠</t>
        </is>
      </c>
      <c r="C576" t="n">
        <v>10</v>
      </c>
      <c r="D576" t="n">
        <v>10.05</v>
      </c>
      <c r="E576" s="504" t="n">
        <v>0</v>
      </c>
      <c r="F576" s="505" t="n">
        <v>0</v>
      </c>
      <c r="G576" t="inlineStr">
        <is>
          <t>93.0萬</t>
        </is>
      </c>
      <c r="H576" t="n">
        <v>93</v>
      </c>
      <c r="I576" t="n">
        <v>112</v>
      </c>
      <c r="J576" t="n">
        <v>13.5</v>
      </c>
      <c r="K576" t="n">
        <v>10.05</v>
      </c>
      <c r="L576" t="n">
        <v>9.970000000000001</v>
      </c>
      <c r="M576" s="175" t="n">
        <v>0.07000000000000001</v>
      </c>
      <c r="N576" t="inlineStr">
        <is>
          <t>知名建案「寶徠花園廣場」建商</t>
        </is>
      </c>
    </row>
    <row r="577">
      <c r="A577" t="n">
        <v>1806</v>
      </c>
      <c r="B577" t="inlineStr">
        <is>
          <t>冠軍</t>
        </is>
      </c>
      <c r="C577" t="n">
        <v>8.09</v>
      </c>
      <c r="D577" t="n">
        <v>8.16</v>
      </c>
      <c r="E577" s="504" t="n">
        <v>0.07000000000000001</v>
      </c>
      <c r="F577" s="505" t="n">
        <v>0.87</v>
      </c>
      <c r="G577" t="inlineStr">
        <is>
          <t>456萬</t>
        </is>
      </c>
      <c r="H577" t="n">
        <v>571</v>
      </c>
      <c r="I577" t="n">
        <v>419</v>
      </c>
      <c r="J577" t="n">
        <v>39.04</v>
      </c>
      <c r="K577" t="n">
        <v>8.16</v>
      </c>
      <c r="L577" t="n">
        <v>8.06</v>
      </c>
      <c r="M577" s="175" t="n">
        <v>0.15</v>
      </c>
      <c r="N577" t="inlineStr">
        <is>
          <t>台灣最大瓷磚廠商</t>
        </is>
      </c>
    </row>
    <row r="578">
      <c r="A578" t="n">
        <v>1808</v>
      </c>
      <c r="B578" t="inlineStr">
        <is>
          <t>潤隆</t>
        </is>
      </c>
      <c r="C578" t="n">
        <v>29</v>
      </c>
      <c r="D578" t="n">
        <v>29.25</v>
      </c>
      <c r="E578" s="504" t="n">
        <v>0.15</v>
      </c>
      <c r="F578" s="505" t="n">
        <v>0.52</v>
      </c>
      <c r="G578" t="inlineStr">
        <is>
          <t>3747萬</t>
        </is>
      </c>
      <c r="H578" t="n">
        <v>1310</v>
      </c>
      <c r="I578" t="n">
        <v>1776</v>
      </c>
      <c r="J578" t="n">
        <v>89.3</v>
      </c>
      <c r="K578" t="n">
        <v>29.3</v>
      </c>
      <c r="L578" t="n">
        <v>28.75</v>
      </c>
      <c r="M578" s="175" t="n">
        <v>0.15</v>
      </c>
      <c r="N578" t="inlineStr">
        <is>
          <t>興富發集團旗下建商</t>
        </is>
      </c>
    </row>
    <row r="579">
      <c r="A579" t="n">
        <v>1809</v>
      </c>
      <c r="B579" t="inlineStr">
        <is>
          <t>中釉</t>
        </is>
      </c>
      <c r="C579" t="n">
        <v>49.9</v>
      </c>
      <c r="D579" t="n">
        <v>52.6</v>
      </c>
      <c r="E579" s="504" t="n">
        <v>4.7</v>
      </c>
      <c r="F579" s="505" t="n">
        <v>9.81</v>
      </c>
      <c r="G579" t="inlineStr">
        <is>
          <t>3.85億</t>
        </is>
      </c>
      <c r="H579" t="n">
        <v>7371</v>
      </c>
      <c r="I579" t="n">
        <v>10810</v>
      </c>
      <c r="J579" t="n">
        <v>16.7</v>
      </c>
      <c r="K579" t="n">
        <v>52.6</v>
      </c>
      <c r="L579" t="n">
        <v>49.9</v>
      </c>
      <c r="M579" s="175" t="n">
        <v>4.41</v>
      </c>
      <c r="N579" t="inlineStr">
        <is>
          <t>亞洲最大色釉料廠</t>
        </is>
      </c>
    </row>
    <row r="580">
      <c r="A580" t="n">
        <v>1810</v>
      </c>
      <c r="B580" t="inlineStr">
        <is>
          <t>和成</t>
        </is>
      </c>
      <c r="C580" t="n">
        <v>20.3</v>
      </c>
      <c r="D580" t="n">
        <v>19.6</v>
      </c>
      <c r="E580" s="504" t="n">
        <v>-0.45</v>
      </c>
      <c r="F580" s="505" t="n">
        <v>-2.24</v>
      </c>
      <c r="G580" t="inlineStr">
        <is>
          <t>6939萬</t>
        </is>
      </c>
      <c r="H580" t="n">
        <v>3539</v>
      </c>
      <c r="I580" t="n">
        <v>6695</v>
      </c>
      <c r="J580" t="n">
        <v>30.23</v>
      </c>
      <c r="K580" t="n">
        <v>20.3</v>
      </c>
      <c r="L580" t="n">
        <v>19.3</v>
      </c>
      <c r="M580" s="175" t="n">
        <v>1.17</v>
      </c>
      <c r="N580" t="inlineStr">
        <is>
          <t>台灣衛浴設備大廠</t>
        </is>
      </c>
    </row>
    <row r="581">
      <c r="A581" t="n">
        <v>1813</v>
      </c>
      <c r="B581" t="inlineStr">
        <is>
          <t>寶利徠</t>
        </is>
      </c>
      <c r="C581" t="n">
        <v>11.9</v>
      </c>
      <c r="D581" t="n">
        <v>11.95</v>
      </c>
      <c r="E581" s="504" t="n">
        <v>0.05</v>
      </c>
      <c r="F581" s="505" t="n">
        <v>0.42</v>
      </c>
      <c r="G581" t="inlineStr">
        <is>
          <t>17.9萬</t>
        </is>
      </c>
      <c r="H581" t="n">
        <v>15</v>
      </c>
      <c r="I581" t="n">
        <v>111</v>
      </c>
      <c r="J581" t="n">
        <v>4.66</v>
      </c>
      <c r="K581" t="n">
        <v>11.95</v>
      </c>
      <c r="L581" t="n">
        <v>11.9</v>
      </c>
      <c r="M581" s="175" t="n">
        <v>0.03</v>
      </c>
      <c r="N581" t="inlineStr">
        <is>
          <t>全球第三大PC(聚碳酸酯樹脂)光學鏡片商</t>
        </is>
      </c>
    </row>
    <row r="582">
      <c r="A582" t="n">
        <v>1815</v>
      </c>
      <c r="B582" t="inlineStr">
        <is>
          <t>富喬</t>
        </is>
      </c>
      <c r="C582" t="n">
        <v>111.5</v>
      </c>
      <c r="D582" t="n">
        <v>109.5</v>
      </c>
      <c r="E582" s="504" t="n">
        <v>0.5</v>
      </c>
      <c r="F582" s="505" t="n">
        <v>0.46</v>
      </c>
      <c r="G582" t="inlineStr">
        <is>
          <t>49.3億</t>
        </is>
      </c>
      <c r="H582" t="n">
        <v>44823</v>
      </c>
      <c r="I582" t="n">
        <v>42197</v>
      </c>
      <c r="J582" t="n">
        <v>58.55</v>
      </c>
      <c r="K582" t="n">
        <v>113</v>
      </c>
      <c r="L582" t="n">
        <v>106</v>
      </c>
      <c r="M582" s="175" t="n">
        <v>7.66</v>
      </c>
      <c r="N582" t="inlineStr">
        <is>
          <t>台灣玻纖紗、玻纖布一貫廠</t>
        </is>
      </c>
    </row>
    <row r="583">
      <c r="A583" t="n">
        <v>1817</v>
      </c>
      <c r="B583" t="inlineStr">
        <is>
          <t>凱撒衛</t>
        </is>
      </c>
      <c r="C583" t="n">
        <v>39.5</v>
      </c>
      <c r="D583" t="n">
        <v>39.45</v>
      </c>
      <c r="E583" s="504" t="n">
        <v>-0.1</v>
      </c>
      <c r="F583" s="505" t="n">
        <v>-0.25</v>
      </c>
      <c r="G583" t="inlineStr">
        <is>
          <t>86.8萬</t>
        </is>
      </c>
      <c r="H583" t="n">
        <v>22</v>
      </c>
      <c r="I583" t="n">
        <v>40</v>
      </c>
      <c r="J583" t="n">
        <v>7.26</v>
      </c>
      <c r="K583" t="n">
        <v>39.55</v>
      </c>
      <c r="L583" t="n">
        <v>39.4</v>
      </c>
      <c r="M583" s="175" t="n">
        <v>0.03</v>
      </c>
      <c r="N583" t="inlineStr">
        <is>
          <t>台灣衛浴設備大廠</t>
        </is>
      </c>
    </row>
    <row r="584">
      <c r="A584" t="n">
        <v>1903</v>
      </c>
      <c r="B584" t="inlineStr">
        <is>
          <t>士紙</t>
        </is>
      </c>
      <c r="C584" t="n">
        <v>49.1</v>
      </c>
      <c r="D584" t="n">
        <v>48.95</v>
      </c>
      <c r="E584" s="504" t="n">
        <v>-0.45</v>
      </c>
      <c r="F584" s="505" t="n">
        <v>-0.91</v>
      </c>
      <c r="G584" t="inlineStr">
        <is>
          <t>1175萬</t>
        </is>
      </c>
      <c r="H584" t="n">
        <v>241</v>
      </c>
      <c r="I584" t="n">
        <v>323</v>
      </c>
      <c r="J584" t="n">
        <v>26</v>
      </c>
      <c r="K584" t="n">
        <v>49.3</v>
      </c>
      <c r="L584" t="n">
        <v>48.5</v>
      </c>
      <c r="M584" s="175" t="n">
        <v>0.09</v>
      </c>
      <c r="N584" t="inlineStr">
        <is>
          <t>從事濕紙巾、嬰幼兒洗沐與防疫用品、保養品業務</t>
        </is>
      </c>
    </row>
    <row r="585">
      <c r="A585" t="n">
        <v>1904</v>
      </c>
      <c r="B585" t="inlineStr">
        <is>
          <t>正隆</t>
        </is>
      </c>
      <c r="C585" t="n">
        <v>20</v>
      </c>
      <c r="D585" t="n">
        <v>20.05</v>
      </c>
      <c r="E585" s="504" t="n">
        <v>0.4</v>
      </c>
      <c r="F585" s="505" t="n">
        <v>2.04</v>
      </c>
      <c r="G585" t="inlineStr">
        <is>
          <t>9563萬</t>
        </is>
      </c>
      <c r="H585" t="n">
        <v>4764</v>
      </c>
      <c r="I585" t="n">
        <v>1723</v>
      </c>
      <c r="J585" t="n">
        <v>110.83</v>
      </c>
      <c r="K585" t="n">
        <v>20.35</v>
      </c>
      <c r="L585" t="n">
        <v>19.7</v>
      </c>
      <c r="M585" s="175" t="n">
        <v>0.43</v>
      </c>
      <c r="N585" t="inlineStr">
        <is>
          <t>台灣最大工業用紙生產商</t>
        </is>
      </c>
    </row>
    <row r="586">
      <c r="A586" t="n">
        <v>1905</v>
      </c>
      <c r="B586" t="inlineStr">
        <is>
          <t>華紙</t>
        </is>
      </c>
      <c r="C586" t="n">
        <v>12.15</v>
      </c>
      <c r="D586" t="n">
        <v>12.25</v>
      </c>
      <c r="E586" s="504" t="n">
        <v>0.1</v>
      </c>
      <c r="F586" s="505" t="n">
        <v>0.82</v>
      </c>
      <c r="G586" t="inlineStr">
        <is>
          <t>4017萬</t>
        </is>
      </c>
      <c r="H586" t="n">
        <v>3335</v>
      </c>
      <c r="I586" t="n">
        <v>3836</v>
      </c>
      <c r="J586" t="n">
        <v>110.28</v>
      </c>
      <c r="K586" t="n">
        <v>12.25</v>
      </c>
      <c r="L586" t="n">
        <v>12</v>
      </c>
      <c r="M586" s="175" t="n">
        <v>0.3</v>
      </c>
      <c r="N586" t="inlineStr">
        <is>
          <t>紙漿及文化用紙一貫廠，亦為永豐餘子公司</t>
        </is>
      </c>
    </row>
    <row r="587">
      <c r="A587" t="n">
        <v>1906</v>
      </c>
      <c r="B587" t="inlineStr">
        <is>
          <t>寶隆</t>
        </is>
      </c>
      <c r="C587" t="n">
        <v>10.3</v>
      </c>
      <c r="D587" t="n">
        <v>10.45</v>
      </c>
      <c r="E587" s="504" t="n">
        <v>0.15</v>
      </c>
      <c r="F587" s="505" t="n">
        <v>1.46</v>
      </c>
      <c r="G587" t="inlineStr">
        <is>
          <t>73.2萬</t>
        </is>
      </c>
      <c r="H587" t="n">
        <v>72</v>
      </c>
      <c r="I587" t="n">
        <v>169</v>
      </c>
      <c r="J587" t="n">
        <v>15.1</v>
      </c>
      <c r="K587" t="n">
        <v>10.45</v>
      </c>
      <c r="L587" t="n">
        <v>10.25</v>
      </c>
      <c r="M587" s="175" t="n">
        <v>0.05</v>
      </c>
      <c r="N587" t="inlineStr">
        <is>
          <t>榮成轉投資之工業用紙代銷商</t>
        </is>
      </c>
    </row>
    <row r="588">
      <c r="A588" t="n">
        <v>1907</v>
      </c>
      <c r="B588" t="inlineStr">
        <is>
          <t>永豐餘</t>
        </is>
      </c>
      <c r="C588" t="n">
        <v>24.3</v>
      </c>
      <c r="D588" t="n">
        <v>24.35</v>
      </c>
      <c r="E588" s="504" t="n">
        <v>-0.1</v>
      </c>
      <c r="F588" s="505" t="n">
        <v>-0.41</v>
      </c>
      <c r="G588" t="inlineStr">
        <is>
          <t>4431萬</t>
        </is>
      </c>
      <c r="H588" t="n">
        <v>1814</v>
      </c>
      <c r="I588" t="n">
        <v>1417</v>
      </c>
      <c r="J588" t="n">
        <v>166.04</v>
      </c>
      <c r="K588" t="n">
        <v>24.55</v>
      </c>
      <c r="L588" t="n">
        <v>24.2</v>
      </c>
      <c r="M588" s="175" t="n">
        <v>0.11</v>
      </c>
      <c r="N588" t="inlineStr">
        <is>
          <t>台灣第一大造紙集團</t>
        </is>
      </c>
    </row>
    <row r="589">
      <c r="A589" t="n">
        <v>1909</v>
      </c>
      <c r="B589" t="inlineStr">
        <is>
          <t>榮成</t>
        </is>
      </c>
      <c r="C589" t="n">
        <v>9</v>
      </c>
      <c r="D589" t="n">
        <v>9.08</v>
      </c>
      <c r="E589" s="504" t="n">
        <v>0.04</v>
      </c>
      <c r="F589" s="505" t="n">
        <v>0.44</v>
      </c>
      <c r="G589" t="inlineStr">
        <is>
          <t>2145萬</t>
        </is>
      </c>
      <c r="H589" t="n">
        <v>2386</v>
      </c>
      <c r="I589" t="n">
        <v>3530</v>
      </c>
      <c r="J589" t="n">
        <v>132.77</v>
      </c>
      <c r="K589" t="n">
        <v>9.09</v>
      </c>
      <c r="L589" t="n">
        <v>8.970000000000001</v>
      </c>
      <c r="M589" s="175" t="n">
        <v>0.18</v>
      </c>
      <c r="N589" t="inlineStr">
        <is>
          <t>國內前三大工業用紙生產商</t>
        </is>
      </c>
    </row>
    <row r="590">
      <c r="A590" t="n">
        <v>2002</v>
      </c>
      <c r="B590" t="inlineStr">
        <is>
          <t>中鋼</t>
        </is>
      </c>
      <c r="C590" t="n">
        <v>19.1</v>
      </c>
      <c r="D590" t="n">
        <v>18.95</v>
      </c>
      <c r="E590" s="504" t="n">
        <v>-0.15</v>
      </c>
      <c r="F590" s="505" t="n">
        <v>-0.79</v>
      </c>
      <c r="G590" t="inlineStr">
        <is>
          <t>13.2億</t>
        </is>
      </c>
      <c r="H590" t="n">
        <v>70335</v>
      </c>
      <c r="I590" t="n">
        <v>122093</v>
      </c>
      <c r="J590" t="n">
        <v>1573.49</v>
      </c>
      <c r="K590" t="n">
        <v>19.1</v>
      </c>
      <c r="L590" t="n">
        <v>18.8</v>
      </c>
      <c r="M590" s="175" t="n">
        <v>0.45</v>
      </c>
      <c r="N590" t="inlineStr">
        <is>
          <t>台灣最大設有高爐的一貫作業鋼廠</t>
        </is>
      </c>
    </row>
    <row r="591">
      <c r="A591" t="n">
        <v>2006</v>
      </c>
      <c r="B591" t="inlineStr">
        <is>
          <t>東和鋼鐵</t>
        </is>
      </c>
      <c r="C591" t="n">
        <v>67.5</v>
      </c>
      <c r="D591" t="n">
        <v>66.5</v>
      </c>
      <c r="E591" s="504" t="n">
        <v>-1.1</v>
      </c>
      <c r="F591" s="505" t="n">
        <v>-1.63</v>
      </c>
      <c r="G591" t="inlineStr">
        <is>
          <t>2.11億</t>
        </is>
      </c>
      <c r="H591" t="n">
        <v>3165</v>
      </c>
      <c r="I591" t="n">
        <v>3068</v>
      </c>
      <c r="J591" t="n">
        <v>73.02</v>
      </c>
      <c r="K591" t="n">
        <v>67.59999999999999</v>
      </c>
      <c r="L591" t="n">
        <v>65.8</v>
      </c>
      <c r="M591" s="175" t="n">
        <v>0.43</v>
      </c>
      <c r="N591" t="inlineStr">
        <is>
          <t>台灣最大型鋼廠及三大鋼筋廠之一</t>
        </is>
      </c>
    </row>
    <row r="592">
      <c r="A592" t="n">
        <v>2007</v>
      </c>
      <c r="B592" t="inlineStr">
        <is>
          <t>燁興</t>
        </is>
      </c>
      <c r="C592" t="n">
        <v>7.74</v>
      </c>
      <c r="D592" t="n">
        <v>7.6</v>
      </c>
      <c r="E592" s="504" t="n">
        <v>-0.04</v>
      </c>
      <c r="F592" s="505" t="n">
        <v>-0.52</v>
      </c>
      <c r="G592" t="inlineStr">
        <is>
          <t>346萬</t>
        </is>
      </c>
      <c r="H592" t="n">
        <v>457</v>
      </c>
      <c r="I592" t="n">
        <v>790</v>
      </c>
      <c r="J592" t="n">
        <v>53.07</v>
      </c>
      <c r="K592" t="n">
        <v>7.74</v>
      </c>
      <c r="L592" t="n">
        <v>7.52</v>
      </c>
      <c r="M592" s="175" t="n">
        <v>0.09</v>
      </c>
      <c r="N592" t="inlineStr">
        <is>
          <t>台灣不鏽鋼線材盤元大廠之一</t>
        </is>
      </c>
    </row>
    <row r="593">
      <c r="A593" t="n">
        <v>2008</v>
      </c>
      <c r="B593" t="inlineStr">
        <is>
          <t>高興昌</t>
        </is>
      </c>
      <c r="C593" t="n">
        <v>29</v>
      </c>
      <c r="D593" t="n">
        <v>29.2</v>
      </c>
      <c r="E593" s="504" t="n">
        <v>0.2</v>
      </c>
      <c r="F593" s="505" t="n">
        <v>0.6899999999999999</v>
      </c>
      <c r="G593" t="inlineStr">
        <is>
          <t>209萬</t>
        </is>
      </c>
      <c r="H593" t="n">
        <v>72</v>
      </c>
      <c r="I593" t="n">
        <v>29</v>
      </c>
      <c r="J593" t="n">
        <v>19.09</v>
      </c>
      <c r="K593" t="n">
        <v>29.2</v>
      </c>
      <c r="L593" t="n">
        <v>28.75</v>
      </c>
      <c r="M593" s="175" t="n">
        <v>0.04</v>
      </c>
      <c r="N593" t="inlineStr">
        <is>
          <t>台灣製管專業製造廠商</t>
        </is>
      </c>
    </row>
    <row r="594">
      <c r="A594" t="n">
        <v>2009</v>
      </c>
      <c r="B594" t="inlineStr">
        <is>
          <t>第一銅</t>
        </is>
      </c>
      <c r="C594" t="n">
        <v>40.9</v>
      </c>
      <c r="D594" t="n">
        <v>41.1</v>
      </c>
      <c r="E594" s="504" t="n">
        <v>1.05</v>
      </c>
      <c r="F594" s="505" t="n">
        <v>2.62</v>
      </c>
      <c r="G594" t="inlineStr">
        <is>
          <t>1.88億</t>
        </is>
      </c>
      <c r="H594" t="n">
        <v>4605</v>
      </c>
      <c r="I594" t="n">
        <v>2055</v>
      </c>
      <c r="J594" t="n">
        <v>35.96</v>
      </c>
      <c r="K594" t="n">
        <v>41.9</v>
      </c>
      <c r="L594" t="n">
        <v>39.6</v>
      </c>
      <c r="M594" s="175" t="n">
        <v>1.28</v>
      </c>
      <c r="N594" t="inlineStr">
        <is>
          <t>台灣銅產品線最完整的企業</t>
        </is>
      </c>
    </row>
    <row r="595">
      <c r="A595" t="n">
        <v>2010</v>
      </c>
      <c r="B595" t="inlineStr">
        <is>
          <t>春源</t>
        </is>
      </c>
      <c r="C595" t="n">
        <v>23.75</v>
      </c>
      <c r="D595" t="n">
        <v>23.55</v>
      </c>
      <c r="E595" s="504" t="n">
        <v>-0.2</v>
      </c>
      <c r="F595" s="505" t="n">
        <v>-0.84</v>
      </c>
      <c r="G595" t="inlineStr">
        <is>
          <t>4369萬</t>
        </is>
      </c>
      <c r="H595" t="n">
        <v>1857</v>
      </c>
      <c r="I595" t="n">
        <v>1914</v>
      </c>
      <c r="J595" t="n">
        <v>64.77</v>
      </c>
      <c r="K595" t="n">
        <v>23.75</v>
      </c>
      <c r="L595" t="n">
        <v>23.4</v>
      </c>
      <c r="M595" s="175" t="n">
        <v>0.29</v>
      </c>
      <c r="N595" t="inlineStr">
        <is>
          <t>台灣最具規模鋼鐵裁剪及通路業者</t>
        </is>
      </c>
    </row>
    <row r="596">
      <c r="A596" t="n">
        <v>2012</v>
      </c>
      <c r="B596" t="inlineStr">
        <is>
          <t>春雨</t>
        </is>
      </c>
      <c r="C596" t="n">
        <v>14.5</v>
      </c>
      <c r="D596" t="n">
        <v>14.5</v>
      </c>
      <c r="E596" s="504" t="n">
        <v>0</v>
      </c>
      <c r="F596" s="505" t="n">
        <v>0</v>
      </c>
      <c r="G596" t="inlineStr">
        <is>
          <t>109萬</t>
        </is>
      </c>
      <c r="H596" t="n">
        <v>75</v>
      </c>
      <c r="I596" t="n">
        <v>95</v>
      </c>
      <c r="J596" t="n">
        <v>30.22</v>
      </c>
      <c r="K596" t="n">
        <v>14.55</v>
      </c>
      <c r="L596" t="n">
        <v>14.4</v>
      </c>
      <c r="M596" s="175" t="n">
        <v>0.02</v>
      </c>
      <c r="N596" t="inlineStr">
        <is>
          <t>主要外銷歐美及東南亞的線材螺絲廠</t>
        </is>
      </c>
    </row>
    <row r="597">
      <c r="A597" t="n">
        <v>2013</v>
      </c>
      <c r="B597" t="inlineStr">
        <is>
          <t>中鋼構</t>
        </is>
      </c>
      <c r="C597" t="n">
        <v>42.7</v>
      </c>
      <c r="D597" t="n">
        <v>42.6</v>
      </c>
      <c r="E597" s="504" t="n">
        <v>0.05</v>
      </c>
      <c r="F597" s="505" t="n">
        <v>0.12</v>
      </c>
      <c r="G597" t="inlineStr">
        <is>
          <t>706萬</t>
        </is>
      </c>
      <c r="H597" t="n">
        <v>166</v>
      </c>
      <c r="I597" t="n">
        <v>127</v>
      </c>
      <c r="J597" t="n">
        <v>20</v>
      </c>
      <c r="K597" t="n">
        <v>42.7</v>
      </c>
      <c r="L597" t="n">
        <v>42.35</v>
      </c>
      <c r="M597" s="175" t="n">
        <v>0.08</v>
      </c>
      <c r="N597" t="inlineStr">
        <is>
          <t>台灣鋼結構大廠</t>
        </is>
      </c>
    </row>
    <row r="598">
      <c r="A598" t="n">
        <v>2014</v>
      </c>
      <c r="B598" t="inlineStr">
        <is>
          <t>中鴻</t>
        </is>
      </c>
      <c r="C598" t="n">
        <v>18.5</v>
      </c>
      <c r="D598" t="n">
        <v>18.2</v>
      </c>
      <c r="E598" s="504" t="n">
        <v>-0.3</v>
      </c>
      <c r="F598" s="505" t="n">
        <v>-1.62</v>
      </c>
      <c r="G598" t="inlineStr">
        <is>
          <t>1.57億</t>
        </is>
      </c>
      <c r="H598" t="n">
        <v>8681</v>
      </c>
      <c r="I598" t="n">
        <v>13325</v>
      </c>
      <c r="J598" t="n">
        <v>143.55</v>
      </c>
      <c r="K598" t="n">
        <v>18.5</v>
      </c>
      <c r="L598" t="n">
        <v>17.9</v>
      </c>
      <c r="M598" s="175" t="n">
        <v>0.6</v>
      </c>
      <c r="N598" t="inlineStr">
        <is>
          <t>中鋼集團旗下，熱軋產品大廠</t>
        </is>
      </c>
    </row>
    <row r="599">
      <c r="A599" t="n">
        <v>2015</v>
      </c>
      <c r="B599" t="inlineStr">
        <is>
          <t>豐興</t>
        </is>
      </c>
      <c r="C599" t="n">
        <v>62.5</v>
      </c>
      <c r="D599" t="n">
        <v>63</v>
      </c>
      <c r="E599" s="504" t="n">
        <v>0.1</v>
      </c>
      <c r="F599" s="505" t="n">
        <v>0.16</v>
      </c>
      <c r="G599" t="inlineStr">
        <is>
          <t>1149萬</t>
        </is>
      </c>
      <c r="H599" t="n">
        <v>183</v>
      </c>
      <c r="I599" t="n">
        <v>461</v>
      </c>
      <c r="J599" t="n">
        <v>58.16</v>
      </c>
      <c r="K599" t="n">
        <v>63.2</v>
      </c>
      <c r="L599" t="n">
        <v>62.5</v>
      </c>
      <c r="M599" s="175" t="n">
        <v>0.03</v>
      </c>
      <c r="N599" t="inlineStr">
        <is>
          <t>台灣三大鋼筋廠之一</t>
        </is>
      </c>
    </row>
    <row r="600">
      <c r="A600" t="n">
        <v>2017</v>
      </c>
      <c r="B600" t="inlineStr">
        <is>
          <t>官田鋼</t>
        </is>
      </c>
      <c r="C600" t="n">
        <v>9.039999999999999</v>
      </c>
      <c r="D600" t="n">
        <v>9.050000000000001</v>
      </c>
      <c r="E600" s="504" t="n">
        <v>0.01</v>
      </c>
      <c r="F600" s="505" t="n">
        <v>0.11</v>
      </c>
      <c r="G600" t="inlineStr">
        <is>
          <t>931萬</t>
        </is>
      </c>
      <c r="H600" t="n">
        <v>1038</v>
      </c>
      <c r="I600" t="n">
        <v>1129</v>
      </c>
      <c r="J600" t="n">
        <v>44.69</v>
      </c>
      <c r="K600" t="n">
        <v>9.06</v>
      </c>
      <c r="L600" t="n">
        <v>8.85</v>
      </c>
      <c r="M600" s="175" t="n">
        <v>0.23</v>
      </c>
      <c r="N600" t="inlineStr">
        <is>
          <t>台灣盤元及鐵絲大廠</t>
        </is>
      </c>
    </row>
    <row r="601">
      <c r="A601" t="n">
        <v>2020</v>
      </c>
      <c r="B601" t="inlineStr">
        <is>
          <t>美亞</t>
        </is>
      </c>
      <c r="C601" t="n">
        <v>21.3</v>
      </c>
      <c r="D601" t="n">
        <v>21.2</v>
      </c>
      <c r="E601" s="504" t="n">
        <v>-0.05</v>
      </c>
      <c r="F601" s="505" t="n">
        <v>-0.24</v>
      </c>
      <c r="G601" t="inlineStr">
        <is>
          <t>866萬</t>
        </is>
      </c>
      <c r="H601" t="n">
        <v>411</v>
      </c>
      <c r="I601" t="n">
        <v>685</v>
      </c>
      <c r="J601" t="n">
        <v>26.7</v>
      </c>
      <c r="K601" t="n">
        <v>21.3</v>
      </c>
      <c r="L601" t="n">
        <v>20.9</v>
      </c>
      <c r="M601" s="175" t="n">
        <v>0.15</v>
      </c>
      <c r="N601" t="inlineStr">
        <is>
          <t>台灣第一家鋼管專業製造廠</t>
        </is>
      </c>
    </row>
    <row r="602">
      <c r="A602" t="n">
        <v>2022</v>
      </c>
      <c r="B602" t="inlineStr">
        <is>
          <t>聚亨</t>
        </is>
      </c>
      <c r="C602" t="n">
        <v>7.89</v>
      </c>
      <c r="D602" t="n">
        <v>7.74</v>
      </c>
      <c r="E602" s="504" t="n">
        <v>-0.1</v>
      </c>
      <c r="F602" s="505" t="n">
        <v>-1.28</v>
      </c>
      <c r="G602" t="inlineStr">
        <is>
          <t>968萬</t>
        </is>
      </c>
      <c r="H602" t="n">
        <v>1255</v>
      </c>
      <c r="I602" t="n">
        <v>1366</v>
      </c>
      <c r="J602" t="n">
        <v>33.72</v>
      </c>
      <c r="K602" t="n">
        <v>7.89</v>
      </c>
      <c r="L602" t="n">
        <v>7.64</v>
      </c>
      <c r="M602" s="175" t="n">
        <v>0.37</v>
      </c>
      <c r="N602" t="inlineStr">
        <is>
          <t>以泰國為生產基地的線材盤元大廠</t>
        </is>
      </c>
    </row>
    <row r="603">
      <c r="A603" t="n">
        <v>2023</v>
      </c>
      <c r="B603" t="inlineStr">
        <is>
          <t>燁輝</t>
        </is>
      </c>
      <c r="C603" t="n">
        <v>13.9</v>
      </c>
      <c r="D603" t="n">
        <v>13.7</v>
      </c>
      <c r="E603" s="504" t="n">
        <v>-0.25</v>
      </c>
      <c r="F603" s="505" t="n">
        <v>-1.79</v>
      </c>
      <c r="G603" t="inlineStr">
        <is>
          <t>1979萬</t>
        </is>
      </c>
      <c r="H603" t="n">
        <v>1440</v>
      </c>
      <c r="I603" t="n">
        <v>2791</v>
      </c>
      <c r="J603" t="n">
        <v>184.12</v>
      </c>
      <c r="K603" t="n">
        <v>13.9</v>
      </c>
      <c r="L603" t="n">
        <v>13.7</v>
      </c>
      <c r="M603" s="175" t="n">
        <v>0.08</v>
      </c>
      <c r="N603" t="inlineStr">
        <is>
          <t>全球最大鍍面鋼廠</t>
        </is>
      </c>
    </row>
    <row r="604">
      <c r="A604" t="n">
        <v>2024</v>
      </c>
      <c r="B604" t="inlineStr">
        <is>
          <t>志聯</t>
        </is>
      </c>
      <c r="C604" t="n">
        <v>14.1</v>
      </c>
      <c r="D604" t="n">
        <v>14.35</v>
      </c>
      <c r="E604" s="504" t="n">
        <v>0.25</v>
      </c>
      <c r="F604" s="505" t="n">
        <v>1.77</v>
      </c>
      <c r="G604" t="inlineStr">
        <is>
          <t>21.2萬</t>
        </is>
      </c>
      <c r="H604" t="n">
        <v>15</v>
      </c>
      <c r="I604" t="n">
        <v>26</v>
      </c>
      <c r="J604" t="n">
        <v>9.75</v>
      </c>
      <c r="K604" t="n">
        <v>14.35</v>
      </c>
      <c r="L604" t="n">
        <v>14.1</v>
      </c>
      <c r="M604" s="175" t="n">
        <v>0.02</v>
      </c>
      <c r="N604" t="inlineStr">
        <is>
          <t>主要從事鋼棒及鋼線生產之廠商</t>
        </is>
      </c>
    </row>
    <row r="605">
      <c r="A605" t="n">
        <v>2025</v>
      </c>
      <c r="B605" t="inlineStr">
        <is>
          <t>千興</t>
        </is>
      </c>
      <c r="C605" t="n">
        <v>12</v>
      </c>
      <c r="D605" t="n">
        <v>12.1</v>
      </c>
      <c r="E605" s="504" t="n">
        <v>0.2</v>
      </c>
      <c r="F605" s="505" t="n">
        <v>1.68</v>
      </c>
      <c r="G605" t="inlineStr">
        <is>
          <t>272萬</t>
        </is>
      </c>
      <c r="H605" t="n">
        <v>227</v>
      </c>
      <c r="I605" t="n">
        <v>341</v>
      </c>
      <c r="J605" t="n">
        <v>17.27</v>
      </c>
      <c r="K605" t="n">
        <v>12.1</v>
      </c>
      <c r="L605" t="n">
        <v>11.9</v>
      </c>
      <c r="M605" s="175" t="n">
        <v>0.13</v>
      </c>
      <c r="N605" t="inlineStr">
        <is>
          <t>台灣不鏽鋼板冷軋廠</t>
        </is>
      </c>
    </row>
    <row r="606">
      <c r="A606" t="n">
        <v>2027</v>
      </c>
      <c r="B606" t="inlineStr">
        <is>
          <t>大成鋼</t>
        </is>
      </c>
      <c r="C606" t="n">
        <v>43.6</v>
      </c>
      <c r="D606" t="n">
        <v>43.65</v>
      </c>
      <c r="E606" s="504" t="n">
        <v>0.45</v>
      </c>
      <c r="F606" s="505" t="n">
        <v>1.04</v>
      </c>
      <c r="G606" t="inlineStr">
        <is>
          <t>14.4億</t>
        </is>
      </c>
      <c r="H606" t="n">
        <v>33676</v>
      </c>
      <c r="I606" t="n">
        <v>25743</v>
      </c>
      <c r="J606" t="n">
        <v>258.43</v>
      </c>
      <c r="K606" t="n">
        <v>43.65</v>
      </c>
      <c r="L606" t="n">
        <v>42.05</v>
      </c>
      <c r="M606" s="175" t="n">
        <v>1.3</v>
      </c>
      <c r="N606" t="inlineStr">
        <is>
          <t>美國最大不鏽鋼產品通路商及最大鋁捲板廠</t>
        </is>
      </c>
    </row>
    <row r="607">
      <c r="A607" t="n">
        <v>2028</v>
      </c>
      <c r="B607" t="inlineStr">
        <is>
          <t>威致</t>
        </is>
      </c>
      <c r="C607" t="n">
        <v>17.1</v>
      </c>
      <c r="D607" t="n">
        <v>16.9</v>
      </c>
      <c r="E607" s="504" t="n">
        <v>-0.2</v>
      </c>
      <c r="F607" s="505" t="n">
        <v>-1.17</v>
      </c>
      <c r="G607" t="inlineStr">
        <is>
          <t>236萬</t>
        </is>
      </c>
      <c r="H607" t="n">
        <v>140</v>
      </c>
      <c r="I607" t="n">
        <v>233</v>
      </c>
      <c r="J607" t="n">
        <v>32.57</v>
      </c>
      <c r="K607" t="n">
        <v>17.1</v>
      </c>
      <c r="L607" t="n">
        <v>16.7</v>
      </c>
      <c r="M607" s="175" t="n">
        <v>0.04</v>
      </c>
      <c r="N607" t="inlineStr">
        <is>
          <t>台灣三大電爐廠之一，主要銷售鋼筋及鋼胚</t>
        </is>
      </c>
    </row>
    <row r="608">
      <c r="A608" t="n">
        <v>2029</v>
      </c>
      <c r="B608" t="inlineStr">
        <is>
          <t>盛餘</t>
        </is>
      </c>
      <c r="C608" t="n">
        <v>20.45</v>
      </c>
      <c r="D608" t="n">
        <v>20.5</v>
      </c>
      <c r="E608" s="504" t="n">
        <v>0</v>
      </c>
      <c r="F608" s="505" t="n">
        <v>0</v>
      </c>
      <c r="G608" t="inlineStr">
        <is>
          <t>597萬</t>
        </is>
      </c>
      <c r="H608" t="n">
        <v>293</v>
      </c>
      <c r="I608" t="n">
        <v>431</v>
      </c>
      <c r="J608" t="n">
        <v>32.12</v>
      </c>
      <c r="K608" t="n">
        <v>20.5</v>
      </c>
      <c r="L608" t="n">
        <v>20.25</v>
      </c>
      <c r="M608" s="175" t="n">
        <v>0.09</v>
      </c>
      <c r="N608" t="inlineStr">
        <is>
          <t>台灣鍍面一貫化處理鋼捲製造商</t>
        </is>
      </c>
    </row>
    <row r="609">
      <c r="A609" t="n">
        <v>2030</v>
      </c>
      <c r="B609" t="inlineStr">
        <is>
          <t>彰源</t>
        </is>
      </c>
      <c r="C609" t="n">
        <v>18.45</v>
      </c>
      <c r="D609" t="n">
        <v>18.25</v>
      </c>
      <c r="E609" s="504" t="n">
        <v>-0.05</v>
      </c>
      <c r="F609" s="505" t="n">
        <v>-0.27</v>
      </c>
      <c r="G609" t="inlineStr">
        <is>
          <t>2461萬</t>
        </is>
      </c>
      <c r="H609" t="n">
        <v>1355</v>
      </c>
      <c r="I609" t="n">
        <v>1580</v>
      </c>
      <c r="J609" t="n">
        <v>28.05</v>
      </c>
      <c r="K609" t="n">
        <v>18.45</v>
      </c>
      <c r="L609" t="n">
        <v>18</v>
      </c>
      <c r="M609" s="175" t="n">
        <v>0.48</v>
      </c>
      <c r="N609" t="inlineStr">
        <is>
          <t>台灣不鏽鋼管、不鏽鋼板製造大廠</t>
        </is>
      </c>
    </row>
    <row r="610">
      <c r="A610" t="n">
        <v>2031</v>
      </c>
      <c r="B610" t="inlineStr">
        <is>
          <t>新光鋼</t>
        </is>
      </c>
      <c r="C610" t="n">
        <v>39.6</v>
      </c>
      <c r="D610" t="n">
        <v>39.65</v>
      </c>
      <c r="E610" s="504" t="n">
        <v>-0.15</v>
      </c>
      <c r="F610" s="505" t="n">
        <v>-0.38</v>
      </c>
      <c r="G610" t="inlineStr">
        <is>
          <t>3649萬</t>
        </is>
      </c>
      <c r="H610" t="n">
        <v>922</v>
      </c>
      <c r="I610" t="n">
        <v>1201</v>
      </c>
      <c r="J610" t="n">
        <v>32.11</v>
      </c>
      <c r="K610" t="n">
        <v>39.8</v>
      </c>
      <c r="L610" t="n">
        <v>39.3</v>
      </c>
      <c r="M610" s="175" t="n">
        <v>0.29</v>
      </c>
      <c r="N610" t="inlineStr">
        <is>
          <t>台灣鋼剪裁大廠，以內銷為主</t>
        </is>
      </c>
    </row>
    <row r="611">
      <c r="A611" t="n">
        <v>2032</v>
      </c>
      <c r="B611" t="inlineStr">
        <is>
          <t>新鋼</t>
        </is>
      </c>
      <c r="C611" t="n">
        <v>18.45</v>
      </c>
      <c r="D611" t="n">
        <v>18</v>
      </c>
      <c r="E611" s="504" t="n">
        <v>-0.2</v>
      </c>
      <c r="F611" s="505" t="n">
        <v>-1.1</v>
      </c>
      <c r="G611" t="inlineStr">
        <is>
          <t>1725萬</t>
        </is>
      </c>
      <c r="H611" t="n">
        <v>969</v>
      </c>
      <c r="I611" t="n">
        <v>2259</v>
      </c>
      <c r="J611" t="n">
        <v>13.05</v>
      </c>
      <c r="K611" t="n">
        <v>18.45</v>
      </c>
      <c r="L611" t="n">
        <v>17.6</v>
      </c>
      <c r="M611" s="175" t="n">
        <v>0.74</v>
      </c>
      <c r="N611" t="inlineStr">
        <is>
          <t>以內銷為主的不鏽鋼裁剪加工廠</t>
        </is>
      </c>
    </row>
    <row r="612">
      <c r="A612" t="n">
        <v>2033</v>
      </c>
      <c r="B612" t="inlineStr">
        <is>
          <t>佳大</t>
        </is>
      </c>
      <c r="C612" t="n">
        <v>15.3</v>
      </c>
      <c r="D612" t="n">
        <v>15.2</v>
      </c>
      <c r="E612" s="504" t="n">
        <v>-0.15</v>
      </c>
      <c r="F612" s="505" t="n">
        <v>-0.98</v>
      </c>
      <c r="G612" t="inlineStr">
        <is>
          <t>247萬</t>
        </is>
      </c>
      <c r="H612" t="n">
        <v>164</v>
      </c>
      <c r="I612" t="n">
        <v>146</v>
      </c>
      <c r="J612" t="n">
        <v>8.07</v>
      </c>
      <c r="K612" t="n">
        <v>15.3</v>
      </c>
      <c r="L612" t="n">
        <v>15.1</v>
      </c>
      <c r="M612" s="175" t="n">
        <v>0.2</v>
      </c>
      <c r="N612" t="inlineStr">
        <is>
          <t>致力於鋼線鋼纜產品業務</t>
        </is>
      </c>
    </row>
    <row r="613">
      <c r="A613" t="n">
        <v>2034</v>
      </c>
      <c r="B613" t="inlineStr">
        <is>
          <t>允強</t>
        </is>
      </c>
      <c r="C613" t="n">
        <v>20.2</v>
      </c>
      <c r="D613" t="n">
        <v>20.1</v>
      </c>
      <c r="E613" s="504" t="n">
        <v>-0.1</v>
      </c>
      <c r="F613" s="505" t="n">
        <v>-0.5</v>
      </c>
      <c r="G613" t="inlineStr">
        <is>
          <t>3707萬</t>
        </is>
      </c>
      <c r="H613" t="n">
        <v>1853</v>
      </c>
      <c r="I613" t="n">
        <v>1862</v>
      </c>
      <c r="J613" t="n">
        <v>52.9</v>
      </c>
      <c r="K613" t="n">
        <v>20.25</v>
      </c>
      <c r="L613" t="n">
        <v>19.95</v>
      </c>
      <c r="M613" s="175" t="n">
        <v>0.35</v>
      </c>
      <c r="N613" t="inlineStr">
        <is>
          <t>全球前五大不鏽鋼管製造商及不鏽鋼加工廠</t>
        </is>
      </c>
    </row>
    <row r="614">
      <c r="A614" t="n">
        <v>2035</v>
      </c>
      <c r="B614" t="inlineStr">
        <is>
          <t>唐榮</t>
        </is>
      </c>
      <c r="C614" t="n">
        <v>27.65</v>
      </c>
      <c r="D614" t="n">
        <v>28</v>
      </c>
      <c r="E614" s="504" t="n">
        <v>0</v>
      </c>
      <c r="F614" s="505" t="n">
        <v>0</v>
      </c>
      <c r="G614" t="inlineStr">
        <is>
          <t>63.7萬</t>
        </is>
      </c>
      <c r="H614" t="n">
        <v>23</v>
      </c>
      <c r="I614" t="n">
        <v>5</v>
      </c>
      <c r="J614" t="n">
        <v>35</v>
      </c>
      <c r="K614" t="n">
        <v>28</v>
      </c>
      <c r="L614" t="n">
        <v>27.65</v>
      </c>
      <c r="M614" s="175" t="n">
        <v>0.01</v>
      </c>
      <c r="N614" t="inlineStr">
        <is>
          <t>台灣知名不鏽鋼大廠</t>
        </is>
      </c>
    </row>
    <row r="615">
      <c r="A615" t="n">
        <v>2038</v>
      </c>
      <c r="B615" t="inlineStr">
        <is>
          <t>海光</t>
        </is>
      </c>
      <c r="C615" t="n">
        <v>14</v>
      </c>
      <c r="D615" t="n">
        <v>13.85</v>
      </c>
      <c r="E615" s="504" t="n">
        <v>-0.1</v>
      </c>
      <c r="F615" s="505" t="n">
        <v>-0.72</v>
      </c>
      <c r="G615" t="inlineStr">
        <is>
          <t>760萬</t>
        </is>
      </c>
      <c r="H615" t="n">
        <v>551</v>
      </c>
      <c r="I615" t="n">
        <v>1445</v>
      </c>
      <c r="J615" t="n">
        <v>19.41</v>
      </c>
      <c r="K615" t="n">
        <v>14.05</v>
      </c>
      <c r="L615" t="n">
        <v>13.65</v>
      </c>
      <c r="M615" s="175" t="n">
        <v>0.28</v>
      </c>
      <c r="N615" t="inlineStr">
        <is>
          <t>台灣鋼筋大廠之一</t>
        </is>
      </c>
    </row>
    <row r="616">
      <c r="A616" t="n">
        <v>2049</v>
      </c>
      <c r="B616" t="inlineStr">
        <is>
          <t>上銀</t>
        </is>
      </c>
      <c r="C616" t="n">
        <v>391</v>
      </c>
      <c r="D616" t="n">
        <v>364</v>
      </c>
      <c r="E616" s="504" t="n">
        <v>-23.5</v>
      </c>
      <c r="F616" s="505" t="n">
        <v>-6.06</v>
      </c>
      <c r="G616" t="inlineStr">
        <is>
          <t>35.8億</t>
        </is>
      </c>
      <c r="H616" t="n">
        <v>9787</v>
      </c>
      <c r="I616" t="n">
        <v>8203</v>
      </c>
      <c r="J616" t="n">
        <v>35.38</v>
      </c>
      <c r="K616" t="n">
        <v>393.5</v>
      </c>
      <c r="L616" t="n">
        <v>354</v>
      </c>
      <c r="M616" s="175" t="n">
        <v>2.77</v>
      </c>
      <c r="N616" t="inlineStr">
        <is>
          <t>全球前三大滾珠螺桿廠商</t>
        </is>
      </c>
    </row>
    <row r="617">
      <c r="A617" t="n">
        <v>2059</v>
      </c>
      <c r="B617" t="inlineStr">
        <is>
          <t>川湖</t>
        </is>
      </c>
      <c r="C617" t="n">
        <v>5130</v>
      </c>
      <c r="D617" t="n">
        <v>5075</v>
      </c>
      <c r="E617" s="504" t="n">
        <v>-140</v>
      </c>
      <c r="F617" s="505" t="n">
        <v>-2.68</v>
      </c>
      <c r="G617" t="inlineStr">
        <is>
          <t>16.9億</t>
        </is>
      </c>
      <c r="H617" t="n">
        <v>332</v>
      </c>
      <c r="I617" t="n">
        <v>605</v>
      </c>
      <c r="J617" t="n">
        <v>9.529999999999999</v>
      </c>
      <c r="K617" t="n">
        <v>5205</v>
      </c>
      <c r="L617" t="n">
        <v>4985</v>
      </c>
      <c r="M617" s="175" t="n">
        <v>0.35</v>
      </c>
      <c r="N617" t="inlineStr">
        <is>
          <t>全球知名伺服器導軌廠</t>
        </is>
      </c>
    </row>
    <row r="618">
      <c r="A618" t="n">
        <v>2061</v>
      </c>
      <c r="B618" t="inlineStr">
        <is>
          <t>風青</t>
        </is>
      </c>
      <c r="C618" t="n">
        <v>40.2</v>
      </c>
      <c r="D618" t="n">
        <v>38.65</v>
      </c>
      <c r="E618" s="504" t="n">
        <v>-1.25</v>
      </c>
      <c r="F618" s="505" t="n">
        <v>-3.13</v>
      </c>
      <c r="G618" t="inlineStr">
        <is>
          <t>4522萬</t>
        </is>
      </c>
      <c r="H618" t="n">
        <v>1122</v>
      </c>
      <c r="I618" t="n">
        <v>4005</v>
      </c>
      <c r="J618" t="n">
        <v>5.74</v>
      </c>
      <c r="K618" t="n">
        <v>42.9</v>
      </c>
      <c r="L618" t="n">
        <v>38.55</v>
      </c>
      <c r="M618" s="175" t="n">
        <v>1.96</v>
      </c>
      <c r="N618" t="inlineStr">
        <is>
          <t>台灣知名漆包線供應商</t>
        </is>
      </c>
    </row>
    <row r="619">
      <c r="A619" t="n">
        <v>2062</v>
      </c>
      <c r="B619" t="inlineStr">
        <is>
          <t>橋椿</t>
        </is>
      </c>
      <c r="C619" t="n">
        <v>18.85</v>
      </c>
      <c r="D619" t="n">
        <v>19</v>
      </c>
      <c r="E619" s="504" t="n">
        <v>0.15</v>
      </c>
      <c r="F619" s="505" t="n">
        <v>0.8</v>
      </c>
      <c r="G619" t="inlineStr">
        <is>
          <t>756萬</t>
        </is>
      </c>
      <c r="H619" t="n">
        <v>403</v>
      </c>
      <c r="I619" t="n">
        <v>518</v>
      </c>
      <c r="J619" t="n">
        <v>20</v>
      </c>
      <c r="K619" t="n">
        <v>19.1</v>
      </c>
      <c r="L619" t="n">
        <v>18.65</v>
      </c>
      <c r="M619" s="175" t="n">
        <v>0.2</v>
      </c>
      <c r="N619" t="inlineStr">
        <is>
          <t>全球最大鋅合金水龍頭零組件廠</t>
        </is>
      </c>
    </row>
    <row r="620">
      <c r="A620" t="n">
        <v>2063</v>
      </c>
      <c r="B620" t="inlineStr">
        <is>
          <t>世鎧</t>
        </is>
      </c>
      <c r="C620" t="n">
        <v>25.25</v>
      </c>
      <c r="D620" t="n">
        <v>25.7</v>
      </c>
      <c r="E620" s="504" t="n">
        <v>0.5</v>
      </c>
      <c r="F620" s="505" t="n">
        <v>1.98</v>
      </c>
      <c r="G620" t="inlineStr">
        <is>
          <t>70.5萬</t>
        </is>
      </c>
      <c r="H620" t="n">
        <v>28</v>
      </c>
      <c r="I620" t="n">
        <v>29</v>
      </c>
      <c r="J620" t="n">
        <v>4.81</v>
      </c>
      <c r="K620" t="n">
        <v>25.7</v>
      </c>
      <c r="L620" t="n">
        <v>24.95</v>
      </c>
      <c r="M620" s="175" t="n">
        <v>0.06</v>
      </c>
      <c r="N620" t="inlineStr">
        <is>
          <t>台灣螺絲及螺栓廠</t>
        </is>
      </c>
    </row>
    <row r="621">
      <c r="A621" t="n">
        <v>2064</v>
      </c>
      <c r="B621" t="inlineStr">
        <is>
          <t>晉椿</t>
        </is>
      </c>
      <c r="C621" t="n">
        <v>15.15</v>
      </c>
      <c r="D621" t="n">
        <v>14.8</v>
      </c>
      <c r="E621" s="504" t="n">
        <v>-0.35</v>
      </c>
      <c r="F621" s="505" t="n">
        <v>-2.31</v>
      </c>
      <c r="G621" t="inlineStr">
        <is>
          <t>46.6萬</t>
        </is>
      </c>
      <c r="H621" t="n">
        <v>31</v>
      </c>
      <c r="I621" t="n">
        <v>44</v>
      </c>
      <c r="J621" t="n">
        <v>6.93</v>
      </c>
      <c r="K621" t="n">
        <v>15.35</v>
      </c>
      <c r="L621" t="n">
        <v>14.75</v>
      </c>
      <c r="M621" s="175" t="n">
        <v>0.04</v>
      </c>
      <c r="N621" t="inlineStr">
        <is>
          <t>高階棒鋼龍頭大廠</t>
        </is>
      </c>
    </row>
    <row r="622">
      <c r="A622" t="n">
        <v>2065</v>
      </c>
      <c r="B622" t="inlineStr">
        <is>
          <t>世豐</t>
        </is>
      </c>
      <c r="C622" t="n">
        <v>36</v>
      </c>
      <c r="D622" t="n">
        <v>35.3</v>
      </c>
      <c r="E622" s="504" t="n">
        <v>-0.7</v>
      </c>
      <c r="F622" s="505" t="n">
        <v>-1.94</v>
      </c>
      <c r="G622" t="inlineStr">
        <is>
          <t>226萬</t>
        </is>
      </c>
      <c r="H622" t="n">
        <v>63</v>
      </c>
      <c r="I622" t="n">
        <v>162</v>
      </c>
      <c r="J622" t="n">
        <v>6.35</v>
      </c>
      <c r="K622" t="n">
        <v>36.1</v>
      </c>
      <c r="L622" t="n">
        <v>35.3</v>
      </c>
      <c r="M622" s="175" t="n">
        <v>0.1</v>
      </c>
      <c r="N622" t="inlineStr">
        <is>
          <t>台灣最大烤漆、噴頭表面塗裝螺絲廠</t>
        </is>
      </c>
    </row>
    <row r="623">
      <c r="A623" t="n">
        <v>2066</v>
      </c>
      <c r="B623" t="inlineStr">
        <is>
          <t>世德</t>
        </is>
      </c>
      <c r="C623" t="n">
        <v>58.4</v>
      </c>
      <c r="D623" t="n">
        <v>59.8</v>
      </c>
      <c r="E623" s="504" t="n">
        <v>1.4</v>
      </c>
      <c r="F623" s="505" t="n">
        <v>2.4</v>
      </c>
      <c r="G623" t="inlineStr">
        <is>
          <t>2653萬</t>
        </is>
      </c>
      <c r="H623" t="n">
        <v>450</v>
      </c>
      <c r="I623" t="n">
        <v>175</v>
      </c>
      <c r="J623" t="n">
        <v>4.44</v>
      </c>
      <c r="K623" t="n">
        <v>60.3</v>
      </c>
      <c r="L623" t="n">
        <v>58</v>
      </c>
      <c r="M623" s="175" t="n">
        <v>1.01</v>
      </c>
      <c r="N623" t="inlineStr">
        <is>
          <t>全球汽車大廠之第一階扣件及金屬零件供應商</t>
        </is>
      </c>
    </row>
    <row r="624">
      <c r="A624" t="n">
        <v>2067</v>
      </c>
      <c r="B624" t="inlineStr">
        <is>
          <t>嘉鋼</t>
        </is>
      </c>
      <c r="C624" t="n">
        <v>6.5</v>
      </c>
      <c r="D624" t="n">
        <v>6.5</v>
      </c>
      <c r="E624" s="504" t="n">
        <v>0</v>
      </c>
      <c r="F624" s="505" t="n">
        <v>0</v>
      </c>
      <c r="G624" t="inlineStr">
        <is>
          <t>43.4萬</t>
        </is>
      </c>
      <c r="H624" t="n">
        <v>67</v>
      </c>
      <c r="I624" t="n">
        <v>70</v>
      </c>
      <c r="J624" t="n">
        <v>4.51</v>
      </c>
      <c r="K624" t="n">
        <v>6.6</v>
      </c>
      <c r="L624" t="n">
        <v>6.45</v>
      </c>
      <c r="M624" s="175" t="n">
        <v>0.15</v>
      </c>
      <c r="N624" t="inlineStr">
        <is>
          <t>台灣小型鑄件廠</t>
        </is>
      </c>
    </row>
    <row r="625">
      <c r="A625" t="n">
        <v>2069</v>
      </c>
      <c r="B625" t="inlineStr">
        <is>
          <t>運錩</t>
        </is>
      </c>
      <c r="C625" t="n">
        <v>19.65</v>
      </c>
      <c r="D625" t="n">
        <v>19.7</v>
      </c>
      <c r="E625" s="504" t="n">
        <v>0.1</v>
      </c>
      <c r="F625" s="505" t="n">
        <v>0.51</v>
      </c>
      <c r="G625" t="inlineStr">
        <is>
          <t>896萬</t>
        </is>
      </c>
      <c r="H625" t="n">
        <v>461</v>
      </c>
      <c r="I625" t="n">
        <v>441</v>
      </c>
      <c r="J625" t="n">
        <v>16.64</v>
      </c>
      <c r="K625" t="n">
        <v>19.7</v>
      </c>
      <c r="L625" t="n">
        <v>19.25</v>
      </c>
      <c r="M625" s="175" t="n">
        <v>0.28</v>
      </c>
      <c r="N625" t="inlineStr">
        <is>
          <t>台灣不鏽鋼材料加工製造廠</t>
        </is>
      </c>
    </row>
    <row r="626">
      <c r="A626" t="n">
        <v>2070</v>
      </c>
      <c r="B626" t="inlineStr">
        <is>
          <t>精湛</t>
        </is>
      </c>
      <c r="C626" t="n">
        <v>75.5</v>
      </c>
      <c r="D626" t="n">
        <v>71.5</v>
      </c>
      <c r="E626" s="504" t="n">
        <v>-4</v>
      </c>
      <c r="F626" s="505" t="n">
        <v>-5.3</v>
      </c>
      <c r="G626" t="inlineStr">
        <is>
          <t>7174萬</t>
        </is>
      </c>
      <c r="H626" t="n">
        <v>992</v>
      </c>
      <c r="I626" t="n">
        <v>5204</v>
      </c>
      <c r="J626" t="n">
        <v>4.18</v>
      </c>
      <c r="K626" t="n">
        <v>75.5</v>
      </c>
      <c r="L626" t="n">
        <v>70.59999999999999</v>
      </c>
      <c r="M626" s="175" t="n">
        <v>2.37</v>
      </c>
      <c r="N626" t="inlineStr">
        <is>
          <t>全球扣件篩選設備大廠</t>
        </is>
      </c>
    </row>
    <row r="627">
      <c r="A627" t="n">
        <v>2072</v>
      </c>
      <c r="B627" t="inlineStr">
        <is>
          <t>世紀風電</t>
        </is>
      </c>
      <c r="C627" t="n">
        <v>174</v>
      </c>
      <c r="D627" t="n">
        <v>175</v>
      </c>
      <c r="E627" s="504" t="n">
        <v>1</v>
      </c>
      <c r="F627" s="505" t="n">
        <v>0.57</v>
      </c>
      <c r="G627" t="inlineStr">
        <is>
          <t>1.08億</t>
        </is>
      </c>
      <c r="H627" t="n">
        <v>619</v>
      </c>
      <c r="I627" t="n">
        <v>521</v>
      </c>
      <c r="J627" t="n">
        <v>19.2</v>
      </c>
      <c r="K627" t="n">
        <v>177</v>
      </c>
      <c r="L627" t="n">
        <v>170.5</v>
      </c>
      <c r="M627" s="175" t="n">
        <v>0.32</v>
      </c>
      <c r="N627" t="inlineStr">
        <is>
          <t>世紀鋼旗下，專注風電鋼結構領域</t>
        </is>
      </c>
    </row>
    <row r="628">
      <c r="A628" t="n">
        <v>2073</v>
      </c>
      <c r="B628" t="inlineStr">
        <is>
          <t>雄順</t>
        </is>
      </c>
      <c r="C628" t="n">
        <v>25.85</v>
      </c>
      <c r="D628" t="n">
        <v>25.85</v>
      </c>
      <c r="E628" s="504" t="n">
        <v>-0.1</v>
      </c>
      <c r="F628" s="505" t="n">
        <v>-0.39</v>
      </c>
      <c r="G628" t="inlineStr">
        <is>
          <t>2.58萬</t>
        </is>
      </c>
      <c r="H628" t="n">
        <v>1</v>
      </c>
      <c r="I628" t="n">
        <v>2</v>
      </c>
      <c r="J628" t="n">
        <v>2.75</v>
      </c>
      <c r="K628" t="n">
        <v>25.85</v>
      </c>
      <c r="L628" t="n">
        <v>25.85</v>
      </c>
      <c r="M628" s="175" t="n">
        <v>0</v>
      </c>
      <c r="N628" t="inlineStr">
        <is>
          <t>台灣金屬線製品加工商</t>
        </is>
      </c>
    </row>
    <row r="629">
      <c r="A629" t="n">
        <v>2101</v>
      </c>
      <c r="B629" t="inlineStr">
        <is>
          <t>南港</t>
        </is>
      </c>
      <c r="C629" t="n">
        <v>32</v>
      </c>
      <c r="D629" t="n">
        <v>32.2</v>
      </c>
      <c r="E629" s="504" t="n">
        <v>0.2</v>
      </c>
      <c r="F629" s="505" t="n">
        <v>0.63</v>
      </c>
      <c r="G629" t="inlineStr">
        <is>
          <t>1.27億</t>
        </is>
      </c>
      <c r="H629" t="n">
        <v>3950</v>
      </c>
      <c r="I629" t="n">
        <v>3329</v>
      </c>
      <c r="J629" t="n">
        <v>73.39</v>
      </c>
      <c r="K629" t="n">
        <v>32.55</v>
      </c>
      <c r="L629" t="n">
        <v>31.7</v>
      </c>
      <c r="M629" s="175" t="n">
        <v>0.54</v>
      </c>
      <c r="N629" t="inlineStr">
        <is>
          <t>台灣擁有土地資產的老牌輪胎廠</t>
        </is>
      </c>
    </row>
    <row r="630">
      <c r="A630" t="n">
        <v>2102</v>
      </c>
      <c r="B630" t="inlineStr">
        <is>
          <t>泰豐</t>
        </is>
      </c>
      <c r="C630" t="n">
        <v>18</v>
      </c>
      <c r="D630" t="n">
        <v>17.95</v>
      </c>
      <c r="E630" s="504" t="n">
        <v>0</v>
      </c>
      <c r="F630" s="505" t="n">
        <v>0</v>
      </c>
      <c r="G630" t="inlineStr">
        <is>
          <t>667萬</t>
        </is>
      </c>
      <c r="H630" t="n">
        <v>371</v>
      </c>
      <c r="I630" t="n">
        <v>433</v>
      </c>
      <c r="J630" t="n">
        <v>47.33</v>
      </c>
      <c r="K630" t="n">
        <v>18.15</v>
      </c>
      <c r="L630" t="n">
        <v>17.85</v>
      </c>
      <c r="M630" s="175" t="n">
        <v>0.08</v>
      </c>
      <c r="N630" t="inlineStr">
        <is>
          <t>台灣輪胎製造商</t>
        </is>
      </c>
    </row>
    <row r="631">
      <c r="A631" t="n">
        <v>2103</v>
      </c>
      <c r="B631" t="inlineStr">
        <is>
          <t>台橡</t>
        </is>
      </c>
      <c r="C631" t="n">
        <v>19.55</v>
      </c>
      <c r="D631" t="n">
        <v>20.25</v>
      </c>
      <c r="E631" s="504" t="n">
        <v>0.8</v>
      </c>
      <c r="F631" s="505" t="n">
        <v>4.11</v>
      </c>
      <c r="G631" t="inlineStr">
        <is>
          <t>1.16億</t>
        </is>
      </c>
      <c r="H631" t="n">
        <v>5813</v>
      </c>
      <c r="I631" t="n">
        <v>4011</v>
      </c>
      <c r="J631" t="n">
        <v>82.56999999999999</v>
      </c>
      <c r="K631" t="n">
        <v>20.25</v>
      </c>
      <c r="L631" t="n">
        <v>19.4</v>
      </c>
      <c r="M631" s="175" t="n">
        <v>0.7</v>
      </c>
      <c r="N631" t="inlineStr">
        <is>
          <t>全球前七大橡膠生產製造商</t>
        </is>
      </c>
    </row>
    <row r="632">
      <c r="A632" t="n">
        <v>2104</v>
      </c>
      <c r="B632" t="inlineStr">
        <is>
          <t>國際中橡</t>
        </is>
      </c>
      <c r="C632" t="n">
        <v>10.55</v>
      </c>
      <c r="D632" t="n">
        <v>10.9</v>
      </c>
      <c r="E632" s="504" t="n">
        <v>0.4</v>
      </c>
      <c r="F632" s="505" t="n">
        <v>3.81</v>
      </c>
      <c r="G632" t="inlineStr">
        <is>
          <t>6579萬</t>
        </is>
      </c>
      <c r="H632" t="n">
        <v>6160</v>
      </c>
      <c r="I632" t="n">
        <v>3139</v>
      </c>
      <c r="J632" t="n">
        <v>98.47</v>
      </c>
      <c r="K632" t="n">
        <v>10.9</v>
      </c>
      <c r="L632" t="n">
        <v>10.5</v>
      </c>
      <c r="M632" s="175" t="n">
        <v>0.63</v>
      </c>
      <c r="N632" t="inlineStr">
        <is>
          <t>全球市佔率前五大的碳煙公司</t>
        </is>
      </c>
    </row>
    <row r="633">
      <c r="A633" t="n">
        <v>2105</v>
      </c>
      <c r="B633" t="inlineStr">
        <is>
          <t>正新</t>
        </is>
      </c>
      <c r="C633" t="n">
        <v>33</v>
      </c>
      <c r="D633" t="n">
        <v>34</v>
      </c>
      <c r="E633" s="504" t="n">
        <v>1</v>
      </c>
      <c r="F633" s="505" t="n">
        <v>3.03</v>
      </c>
      <c r="G633" t="inlineStr">
        <is>
          <t>13.0億</t>
        </is>
      </c>
      <c r="H633" t="n">
        <v>38226</v>
      </c>
      <c r="I633" t="n">
        <v>11995</v>
      </c>
      <c r="J633" t="n">
        <v>324.14</v>
      </c>
      <c r="K633" t="n">
        <v>34.45</v>
      </c>
      <c r="L633" t="n">
        <v>32.7</v>
      </c>
      <c r="M633" s="175" t="n">
        <v>1.18</v>
      </c>
      <c r="N633" t="inlineStr">
        <is>
          <t>台灣最大、全球前十大輪胎製造商</t>
        </is>
      </c>
    </row>
    <row r="634">
      <c r="A634" t="n">
        <v>2106</v>
      </c>
      <c r="B634" t="inlineStr">
        <is>
          <t>建大</t>
        </is>
      </c>
      <c r="C634" t="n">
        <v>17.15</v>
      </c>
      <c r="D634" t="n">
        <v>18.1</v>
      </c>
      <c r="E634" s="504" t="n">
        <v>1.05</v>
      </c>
      <c r="F634" s="505" t="n">
        <v>6.16</v>
      </c>
      <c r="G634" t="inlineStr">
        <is>
          <t>5507萬</t>
        </is>
      </c>
      <c r="H634" t="n">
        <v>3087</v>
      </c>
      <c r="I634" t="n">
        <v>1138</v>
      </c>
      <c r="J634" t="n">
        <v>95.48999999999999</v>
      </c>
      <c r="K634" t="n">
        <v>18.2</v>
      </c>
      <c r="L634" t="n">
        <v>17.15</v>
      </c>
      <c r="M634" s="175" t="n">
        <v>0.32</v>
      </c>
      <c r="N634" t="inlineStr">
        <is>
          <t>台灣第二大輪胎廠</t>
        </is>
      </c>
    </row>
    <row r="635">
      <c r="A635" t="n">
        <v>2107</v>
      </c>
      <c r="B635" t="inlineStr">
        <is>
          <t>厚生</t>
        </is>
      </c>
      <c r="C635" t="n">
        <v>25.5</v>
      </c>
      <c r="D635" t="n">
        <v>25.6</v>
      </c>
      <c r="E635" s="504" t="n">
        <v>-0.05</v>
      </c>
      <c r="F635" s="505" t="n">
        <v>-0.19</v>
      </c>
      <c r="G635" t="inlineStr">
        <is>
          <t>624萬</t>
        </is>
      </c>
      <c r="H635" t="n">
        <v>244</v>
      </c>
      <c r="I635" t="n">
        <v>273</v>
      </c>
      <c r="J635" t="n">
        <v>30.36</v>
      </c>
      <c r="K635" t="n">
        <v>25.7</v>
      </c>
      <c r="L635" t="n">
        <v>25.45</v>
      </c>
      <c r="M635" s="175" t="n">
        <v>0.08</v>
      </c>
      <c r="N635" t="inlineStr">
        <is>
          <t>主要從事營建與倉儲業務，也從事於橡膠與塑膠皮加工</t>
        </is>
      </c>
    </row>
    <row r="636">
      <c r="A636" t="n">
        <v>2108</v>
      </c>
      <c r="B636" t="inlineStr">
        <is>
          <t>南帝</t>
        </is>
      </c>
      <c r="C636" t="n">
        <v>27.55</v>
      </c>
      <c r="D636" t="n">
        <v>27.6</v>
      </c>
      <c r="E636" s="504" t="n">
        <v>0.35</v>
      </c>
      <c r="F636" s="505" t="n">
        <v>1.28</v>
      </c>
      <c r="G636" t="inlineStr">
        <is>
          <t>3409萬</t>
        </is>
      </c>
      <c r="H636" t="n">
        <v>1252</v>
      </c>
      <c r="I636" t="n">
        <v>1274</v>
      </c>
      <c r="J636" t="n">
        <v>49.24</v>
      </c>
      <c r="K636" t="n">
        <v>27.6</v>
      </c>
      <c r="L636" t="n">
        <v>27</v>
      </c>
      <c r="M636" s="175" t="n">
        <v>0.25</v>
      </c>
      <c r="N636" t="inlineStr">
        <is>
          <t>全球前五大NBR乳膠廠</t>
        </is>
      </c>
    </row>
    <row r="637">
      <c r="A637" t="n">
        <v>2109</v>
      </c>
      <c r="B637" t="inlineStr">
        <is>
          <t>華豐</t>
        </is>
      </c>
      <c r="C637" t="n">
        <v>14.1</v>
      </c>
      <c r="D637" t="n">
        <v>14.3</v>
      </c>
      <c r="E637" s="504" t="n">
        <v>0.25</v>
      </c>
      <c r="F637" s="505" t="n">
        <v>1.78</v>
      </c>
      <c r="G637" t="inlineStr">
        <is>
          <t>554萬</t>
        </is>
      </c>
      <c r="H637" t="n">
        <v>390</v>
      </c>
      <c r="I637" t="n">
        <v>195</v>
      </c>
      <c r="J637" t="n">
        <v>27.93</v>
      </c>
      <c r="K637" t="n">
        <v>14.45</v>
      </c>
      <c r="L637" t="n">
        <v>14.05</v>
      </c>
      <c r="M637" s="175" t="n">
        <v>0.14</v>
      </c>
      <c r="N637" t="inlineStr">
        <is>
          <t>台灣前六大輪胎廠</t>
        </is>
      </c>
    </row>
    <row r="638">
      <c r="A638" t="n">
        <v>2114</v>
      </c>
      <c r="B638" t="inlineStr">
        <is>
          <t>鑫永銓</t>
        </is>
      </c>
      <c r="C638" t="n">
        <v>94.40000000000001</v>
      </c>
      <c r="D638" t="n">
        <v>92.90000000000001</v>
      </c>
      <c r="E638" s="504" t="n">
        <v>-1.5</v>
      </c>
      <c r="F638" s="505" t="n">
        <v>-1.59</v>
      </c>
      <c r="G638" t="inlineStr">
        <is>
          <t>1127萬</t>
        </is>
      </c>
      <c r="H638" t="n">
        <v>121</v>
      </c>
      <c r="I638" t="n">
        <v>193</v>
      </c>
      <c r="J638" t="n">
        <v>7.8</v>
      </c>
      <c r="K638" t="n">
        <v>94.40000000000001</v>
      </c>
      <c r="L638" t="n">
        <v>92.3</v>
      </c>
      <c r="M638" s="175" t="n">
        <v>0.16</v>
      </c>
      <c r="N638" t="inlineStr">
        <is>
          <t>台灣最大、全球前十大橡膠輸送帶商</t>
        </is>
      </c>
    </row>
    <row r="639">
      <c r="A639" t="n">
        <v>2115</v>
      </c>
      <c r="B639" t="inlineStr">
        <is>
          <t>六暉-KY</t>
        </is>
      </c>
      <c r="C639" t="n">
        <v>21.65</v>
      </c>
      <c r="D639" t="n">
        <v>21.65</v>
      </c>
      <c r="E639" s="504" t="n">
        <v>0</v>
      </c>
      <c r="F639" s="505" t="n">
        <v>0</v>
      </c>
      <c r="G639" t="inlineStr">
        <is>
          <t>317萬</t>
        </is>
      </c>
      <c r="H639" t="n">
        <v>147</v>
      </c>
      <c r="I639" t="n">
        <v>223</v>
      </c>
      <c r="J639" t="n">
        <v>10.44</v>
      </c>
      <c r="K639" t="n">
        <v>21.7</v>
      </c>
      <c r="L639" t="n">
        <v>21.45</v>
      </c>
      <c r="M639" s="175" t="n">
        <v>0.14</v>
      </c>
      <c r="N639" t="inlineStr">
        <is>
          <t>全球最大氣門嘴製造商</t>
        </is>
      </c>
    </row>
    <row r="640">
      <c r="A640" t="n">
        <v>2201</v>
      </c>
      <c r="B640" t="inlineStr">
        <is>
          <t>裕隆</t>
        </is>
      </c>
      <c r="C640" t="n">
        <v>27.8</v>
      </c>
      <c r="D640" t="n">
        <v>28.15</v>
      </c>
      <c r="E640" s="504" t="n">
        <v>0.3</v>
      </c>
      <c r="F640" s="505" t="n">
        <v>1.08</v>
      </c>
      <c r="G640" t="inlineStr">
        <is>
          <t>1.25億</t>
        </is>
      </c>
      <c r="H640" t="n">
        <v>4465</v>
      </c>
      <c r="I640" t="n">
        <v>4038</v>
      </c>
      <c r="J640" t="n">
        <v>107</v>
      </c>
      <c r="K640" t="n">
        <v>28.2</v>
      </c>
      <c r="L640" t="n">
        <v>27.55</v>
      </c>
      <c r="M640" s="175" t="n">
        <v>0.42</v>
      </c>
      <c r="N640" t="inlineStr">
        <is>
          <t>與日本日產技術合作之汽車製造商</t>
        </is>
      </c>
    </row>
    <row r="641">
      <c r="A641" t="n">
        <v>2204</v>
      </c>
      <c r="B641" t="inlineStr">
        <is>
          <t>中華</t>
        </is>
      </c>
      <c r="C641" t="n">
        <v>53.4</v>
      </c>
      <c r="D641" t="n">
        <v>54</v>
      </c>
      <c r="E641" s="504" t="n">
        <v>0.4</v>
      </c>
      <c r="F641" s="505" t="n">
        <v>0.75</v>
      </c>
      <c r="G641" t="inlineStr">
        <is>
          <t>1.61億</t>
        </is>
      </c>
      <c r="H641" t="n">
        <v>2988</v>
      </c>
      <c r="I641" t="n">
        <v>1788</v>
      </c>
      <c r="J641" t="n">
        <v>55.36</v>
      </c>
      <c r="K641" t="n">
        <v>54.3</v>
      </c>
      <c r="L641" t="n">
        <v>53</v>
      </c>
      <c r="M641" s="175" t="n">
        <v>0.54</v>
      </c>
      <c r="N641" t="inlineStr">
        <is>
          <t>裕隆集團與日本三菱技術合作之汽車製造廠</t>
        </is>
      </c>
    </row>
    <row r="642">
      <c r="A642" t="n">
        <v>2206</v>
      </c>
      <c r="B642" t="inlineStr">
        <is>
          <t>三陽工業</t>
        </is>
      </c>
      <c r="C642" t="n">
        <v>60.6</v>
      </c>
      <c r="D642" t="n">
        <v>61.6</v>
      </c>
      <c r="E642" s="504" t="n">
        <v>0.6</v>
      </c>
      <c r="F642" s="505" t="n">
        <v>0.98</v>
      </c>
      <c r="G642" t="inlineStr">
        <is>
          <t>7642萬</t>
        </is>
      </c>
      <c r="H642" t="n">
        <v>1243</v>
      </c>
      <c r="I642" t="n">
        <v>1884</v>
      </c>
      <c r="J642" t="n">
        <v>77.37</v>
      </c>
      <c r="K642" t="n">
        <v>61.9</v>
      </c>
      <c r="L642" t="n">
        <v>60.6</v>
      </c>
      <c r="M642" s="175" t="n">
        <v>0.16</v>
      </c>
      <c r="N642" t="inlineStr">
        <is>
          <t>現代汽車台灣代理商及台灣知名機車製造商</t>
        </is>
      </c>
    </row>
    <row r="643">
      <c r="A643" t="n">
        <v>2207</v>
      </c>
      <c r="B643" t="inlineStr">
        <is>
          <t>和泰車</t>
        </is>
      </c>
      <c r="C643" t="n">
        <v>472</v>
      </c>
      <c r="D643" t="n">
        <v>471.5</v>
      </c>
      <c r="E643" s="504" t="n">
        <v>-2</v>
      </c>
      <c r="F643" s="505" t="n">
        <v>-0.42</v>
      </c>
      <c r="G643" t="inlineStr">
        <is>
          <t>3.86億</t>
        </is>
      </c>
      <c r="H643" t="n">
        <v>816</v>
      </c>
      <c r="I643" t="n">
        <v>1376</v>
      </c>
      <c r="J643" t="n">
        <v>55.71</v>
      </c>
      <c r="K643" t="n">
        <v>479.5</v>
      </c>
      <c r="L643" t="n">
        <v>466.5</v>
      </c>
      <c r="M643" s="175" t="n">
        <v>0.15</v>
      </c>
      <c r="N643" t="inlineStr">
        <is>
          <t>TOYOTA台灣獨家代理商</t>
        </is>
      </c>
    </row>
    <row r="644">
      <c r="A644" t="n">
        <v>2208</v>
      </c>
      <c r="B644" t="inlineStr">
        <is>
          <t>台船</t>
        </is>
      </c>
      <c r="C644" t="n">
        <v>18.35</v>
      </c>
      <c r="D644" t="n">
        <v>17.95</v>
      </c>
      <c r="E644" s="504" t="n">
        <v>-0.35</v>
      </c>
      <c r="F644" s="505" t="n">
        <v>-1.91</v>
      </c>
      <c r="G644" t="inlineStr">
        <is>
          <t>1.47億</t>
        </is>
      </c>
      <c r="H644" t="n">
        <v>8215</v>
      </c>
      <c r="I644" t="n">
        <v>8371</v>
      </c>
      <c r="J644" t="n">
        <v>127.45</v>
      </c>
      <c r="K644" t="n">
        <v>18.35</v>
      </c>
      <c r="L644" t="n">
        <v>17.7</v>
      </c>
      <c r="M644" s="175" t="n">
        <v>0.71</v>
      </c>
      <c r="N644" t="inlineStr">
        <is>
          <t>台灣第一大造船公司</t>
        </is>
      </c>
    </row>
    <row r="645">
      <c r="A645" t="n">
        <v>2211</v>
      </c>
      <c r="B645" t="inlineStr">
        <is>
          <t>長榮鋼</t>
        </is>
      </c>
      <c r="C645" t="n">
        <v>93.09999999999999</v>
      </c>
      <c r="D645" t="n">
        <v>93.8</v>
      </c>
      <c r="E645" s="504" t="n">
        <v>-0.1</v>
      </c>
      <c r="F645" s="505" t="n">
        <v>-0.11</v>
      </c>
      <c r="G645" t="inlineStr">
        <is>
          <t>1.91億</t>
        </is>
      </c>
      <c r="H645" t="n">
        <v>2058</v>
      </c>
      <c r="I645" t="n">
        <v>806</v>
      </c>
      <c r="J645" t="n">
        <v>41.71</v>
      </c>
      <c r="K645" t="n">
        <v>93.8</v>
      </c>
      <c r="L645" t="n">
        <v>91.59999999999999</v>
      </c>
      <c r="M645" s="175" t="n">
        <v>0.49</v>
      </c>
      <c r="N645" t="inlineStr">
        <is>
          <t>長榮集團旗下之鋼結構製造廠</t>
        </is>
      </c>
    </row>
    <row r="646">
      <c r="A646" t="n">
        <v>2221</v>
      </c>
      <c r="B646" t="inlineStr">
        <is>
          <t>大甲</t>
        </is>
      </c>
      <c r="C646" t="n">
        <v>44.7</v>
      </c>
      <c r="D646" t="n">
        <v>42.35</v>
      </c>
      <c r="E646" s="504" t="n">
        <v>-1.3</v>
      </c>
      <c r="F646" s="505" t="n">
        <v>-2.98</v>
      </c>
      <c r="G646" t="inlineStr">
        <is>
          <t>1874萬</t>
        </is>
      </c>
      <c r="H646" t="n">
        <v>439</v>
      </c>
      <c r="I646" t="n">
        <v>481</v>
      </c>
      <c r="J646" t="n">
        <v>4.23</v>
      </c>
      <c r="K646" t="n">
        <v>44.7</v>
      </c>
      <c r="L646" t="n">
        <v>42</v>
      </c>
      <c r="M646" s="175" t="n">
        <v>1.04</v>
      </c>
      <c r="N646" t="inlineStr">
        <is>
          <t>台灣最大不鏽鋼管配件製造商</t>
        </is>
      </c>
    </row>
    <row r="647">
      <c r="A647" t="n">
        <v>2227</v>
      </c>
      <c r="B647" t="inlineStr">
        <is>
          <t>裕日車</t>
        </is>
      </c>
      <c r="C647" t="n">
        <v>49.9</v>
      </c>
      <c r="D647" t="n">
        <v>50.5</v>
      </c>
      <c r="E647" s="504" t="n">
        <v>0.5</v>
      </c>
      <c r="F647" s="505" t="n">
        <v>1</v>
      </c>
      <c r="G647" t="inlineStr">
        <is>
          <t>185萬</t>
        </is>
      </c>
      <c r="H647" t="n">
        <v>37</v>
      </c>
      <c r="I647" t="n">
        <v>62</v>
      </c>
      <c r="J647" t="n">
        <v>30</v>
      </c>
      <c r="K647" t="n">
        <v>50.5</v>
      </c>
      <c r="L647" t="n">
        <v>49.5</v>
      </c>
      <c r="M647" s="175" t="n">
        <v>0.01</v>
      </c>
      <c r="N647" t="inlineStr">
        <is>
          <t>裕隆集團為NISSAN在台灣地區研發及銷售成立之公司</t>
        </is>
      </c>
    </row>
    <row r="648">
      <c r="A648" t="n">
        <v>2228</v>
      </c>
      <c r="B648" t="inlineStr">
        <is>
          <t>劍麟</t>
        </is>
      </c>
      <c r="C648" t="n">
        <v>85.5</v>
      </c>
      <c r="D648" t="n">
        <v>86.7</v>
      </c>
      <c r="E648" s="504" t="n">
        <v>1.5</v>
      </c>
      <c r="F648" s="505" t="n">
        <v>1.76</v>
      </c>
      <c r="G648" t="inlineStr">
        <is>
          <t>2681萬</t>
        </is>
      </c>
      <c r="H648" t="n">
        <v>312</v>
      </c>
      <c r="I648" t="n">
        <v>321</v>
      </c>
      <c r="J648" t="n">
        <v>7.98</v>
      </c>
      <c r="K648" t="n">
        <v>86.8</v>
      </c>
      <c r="L648" t="n">
        <v>84.90000000000001</v>
      </c>
      <c r="M648" s="175" t="n">
        <v>0.39</v>
      </c>
      <c r="N648" t="inlineStr">
        <is>
          <t>為汽車安全氣囊零組件製造商</t>
        </is>
      </c>
    </row>
    <row r="649">
      <c r="A649" t="n">
        <v>2230</v>
      </c>
      <c r="B649" t="inlineStr">
        <is>
          <t>泰茂</t>
        </is>
      </c>
      <c r="C649" t="n">
        <v>28.5</v>
      </c>
      <c r="D649" t="n">
        <v>28.05</v>
      </c>
      <c r="E649" s="504" t="n">
        <v>-0.1</v>
      </c>
      <c r="F649" s="505" t="n">
        <v>-0.36</v>
      </c>
      <c r="G649" t="inlineStr">
        <is>
          <t>888萬</t>
        </is>
      </c>
      <c r="H649" t="n">
        <v>316</v>
      </c>
      <c r="I649" t="n">
        <v>319</v>
      </c>
      <c r="J649" t="n">
        <v>6.8</v>
      </c>
      <c r="K649" t="n">
        <v>28.5</v>
      </c>
      <c r="L649" t="n">
        <v>27.9</v>
      </c>
      <c r="M649" s="175" t="n">
        <v>0.46</v>
      </c>
      <c r="N649" t="inlineStr">
        <is>
          <t>台灣知名汽車活塞環廠商</t>
        </is>
      </c>
    </row>
    <row r="650">
      <c r="A650" t="n">
        <v>2231</v>
      </c>
      <c r="B650" t="inlineStr">
        <is>
          <t>為升</t>
        </is>
      </c>
      <c r="C650" t="n">
        <v>109</v>
      </c>
      <c r="D650" t="n">
        <v>104.5</v>
      </c>
      <c r="E650" s="504" t="n">
        <v>-4.5</v>
      </c>
      <c r="F650" s="505" t="n">
        <v>-4.13</v>
      </c>
      <c r="G650" t="inlineStr">
        <is>
          <t>9080萬</t>
        </is>
      </c>
      <c r="H650" t="n">
        <v>864</v>
      </c>
      <c r="I650" t="n">
        <v>904</v>
      </c>
      <c r="J650" t="n">
        <v>13.59</v>
      </c>
      <c r="K650" t="n">
        <v>109</v>
      </c>
      <c r="L650" t="n">
        <v>102.5</v>
      </c>
      <c r="M650" s="175" t="n">
        <v>0.64</v>
      </c>
      <c r="N650" t="inlineStr">
        <is>
          <t>主要經營電裝品、TPMS及毫米波雷達銷售</t>
        </is>
      </c>
    </row>
    <row r="651">
      <c r="A651" t="n">
        <v>2233</v>
      </c>
      <c r="B651" t="inlineStr">
        <is>
          <t>宇隆</t>
        </is>
      </c>
      <c r="C651" t="n">
        <v>351.5</v>
      </c>
      <c r="D651" t="n">
        <v>329</v>
      </c>
      <c r="E651" s="504" t="n">
        <v>-26</v>
      </c>
      <c r="F651" s="505" t="n">
        <v>-7.32</v>
      </c>
      <c r="G651" t="inlineStr">
        <is>
          <t>10.4億</t>
        </is>
      </c>
      <c r="H651" t="n">
        <v>3184</v>
      </c>
      <c r="I651" t="n">
        <v>2235</v>
      </c>
      <c r="J651" t="n">
        <v>6.03</v>
      </c>
      <c r="K651" t="n">
        <v>351.5</v>
      </c>
      <c r="L651" t="n">
        <v>319.5</v>
      </c>
      <c r="M651" s="175" t="n">
        <v>5.28</v>
      </c>
      <c r="N651" t="inlineStr">
        <is>
          <t>汽車噴油嘴零件大廠</t>
        </is>
      </c>
    </row>
    <row r="652">
      <c r="A652" t="n">
        <v>2235</v>
      </c>
      <c r="B652" t="inlineStr">
        <is>
          <t>謚源</t>
        </is>
      </c>
      <c r="C652" t="n">
        <v>30.3</v>
      </c>
      <c r="D652" t="n">
        <v>30.5</v>
      </c>
      <c r="E652" s="504" t="n">
        <v>0</v>
      </c>
      <c r="F652" s="505" t="n">
        <v>0</v>
      </c>
      <c r="G652" t="inlineStr">
        <is>
          <t>280萬</t>
        </is>
      </c>
      <c r="H652" t="n">
        <v>92</v>
      </c>
      <c r="I652" t="n">
        <v>10</v>
      </c>
      <c r="J652" t="n">
        <v>3.59</v>
      </c>
      <c r="K652" t="n">
        <v>30.5</v>
      </c>
      <c r="L652" t="n">
        <v>30.05</v>
      </c>
      <c r="M652" s="175" t="n">
        <v>0.26</v>
      </c>
      <c r="N652" t="inlineStr">
        <is>
          <t>為車用水箱風扇製造商，堤維西為其最大股東</t>
        </is>
      </c>
    </row>
    <row r="653">
      <c r="A653" t="n">
        <v>2236</v>
      </c>
      <c r="B653" t="inlineStr">
        <is>
          <t>百達-KY</t>
        </is>
      </c>
      <c r="C653" t="n">
        <v>140</v>
      </c>
      <c r="D653" t="n">
        <v>139</v>
      </c>
      <c r="E653" s="504" t="n">
        <v>-1.5</v>
      </c>
      <c r="F653" s="505" t="n">
        <v>-1.07</v>
      </c>
      <c r="G653" t="inlineStr">
        <is>
          <t>4979萬</t>
        </is>
      </c>
      <c r="H653" t="n">
        <v>356</v>
      </c>
      <c r="I653" t="n">
        <v>475</v>
      </c>
      <c r="J653" t="n">
        <v>6.21</v>
      </c>
      <c r="K653" t="n">
        <v>144.5</v>
      </c>
      <c r="L653" t="n">
        <v>137.5</v>
      </c>
      <c r="M653" s="175" t="n">
        <v>0.58</v>
      </c>
      <c r="N653" t="inlineStr">
        <is>
          <t>全球唯二汽車零組件一條龍之新加坡商</t>
        </is>
      </c>
    </row>
    <row r="654">
      <c r="A654" t="n">
        <v>2239</v>
      </c>
      <c r="B654" t="inlineStr">
        <is>
          <t>英利-KY</t>
        </is>
      </c>
      <c r="C654" t="n">
        <v>24.75</v>
      </c>
      <c r="D654" t="n">
        <v>25</v>
      </c>
      <c r="E654" s="504" t="n">
        <v>0.5</v>
      </c>
      <c r="F654" s="505" t="n">
        <v>2.04</v>
      </c>
      <c r="G654" t="inlineStr">
        <is>
          <t>394萬</t>
        </is>
      </c>
      <c r="H654" t="n">
        <v>159</v>
      </c>
      <c r="I654" t="n">
        <v>149</v>
      </c>
      <c r="J654" t="n">
        <v>11.77</v>
      </c>
      <c r="K654" t="n">
        <v>25.7</v>
      </c>
      <c r="L654" t="n">
        <v>24.3</v>
      </c>
      <c r="M654" s="175" t="n">
        <v>0.14</v>
      </c>
      <c r="N654" t="inlineStr">
        <is>
          <t>台商企業，為大陸整車廠提供汽車結構件</t>
        </is>
      </c>
    </row>
    <row r="655">
      <c r="A655" t="n">
        <v>2241</v>
      </c>
      <c r="B655" t="inlineStr">
        <is>
          <t>艾姆勒</t>
        </is>
      </c>
      <c r="C655" t="n">
        <v>34.55</v>
      </c>
      <c r="D655" t="n">
        <v>32.35</v>
      </c>
      <c r="E655" s="504" t="n">
        <v>-2.3</v>
      </c>
      <c r="F655" s="505" t="n">
        <v>-6.64</v>
      </c>
      <c r="G655" t="inlineStr">
        <is>
          <t>7472萬</t>
        </is>
      </c>
      <c r="H655" t="n">
        <v>2282</v>
      </c>
      <c r="I655" t="n">
        <v>5071</v>
      </c>
      <c r="J655" t="n">
        <v>10.46</v>
      </c>
      <c r="K655" t="n">
        <v>34.6</v>
      </c>
      <c r="L655" t="n">
        <v>31.55</v>
      </c>
      <c r="M655" s="175" t="n">
        <v>2.18</v>
      </c>
      <c r="N655" t="inlineStr">
        <is>
          <t>主要生產電動車及油電混合車的逆變器散熱產品</t>
        </is>
      </c>
    </row>
    <row r="656">
      <c r="A656" t="n">
        <v>2243</v>
      </c>
      <c r="B656" t="inlineStr">
        <is>
          <t>宏旭-KY</t>
        </is>
      </c>
      <c r="C656" t="n">
        <v>29.35</v>
      </c>
      <c r="D656" t="n">
        <v>28</v>
      </c>
      <c r="E656" s="504" t="n">
        <v>-1.95</v>
      </c>
      <c r="F656" s="505" t="n">
        <v>-6.51</v>
      </c>
      <c r="G656" t="inlineStr">
        <is>
          <t>8461萬</t>
        </is>
      </c>
      <c r="H656" t="n">
        <v>3038</v>
      </c>
      <c r="I656" t="n">
        <v>1742</v>
      </c>
      <c r="J656" t="n">
        <v>6.94</v>
      </c>
      <c r="K656" t="n">
        <v>29.45</v>
      </c>
      <c r="L656" t="n">
        <v>27.1</v>
      </c>
      <c r="M656" s="175" t="n">
        <v>4.38</v>
      </c>
      <c r="N656" t="inlineStr">
        <is>
          <t>大陸台資第一大、行業前五大的車身模具廠</t>
        </is>
      </c>
    </row>
    <row r="657">
      <c r="A657" t="n">
        <v>2247</v>
      </c>
      <c r="B657" t="inlineStr">
        <is>
          <t>汎德永業</t>
        </is>
      </c>
      <c r="C657" t="n">
        <v>216</v>
      </c>
      <c r="D657" t="n">
        <v>220</v>
      </c>
      <c r="E657" s="504" t="n">
        <v>2.5</v>
      </c>
      <c r="F657" s="505" t="n">
        <v>1.15</v>
      </c>
      <c r="G657" t="inlineStr">
        <is>
          <t>1263萬</t>
        </is>
      </c>
      <c r="H657" t="n">
        <v>58</v>
      </c>
      <c r="I657" t="n">
        <v>264</v>
      </c>
      <c r="J657" t="n">
        <v>8.07</v>
      </c>
      <c r="K657" t="n">
        <v>220</v>
      </c>
      <c r="L657" t="n">
        <v>216</v>
      </c>
      <c r="M657" s="175" t="n">
        <v>0.07000000000000001</v>
      </c>
      <c r="N657" t="inlineStr">
        <is>
          <t>豪華進口車代理商</t>
        </is>
      </c>
    </row>
    <row r="658">
      <c r="A658" t="n">
        <v>2248</v>
      </c>
      <c r="B658" t="inlineStr">
        <is>
          <t>華勝-KY</t>
        </is>
      </c>
      <c r="C658" t="n">
        <v>55.1</v>
      </c>
      <c r="D658" t="n">
        <v>55.4</v>
      </c>
      <c r="E658" s="504" t="n">
        <v>0.3</v>
      </c>
      <c r="F658" s="505" t="n">
        <v>0.54</v>
      </c>
      <c r="G658" t="inlineStr">
        <is>
          <t>121萬</t>
        </is>
      </c>
      <c r="H658" t="n">
        <v>22</v>
      </c>
      <c r="I658" t="n">
        <v>69</v>
      </c>
      <c r="J658" t="n">
        <v>4.76</v>
      </c>
      <c r="K658" t="n">
        <v>55.4</v>
      </c>
      <c r="L658" t="n">
        <v>54.8</v>
      </c>
      <c r="M658" s="175" t="n">
        <v>0.05</v>
      </c>
      <c r="N658" t="inlineStr">
        <is>
          <t>LED汽車門檻踏板供應商</t>
        </is>
      </c>
    </row>
    <row r="659">
      <c r="A659" t="n">
        <v>2250</v>
      </c>
      <c r="B659" t="inlineStr">
        <is>
          <t>IKKA-KY</t>
        </is>
      </c>
      <c r="C659" t="n">
        <v>64.3</v>
      </c>
      <c r="D659" t="n">
        <v>63.6</v>
      </c>
      <c r="E659" s="504" t="n">
        <v>-0.7</v>
      </c>
      <c r="F659" s="505" t="n">
        <v>-1.09</v>
      </c>
      <c r="G659" t="inlineStr">
        <is>
          <t>578萬</t>
        </is>
      </c>
      <c r="H659" t="n">
        <v>91</v>
      </c>
      <c r="I659" t="n">
        <v>170</v>
      </c>
      <c r="J659" t="n">
        <v>3.64</v>
      </c>
      <c r="K659" t="n">
        <v>64.3</v>
      </c>
      <c r="L659" t="n">
        <v>63.1</v>
      </c>
      <c r="M659" s="175" t="n">
        <v>0.25</v>
      </c>
      <c r="N659" t="inlineStr">
        <is>
          <t>能率集團旗下，日本車用沖壓件OEM廠商</t>
        </is>
      </c>
    </row>
    <row r="660">
      <c r="A660" t="n">
        <v>2301</v>
      </c>
      <c r="B660" t="inlineStr">
        <is>
          <t>光寶科</t>
        </is>
      </c>
      <c r="C660" t="n">
        <v>225</v>
      </c>
      <c r="D660" t="n">
        <v>227.5</v>
      </c>
      <c r="E660" s="504" t="n">
        <v>-7</v>
      </c>
      <c r="F660" s="505" t="n">
        <v>-2.99</v>
      </c>
      <c r="G660" t="inlineStr">
        <is>
          <t>105億</t>
        </is>
      </c>
      <c r="H660" t="n">
        <v>46187</v>
      </c>
      <c r="I660" t="n">
        <v>54087</v>
      </c>
      <c r="J660" t="n">
        <v>231.61</v>
      </c>
      <c r="K660" t="n">
        <v>230</v>
      </c>
      <c r="L660" t="n">
        <v>223</v>
      </c>
      <c r="M660" s="175" t="n">
        <v>1.99</v>
      </c>
      <c r="N660" t="inlineStr">
        <is>
          <t>台灣電源供應器大廠</t>
        </is>
      </c>
    </row>
    <row r="661">
      <c r="A661" t="n">
        <v>2302</v>
      </c>
      <c r="B661" t="inlineStr">
        <is>
          <t>麗正</t>
        </is>
      </c>
      <c r="C661" t="n">
        <v>38</v>
      </c>
      <c r="D661" t="n">
        <v>37</v>
      </c>
      <c r="E661" s="504" t="n">
        <v>-1.25</v>
      </c>
      <c r="F661" s="505" t="n">
        <v>-3.27</v>
      </c>
      <c r="G661" t="inlineStr">
        <is>
          <t>1.57億</t>
        </is>
      </c>
      <c r="H661" t="n">
        <v>4338</v>
      </c>
      <c r="I661" t="n">
        <v>15734</v>
      </c>
      <c r="J661" t="n">
        <v>16.63</v>
      </c>
      <c r="K661" t="n">
        <v>38</v>
      </c>
      <c r="L661" t="n">
        <v>35.15</v>
      </c>
      <c r="M661" s="175" t="n">
        <v>2.61</v>
      </c>
      <c r="N661" t="inlineStr">
        <is>
          <t>台灣整流二極體廠商</t>
        </is>
      </c>
    </row>
    <row r="662">
      <c r="A662" t="n">
        <v>2303</v>
      </c>
      <c r="B662" t="inlineStr">
        <is>
          <t>聯電</t>
        </is>
      </c>
      <c r="C662" t="n">
        <v>147</v>
      </c>
      <c r="D662" t="n">
        <v>141.5</v>
      </c>
      <c r="E662" s="504" t="n">
        <v>-4.5</v>
      </c>
      <c r="F662" s="505" t="n">
        <v>-3.08</v>
      </c>
      <c r="G662" t="inlineStr">
        <is>
          <t>527億</t>
        </is>
      </c>
      <c r="H662" t="n">
        <v>376046</v>
      </c>
      <c r="I662" t="n">
        <v>329245</v>
      </c>
      <c r="J662" t="n">
        <v>1257.7</v>
      </c>
      <c r="K662" t="n">
        <v>150</v>
      </c>
      <c r="L662" t="n">
        <v>133.5</v>
      </c>
      <c r="M662" s="175" t="n">
        <v>2.99</v>
      </c>
      <c r="N662" t="inlineStr">
        <is>
          <t>全球前十大晶圓代工廠之一</t>
        </is>
      </c>
    </row>
    <row r="663">
      <c r="A663" t="n">
        <v>2305</v>
      </c>
      <c r="B663" t="inlineStr">
        <is>
          <t>全友</t>
        </is>
      </c>
      <c r="C663" t="n">
        <v>22.55</v>
      </c>
      <c r="D663" t="n">
        <v>23.4</v>
      </c>
      <c r="E663" s="504" t="n">
        <v>0.35</v>
      </c>
      <c r="F663" s="505" t="n">
        <v>1.52</v>
      </c>
      <c r="G663" t="inlineStr">
        <is>
          <t>1.38億</t>
        </is>
      </c>
      <c r="H663" t="n">
        <v>6089</v>
      </c>
      <c r="I663" t="n">
        <v>15750</v>
      </c>
      <c r="J663" t="n">
        <v>20.57</v>
      </c>
      <c r="K663" t="n">
        <v>23.45</v>
      </c>
      <c r="L663" t="n">
        <v>21.85</v>
      </c>
      <c r="M663" s="175" t="n">
        <v>2.96</v>
      </c>
      <c r="N663" t="inlineStr">
        <is>
          <t>光罩持股，經營工業用、醫療等數位掃描器</t>
        </is>
      </c>
    </row>
    <row r="664">
      <c r="A664" t="n">
        <v>2308</v>
      </c>
      <c r="B664" t="inlineStr">
        <is>
          <t>台達電</t>
        </is>
      </c>
      <c r="C664" t="n">
        <v>2430</v>
      </c>
      <c r="D664" t="n">
        <v>2360</v>
      </c>
      <c r="E664" s="504" t="n">
        <v>-60</v>
      </c>
      <c r="F664" s="505" t="n">
        <v>-2.48</v>
      </c>
      <c r="G664" t="inlineStr">
        <is>
          <t>262億</t>
        </is>
      </c>
      <c r="H664" t="n">
        <v>10974</v>
      </c>
      <c r="I664" t="n">
        <v>12967</v>
      </c>
      <c r="J664" t="n">
        <v>259.75</v>
      </c>
      <c r="K664" t="n">
        <v>2455</v>
      </c>
      <c r="L664" t="n">
        <v>2330</v>
      </c>
      <c r="M664" s="175" t="n">
        <v>0.42</v>
      </c>
      <c r="N664" t="inlineStr">
        <is>
          <t>全球最大的交換式電源供應器廠商</t>
        </is>
      </c>
    </row>
    <row r="665">
      <c r="A665" t="n">
        <v>2312</v>
      </c>
      <c r="B665" t="inlineStr">
        <is>
          <t>金寶</t>
        </is>
      </c>
      <c r="C665" t="n">
        <v>40.95</v>
      </c>
      <c r="D665" t="n">
        <v>41.3</v>
      </c>
      <c r="E665" s="504" t="n">
        <v>0.7</v>
      </c>
      <c r="F665" s="505" t="n">
        <v>1.72</v>
      </c>
      <c r="G665" t="inlineStr">
        <is>
          <t>54.8億</t>
        </is>
      </c>
      <c r="H665" t="n">
        <v>134675</v>
      </c>
      <c r="I665" t="n">
        <v>152210</v>
      </c>
      <c r="J665" t="n">
        <v>150.58</v>
      </c>
      <c r="K665" t="n">
        <v>43.5</v>
      </c>
      <c r="L665" t="n">
        <v>38.85</v>
      </c>
      <c r="M665" s="175" t="n">
        <v>8.949999999999999</v>
      </c>
      <c r="N665" t="inlineStr">
        <is>
          <t>金寶集團旗下消費性電子代工廠</t>
        </is>
      </c>
    </row>
    <row r="666">
      <c r="A666" t="n">
        <v>2313</v>
      </c>
      <c r="B666" t="inlineStr">
        <is>
          <t>華通</t>
        </is>
      </c>
      <c r="C666" t="n">
        <v>284</v>
      </c>
      <c r="D666" t="n">
        <v>270.5</v>
      </c>
      <c r="E666" s="504" t="n">
        <v>-8.5</v>
      </c>
      <c r="F666" s="505" t="n">
        <v>-3.05</v>
      </c>
      <c r="G666" t="inlineStr">
        <is>
          <t>123億</t>
        </is>
      </c>
      <c r="H666" t="n">
        <v>44542</v>
      </c>
      <c r="I666" t="n">
        <v>88077</v>
      </c>
      <c r="J666" t="n">
        <v>119.18</v>
      </c>
      <c r="K666" t="n">
        <v>289</v>
      </c>
      <c r="L666" t="n">
        <v>268.5</v>
      </c>
      <c r="M666" s="175" t="n">
        <v>3.74</v>
      </c>
      <c r="N666" t="inlineStr">
        <is>
          <t>全球HDI板龍頭公司</t>
        </is>
      </c>
    </row>
    <row r="667">
      <c r="A667" t="n">
        <v>2314</v>
      </c>
      <c r="B667" t="inlineStr">
        <is>
          <t>台揚</t>
        </is>
      </c>
      <c r="C667" t="n">
        <v>16.5</v>
      </c>
      <c r="D667" t="n">
        <v>16.3</v>
      </c>
      <c r="E667" s="504" t="n">
        <v>0.15</v>
      </c>
      <c r="F667" s="505" t="n">
        <v>0.93</v>
      </c>
      <c r="G667" t="inlineStr">
        <is>
          <t>786萬</t>
        </is>
      </c>
      <c r="H667" t="n">
        <v>479</v>
      </c>
      <c r="I667" t="n">
        <v>521</v>
      </c>
      <c r="J667" t="n">
        <v>10.61</v>
      </c>
      <c r="K667" t="n">
        <v>16.55</v>
      </c>
      <c r="L667" t="n">
        <v>16.15</v>
      </c>
      <c r="M667" s="175" t="n">
        <v>0.45</v>
      </c>
      <c r="N667" t="inlineStr">
        <is>
          <t>鴻海轉投資衛星、微波通訊設備製造商</t>
        </is>
      </c>
    </row>
    <row r="668">
      <c r="A668" t="n">
        <v>2316</v>
      </c>
      <c r="B668" t="inlineStr">
        <is>
          <t>楠梓電</t>
        </is>
      </c>
      <c r="C668" t="n">
        <v>167</v>
      </c>
      <c r="D668" t="n">
        <v>161</v>
      </c>
      <c r="E668" s="504" t="n">
        <v>-5</v>
      </c>
      <c r="F668" s="505" t="n">
        <v>-3.01</v>
      </c>
      <c r="G668" t="inlineStr">
        <is>
          <t>7.20億</t>
        </is>
      </c>
      <c r="H668" t="n">
        <v>4485</v>
      </c>
      <c r="I668" t="n">
        <v>8780</v>
      </c>
      <c r="J668" t="n">
        <v>18.27</v>
      </c>
      <c r="K668" t="n">
        <v>167</v>
      </c>
      <c r="L668" t="n">
        <v>157.5</v>
      </c>
      <c r="M668" s="175" t="n">
        <v>2.45</v>
      </c>
      <c r="N668" t="inlineStr">
        <is>
          <t>台灣PCB大廠，並轉投資於深交所掛牌之滬電股份</t>
        </is>
      </c>
    </row>
    <row r="669">
      <c r="A669" t="n">
        <v>2317</v>
      </c>
      <c r="B669" t="inlineStr">
        <is>
          <t>鴻海</t>
        </is>
      </c>
      <c r="C669" t="n">
        <v>297.5</v>
      </c>
      <c r="D669" t="n">
        <v>301.5</v>
      </c>
      <c r="E669" s="504" t="n">
        <v>8</v>
      </c>
      <c r="F669" s="505" t="n">
        <v>2.73</v>
      </c>
      <c r="G669" t="inlineStr">
        <is>
          <t>328億</t>
        </is>
      </c>
      <c r="H669" t="n">
        <v>110301</v>
      </c>
      <c r="I669" t="n">
        <v>140617</v>
      </c>
      <c r="J669" t="n">
        <v>1402.86</v>
      </c>
      <c r="K669" t="n">
        <v>302</v>
      </c>
      <c r="L669" t="n">
        <v>293</v>
      </c>
      <c r="M669" s="175" t="n">
        <v>0.79</v>
      </c>
      <c r="N669" t="inlineStr">
        <is>
          <t>全球最大EMS電子專業代工廠</t>
        </is>
      </c>
    </row>
    <row r="670">
      <c r="A670" t="n">
        <v>2321</v>
      </c>
      <c r="B670" t="inlineStr">
        <is>
          <t>東訊</t>
        </is>
      </c>
      <c r="C670" t="n">
        <v>14.95</v>
      </c>
      <c r="D670" t="n">
        <v>14.95</v>
      </c>
      <c r="E670" s="504" t="n">
        <v>0</v>
      </c>
      <c r="F670" s="505" t="n">
        <v>0</v>
      </c>
      <c r="G670" t="inlineStr">
        <is>
          <t>1.50萬</t>
        </is>
      </c>
      <c r="H670" t="n">
        <v>1</v>
      </c>
      <c r="I670" t="n">
        <v>18</v>
      </c>
      <c r="J670" t="n">
        <v>3.03</v>
      </c>
      <c r="K670" t="n">
        <v>14.95</v>
      </c>
      <c r="L670" t="n">
        <v>14.95</v>
      </c>
      <c r="M670" s="175" t="n">
        <v>0.01</v>
      </c>
      <c r="N670" t="inlineStr">
        <is>
          <t>東元集團旗下台灣最大總機系統供應商</t>
        </is>
      </c>
    </row>
    <row r="671">
      <c r="A671" t="n">
        <v>2323</v>
      </c>
      <c r="B671" t="inlineStr">
        <is>
          <t>中環</t>
        </is>
      </c>
      <c r="C671" t="n">
        <v>10.7</v>
      </c>
      <c r="D671" t="n">
        <v>11.6</v>
      </c>
      <c r="E671" s="504" t="n">
        <v>1.05</v>
      </c>
      <c r="F671" s="505" t="n">
        <v>9.949999999999999</v>
      </c>
      <c r="G671" t="inlineStr">
        <is>
          <t>3.69億</t>
        </is>
      </c>
      <c r="H671" t="n">
        <v>33082</v>
      </c>
      <c r="I671" t="n">
        <v>8893</v>
      </c>
      <c r="J671" t="n">
        <v>108.93</v>
      </c>
      <c r="K671" t="n">
        <v>11.6</v>
      </c>
      <c r="L671" t="n">
        <v>10.55</v>
      </c>
      <c r="M671" s="175" t="n">
        <v>3.04</v>
      </c>
      <c r="N671" t="inlineStr">
        <is>
          <t>全球前三大光碟片製造商之一</t>
        </is>
      </c>
    </row>
    <row r="672">
      <c r="A672" t="n">
        <v>2324</v>
      </c>
      <c r="B672" t="inlineStr">
        <is>
          <t>仁寶</t>
        </is>
      </c>
      <c r="C672" t="n">
        <v>44.3</v>
      </c>
      <c r="D672" t="n">
        <v>44.35</v>
      </c>
      <c r="E672" s="504" t="n">
        <v>4</v>
      </c>
      <c r="F672" s="505" t="n">
        <v>9.91</v>
      </c>
      <c r="G672" t="inlineStr">
        <is>
          <t>78.5億</t>
        </is>
      </c>
      <c r="H672" t="n">
        <v>177437</v>
      </c>
      <c r="I672" t="n">
        <v>264914</v>
      </c>
      <c r="J672" t="n">
        <v>440.71</v>
      </c>
      <c r="K672" t="n">
        <v>44.35</v>
      </c>
      <c r="L672" t="n">
        <v>43.1</v>
      </c>
      <c r="M672" s="175" t="n">
        <v>4.03</v>
      </c>
      <c r="N672" t="inlineStr">
        <is>
          <t>全球前五大NB代工廠</t>
        </is>
      </c>
    </row>
    <row r="673">
      <c r="A673" t="n">
        <v>2327</v>
      </c>
      <c r="B673" t="inlineStr">
        <is>
          <t>國巨*</t>
        </is>
      </c>
      <c r="C673" t="n">
        <v>771</v>
      </c>
      <c r="D673" t="n">
        <v>846</v>
      </c>
      <c r="E673" s="504" t="n">
        <v>56</v>
      </c>
      <c r="F673" s="505" t="n">
        <v>7.09</v>
      </c>
      <c r="G673" t="inlineStr">
        <is>
          <t>168億</t>
        </is>
      </c>
      <c r="H673" t="n">
        <v>21609</v>
      </c>
      <c r="I673" t="n">
        <v>28104</v>
      </c>
      <c r="J673" t="n">
        <v>51.79</v>
      </c>
      <c r="K673" t="n">
        <v>847</v>
      </c>
      <c r="L673" t="n">
        <v>757</v>
      </c>
      <c r="M673" s="175" t="n">
        <v>1.04</v>
      </c>
      <c r="N673" t="inlineStr">
        <is>
          <t>全球被動元件供應商，亦為全球晶片電阻大廠</t>
        </is>
      </c>
    </row>
    <row r="674">
      <c r="A674" t="n">
        <v>2328</v>
      </c>
      <c r="B674" t="inlineStr">
        <is>
          <t>廣宇</t>
        </is>
      </c>
      <c r="C674" t="n">
        <v>64.40000000000001</v>
      </c>
      <c r="D674" t="n">
        <v>61.7</v>
      </c>
      <c r="E674" s="504" t="n">
        <v>0.7</v>
      </c>
      <c r="F674" s="505" t="n">
        <v>1.15</v>
      </c>
      <c r="G674" t="inlineStr">
        <is>
          <t>44.5億</t>
        </is>
      </c>
      <c r="H674" t="n">
        <v>72270</v>
      </c>
      <c r="I674" t="n">
        <v>14775</v>
      </c>
      <c r="J674" t="n">
        <v>51.83</v>
      </c>
      <c r="K674" t="n">
        <v>64.5</v>
      </c>
      <c r="L674" t="n">
        <v>59</v>
      </c>
      <c r="M674" s="175" t="n">
        <v>13.94</v>
      </c>
      <c r="N674" t="inlineStr">
        <is>
          <t>鴻海旗下電子零件代工、PCB及連接器廠</t>
        </is>
      </c>
    </row>
    <row r="675">
      <c r="A675" t="n">
        <v>2329</v>
      </c>
      <c r="B675" t="inlineStr">
        <is>
          <t>華泰</t>
        </is>
      </c>
      <c r="C675" t="n">
        <v>61.1</v>
      </c>
      <c r="D675" t="n">
        <v>58.9</v>
      </c>
      <c r="E675" s="504" t="n">
        <v>-2.1</v>
      </c>
      <c r="F675" s="505" t="n">
        <v>-3.44</v>
      </c>
      <c r="G675" t="inlineStr">
        <is>
          <t>9.02億</t>
        </is>
      </c>
      <c r="H675" t="n">
        <v>15324</v>
      </c>
      <c r="I675" t="n">
        <v>26352</v>
      </c>
      <c r="J675" t="n">
        <v>65.89</v>
      </c>
      <c r="K675" t="n">
        <v>61.3</v>
      </c>
      <c r="L675" t="n">
        <v>57.2</v>
      </c>
      <c r="M675" s="175" t="n">
        <v>2.33</v>
      </c>
      <c r="N675" t="inlineStr">
        <is>
          <t>半導體封測及EMS廠</t>
        </is>
      </c>
    </row>
    <row r="676">
      <c r="A676" t="n">
        <v>2330</v>
      </c>
      <c r="B676" t="inlineStr">
        <is>
          <t>台積電</t>
        </is>
      </c>
      <c r="C676" t="n">
        <v>2390</v>
      </c>
      <c r="D676" t="n">
        <v>2380</v>
      </c>
      <c r="E676" s="504" t="n">
        <v>25</v>
      </c>
      <c r="F676" s="505" t="n">
        <v>1.06</v>
      </c>
      <c r="G676" t="inlineStr">
        <is>
          <t>704億</t>
        </is>
      </c>
      <c r="H676" t="n">
        <v>29567</v>
      </c>
      <c r="I676" t="n">
        <v>56218</v>
      </c>
      <c r="J676" t="n">
        <v>2593.24</v>
      </c>
      <c r="K676" t="n">
        <v>2400</v>
      </c>
      <c r="L676" t="n">
        <v>2360</v>
      </c>
      <c r="M676" s="175" t="n">
        <v>0.11</v>
      </c>
      <c r="N676" t="inlineStr">
        <is>
          <t>全球第一大晶圓代工廠</t>
        </is>
      </c>
    </row>
    <row r="677">
      <c r="A677" t="n">
        <v>2331</v>
      </c>
      <c r="B677" t="inlineStr">
        <is>
          <t>精英</t>
        </is>
      </c>
      <c r="C677" t="n">
        <v>26</v>
      </c>
      <c r="D677" t="n">
        <v>25.6</v>
      </c>
      <c r="E677" s="504" t="n">
        <v>1.2</v>
      </c>
      <c r="F677" s="505" t="n">
        <v>4.92</v>
      </c>
      <c r="G677" t="inlineStr">
        <is>
          <t>9.29億</t>
        </is>
      </c>
      <c r="H677" t="n">
        <v>36492</v>
      </c>
      <c r="I677" t="n">
        <v>6510</v>
      </c>
      <c r="J677" t="n">
        <v>55.74</v>
      </c>
      <c r="K677" t="n">
        <v>26.5</v>
      </c>
      <c r="L677" t="n">
        <v>24.8</v>
      </c>
      <c r="M677" s="175" t="n">
        <v>6.55</v>
      </c>
      <c r="N677" t="inlineStr">
        <is>
          <t>大同轉投資主機板及電腦產品專業代工廠</t>
        </is>
      </c>
    </row>
    <row r="678">
      <c r="A678" t="n">
        <v>2332</v>
      </c>
      <c r="B678" t="inlineStr">
        <is>
          <t>友訊</t>
        </is>
      </c>
      <c r="C678" t="n">
        <v>17</v>
      </c>
      <c r="D678" t="n">
        <v>17.3</v>
      </c>
      <c r="E678" s="504" t="n">
        <v>0.6</v>
      </c>
      <c r="F678" s="505" t="n">
        <v>3.59</v>
      </c>
      <c r="G678" t="inlineStr">
        <is>
          <t>1.68億</t>
        </is>
      </c>
      <c r="H678" t="n">
        <v>9869</v>
      </c>
      <c r="I678" t="n">
        <v>10408</v>
      </c>
      <c r="J678" t="n">
        <v>60.22</v>
      </c>
      <c r="K678" t="n">
        <v>17.4</v>
      </c>
      <c r="L678" t="n">
        <v>16.55</v>
      </c>
      <c r="M678" s="175" t="n">
        <v>1.64</v>
      </c>
      <c r="N678" t="inlineStr">
        <is>
          <t>以D-Link品牌行銷網通設備之全球領導廠商</t>
        </is>
      </c>
    </row>
    <row r="679">
      <c r="A679" t="n">
        <v>2337</v>
      </c>
      <c r="B679" t="inlineStr">
        <is>
          <t>旺宏</t>
        </is>
      </c>
      <c r="C679" t="n">
        <v>173</v>
      </c>
      <c r="D679" t="n">
        <v>175.5</v>
      </c>
      <c r="E679" s="504" t="n">
        <v>8</v>
      </c>
      <c r="F679" s="505" t="n">
        <v>4.78</v>
      </c>
      <c r="G679" t="inlineStr">
        <is>
          <t>430億</t>
        </is>
      </c>
      <c r="H679" t="n">
        <v>245056</v>
      </c>
      <c r="I679" t="n">
        <v>197619</v>
      </c>
      <c r="J679" t="n">
        <v>198.13</v>
      </c>
      <c r="K679" t="n">
        <v>180</v>
      </c>
      <c r="L679" t="n">
        <v>170</v>
      </c>
      <c r="M679" s="175" t="n">
        <v>12.37</v>
      </c>
      <c r="N679" t="inlineStr">
        <is>
          <t>全球非揮發性記憶體整合元件領導廠</t>
        </is>
      </c>
    </row>
    <row r="680">
      <c r="A680" t="n">
        <v>2338</v>
      </c>
      <c r="B680" t="inlineStr">
        <is>
          <t>光罩</t>
        </is>
      </c>
      <c r="C680" t="n">
        <v>56.9</v>
      </c>
      <c r="D680" t="n">
        <v>54.5</v>
      </c>
      <c r="E680" s="504" t="n">
        <v>-2.7</v>
      </c>
      <c r="F680" s="505" t="n">
        <v>-4.72</v>
      </c>
      <c r="G680" t="inlineStr">
        <is>
          <t>4.56億</t>
        </is>
      </c>
      <c r="H680" t="n">
        <v>8332</v>
      </c>
      <c r="I680" t="n">
        <v>12249</v>
      </c>
      <c r="J680" t="n">
        <v>36.68</v>
      </c>
      <c r="K680" t="n">
        <v>57</v>
      </c>
      <c r="L680" t="n">
        <v>53.1</v>
      </c>
      <c r="M680" s="175" t="n">
        <v>2.27</v>
      </c>
      <c r="N680" t="inlineStr">
        <is>
          <t>光聚晶電旗下專業光罩廠</t>
        </is>
      </c>
    </row>
    <row r="681">
      <c r="A681" t="n">
        <v>2340</v>
      </c>
      <c r="B681" t="inlineStr">
        <is>
          <t>台亞</t>
        </is>
      </c>
      <c r="C681" t="n">
        <v>36.5</v>
      </c>
      <c r="D681" t="n">
        <v>35.3</v>
      </c>
      <c r="E681" s="504" t="n">
        <v>-1.3</v>
      </c>
      <c r="F681" s="505" t="n">
        <v>-3.55</v>
      </c>
      <c r="G681" t="inlineStr">
        <is>
          <t>2.71億</t>
        </is>
      </c>
      <c r="H681" t="n">
        <v>7662</v>
      </c>
      <c r="I681" t="n">
        <v>9563</v>
      </c>
      <c r="J681" t="n">
        <v>43.86</v>
      </c>
      <c r="K681" t="n">
        <v>36.8</v>
      </c>
      <c r="L681" t="n">
        <v>34.45</v>
      </c>
      <c r="M681" s="175" t="n">
        <v>2.02</v>
      </c>
      <c r="N681" t="inlineStr">
        <is>
          <t>日亞化轉投資感測元件與LED發光元件公司</t>
        </is>
      </c>
    </row>
    <row r="682">
      <c r="A682" t="n">
        <v>2342</v>
      </c>
      <c r="B682" t="inlineStr">
        <is>
          <t>茂矽</t>
        </is>
      </c>
      <c r="C682" t="n">
        <v>41.75</v>
      </c>
      <c r="D682" t="n">
        <v>40.6</v>
      </c>
      <c r="E682" s="504" t="n">
        <v>-1.1</v>
      </c>
      <c r="F682" s="505" t="n">
        <v>-2.64</v>
      </c>
      <c r="G682" t="inlineStr">
        <is>
          <t>1.93億</t>
        </is>
      </c>
      <c r="H682" t="n">
        <v>4755</v>
      </c>
      <c r="I682" t="n">
        <v>11471</v>
      </c>
      <c r="J682" t="n">
        <v>15.75</v>
      </c>
      <c r="K682" t="n">
        <v>42.4</v>
      </c>
      <c r="L682" t="n">
        <v>39.7</v>
      </c>
      <c r="M682" s="175" t="n">
        <v>3.02</v>
      </c>
      <c r="N682" t="inlineStr">
        <is>
          <t>功率元件及電源管理IC之晶圓代工廠</t>
        </is>
      </c>
    </row>
    <row r="683">
      <c r="A683" t="n">
        <v>2344</v>
      </c>
      <c r="B683" t="inlineStr">
        <is>
          <t>華邦電</t>
        </is>
      </c>
      <c r="C683" t="n">
        <v>174</v>
      </c>
      <c r="D683" t="n">
        <v>184.5</v>
      </c>
      <c r="E683" s="504" t="n">
        <v>16.5</v>
      </c>
      <c r="F683" s="505" t="n">
        <v>9.82</v>
      </c>
      <c r="G683" t="inlineStr">
        <is>
          <t>488億</t>
        </is>
      </c>
      <c r="H683" t="n">
        <v>267800</v>
      </c>
      <c r="I683" t="n">
        <v>336552</v>
      </c>
      <c r="J683" t="n">
        <v>450</v>
      </c>
      <c r="K683" t="n">
        <v>184.5</v>
      </c>
      <c r="L683" t="n">
        <v>171.5</v>
      </c>
      <c r="M683" s="175" t="n">
        <v>5.95</v>
      </c>
      <c r="N683" t="inlineStr">
        <is>
          <t>專注於利基型DRAM與NOR Flash市場</t>
        </is>
      </c>
    </row>
    <row r="684">
      <c r="A684" t="n">
        <v>2345</v>
      </c>
      <c r="B684" t="inlineStr">
        <is>
          <t>智邦</t>
        </is>
      </c>
      <c r="C684" t="n">
        <v>2505</v>
      </c>
      <c r="D684" t="n">
        <v>2425</v>
      </c>
      <c r="E684" s="504" t="n">
        <v>-85</v>
      </c>
      <c r="F684" s="505" t="n">
        <v>-3.39</v>
      </c>
      <c r="G684" t="inlineStr">
        <is>
          <t>87.8億</t>
        </is>
      </c>
      <c r="H684" t="n">
        <v>3598</v>
      </c>
      <c r="I684" t="n">
        <v>4491</v>
      </c>
      <c r="J684" t="n">
        <v>56.11</v>
      </c>
      <c r="K684" t="n">
        <v>2520</v>
      </c>
      <c r="L684" t="n">
        <v>2390</v>
      </c>
      <c r="M684" s="175" t="n">
        <v>0.64</v>
      </c>
      <c r="N684" t="inlineStr">
        <is>
          <t>以網路交換器為主產品的網通設備代工大廠</t>
        </is>
      </c>
    </row>
    <row r="685">
      <c r="A685" t="n">
        <v>2347</v>
      </c>
      <c r="B685" t="inlineStr">
        <is>
          <t>聯強</t>
        </is>
      </c>
      <c r="C685" t="n">
        <v>86.40000000000001</v>
      </c>
      <c r="D685" t="n">
        <v>91.5</v>
      </c>
      <c r="E685" s="504" t="n">
        <v>5</v>
      </c>
      <c r="F685" s="505" t="n">
        <v>5.78</v>
      </c>
      <c r="G685" t="inlineStr">
        <is>
          <t>18.5億</t>
        </is>
      </c>
      <c r="H685" t="n">
        <v>20223</v>
      </c>
      <c r="I685" t="n">
        <v>4693</v>
      </c>
      <c r="J685" t="n">
        <v>166.79</v>
      </c>
      <c r="K685" t="n">
        <v>94</v>
      </c>
      <c r="L685" t="n">
        <v>86.40000000000001</v>
      </c>
      <c r="M685" s="175" t="n">
        <v>1.21</v>
      </c>
      <c r="N685" t="inlineStr">
        <is>
          <t>亞太最大、全球前三大3C產品通路商</t>
        </is>
      </c>
    </row>
    <row r="686">
      <c r="A686" t="n">
        <v>2348</v>
      </c>
      <c r="B686" t="inlineStr">
        <is>
          <t>海悅</t>
        </is>
      </c>
      <c r="C686" t="n">
        <v>69.90000000000001</v>
      </c>
      <c r="D686" t="n">
        <v>70.7</v>
      </c>
      <c r="E686" s="504" t="n">
        <v>0.8</v>
      </c>
      <c r="F686" s="505" t="n">
        <v>1.14</v>
      </c>
      <c r="G686" t="inlineStr">
        <is>
          <t>2304萬</t>
        </is>
      </c>
      <c r="H686" t="n">
        <v>328</v>
      </c>
      <c r="I686" t="n">
        <v>294</v>
      </c>
      <c r="J686" t="n">
        <v>15.19</v>
      </c>
      <c r="K686" t="n">
        <v>70.7</v>
      </c>
      <c r="L686" t="n">
        <v>69.3</v>
      </c>
      <c r="M686" s="175" t="n">
        <v>0.22</v>
      </c>
      <c r="N686" t="inlineStr">
        <is>
          <t>台灣房屋代銷龍頭業者</t>
        </is>
      </c>
    </row>
    <row r="687">
      <c r="A687" t="n">
        <v>2349</v>
      </c>
      <c r="B687" t="inlineStr">
        <is>
          <t>錸德</t>
        </is>
      </c>
      <c r="C687" t="n">
        <v>14.45</v>
      </c>
      <c r="D687" t="n">
        <v>14.7</v>
      </c>
      <c r="E687" s="504" t="n">
        <v>0.4</v>
      </c>
      <c r="F687" s="505" t="n">
        <v>2.8</v>
      </c>
      <c r="G687" t="inlineStr">
        <is>
          <t>1.77億</t>
        </is>
      </c>
      <c r="H687" t="n">
        <v>12293</v>
      </c>
      <c r="I687" t="n">
        <v>11772</v>
      </c>
      <c r="J687" t="n">
        <v>69.37</v>
      </c>
      <c r="K687" t="n">
        <v>15</v>
      </c>
      <c r="L687" t="n">
        <v>13.85</v>
      </c>
      <c r="M687" s="175" t="n">
        <v>1.77</v>
      </c>
      <c r="N687" t="inlineStr">
        <is>
          <t>全球前三大光碟片製造商之一</t>
        </is>
      </c>
    </row>
    <row r="688">
      <c r="A688" t="n">
        <v>2351</v>
      </c>
      <c r="B688" t="inlineStr">
        <is>
          <t>順德</t>
        </is>
      </c>
      <c r="C688" t="n">
        <v>202</v>
      </c>
      <c r="D688" t="n">
        <v>200</v>
      </c>
      <c r="E688" s="504" t="n">
        <v>-2</v>
      </c>
      <c r="F688" s="505" t="n">
        <v>-0.99</v>
      </c>
      <c r="G688" t="inlineStr">
        <is>
          <t>10.2億</t>
        </is>
      </c>
      <c r="H688" t="n">
        <v>5143</v>
      </c>
      <c r="I688" t="n">
        <v>9761</v>
      </c>
      <c r="J688" t="n">
        <v>19.05</v>
      </c>
      <c r="K688" t="n">
        <v>206</v>
      </c>
      <c r="L688" t="n">
        <v>192</v>
      </c>
      <c r="M688" s="175" t="n">
        <v>2.82</v>
      </c>
      <c r="N688" t="inlineStr">
        <is>
          <t>全球導線架前五大供應商之一</t>
        </is>
      </c>
    </row>
    <row r="689">
      <c r="A689" t="n">
        <v>2352</v>
      </c>
      <c r="B689" t="inlineStr">
        <is>
          <t>佳世達</t>
        </is>
      </c>
      <c r="C689" t="n">
        <v>30.65</v>
      </c>
      <c r="D689" t="n">
        <v>31.5</v>
      </c>
      <c r="E689" s="504" t="n">
        <v>0.85</v>
      </c>
      <c r="F689" s="505" t="n">
        <v>2.77</v>
      </c>
      <c r="G689" t="inlineStr">
        <is>
          <t>6.70億</t>
        </is>
      </c>
      <c r="H689" t="n">
        <v>21712</v>
      </c>
      <c r="I689" t="n">
        <v>14084</v>
      </c>
      <c r="J689" t="n">
        <v>158.05</v>
      </c>
      <c r="K689" t="n">
        <v>31.5</v>
      </c>
      <c r="L689" t="n">
        <v>30.15</v>
      </c>
      <c r="M689" s="175" t="n">
        <v>1.37</v>
      </c>
      <c r="N689" t="inlineStr">
        <is>
          <t>LCD顯示器及投影機大廠</t>
        </is>
      </c>
    </row>
    <row r="690">
      <c r="A690" t="n">
        <v>2353</v>
      </c>
      <c r="B690" t="inlineStr">
        <is>
          <t>宏碁</t>
        </is>
      </c>
      <c r="C690" t="n">
        <v>42.55</v>
      </c>
      <c r="D690" t="n">
        <v>42.55</v>
      </c>
      <c r="E690" s="504" t="n">
        <v>3.85</v>
      </c>
      <c r="F690" s="505" t="n">
        <v>9.949999999999999</v>
      </c>
      <c r="G690" t="inlineStr">
        <is>
          <t>92.1億</t>
        </is>
      </c>
      <c r="H690" t="n">
        <v>216733</v>
      </c>
      <c r="I690" t="n">
        <v>72560</v>
      </c>
      <c r="J690" t="n">
        <v>304.79</v>
      </c>
      <c r="K690" t="n">
        <v>42.55</v>
      </c>
      <c r="L690" t="n">
        <v>41.6</v>
      </c>
      <c r="M690" s="175" t="n">
        <v>7.11</v>
      </c>
      <c r="N690" t="inlineStr">
        <is>
          <t>全球前五大NB品牌廠</t>
        </is>
      </c>
    </row>
    <row r="691">
      <c r="A691" t="n">
        <v>2354</v>
      </c>
      <c r="B691" t="inlineStr">
        <is>
          <t>鴻準</t>
        </is>
      </c>
      <c r="C691" t="n">
        <v>63.5</v>
      </c>
      <c r="D691" t="n">
        <v>64</v>
      </c>
      <c r="E691" s="504" t="n">
        <v>1.2</v>
      </c>
      <c r="F691" s="505" t="n">
        <v>1.91</v>
      </c>
      <c r="G691" t="inlineStr">
        <is>
          <t>19.1億</t>
        </is>
      </c>
      <c r="H691" t="n">
        <v>30001</v>
      </c>
      <c r="I691" t="n">
        <v>16953</v>
      </c>
      <c r="J691" t="n">
        <v>141.45</v>
      </c>
      <c r="K691" t="n">
        <v>64.5</v>
      </c>
      <c r="L691" t="n">
        <v>62.8</v>
      </c>
      <c r="M691" s="175" t="n">
        <v>2.12</v>
      </c>
      <c r="N691" t="inlineStr">
        <is>
          <t>鴻海旗下散熱模組及鋁鎂合金廠</t>
        </is>
      </c>
    </row>
    <row r="692">
      <c r="A692" t="n">
        <v>2355</v>
      </c>
      <c r="B692" t="inlineStr">
        <is>
          <t>敬鵬</t>
        </is>
      </c>
      <c r="C692" t="n">
        <v>60.5</v>
      </c>
      <c r="D692" t="n">
        <v>60.1</v>
      </c>
      <c r="E692" s="504" t="n">
        <v>-0.1</v>
      </c>
      <c r="F692" s="505" t="n">
        <v>-0.17</v>
      </c>
      <c r="G692" t="inlineStr">
        <is>
          <t>9.83億</t>
        </is>
      </c>
      <c r="H692" t="n">
        <v>16440</v>
      </c>
      <c r="I692" t="n">
        <v>27376</v>
      </c>
      <c r="J692" t="n">
        <v>39.75</v>
      </c>
      <c r="K692" t="n">
        <v>61.8</v>
      </c>
      <c r="L692" t="n">
        <v>58.7</v>
      </c>
      <c r="M692" s="175" t="n">
        <v>4.14</v>
      </c>
      <c r="N692" t="inlineStr">
        <is>
          <t>全球車用PCB龍頭廠</t>
        </is>
      </c>
    </row>
    <row r="693">
      <c r="A693" t="n">
        <v>2356</v>
      </c>
      <c r="B693" t="inlineStr">
        <is>
          <t>英業達</t>
        </is>
      </c>
      <c r="C693" t="n">
        <v>77</v>
      </c>
      <c r="D693" t="n">
        <v>80.59999999999999</v>
      </c>
      <c r="E693" s="504" t="n">
        <v>3.4</v>
      </c>
      <c r="F693" s="505" t="n">
        <v>4.4</v>
      </c>
      <c r="G693" t="inlineStr">
        <is>
          <t>236億</t>
        </is>
      </c>
      <c r="H693" t="n">
        <v>293868</v>
      </c>
      <c r="I693" t="n">
        <v>174169</v>
      </c>
      <c r="J693" t="n">
        <v>358.75</v>
      </c>
      <c r="K693" t="n">
        <v>83.5</v>
      </c>
      <c r="L693" t="n">
        <v>75.3</v>
      </c>
      <c r="M693" s="175" t="n">
        <v>8.19</v>
      </c>
      <c r="N693" t="inlineStr">
        <is>
          <t>全球前五大NB代工廠</t>
        </is>
      </c>
    </row>
    <row r="694">
      <c r="A694" t="n">
        <v>2357</v>
      </c>
      <c r="B694" t="inlineStr">
        <is>
          <t>華碩</t>
        </is>
      </c>
      <c r="C694" t="n">
        <v>914</v>
      </c>
      <c r="D694" t="n">
        <v>920</v>
      </c>
      <c r="E694" s="504" t="n">
        <v>83</v>
      </c>
      <c r="F694" s="505" t="n">
        <v>9.92</v>
      </c>
      <c r="G694" t="inlineStr">
        <is>
          <t>102億</t>
        </is>
      </c>
      <c r="H694" t="n">
        <v>11117</v>
      </c>
      <c r="I694" t="n">
        <v>6300</v>
      </c>
      <c r="J694" t="n">
        <v>74.28</v>
      </c>
      <c r="K694" t="n">
        <v>920</v>
      </c>
      <c r="L694" t="n">
        <v>883</v>
      </c>
      <c r="M694" s="175" t="n">
        <v>1.5</v>
      </c>
      <c r="N694" t="inlineStr">
        <is>
          <t>全球最大自有品牌主機板兼NB廠</t>
        </is>
      </c>
    </row>
    <row r="695">
      <c r="A695" t="n">
        <v>2359</v>
      </c>
      <c r="B695" t="inlineStr">
        <is>
          <t>所羅門</t>
        </is>
      </c>
      <c r="C695" t="n">
        <v>151</v>
      </c>
      <c r="D695" t="n">
        <v>143.5</v>
      </c>
      <c r="E695" s="504" t="n">
        <v>-7</v>
      </c>
      <c r="F695" s="505" t="n">
        <v>-4.65</v>
      </c>
      <c r="G695" t="inlineStr">
        <is>
          <t>9.60億</t>
        </is>
      </c>
      <c r="H695" t="n">
        <v>6696</v>
      </c>
      <c r="I695" t="n">
        <v>8535</v>
      </c>
      <c r="J695" t="n">
        <v>17.15</v>
      </c>
      <c r="K695" t="n">
        <v>151</v>
      </c>
      <c r="L695" t="n">
        <v>139</v>
      </c>
      <c r="M695" s="175" t="n">
        <v>3.91</v>
      </c>
      <c r="N695" t="inlineStr">
        <is>
          <t>電子零組件專業代理商</t>
        </is>
      </c>
    </row>
    <row r="696">
      <c r="A696" t="n">
        <v>2360</v>
      </c>
      <c r="B696" t="inlineStr">
        <is>
          <t>致茂</t>
        </is>
      </c>
      <c r="C696" t="n">
        <v>2570</v>
      </c>
      <c r="D696" t="n">
        <v>2420</v>
      </c>
      <c r="E696" s="504" t="n">
        <v>-160</v>
      </c>
      <c r="F696" s="505" t="n">
        <v>-6.2</v>
      </c>
      <c r="G696" t="inlineStr">
        <is>
          <t>69.4億</t>
        </is>
      </c>
      <c r="H696" t="n">
        <v>2825</v>
      </c>
      <c r="I696" t="n">
        <v>3915</v>
      </c>
      <c r="J696" t="n">
        <v>42.52</v>
      </c>
      <c r="K696" t="n">
        <v>2605</v>
      </c>
      <c r="L696" t="n">
        <v>2390</v>
      </c>
      <c r="M696" s="175" t="n">
        <v>0.66</v>
      </c>
      <c r="N696" t="inlineStr">
        <is>
          <t>全球知名的自動測試設備品牌大廠</t>
        </is>
      </c>
    </row>
    <row r="697">
      <c r="A697" t="n">
        <v>2362</v>
      </c>
      <c r="B697" t="inlineStr">
        <is>
          <t>藍天</t>
        </is>
      </c>
      <c r="C697" t="n">
        <v>46.95</v>
      </c>
      <c r="D697" t="n">
        <v>51.9</v>
      </c>
      <c r="E697" s="504" t="n">
        <v>4.65</v>
      </c>
      <c r="F697" s="505" t="n">
        <v>9.84</v>
      </c>
      <c r="G697" t="inlineStr">
        <is>
          <t>6.29億</t>
        </is>
      </c>
      <c r="H697" t="n">
        <v>12817</v>
      </c>
      <c r="I697" t="n">
        <v>3845</v>
      </c>
      <c r="J697" t="n">
        <v>62.23</v>
      </c>
      <c r="K697" t="n">
        <v>51.9</v>
      </c>
      <c r="L697" t="n">
        <v>45.85</v>
      </c>
      <c r="M697" s="175" t="n">
        <v>2.06</v>
      </c>
      <c r="N697" t="inlineStr">
        <is>
          <t>筆電製造商，並轉投資大陸最大IT賣場百腦匯</t>
        </is>
      </c>
    </row>
    <row r="698">
      <c r="A698" t="n">
        <v>2363</v>
      </c>
      <c r="B698" t="inlineStr">
        <is>
          <t>矽統</t>
        </is>
      </c>
      <c r="C698" t="n">
        <v>68.2</v>
      </c>
      <c r="D698" t="n">
        <v>66.8</v>
      </c>
      <c r="E698" s="504" t="n">
        <v>-0.3</v>
      </c>
      <c r="F698" s="505" t="n">
        <v>-0.45</v>
      </c>
      <c r="G698" t="inlineStr">
        <is>
          <t>12.1億</t>
        </is>
      </c>
      <c r="H698" t="n">
        <v>18018</v>
      </c>
      <c r="I698" t="n">
        <v>20612</v>
      </c>
      <c r="J698" t="n">
        <v>51.5</v>
      </c>
      <c r="K698" t="n">
        <v>69.8</v>
      </c>
      <c r="L698" t="n">
        <v>64.09999999999999</v>
      </c>
      <c r="M698" s="175" t="n">
        <v>3.5</v>
      </c>
      <c r="N698" t="inlineStr">
        <is>
          <t>轉型為觸控IC設計廠商</t>
        </is>
      </c>
    </row>
    <row r="699">
      <c r="A699" t="n">
        <v>2364</v>
      </c>
      <c r="B699" t="inlineStr">
        <is>
          <t>倫飛</t>
        </is>
      </c>
      <c r="C699" t="n">
        <v>72.5</v>
      </c>
      <c r="D699" t="n">
        <v>70.90000000000001</v>
      </c>
      <c r="E699" s="504" t="n">
        <v>-0.7</v>
      </c>
      <c r="F699" s="505" t="n">
        <v>-0.98</v>
      </c>
      <c r="G699" t="inlineStr">
        <is>
          <t>2194萬</t>
        </is>
      </c>
      <c r="H699" t="n">
        <v>311</v>
      </c>
      <c r="I699" t="n">
        <v>289</v>
      </c>
      <c r="J699" t="n">
        <v>5.24</v>
      </c>
      <c r="K699" t="n">
        <v>72.5</v>
      </c>
      <c r="L699" t="n">
        <v>69.59999999999999</v>
      </c>
      <c r="M699" s="175" t="n">
        <v>0.59</v>
      </c>
      <c r="N699" t="inlineStr">
        <is>
          <t>主攻軍工規格NB廠商</t>
        </is>
      </c>
    </row>
    <row r="700">
      <c r="A700" t="n">
        <v>2365</v>
      </c>
      <c r="B700" t="inlineStr">
        <is>
          <t>昆盈</t>
        </is>
      </c>
      <c r="C700" t="n">
        <v>38.45</v>
      </c>
      <c r="D700" t="n">
        <v>37.05</v>
      </c>
      <c r="E700" s="504" t="n">
        <v>-0.95</v>
      </c>
      <c r="F700" s="505" t="n">
        <v>-2.5</v>
      </c>
      <c r="G700" t="inlineStr">
        <is>
          <t>1.68億</t>
        </is>
      </c>
      <c r="H700" t="n">
        <v>4542</v>
      </c>
      <c r="I700" t="n">
        <v>6987</v>
      </c>
      <c r="J700" t="n">
        <v>22.15</v>
      </c>
      <c r="K700" t="n">
        <v>38.45</v>
      </c>
      <c r="L700" t="n">
        <v>36.1</v>
      </c>
      <c r="M700" s="175" t="n">
        <v>2.05</v>
      </c>
      <c r="N700" t="inlineStr">
        <is>
          <t>「Genius」電腦週邊產品商</t>
        </is>
      </c>
    </row>
    <row r="701">
      <c r="A701" t="n">
        <v>2367</v>
      </c>
      <c r="B701" t="inlineStr">
        <is>
          <t>燿華</t>
        </is>
      </c>
      <c r="C701" t="n">
        <v>67.59999999999999</v>
      </c>
      <c r="D701" t="n">
        <v>65.8</v>
      </c>
      <c r="E701" s="504" t="n">
        <v>-1.6</v>
      </c>
      <c r="F701" s="505" t="n">
        <v>-2.37</v>
      </c>
      <c r="G701" t="inlineStr">
        <is>
          <t>17.4億</t>
        </is>
      </c>
      <c r="H701" t="n">
        <v>26318</v>
      </c>
      <c r="I701" t="n">
        <v>52324</v>
      </c>
      <c r="J701" t="n">
        <v>70.63</v>
      </c>
      <c r="K701" t="n">
        <v>68.7</v>
      </c>
      <c r="L701" t="n">
        <v>65</v>
      </c>
      <c r="M701" s="175" t="n">
        <v>3.73</v>
      </c>
      <c r="N701" t="inlineStr">
        <is>
          <t>台灣前三大手機印刷電路板廠之一</t>
        </is>
      </c>
    </row>
    <row r="702">
      <c r="A702" t="n">
        <v>2368</v>
      </c>
      <c r="B702" t="inlineStr">
        <is>
          <t>金像電</t>
        </is>
      </c>
      <c r="C702" t="n">
        <v>1330</v>
      </c>
      <c r="D702" t="n">
        <v>1275</v>
      </c>
      <c r="E702" s="504" t="n">
        <v>-50</v>
      </c>
      <c r="F702" s="505" t="n">
        <v>-3.77</v>
      </c>
      <c r="G702" t="inlineStr">
        <is>
          <t>86.5億</t>
        </is>
      </c>
      <c r="H702" t="n">
        <v>6804</v>
      </c>
      <c r="I702" t="n">
        <v>5594</v>
      </c>
      <c r="J702" t="n">
        <v>52.11</v>
      </c>
      <c r="K702" t="n">
        <v>1330</v>
      </c>
      <c r="L702" t="n">
        <v>1235</v>
      </c>
      <c r="M702" s="175" t="n">
        <v>1.32</v>
      </c>
      <c r="N702" t="inlineStr">
        <is>
          <t>全球最大伺服器用板製造商</t>
        </is>
      </c>
    </row>
    <row r="703">
      <c r="A703" t="n">
        <v>2369</v>
      </c>
      <c r="B703" t="inlineStr">
        <is>
          <t>菱生</t>
        </is>
      </c>
      <c r="C703" t="n">
        <v>39.35</v>
      </c>
      <c r="D703" t="n">
        <v>36.65</v>
      </c>
      <c r="E703" s="504" t="n">
        <v>-3.05</v>
      </c>
      <c r="F703" s="505" t="n">
        <v>-7.68</v>
      </c>
      <c r="G703" t="inlineStr">
        <is>
          <t>9.69億</t>
        </is>
      </c>
      <c r="H703" t="n">
        <v>26222</v>
      </c>
      <c r="I703" t="n">
        <v>55368</v>
      </c>
      <c r="J703" t="n">
        <v>38.01</v>
      </c>
      <c r="K703" t="n">
        <v>39.35</v>
      </c>
      <c r="L703" t="n">
        <v>35.9</v>
      </c>
      <c r="M703" s="175" t="n">
        <v>6.9</v>
      </c>
      <c r="N703" t="inlineStr">
        <is>
          <t>台灣專注於類比IC的小型封裝廠</t>
        </is>
      </c>
    </row>
    <row r="704">
      <c r="A704" t="n">
        <v>2371</v>
      </c>
      <c r="B704" t="inlineStr">
        <is>
          <t>大同</t>
        </is>
      </c>
      <c r="C704" t="n">
        <v>30.25</v>
      </c>
      <c r="D704" t="n">
        <v>29.85</v>
      </c>
      <c r="E704" s="504" t="n">
        <v>-0.4</v>
      </c>
      <c r="F704" s="505" t="n">
        <v>-1.32</v>
      </c>
      <c r="G704" t="inlineStr">
        <is>
          <t>5.33億</t>
        </is>
      </c>
      <c r="H704" t="n">
        <v>17895</v>
      </c>
      <c r="I704" t="n">
        <v>19504</v>
      </c>
      <c r="J704" t="n">
        <v>215.08</v>
      </c>
      <c r="K704" t="n">
        <v>30.35</v>
      </c>
      <c r="L704" t="n">
        <v>29.5</v>
      </c>
      <c r="M704" s="175" t="n">
        <v>0.83</v>
      </c>
      <c r="N704" t="inlineStr">
        <is>
          <t>台灣重電及家電大廠，並擁有土地資產</t>
        </is>
      </c>
    </row>
    <row r="705">
      <c r="A705" t="n">
        <v>2373</v>
      </c>
      <c r="B705" t="inlineStr">
        <is>
          <t>震旦行</t>
        </is>
      </c>
      <c r="C705" t="n">
        <v>58.3</v>
      </c>
      <c r="D705" t="n">
        <v>58.4</v>
      </c>
      <c r="E705" s="504" t="n">
        <v>0</v>
      </c>
      <c r="F705" s="505" t="n">
        <v>0</v>
      </c>
      <c r="G705" t="inlineStr">
        <is>
          <t>418萬</t>
        </is>
      </c>
      <c r="H705" t="n">
        <v>72</v>
      </c>
      <c r="I705" t="n">
        <v>73</v>
      </c>
      <c r="J705" t="n">
        <v>23.62</v>
      </c>
      <c r="K705" t="n">
        <v>58.5</v>
      </c>
      <c r="L705" t="n">
        <v>57.4</v>
      </c>
      <c r="M705" s="175" t="n">
        <v>0.03</v>
      </c>
      <c r="N705" t="inlineStr">
        <is>
          <t>台灣最大的辦公設備與辦公家俱通路商</t>
        </is>
      </c>
    </row>
    <row r="706">
      <c r="A706" t="n">
        <v>2374</v>
      </c>
      <c r="B706" t="inlineStr">
        <is>
          <t>佳能</t>
        </is>
      </c>
      <c r="C706" t="n">
        <v>85.40000000000001</v>
      </c>
      <c r="D706" t="n">
        <v>82.5</v>
      </c>
      <c r="E706" s="504" t="n">
        <v>-2.2</v>
      </c>
      <c r="F706" s="505" t="n">
        <v>-2.6</v>
      </c>
      <c r="G706" t="inlineStr">
        <is>
          <t>11.7億</t>
        </is>
      </c>
      <c r="H706" t="n">
        <v>14129</v>
      </c>
      <c r="I706" t="n">
        <v>14725</v>
      </c>
      <c r="J706" t="n">
        <v>33.8</v>
      </c>
      <c r="K706" t="n">
        <v>85.40000000000001</v>
      </c>
      <c r="L706" t="n">
        <v>81.40000000000001</v>
      </c>
      <c r="M706" s="175" t="n">
        <v>4.2</v>
      </c>
      <c r="N706" t="inlineStr">
        <is>
          <t>以車載鏡頭及AI相機應用為主</t>
        </is>
      </c>
    </row>
    <row r="707">
      <c r="A707" t="n">
        <v>2375</v>
      </c>
      <c r="B707" t="inlineStr">
        <is>
          <t>凱美</t>
        </is>
      </c>
      <c r="C707" t="n">
        <v>160.5</v>
      </c>
      <c r="D707" t="n">
        <v>162.5</v>
      </c>
      <c r="E707" s="504" t="n">
        <v>-1.5</v>
      </c>
      <c r="F707" s="505" t="n">
        <v>-0.91</v>
      </c>
      <c r="G707" t="inlineStr">
        <is>
          <t>6.95億</t>
        </is>
      </c>
      <c r="H707" t="n">
        <v>4491</v>
      </c>
      <c r="I707" t="n">
        <v>27190</v>
      </c>
      <c r="J707" t="n">
        <v>10.87</v>
      </c>
      <c r="K707" t="n">
        <v>162.5</v>
      </c>
      <c r="L707" t="n">
        <v>150</v>
      </c>
      <c r="M707" s="175" t="n">
        <v>4.13</v>
      </c>
      <c r="N707" t="inlineStr">
        <is>
          <t>國巨旗下的專業鋁質電容廠</t>
        </is>
      </c>
    </row>
    <row r="708">
      <c r="A708" t="n">
        <v>2376</v>
      </c>
      <c r="B708" t="inlineStr">
        <is>
          <t>技嘉</t>
        </is>
      </c>
      <c r="C708" t="n">
        <v>387.5</v>
      </c>
      <c r="D708" t="n">
        <v>390.5</v>
      </c>
      <c r="E708" s="504" t="n">
        <v>3.5</v>
      </c>
      <c r="F708" s="505" t="n">
        <v>0.9</v>
      </c>
      <c r="G708" t="inlineStr">
        <is>
          <t>97.5億</t>
        </is>
      </c>
      <c r="H708" t="n">
        <v>25152</v>
      </c>
      <c r="I708" t="n">
        <v>21917</v>
      </c>
      <c r="J708" t="n">
        <v>66.98999999999999</v>
      </c>
      <c r="K708" t="n">
        <v>395</v>
      </c>
      <c r="L708" t="n">
        <v>379.5</v>
      </c>
      <c r="M708" s="175" t="n">
        <v>3.75</v>
      </c>
      <c r="N708" t="inlineStr">
        <is>
          <t>全球前四大主機板廠商之一</t>
        </is>
      </c>
    </row>
    <row r="709">
      <c r="A709" t="n">
        <v>2377</v>
      </c>
      <c r="B709" t="inlineStr">
        <is>
          <t>微星</t>
        </is>
      </c>
      <c r="C709" t="n">
        <v>145</v>
      </c>
      <c r="D709" t="n">
        <v>149</v>
      </c>
      <c r="E709" s="504" t="n">
        <v>7.5</v>
      </c>
      <c r="F709" s="505" t="n">
        <v>5.3</v>
      </c>
      <c r="G709" t="inlineStr">
        <is>
          <t>144億</t>
        </is>
      </c>
      <c r="H709" t="n">
        <v>97187</v>
      </c>
      <c r="I709" t="n">
        <v>41868</v>
      </c>
      <c r="J709" t="n">
        <v>84.48999999999999</v>
      </c>
      <c r="K709" t="n">
        <v>152.5</v>
      </c>
      <c r="L709" t="n">
        <v>142</v>
      </c>
      <c r="M709" s="175" t="n">
        <v>11.5</v>
      </c>
      <c r="N709" t="inlineStr">
        <is>
          <t>台灣知名主機板及電競筆電廠</t>
        </is>
      </c>
    </row>
    <row r="710">
      <c r="A710" t="n">
        <v>2379</v>
      </c>
      <c r="B710" t="inlineStr">
        <is>
          <t>瑞昱</t>
        </is>
      </c>
      <c r="C710" t="n">
        <v>612</v>
      </c>
      <c r="D710" t="n">
        <v>653</v>
      </c>
      <c r="E710" s="504" t="n">
        <v>44</v>
      </c>
      <c r="F710" s="505" t="n">
        <v>7.22</v>
      </c>
      <c r="G710" t="inlineStr">
        <is>
          <t>70.7億</t>
        </is>
      </c>
      <c r="H710" t="n">
        <v>11124</v>
      </c>
      <c r="I710" t="n">
        <v>5261</v>
      </c>
      <c r="J710" t="n">
        <v>51.55</v>
      </c>
      <c r="K710" t="n">
        <v>653</v>
      </c>
      <c r="L710" t="n">
        <v>602</v>
      </c>
      <c r="M710" s="175" t="n">
        <v>2.16</v>
      </c>
      <c r="N710" t="inlineStr">
        <is>
          <t>全球超高速乙太網路IC設計龍頭廠商</t>
        </is>
      </c>
    </row>
    <row r="711">
      <c r="A711" t="n">
        <v>2380</v>
      </c>
      <c r="B711" t="inlineStr">
        <is>
          <t>虹光</t>
        </is>
      </c>
      <c r="C711" t="n">
        <v>5.3</v>
      </c>
      <c r="D711" t="n">
        <v>5.77</v>
      </c>
      <c r="E711" s="504" t="n">
        <v>0.44</v>
      </c>
      <c r="F711" s="505" t="n">
        <v>8.26</v>
      </c>
      <c r="G711" t="inlineStr">
        <is>
          <t>123萬</t>
        </is>
      </c>
      <c r="H711" t="n">
        <v>228</v>
      </c>
      <c r="I711" t="n">
        <v>360</v>
      </c>
      <c r="J711" t="n">
        <v>21.69</v>
      </c>
      <c r="K711" t="n">
        <v>5.77</v>
      </c>
      <c r="L711" t="n">
        <v>5.3</v>
      </c>
      <c r="M711" s="175" t="n">
        <v>0.11</v>
      </c>
      <c r="N711" t="inlineStr">
        <is>
          <t>提供掃瞄器、MFP等數位化辦公設備供應商</t>
        </is>
      </c>
    </row>
    <row r="712">
      <c r="A712" t="n">
        <v>2382</v>
      </c>
      <c r="B712" t="inlineStr">
        <is>
          <t>廣達</t>
        </is>
      </c>
      <c r="C712" t="n">
        <v>375</v>
      </c>
      <c r="D712" t="n">
        <v>400.5</v>
      </c>
      <c r="E712" s="504" t="n">
        <v>28</v>
      </c>
      <c r="F712" s="505" t="n">
        <v>7.52</v>
      </c>
      <c r="G712" t="inlineStr">
        <is>
          <t>584億</t>
        </is>
      </c>
      <c r="H712" t="n">
        <v>149282</v>
      </c>
      <c r="I712" t="n">
        <v>59474</v>
      </c>
      <c r="J712" t="n">
        <v>386.26</v>
      </c>
      <c r="K712" t="n">
        <v>409.5</v>
      </c>
      <c r="L712" t="n">
        <v>369.5</v>
      </c>
      <c r="M712" s="175" t="n">
        <v>3.86</v>
      </c>
      <c r="N712" t="inlineStr">
        <is>
          <t>全球前五大NB代工廠</t>
        </is>
      </c>
    </row>
    <row r="713">
      <c r="A713" t="n">
        <v>2383</v>
      </c>
      <c r="B713" t="inlineStr">
        <is>
          <t>台光電</t>
        </is>
      </c>
      <c r="C713" t="n">
        <v>5060</v>
      </c>
      <c r="D713" t="n">
        <v>4860</v>
      </c>
      <c r="E713" s="504" t="n">
        <v>-210</v>
      </c>
      <c r="F713" s="505" t="n">
        <v>-4.14</v>
      </c>
      <c r="G713" t="inlineStr">
        <is>
          <t>91.6億</t>
        </is>
      </c>
      <c r="H713" t="n">
        <v>1862</v>
      </c>
      <c r="I713" t="n">
        <v>2702</v>
      </c>
      <c r="J713" t="n">
        <v>35.83</v>
      </c>
      <c r="K713" t="n">
        <v>5075</v>
      </c>
      <c r="L713" t="n">
        <v>4820</v>
      </c>
      <c r="M713" s="175" t="n">
        <v>0.52</v>
      </c>
      <c r="N713" t="inlineStr">
        <is>
          <t>全球第一大無鹵素板廠、台灣第二大CCL廠</t>
        </is>
      </c>
    </row>
    <row r="714">
      <c r="A714" t="n">
        <v>2385</v>
      </c>
      <c r="B714" t="inlineStr">
        <is>
          <t>群光</t>
        </is>
      </c>
      <c r="C714" t="n">
        <v>141.5</v>
      </c>
      <c r="D714" t="n">
        <v>143.5</v>
      </c>
      <c r="E714" s="504" t="n">
        <v>2</v>
      </c>
      <c r="F714" s="505" t="n">
        <v>1.41</v>
      </c>
      <c r="G714" t="inlineStr">
        <is>
          <t>7.45億</t>
        </is>
      </c>
      <c r="H714" t="n">
        <v>5263</v>
      </c>
      <c r="I714" t="n">
        <v>4735</v>
      </c>
      <c r="J714" t="n">
        <v>76.56999999999999</v>
      </c>
      <c r="K714" t="n">
        <v>143.5</v>
      </c>
      <c r="L714" t="n">
        <v>138.5</v>
      </c>
      <c r="M714" s="175" t="n">
        <v>0.6899999999999999</v>
      </c>
      <c r="N714" t="inlineStr">
        <is>
          <t>全球鍵盤及電源供應器大廠</t>
        </is>
      </c>
    </row>
    <row r="715">
      <c r="A715" t="n">
        <v>2387</v>
      </c>
      <c r="B715" t="inlineStr">
        <is>
          <t>精元</t>
        </is>
      </c>
      <c r="C715" t="n">
        <v>42.6</v>
      </c>
      <c r="D715" t="n">
        <v>43.25</v>
      </c>
      <c r="E715" s="504" t="n">
        <v>0.8</v>
      </c>
      <c r="F715" s="505" t="n">
        <v>1.88</v>
      </c>
      <c r="G715" t="inlineStr">
        <is>
          <t>7390萬</t>
        </is>
      </c>
      <c r="H715" t="n">
        <v>1720</v>
      </c>
      <c r="I715" t="n">
        <v>1259</v>
      </c>
      <c r="J715" t="n">
        <v>19.53</v>
      </c>
      <c r="K715" t="n">
        <v>43.5</v>
      </c>
      <c r="L715" t="n">
        <v>42.45</v>
      </c>
      <c r="M715" s="175" t="n">
        <v>0.88</v>
      </c>
      <c r="N715" t="inlineStr">
        <is>
          <t>全球知名NB鍵盤廠</t>
        </is>
      </c>
    </row>
    <row r="716">
      <c r="A716" t="n">
        <v>2388</v>
      </c>
      <c r="B716" t="inlineStr">
        <is>
          <t>威盛</t>
        </is>
      </c>
      <c r="C716" t="n">
        <v>75</v>
      </c>
      <c r="D716" t="n">
        <v>75.40000000000001</v>
      </c>
      <c r="E716" s="504" t="n">
        <v>0.6</v>
      </c>
      <c r="F716" s="505" t="n">
        <v>0.8</v>
      </c>
      <c r="G716" t="inlineStr">
        <is>
          <t>8.44億</t>
        </is>
      </c>
      <c r="H716" t="n">
        <v>11097</v>
      </c>
      <c r="I716" t="n">
        <v>12158</v>
      </c>
      <c r="J716" t="n">
        <v>55.6</v>
      </c>
      <c r="K716" t="n">
        <v>78.5</v>
      </c>
      <c r="L716" t="n">
        <v>74.7</v>
      </c>
      <c r="M716" s="175" t="n">
        <v>2</v>
      </c>
      <c r="N716" t="inlineStr">
        <is>
          <t>支援x86平台之IC解決方案廠商</t>
        </is>
      </c>
    </row>
    <row r="717">
      <c r="A717" t="n">
        <v>2390</v>
      </c>
      <c r="B717" t="inlineStr">
        <is>
          <t>云辰</t>
        </is>
      </c>
      <c r="C717" t="n">
        <v>11.65</v>
      </c>
      <c r="D717" t="n">
        <v>11.7</v>
      </c>
      <c r="E717" s="504" t="n">
        <v>0.45</v>
      </c>
      <c r="F717" s="505" t="n">
        <v>4</v>
      </c>
      <c r="G717" t="inlineStr">
        <is>
          <t>2367萬</t>
        </is>
      </c>
      <c r="H717" t="n">
        <v>2069</v>
      </c>
      <c r="I717" t="n">
        <v>1495</v>
      </c>
      <c r="J717" t="n">
        <v>19.26</v>
      </c>
      <c r="K717" t="n">
        <v>11.7</v>
      </c>
      <c r="L717" t="n">
        <v>11.2</v>
      </c>
      <c r="M717" s="175" t="n">
        <v>1.07</v>
      </c>
      <c r="N717" t="inlineStr">
        <is>
          <t>從事智慧安防系統及智慧控制系統業務</t>
        </is>
      </c>
    </row>
    <row r="718">
      <c r="A718" t="n">
        <v>2392</v>
      </c>
      <c r="B718" t="inlineStr">
        <is>
          <t>正崴</t>
        </is>
      </c>
      <c r="C718" t="n">
        <v>42.3</v>
      </c>
      <c r="D718" t="n">
        <v>41.75</v>
      </c>
      <c r="E718" s="504" t="n">
        <v>-0.1</v>
      </c>
      <c r="F718" s="505" t="n">
        <v>-0.24</v>
      </c>
      <c r="G718" t="inlineStr">
        <is>
          <t>1.61億</t>
        </is>
      </c>
      <c r="H718" t="n">
        <v>3911</v>
      </c>
      <c r="I718" t="n">
        <v>3922</v>
      </c>
      <c r="J718" t="n">
        <v>51.23</v>
      </c>
      <c r="K718" t="n">
        <v>42.3</v>
      </c>
      <c r="L718" t="n">
        <v>40.4</v>
      </c>
      <c r="M718" s="175" t="n">
        <v>0.76</v>
      </c>
      <c r="N718" t="inlineStr">
        <is>
          <t>生產3C產品連接器、電池模組、電源管理模組之廠商</t>
        </is>
      </c>
    </row>
    <row r="719">
      <c r="A719" t="n">
        <v>2393</v>
      </c>
      <c r="B719" t="inlineStr">
        <is>
          <t>億光</t>
        </is>
      </c>
      <c r="C719" t="n">
        <v>64.5</v>
      </c>
      <c r="D719" t="n">
        <v>64.59999999999999</v>
      </c>
      <c r="E719" s="504" t="n">
        <v>0.2</v>
      </c>
      <c r="F719" s="505" t="n">
        <v>0.31</v>
      </c>
      <c r="G719" t="inlineStr">
        <is>
          <t>2.12億</t>
        </is>
      </c>
      <c r="H719" t="n">
        <v>3316</v>
      </c>
      <c r="I719" t="n">
        <v>3192</v>
      </c>
      <c r="J719" t="n">
        <v>44.34</v>
      </c>
      <c r="K719" t="n">
        <v>64.8</v>
      </c>
      <c r="L719" t="n">
        <v>63.2</v>
      </c>
      <c r="M719" s="175" t="n">
        <v>0.75</v>
      </c>
      <c r="N719" t="inlineStr">
        <is>
          <t>全球前十大LED封裝廠</t>
        </is>
      </c>
    </row>
    <row r="720">
      <c r="A720" t="n">
        <v>2395</v>
      </c>
      <c r="B720" t="inlineStr">
        <is>
          <t>研華</t>
        </is>
      </c>
      <c r="C720" t="n">
        <v>520</v>
      </c>
      <c r="D720" t="n">
        <v>515</v>
      </c>
      <c r="E720" s="504" t="n">
        <v>-2</v>
      </c>
      <c r="F720" s="505" t="n">
        <v>-0.39</v>
      </c>
      <c r="G720" t="inlineStr">
        <is>
          <t>34.0億</t>
        </is>
      </c>
      <c r="H720" t="n">
        <v>6555</v>
      </c>
      <c r="I720" t="n">
        <v>5536</v>
      </c>
      <c r="J720" t="n">
        <v>86.83</v>
      </c>
      <c r="K720" t="n">
        <v>530</v>
      </c>
      <c r="L720" t="n">
        <v>508</v>
      </c>
      <c r="M720" s="175" t="n">
        <v>0.75</v>
      </c>
      <c r="N720" t="inlineStr">
        <is>
          <t>全球工業電腦龍頭廠商</t>
        </is>
      </c>
    </row>
    <row r="721">
      <c r="A721" t="n">
        <v>2397</v>
      </c>
      <c r="B721" t="inlineStr">
        <is>
          <t>友通</t>
        </is>
      </c>
      <c r="C721" t="n">
        <v>65.59999999999999</v>
      </c>
      <c r="D721" t="n">
        <v>64.5</v>
      </c>
      <c r="E721" s="504" t="n">
        <v>-0.3</v>
      </c>
      <c r="F721" s="505" t="n">
        <v>-0.46</v>
      </c>
      <c r="G721" t="inlineStr">
        <is>
          <t>4693萬</t>
        </is>
      </c>
      <c r="H721" t="n">
        <v>725</v>
      </c>
      <c r="I721" t="n">
        <v>554</v>
      </c>
      <c r="J721" t="n">
        <v>11.45</v>
      </c>
      <c r="K721" t="n">
        <v>66.2</v>
      </c>
      <c r="L721" t="n">
        <v>63.8</v>
      </c>
      <c r="M721" s="175" t="n">
        <v>0.63</v>
      </c>
      <c r="N721" t="inlineStr">
        <is>
          <t>佳世達轉投資工業電腦嵌入式解決方案供應商</t>
        </is>
      </c>
    </row>
    <row r="722">
      <c r="A722" t="n">
        <v>2399</v>
      </c>
      <c r="B722" t="inlineStr">
        <is>
          <t>映泰</t>
        </is>
      </c>
      <c r="C722" t="n">
        <v>51</v>
      </c>
      <c r="D722" t="n">
        <v>50.1</v>
      </c>
      <c r="E722" s="504" t="n">
        <v>-0.1</v>
      </c>
      <c r="F722" s="505" t="n">
        <v>-0.2</v>
      </c>
      <c r="G722" t="inlineStr">
        <is>
          <t>5.64億</t>
        </is>
      </c>
      <c r="H722" t="n">
        <v>11186</v>
      </c>
      <c r="I722" t="n">
        <v>14883</v>
      </c>
      <c r="J722" t="n">
        <v>17.81</v>
      </c>
      <c r="K722" t="n">
        <v>51.9</v>
      </c>
      <c r="L722" t="n">
        <v>49.05</v>
      </c>
      <c r="M722" s="175" t="n">
        <v>6.28</v>
      </c>
      <c r="N722" t="inlineStr">
        <is>
          <t>台灣主機板、顯示卡廠商</t>
        </is>
      </c>
    </row>
    <row r="723">
      <c r="A723" t="n">
        <v>2401</v>
      </c>
      <c r="B723" t="inlineStr">
        <is>
          <t>凌陽</t>
        </is>
      </c>
      <c r="C723" t="n">
        <v>29.65</v>
      </c>
      <c r="D723" t="n">
        <v>28.9</v>
      </c>
      <c r="E723" s="504" t="n">
        <v>-0.75</v>
      </c>
      <c r="F723" s="505" t="n">
        <v>-2.53</v>
      </c>
      <c r="G723" t="inlineStr">
        <is>
          <t>3.40億</t>
        </is>
      </c>
      <c r="H723" t="n">
        <v>11759</v>
      </c>
      <c r="I723" t="n">
        <v>18842</v>
      </c>
      <c r="J723" t="n">
        <v>59.2</v>
      </c>
      <c r="K723" t="n">
        <v>30.1</v>
      </c>
      <c r="L723" t="n">
        <v>28.2</v>
      </c>
      <c r="M723" s="175" t="n">
        <v>1.99</v>
      </c>
      <c r="N723" t="inlineStr">
        <is>
          <t>台灣多媒體IC設計廠商</t>
        </is>
      </c>
    </row>
    <row r="724">
      <c r="A724" t="n">
        <v>2402</v>
      </c>
      <c r="B724" t="inlineStr">
        <is>
          <t>毅嘉</t>
        </is>
      </c>
      <c r="C724" t="n">
        <v>70</v>
      </c>
      <c r="D724" t="n">
        <v>68.7</v>
      </c>
      <c r="E724" s="504" t="n">
        <v>-1.2</v>
      </c>
      <c r="F724" s="505" t="n">
        <v>-1.72</v>
      </c>
      <c r="G724" t="inlineStr">
        <is>
          <t>4.52億</t>
        </is>
      </c>
      <c r="H724" t="n">
        <v>6587</v>
      </c>
      <c r="I724" t="n">
        <v>13955</v>
      </c>
      <c r="J724" t="n">
        <v>30.75</v>
      </c>
      <c r="K724" t="n">
        <v>70.09999999999999</v>
      </c>
      <c r="L724" t="n">
        <v>68</v>
      </c>
      <c r="M724" s="175" t="n">
        <v>2.14</v>
      </c>
      <c r="N724" t="inlineStr">
        <is>
          <t>軟板及塑膠機構件廠</t>
        </is>
      </c>
    </row>
    <row r="725">
      <c r="A725" t="n">
        <v>2404</v>
      </c>
      <c r="B725" t="inlineStr">
        <is>
          <t>漢唐</t>
        </is>
      </c>
      <c r="C725" t="n">
        <v>1175</v>
      </c>
      <c r="D725" t="n">
        <v>1150</v>
      </c>
      <c r="E725" s="504" t="n">
        <v>-25</v>
      </c>
      <c r="F725" s="505" t="n">
        <v>-2.13</v>
      </c>
      <c r="G725" t="inlineStr">
        <is>
          <t>41.1億</t>
        </is>
      </c>
      <c r="H725" t="n">
        <v>3571</v>
      </c>
      <c r="I725" t="n">
        <v>4717</v>
      </c>
      <c r="J725" t="n">
        <v>19.06</v>
      </c>
      <c r="K725" t="n">
        <v>1180</v>
      </c>
      <c r="L725" t="n">
        <v>1135</v>
      </c>
      <c r="M725" s="175" t="n">
        <v>1.87</v>
      </c>
      <c r="N725" t="inlineStr">
        <is>
          <t>台積電最大的無塵室供應商</t>
        </is>
      </c>
    </row>
    <row r="726">
      <c r="A726" t="n">
        <v>2405</v>
      </c>
      <c r="B726" t="inlineStr">
        <is>
          <t>輔信</t>
        </is>
      </c>
      <c r="C726" t="n">
        <v>18.55</v>
      </c>
      <c r="D726" t="n">
        <v>20.2</v>
      </c>
      <c r="E726" s="504" t="n">
        <v>1.8</v>
      </c>
      <c r="F726" s="505" t="n">
        <v>9.779999999999999</v>
      </c>
      <c r="G726" t="inlineStr">
        <is>
          <t>6.59億</t>
        </is>
      </c>
      <c r="H726" t="n">
        <v>33802</v>
      </c>
      <c r="I726" t="n">
        <v>8964</v>
      </c>
      <c r="J726" t="n">
        <v>34.34</v>
      </c>
      <c r="K726" t="n">
        <v>20.2</v>
      </c>
      <c r="L726" t="n">
        <v>18.45</v>
      </c>
      <c r="M726" s="175" t="n">
        <v>9.84</v>
      </c>
      <c r="N726" t="inlineStr">
        <is>
          <t>台灣準系統廠</t>
        </is>
      </c>
    </row>
    <row r="727">
      <c r="A727" t="n">
        <v>2406</v>
      </c>
      <c r="B727" t="inlineStr">
        <is>
          <t>國碩</t>
        </is>
      </c>
      <c r="C727" t="n">
        <v>36.2</v>
      </c>
      <c r="D727" t="n">
        <v>35.8</v>
      </c>
      <c r="E727" s="504" t="n">
        <v>-0.1</v>
      </c>
      <c r="F727" s="505" t="n">
        <v>-0.28</v>
      </c>
      <c r="G727" t="inlineStr">
        <is>
          <t>7.11億</t>
        </is>
      </c>
      <c r="H727" t="n">
        <v>19787</v>
      </c>
      <c r="I727" t="n">
        <v>18539</v>
      </c>
      <c r="J727" t="n">
        <v>35.09</v>
      </c>
      <c r="K727" t="n">
        <v>37.65</v>
      </c>
      <c r="L727" t="n">
        <v>34.2</v>
      </c>
      <c r="M727" s="175" t="n">
        <v>5.64</v>
      </c>
      <c r="N727" t="inlineStr">
        <is>
          <t>提供太陽電池關鍵材料與發電系統整合服務商</t>
        </is>
      </c>
    </row>
    <row r="728">
      <c r="A728" t="n">
        <v>2408</v>
      </c>
      <c r="B728" t="inlineStr">
        <is>
          <t>南亞科</t>
        </is>
      </c>
      <c r="C728" t="n">
        <v>401</v>
      </c>
      <c r="D728" t="n">
        <v>419.5</v>
      </c>
      <c r="E728" s="504" t="n">
        <v>38</v>
      </c>
      <c r="F728" s="505" t="n">
        <v>9.960000000000001</v>
      </c>
      <c r="G728" t="inlineStr">
        <is>
          <t>692億</t>
        </is>
      </c>
      <c r="H728" t="n">
        <v>168828</v>
      </c>
      <c r="I728" t="n">
        <v>171183</v>
      </c>
      <c r="J728" t="n">
        <v>345.02</v>
      </c>
      <c r="K728" t="n">
        <v>419.5</v>
      </c>
      <c r="L728" t="n">
        <v>395</v>
      </c>
      <c r="M728" s="175" t="n">
        <v>5.45</v>
      </c>
      <c r="N728" t="inlineStr">
        <is>
          <t>台塑集團旗下DRAM大廠</t>
        </is>
      </c>
    </row>
    <row r="729">
      <c r="A729" t="n">
        <v>2409</v>
      </c>
      <c r="B729" t="inlineStr">
        <is>
          <t>友達</t>
        </is>
      </c>
      <c r="C729" t="n">
        <v>24.05</v>
      </c>
      <c r="D729" t="n">
        <v>26.15</v>
      </c>
      <c r="E729" s="504" t="n">
        <v>2.35</v>
      </c>
      <c r="F729" s="505" t="n">
        <v>9.869999999999999</v>
      </c>
      <c r="G729" t="inlineStr">
        <is>
          <t>177億</t>
        </is>
      </c>
      <c r="H729" t="n">
        <v>718138</v>
      </c>
      <c r="I729" t="n">
        <v>593932</v>
      </c>
      <c r="J729" t="n">
        <v>754.71</v>
      </c>
      <c r="K729" t="n">
        <v>26.15</v>
      </c>
      <c r="L729" t="n">
        <v>23.3</v>
      </c>
      <c r="M729" s="175" t="n">
        <v>9.52</v>
      </c>
      <c r="N729" t="inlineStr">
        <is>
          <t>全球前五大面板大廠之一</t>
        </is>
      </c>
    </row>
    <row r="730">
      <c r="A730" t="n">
        <v>2412</v>
      </c>
      <c r="B730" t="inlineStr">
        <is>
          <t>中華電</t>
        </is>
      </c>
      <c r="C730" t="n">
        <v>140</v>
      </c>
      <c r="D730" t="n">
        <v>142</v>
      </c>
      <c r="E730" s="504" t="n">
        <v>1.5</v>
      </c>
      <c r="F730" s="505" t="n">
        <v>1.07</v>
      </c>
      <c r="G730" t="inlineStr">
        <is>
          <t>27.6億</t>
        </is>
      </c>
      <c r="H730" t="n">
        <v>19447</v>
      </c>
      <c r="I730" t="n">
        <v>21235</v>
      </c>
      <c r="J730" t="n">
        <v>775.74</v>
      </c>
      <c r="K730" t="n">
        <v>142.5</v>
      </c>
      <c r="L730" t="n">
        <v>140</v>
      </c>
      <c r="M730" s="175" t="n">
        <v>0.25</v>
      </c>
      <c r="N730" t="inlineStr">
        <is>
          <t>台灣電信業龍頭</t>
        </is>
      </c>
    </row>
    <row r="731">
      <c r="A731" t="n">
        <v>2413</v>
      </c>
      <c r="B731" t="inlineStr">
        <is>
          <t>環科</t>
        </is>
      </c>
      <c r="C731" t="n">
        <v>53</v>
      </c>
      <c r="D731" t="n">
        <v>53.3</v>
      </c>
      <c r="E731" s="504" t="n">
        <v>0.1</v>
      </c>
      <c r="F731" s="505" t="n">
        <v>0.19</v>
      </c>
      <c r="G731" t="inlineStr">
        <is>
          <t>3.04億</t>
        </is>
      </c>
      <c r="H731" t="n">
        <v>5842</v>
      </c>
      <c r="I731" t="n">
        <v>5284</v>
      </c>
      <c r="J731" t="n">
        <v>12.74</v>
      </c>
      <c r="K731" t="n">
        <v>53.4</v>
      </c>
      <c r="L731" t="n">
        <v>50.7</v>
      </c>
      <c r="M731" s="175" t="n">
        <v>4.59</v>
      </c>
      <c r="N731" t="inlineStr">
        <is>
          <t>電源供應器及變壓器製造廠商</t>
        </is>
      </c>
    </row>
    <row r="732">
      <c r="A732" t="n">
        <v>2414</v>
      </c>
      <c r="B732" t="inlineStr">
        <is>
          <t>精技</t>
        </is>
      </c>
      <c r="C732" t="n">
        <v>52.4</v>
      </c>
      <c r="D732" t="n">
        <v>51.8</v>
      </c>
      <c r="E732" s="504" t="n">
        <v>0.3</v>
      </c>
      <c r="F732" s="505" t="n">
        <v>0.58</v>
      </c>
      <c r="G732" t="inlineStr">
        <is>
          <t>1360萬</t>
        </is>
      </c>
      <c r="H732" t="n">
        <v>264</v>
      </c>
      <c r="I732" t="n">
        <v>309</v>
      </c>
      <c r="J732" t="n">
        <v>16.17</v>
      </c>
      <c r="K732" t="n">
        <v>52.4</v>
      </c>
      <c r="L732" t="n">
        <v>51.4</v>
      </c>
      <c r="M732" s="175" t="n">
        <v>0.16</v>
      </c>
      <c r="N732" t="inlineStr">
        <is>
          <t>台灣前三大資訊通路經營商</t>
        </is>
      </c>
    </row>
    <row r="733">
      <c r="A733" t="n">
        <v>2415</v>
      </c>
      <c r="B733" t="inlineStr">
        <is>
          <t>錩新</t>
        </is>
      </c>
      <c r="C733" t="n">
        <v>27.25</v>
      </c>
      <c r="D733" t="n">
        <v>27.6</v>
      </c>
      <c r="E733" s="504" t="n">
        <v>0.45</v>
      </c>
      <c r="F733" s="505" t="n">
        <v>1.66</v>
      </c>
      <c r="G733" t="inlineStr">
        <is>
          <t>593萬</t>
        </is>
      </c>
      <c r="H733" t="n">
        <v>217</v>
      </c>
      <c r="I733" t="n">
        <v>153</v>
      </c>
      <c r="J733" t="n">
        <v>9</v>
      </c>
      <c r="K733" t="n">
        <v>27.75</v>
      </c>
      <c r="L733" t="n">
        <v>26.9</v>
      </c>
      <c r="M733" s="175" t="n">
        <v>0.24</v>
      </c>
      <c r="N733" t="inlineStr">
        <is>
          <t>全球最大揚聲器鍛造零組件廠</t>
        </is>
      </c>
    </row>
    <row r="734">
      <c r="A734" t="n">
        <v>2417</v>
      </c>
      <c r="B734" t="inlineStr">
        <is>
          <t>圓剛</t>
        </is>
      </c>
      <c r="C734" t="n">
        <v>54.2</v>
      </c>
      <c r="D734" t="n">
        <v>52</v>
      </c>
      <c r="E734" s="504" t="n">
        <v>-1.9</v>
      </c>
      <c r="F734" s="505" t="n">
        <v>-3.53</v>
      </c>
      <c r="G734" t="inlineStr">
        <is>
          <t>5.12億</t>
        </is>
      </c>
      <c r="H734" t="n">
        <v>9668</v>
      </c>
      <c r="I734" t="n">
        <v>4902</v>
      </c>
      <c r="J734" t="n">
        <v>15.72</v>
      </c>
      <c r="K734" t="n">
        <v>54.4</v>
      </c>
      <c r="L734" t="n">
        <v>51.3</v>
      </c>
      <c r="M734" s="175" t="n">
        <v>6.15</v>
      </c>
      <c r="N734" t="inlineStr">
        <is>
          <t>台灣知名影音視訊媒體解決方案商</t>
        </is>
      </c>
    </row>
    <row r="735">
      <c r="A735" t="n">
        <v>2419</v>
      </c>
      <c r="B735" t="inlineStr">
        <is>
          <t>仲琦</t>
        </is>
      </c>
      <c r="C735" t="n">
        <v>32.5</v>
      </c>
      <c r="D735" t="n">
        <v>33.15</v>
      </c>
      <c r="E735" s="504" t="n">
        <v>0.15</v>
      </c>
      <c r="F735" s="505" t="n">
        <v>0.45</v>
      </c>
      <c r="G735" t="inlineStr">
        <is>
          <t>1.19億</t>
        </is>
      </c>
      <c r="H735" t="n">
        <v>3691</v>
      </c>
      <c r="I735" t="n">
        <v>4891</v>
      </c>
      <c r="J735" t="n">
        <v>32.13</v>
      </c>
      <c r="K735" t="n">
        <v>33.25</v>
      </c>
      <c r="L735" t="n">
        <v>31.5</v>
      </c>
      <c r="M735" s="175" t="n">
        <v>1.15</v>
      </c>
      <c r="N735" t="inlineStr">
        <is>
          <t>台灣Cable CPE與系統整合業者</t>
        </is>
      </c>
    </row>
    <row r="736">
      <c r="A736" t="n">
        <v>2420</v>
      </c>
      <c r="B736" t="inlineStr">
        <is>
          <t>新巨</t>
        </is>
      </c>
      <c r="C736" t="n">
        <v>64</v>
      </c>
      <c r="D736" t="n">
        <v>63.8</v>
      </c>
      <c r="E736" s="504" t="n">
        <v>0.1</v>
      </c>
      <c r="F736" s="505" t="n">
        <v>0.16</v>
      </c>
      <c r="G736" t="inlineStr">
        <is>
          <t>4418萬</t>
        </is>
      </c>
      <c r="H736" t="n">
        <v>692</v>
      </c>
      <c r="I736" t="n">
        <v>1002</v>
      </c>
      <c r="J736" t="n">
        <v>15.26</v>
      </c>
      <c r="K736" t="n">
        <v>64.5</v>
      </c>
      <c r="L736" t="n">
        <v>63.3</v>
      </c>
      <c r="M736" s="175" t="n">
        <v>0.45</v>
      </c>
      <c r="N736" t="inlineStr">
        <is>
          <t>台灣聚焦高階電源供應器與知名微動開關廠</t>
        </is>
      </c>
    </row>
    <row r="737">
      <c r="A737" t="n">
        <v>2421</v>
      </c>
      <c r="B737" t="inlineStr">
        <is>
          <t>建準</t>
        </is>
      </c>
      <c r="C737" t="n">
        <v>166</v>
      </c>
      <c r="D737" t="n">
        <v>164.5</v>
      </c>
      <c r="E737" s="504" t="n">
        <v>-0.5</v>
      </c>
      <c r="F737" s="505" t="n">
        <v>-0.3</v>
      </c>
      <c r="G737" t="inlineStr">
        <is>
          <t>14.0億</t>
        </is>
      </c>
      <c r="H737" t="n">
        <v>8445</v>
      </c>
      <c r="I737" t="n">
        <v>7700</v>
      </c>
      <c r="J737" t="n">
        <v>28.69</v>
      </c>
      <c r="K737" t="n">
        <v>171</v>
      </c>
      <c r="L737" t="n">
        <v>162.5</v>
      </c>
      <c r="M737" s="175" t="n">
        <v>2.94</v>
      </c>
      <c r="N737" t="inlineStr">
        <is>
          <t>PC散熱風扇知名廠商</t>
        </is>
      </c>
    </row>
    <row r="738">
      <c r="A738" t="n">
        <v>2423</v>
      </c>
      <c r="B738" t="inlineStr">
        <is>
          <t>固緯</t>
        </is>
      </c>
      <c r="C738" t="n">
        <v>82.90000000000001</v>
      </c>
      <c r="D738" t="n">
        <v>81.40000000000001</v>
      </c>
      <c r="E738" s="504" t="n">
        <v>0.7</v>
      </c>
      <c r="F738" s="505" t="n">
        <v>0.87</v>
      </c>
      <c r="G738" t="inlineStr">
        <is>
          <t>2118萬</t>
        </is>
      </c>
      <c r="H738" t="n">
        <v>263</v>
      </c>
      <c r="I738" t="n">
        <v>532</v>
      </c>
      <c r="J738" t="n">
        <v>14.5</v>
      </c>
      <c r="K738" t="n">
        <v>82.90000000000001</v>
      </c>
      <c r="L738" t="n">
        <v>79.59999999999999</v>
      </c>
      <c r="M738" s="175" t="n">
        <v>0.18</v>
      </c>
      <c r="N738" t="inlineStr">
        <is>
          <t>台灣知名的電子量測儀器廠</t>
        </is>
      </c>
    </row>
    <row r="739">
      <c r="A739" t="n">
        <v>2424</v>
      </c>
      <c r="B739" t="inlineStr">
        <is>
          <t>隴華</t>
        </is>
      </c>
      <c r="C739" t="n">
        <v>13.55</v>
      </c>
      <c r="D739" t="n">
        <v>12.75</v>
      </c>
      <c r="E739" s="504" t="n">
        <v>-0.2</v>
      </c>
      <c r="F739" s="505" t="n">
        <v>-1.54</v>
      </c>
      <c r="G739" t="inlineStr">
        <is>
          <t>202萬</t>
        </is>
      </c>
      <c r="H739" t="n">
        <v>155</v>
      </c>
      <c r="I739" t="n">
        <v>358</v>
      </c>
      <c r="J739" t="n">
        <v>5.96</v>
      </c>
      <c r="K739" t="n">
        <v>13.55</v>
      </c>
      <c r="L739" t="n">
        <v>12.75</v>
      </c>
      <c r="M739" s="175" t="n">
        <v>0.86</v>
      </c>
      <c r="N739" t="inlineStr">
        <is>
          <t>海上衛星寬頻營運商</t>
        </is>
      </c>
    </row>
    <row r="740">
      <c r="A740" t="n">
        <v>2425</v>
      </c>
      <c r="B740" t="inlineStr">
        <is>
          <t>承啟</t>
        </is>
      </c>
      <c r="C740" t="n">
        <v>37</v>
      </c>
      <c r="D740" t="n">
        <v>36.05</v>
      </c>
      <c r="E740" s="504" t="n">
        <v>-0.65</v>
      </c>
      <c r="F740" s="505" t="n">
        <v>-1.77</v>
      </c>
      <c r="G740" t="inlineStr">
        <is>
          <t>4380萬</t>
        </is>
      </c>
      <c r="H740" t="n">
        <v>1197</v>
      </c>
      <c r="I740" t="n">
        <v>1217</v>
      </c>
      <c r="J740" t="n">
        <v>9.65</v>
      </c>
      <c r="K740" t="n">
        <v>37.55</v>
      </c>
      <c r="L740" t="n">
        <v>35.55</v>
      </c>
      <c r="M740" s="175" t="n">
        <v>1.24</v>
      </c>
      <c r="N740" t="inlineStr">
        <is>
          <t>七彩虹轉投資顯示卡、主機板、伺服器公司</t>
        </is>
      </c>
    </row>
    <row r="741">
      <c r="A741" t="n">
        <v>2426</v>
      </c>
      <c r="B741" t="inlineStr">
        <is>
          <t>鼎元</t>
        </is>
      </c>
      <c r="C741" t="n">
        <v>78</v>
      </c>
      <c r="D741" t="n">
        <v>71.5</v>
      </c>
      <c r="E741" s="504" t="n">
        <v>-5.5</v>
      </c>
      <c r="F741" s="505" t="n">
        <v>-7.14</v>
      </c>
      <c r="G741" t="inlineStr">
        <is>
          <t>13.8億</t>
        </is>
      </c>
      <c r="H741" t="n">
        <v>18602</v>
      </c>
      <c r="I741" t="n">
        <v>23360</v>
      </c>
      <c r="J741" t="n">
        <v>30.06</v>
      </c>
      <c r="K741" t="n">
        <v>79.90000000000001</v>
      </c>
      <c r="L741" t="n">
        <v>70</v>
      </c>
      <c r="M741" s="175" t="n">
        <v>6.19</v>
      </c>
      <c r="N741" t="inlineStr">
        <is>
          <t>台灣大型LED晶粒切割、檢測廠</t>
        </is>
      </c>
    </row>
    <row r="742">
      <c r="A742" t="n">
        <v>2427</v>
      </c>
      <c r="B742" t="inlineStr">
        <is>
          <t>三商電</t>
        </is>
      </c>
      <c r="C742" t="n">
        <v>22.1</v>
      </c>
      <c r="D742" t="n">
        <v>24.25</v>
      </c>
      <c r="E742" s="504" t="n">
        <v>2.2</v>
      </c>
      <c r="F742" s="505" t="n">
        <v>9.98</v>
      </c>
      <c r="G742" t="inlineStr">
        <is>
          <t>1.26億</t>
        </is>
      </c>
      <c r="H742" t="n">
        <v>5384</v>
      </c>
      <c r="I742" t="n">
        <v>999</v>
      </c>
      <c r="J742" t="n">
        <v>19.8</v>
      </c>
      <c r="K742" t="n">
        <v>24.25</v>
      </c>
      <c r="L742" t="n">
        <v>21.85</v>
      </c>
      <c r="M742" s="175" t="n">
        <v>2.72</v>
      </c>
      <c r="N742" t="inlineStr">
        <is>
          <t>以金融、電訊與交通產業為主之系統整合商</t>
        </is>
      </c>
    </row>
    <row r="743">
      <c r="A743" t="n">
        <v>2428</v>
      </c>
      <c r="B743" t="inlineStr">
        <is>
          <t>興勤</t>
        </is>
      </c>
      <c r="C743" t="n">
        <v>285.5</v>
      </c>
      <c r="D743" t="n">
        <v>276.5</v>
      </c>
      <c r="E743" s="504" t="n">
        <v>-6.5</v>
      </c>
      <c r="F743" s="505" t="n">
        <v>-2.3</v>
      </c>
      <c r="G743" t="inlineStr">
        <is>
          <t>7.82億</t>
        </is>
      </c>
      <c r="H743" t="n">
        <v>2852</v>
      </c>
      <c r="I743" t="n">
        <v>3964</v>
      </c>
      <c r="J743" t="n">
        <v>12.81</v>
      </c>
      <c r="K743" t="n">
        <v>292</v>
      </c>
      <c r="L743" t="n">
        <v>267</v>
      </c>
      <c r="M743" s="175" t="n">
        <v>2.23</v>
      </c>
      <c r="N743" t="inlineStr">
        <is>
          <t>全球知名熱敏電阻廠</t>
        </is>
      </c>
    </row>
    <row r="744">
      <c r="A744" t="n">
        <v>2429</v>
      </c>
      <c r="B744" t="inlineStr">
        <is>
          <t>銘旺科</t>
        </is>
      </c>
      <c r="C744" t="n">
        <v>49.1</v>
      </c>
      <c r="D744" t="n">
        <v>45.9</v>
      </c>
      <c r="E744" s="504" t="n">
        <v>-2.95</v>
      </c>
      <c r="F744" s="505" t="n">
        <v>-6.04</v>
      </c>
      <c r="G744" t="inlineStr">
        <is>
          <t>5305萬</t>
        </is>
      </c>
      <c r="H744" t="n">
        <v>1142</v>
      </c>
      <c r="I744" t="n">
        <v>876</v>
      </c>
      <c r="J744" t="n">
        <v>8.550000000000001</v>
      </c>
      <c r="K744" t="n">
        <v>49.1</v>
      </c>
      <c r="L744" t="n">
        <v>45.4</v>
      </c>
      <c r="M744" s="175" t="n">
        <v>1.36</v>
      </c>
      <c r="N744" t="inlineStr">
        <is>
          <t>玻璃基板及加工製造商</t>
        </is>
      </c>
    </row>
    <row r="745">
      <c r="A745" t="n">
        <v>2430</v>
      </c>
      <c r="B745" t="inlineStr">
        <is>
          <t>燦坤</t>
        </is>
      </c>
      <c r="C745" t="n">
        <v>18.35</v>
      </c>
      <c r="D745" t="n">
        <v>18.55</v>
      </c>
      <c r="E745" s="504" t="n">
        <v>0.2</v>
      </c>
      <c r="F745" s="505" t="n">
        <v>1.09</v>
      </c>
      <c r="G745" t="inlineStr">
        <is>
          <t>293萬</t>
        </is>
      </c>
      <c r="H745" t="n">
        <v>158</v>
      </c>
      <c r="I745" t="n">
        <v>206</v>
      </c>
      <c r="J745" t="n">
        <v>11.68</v>
      </c>
      <c r="K745" t="n">
        <v>18.65</v>
      </c>
      <c r="L745" t="n">
        <v>18.35</v>
      </c>
      <c r="M745" s="175" t="n">
        <v>0.14</v>
      </c>
      <c r="N745" t="inlineStr">
        <is>
          <t>全台最大3C連鎖通路</t>
        </is>
      </c>
    </row>
    <row r="746">
      <c r="A746" t="n">
        <v>2431</v>
      </c>
      <c r="B746" t="inlineStr">
        <is>
          <t>聯昌</t>
        </is>
      </c>
      <c r="C746" t="n">
        <v>10.9</v>
      </c>
      <c r="D746" t="n">
        <v>10.95</v>
      </c>
      <c r="E746" s="504" t="n">
        <v>0.05</v>
      </c>
      <c r="F746" s="505" t="n">
        <v>0.46</v>
      </c>
      <c r="G746" t="inlineStr">
        <is>
          <t>900萬</t>
        </is>
      </c>
      <c r="H746" t="n">
        <v>844</v>
      </c>
      <c r="I746" t="n">
        <v>735</v>
      </c>
      <c r="J746" t="n">
        <v>11.09</v>
      </c>
      <c r="K746" t="n">
        <v>10.95</v>
      </c>
      <c r="L746" t="n">
        <v>10.55</v>
      </c>
      <c r="M746" s="175" t="n">
        <v>0.76</v>
      </c>
      <c r="N746" t="inlineStr">
        <is>
          <t>東元轉投資，為一家電源電控廠</t>
        </is>
      </c>
    </row>
    <row r="747">
      <c r="A747" t="n">
        <v>2433</v>
      </c>
      <c r="B747" t="inlineStr">
        <is>
          <t>互盛電</t>
        </is>
      </c>
      <c r="C747" t="n">
        <v>43.55</v>
      </c>
      <c r="D747" t="n">
        <v>43.8</v>
      </c>
      <c r="E747" s="504" t="n">
        <v>0.3</v>
      </c>
      <c r="F747" s="505" t="n">
        <v>0.6899999999999999</v>
      </c>
      <c r="G747" t="inlineStr">
        <is>
          <t>305萬</t>
        </is>
      </c>
      <c r="H747" t="n">
        <v>70</v>
      </c>
      <c r="I747" t="n">
        <v>98</v>
      </c>
      <c r="J747" t="n">
        <v>14.45</v>
      </c>
      <c r="K747" t="n">
        <v>43.85</v>
      </c>
      <c r="L747" t="n">
        <v>43.35</v>
      </c>
      <c r="M747" s="175" t="n">
        <v>0.05</v>
      </c>
      <c r="N747" t="inlineStr">
        <is>
          <t>日本理光辦公事務機器之台灣代理商</t>
        </is>
      </c>
    </row>
    <row r="748">
      <c r="A748" t="n">
        <v>2434</v>
      </c>
      <c r="B748" t="inlineStr">
        <is>
          <t>統懋</t>
        </is>
      </c>
      <c r="C748" t="n">
        <v>37.15</v>
      </c>
      <c r="D748" t="n">
        <v>35.9</v>
      </c>
      <c r="E748" s="504" t="n">
        <v>-1.25</v>
      </c>
      <c r="F748" s="505" t="n">
        <v>-3.36</v>
      </c>
      <c r="G748" t="inlineStr">
        <is>
          <t>999萬</t>
        </is>
      </c>
      <c r="H748" t="n">
        <v>277</v>
      </c>
      <c r="I748" t="n">
        <v>498</v>
      </c>
      <c r="J748" t="n">
        <v>3.7</v>
      </c>
      <c r="K748" t="n">
        <v>37.2</v>
      </c>
      <c r="L748" t="n">
        <v>35.1</v>
      </c>
      <c r="M748" s="175" t="n">
        <v>1.63</v>
      </c>
      <c r="N748" t="inlineStr">
        <is>
          <t>台灣上下游垂直整合之二極體廠</t>
        </is>
      </c>
    </row>
    <row r="749">
      <c r="A749" t="n">
        <v>2436</v>
      </c>
      <c r="B749" t="inlineStr">
        <is>
          <t>偉詮電</t>
        </is>
      </c>
      <c r="C749" t="n">
        <v>75.90000000000001</v>
      </c>
      <c r="D749" t="n">
        <v>73.8</v>
      </c>
      <c r="E749" s="504" t="n">
        <v>-2.1</v>
      </c>
      <c r="F749" s="505" t="n">
        <v>-2.77</v>
      </c>
      <c r="G749" t="inlineStr">
        <is>
          <t>4.54億</t>
        </is>
      </c>
      <c r="H749" t="n">
        <v>6131</v>
      </c>
      <c r="I749" t="n">
        <v>9929</v>
      </c>
      <c r="J749" t="n">
        <v>20.01</v>
      </c>
      <c r="K749" t="n">
        <v>76.5</v>
      </c>
      <c r="L749" t="n">
        <v>72.8</v>
      </c>
      <c r="M749" s="175" t="n">
        <v>3.06</v>
      </c>
      <c r="N749" t="inlineStr">
        <is>
          <t>台灣類比IC暨消費性IC設計廠商</t>
        </is>
      </c>
    </row>
    <row r="750">
      <c r="A750" t="n">
        <v>2438</v>
      </c>
      <c r="B750" t="inlineStr">
        <is>
          <t>翔耀</t>
        </is>
      </c>
      <c r="C750" t="n">
        <v>27.35</v>
      </c>
      <c r="D750" t="n">
        <v>26.3</v>
      </c>
      <c r="E750" s="504" t="n">
        <v>-0.65</v>
      </c>
      <c r="F750" s="505" t="n">
        <v>-2.41</v>
      </c>
      <c r="G750" t="inlineStr">
        <is>
          <t>1421萬</t>
        </is>
      </c>
      <c r="H750" t="n">
        <v>539</v>
      </c>
      <c r="I750" t="n">
        <v>1370</v>
      </c>
      <c r="J750" t="n">
        <v>7.12</v>
      </c>
      <c r="K750" t="n">
        <v>27.35</v>
      </c>
      <c r="L750" t="n">
        <v>25.9</v>
      </c>
      <c r="M750" s="175" t="n">
        <v>0.9</v>
      </c>
      <c r="N750" t="inlineStr">
        <is>
          <t>主要經營玻璃基板薄化加工及機電設備</t>
        </is>
      </c>
    </row>
    <row r="751">
      <c r="A751" t="n">
        <v>2439</v>
      </c>
      <c r="B751" t="inlineStr">
        <is>
          <t>美律</t>
        </is>
      </c>
      <c r="C751" t="n">
        <v>92.59999999999999</v>
      </c>
      <c r="D751" t="n">
        <v>93.5</v>
      </c>
      <c r="E751" s="504" t="n">
        <v>1.9</v>
      </c>
      <c r="F751" s="505" t="n">
        <v>2.07</v>
      </c>
      <c r="G751" t="inlineStr">
        <is>
          <t>4.38億</t>
        </is>
      </c>
      <c r="H751" t="n">
        <v>4715</v>
      </c>
      <c r="I751" t="n">
        <v>5569</v>
      </c>
      <c r="J751" t="n">
        <v>25.36</v>
      </c>
      <c r="K751" t="n">
        <v>94.2</v>
      </c>
      <c r="L751" t="n">
        <v>91.2</v>
      </c>
      <c r="M751" s="175" t="n">
        <v>1.86</v>
      </c>
      <c r="N751" t="inlineStr">
        <is>
          <t>電聲元件大廠</t>
        </is>
      </c>
    </row>
    <row r="752">
      <c r="A752" t="n">
        <v>2440</v>
      </c>
      <c r="B752" t="inlineStr">
        <is>
          <t>太空梭</t>
        </is>
      </c>
      <c r="C752" t="n">
        <v>18.7</v>
      </c>
      <c r="D752" t="n">
        <v>18.15</v>
      </c>
      <c r="E752" s="504" t="n">
        <v>0</v>
      </c>
      <c r="F752" s="505" t="n">
        <v>0</v>
      </c>
      <c r="G752" t="inlineStr">
        <is>
          <t>1441萬</t>
        </is>
      </c>
      <c r="H752" t="n">
        <v>798</v>
      </c>
      <c r="I752" t="n">
        <v>872</v>
      </c>
      <c r="J752" t="n">
        <v>13.91</v>
      </c>
      <c r="K752" t="n">
        <v>18.7</v>
      </c>
      <c r="L752" t="n">
        <v>17.75</v>
      </c>
      <c r="M752" s="175" t="n">
        <v>0.57</v>
      </c>
      <c r="N752" t="inlineStr">
        <is>
          <t>台灣絞銅線及3C連接線材公司</t>
        </is>
      </c>
    </row>
    <row r="753">
      <c r="A753" t="n">
        <v>2441</v>
      </c>
      <c r="B753" t="inlineStr">
        <is>
          <t>超豐</t>
        </is>
      </c>
      <c r="C753" t="n">
        <v>136</v>
      </c>
      <c r="D753" t="n">
        <v>134</v>
      </c>
      <c r="E753" s="504" t="n">
        <v>-3.5</v>
      </c>
      <c r="F753" s="505" t="n">
        <v>-2.55</v>
      </c>
      <c r="G753" t="inlineStr">
        <is>
          <t>14.4億</t>
        </is>
      </c>
      <c r="H753" t="n">
        <v>10856</v>
      </c>
      <c r="I753" t="n">
        <v>20865</v>
      </c>
      <c r="J753" t="n">
        <v>56.88</v>
      </c>
      <c r="K753" t="n">
        <v>137.5</v>
      </c>
      <c r="L753" t="n">
        <v>129.5</v>
      </c>
      <c r="M753" s="175" t="n">
        <v>1.91</v>
      </c>
      <c r="N753" t="inlineStr">
        <is>
          <t>全球記憶體封測廠</t>
        </is>
      </c>
    </row>
    <row r="754">
      <c r="A754" t="n">
        <v>2442</v>
      </c>
      <c r="B754" t="inlineStr">
        <is>
          <t>新美齊</t>
        </is>
      </c>
      <c r="C754" t="n">
        <v>19</v>
      </c>
      <c r="D754" t="n">
        <v>18.9</v>
      </c>
      <c r="E754" s="504" t="n">
        <v>0</v>
      </c>
      <c r="F754" s="505" t="n">
        <v>0</v>
      </c>
      <c r="G754" t="inlineStr">
        <is>
          <t>3881萬</t>
        </is>
      </c>
      <c r="H754" t="n">
        <v>2071</v>
      </c>
      <c r="I754" t="n">
        <v>2179</v>
      </c>
      <c r="J754" t="n">
        <v>32.52</v>
      </c>
      <c r="K754" t="n">
        <v>19</v>
      </c>
      <c r="L754" t="n">
        <v>18.7</v>
      </c>
      <c r="M754" s="175" t="n">
        <v>0.64</v>
      </c>
      <c r="N754" t="inlineStr">
        <is>
          <t>著重於高質感不動產開發</t>
        </is>
      </c>
    </row>
    <row r="755">
      <c r="A755" t="n">
        <v>2444</v>
      </c>
      <c r="B755" t="inlineStr">
        <is>
          <t>兆勁</t>
        </is>
      </c>
      <c r="C755" t="n">
        <v>12.6</v>
      </c>
      <c r="D755" t="n">
        <v>13.2</v>
      </c>
      <c r="E755" s="504" t="n">
        <v>0.7</v>
      </c>
      <c r="F755" s="505" t="n">
        <v>5.6</v>
      </c>
      <c r="G755" t="inlineStr">
        <is>
          <t>1435萬</t>
        </is>
      </c>
      <c r="H755" t="n">
        <v>1131</v>
      </c>
      <c r="I755" t="n">
        <v>861</v>
      </c>
      <c r="J755" t="n">
        <v>10.16</v>
      </c>
      <c r="K755" t="n">
        <v>13.25</v>
      </c>
      <c r="L755" t="n">
        <v>12.35</v>
      </c>
      <c r="M755" s="175" t="n">
        <v>1.11</v>
      </c>
      <c r="N755" t="inlineStr">
        <is>
          <t>台灣無線網路設備代工廠</t>
        </is>
      </c>
    </row>
    <row r="756">
      <c r="A756" t="n">
        <v>2449</v>
      </c>
      <c r="B756" t="inlineStr">
        <is>
          <t>京元電子</t>
        </is>
      </c>
      <c r="C756" t="n">
        <v>320.5</v>
      </c>
      <c r="D756" t="n">
        <v>306.5</v>
      </c>
      <c r="E756" s="504" t="n">
        <v>-11.5</v>
      </c>
      <c r="F756" s="505" t="n">
        <v>-3.62</v>
      </c>
      <c r="G756" t="inlineStr">
        <is>
          <t>144億</t>
        </is>
      </c>
      <c r="H756" t="n">
        <v>46832</v>
      </c>
      <c r="I756" t="n">
        <v>77892</v>
      </c>
      <c r="J756" t="n">
        <v>122.27</v>
      </c>
      <c r="K756" t="n">
        <v>324</v>
      </c>
      <c r="L756" t="n">
        <v>298</v>
      </c>
      <c r="M756" s="175" t="n">
        <v>3.83</v>
      </c>
      <c r="N756" t="inlineStr">
        <is>
          <t>全球IC測試領域龍頭公司</t>
        </is>
      </c>
    </row>
    <row r="757">
      <c r="A757" t="n">
        <v>2450</v>
      </c>
      <c r="B757" t="inlineStr">
        <is>
          <t>神腦</t>
        </is>
      </c>
      <c r="C757" t="n">
        <v>30.8</v>
      </c>
      <c r="D757" t="n">
        <v>30.9</v>
      </c>
      <c r="E757" s="504" t="n">
        <v>0.1</v>
      </c>
      <c r="F757" s="505" t="n">
        <v>0.32</v>
      </c>
      <c r="G757" t="inlineStr">
        <is>
          <t>2189萬</t>
        </is>
      </c>
      <c r="H757" t="n">
        <v>716</v>
      </c>
      <c r="I757" t="n">
        <v>462</v>
      </c>
      <c r="J757" t="n">
        <v>25.83</v>
      </c>
      <c r="K757" t="n">
        <v>30.9</v>
      </c>
      <c r="L757" t="n">
        <v>30.4</v>
      </c>
      <c r="M757" s="175" t="n">
        <v>0.28</v>
      </c>
      <c r="N757" t="inlineStr">
        <is>
          <t>中華電信轉投資之數位產品通路代理商</t>
        </is>
      </c>
    </row>
    <row r="758">
      <c r="A758" t="n">
        <v>2451</v>
      </c>
      <c r="B758" t="inlineStr">
        <is>
          <t>創見</t>
        </is>
      </c>
      <c r="C758" t="n">
        <v>364</v>
      </c>
      <c r="D758" t="n">
        <v>363.5</v>
      </c>
      <c r="E758" s="504" t="n">
        <v>6</v>
      </c>
      <c r="F758" s="505" t="n">
        <v>1.68</v>
      </c>
      <c r="G758" t="inlineStr">
        <is>
          <t>50.4億</t>
        </is>
      </c>
      <c r="H758" t="n">
        <v>13880</v>
      </c>
      <c r="I758" t="n">
        <v>7742</v>
      </c>
      <c r="J758" t="n">
        <v>43.13</v>
      </c>
      <c r="K758" t="n">
        <v>379</v>
      </c>
      <c r="L758" t="n">
        <v>350.5</v>
      </c>
      <c r="M758" s="175" t="n">
        <v>3.22</v>
      </c>
      <c r="N758" t="inlineStr">
        <is>
          <t>「Transcend」品牌之記憶體模組廠</t>
        </is>
      </c>
    </row>
    <row r="759">
      <c r="A759" t="n">
        <v>2453</v>
      </c>
      <c r="B759" t="inlineStr">
        <is>
          <t>凌群</t>
        </is>
      </c>
      <c r="C759" t="n">
        <v>63.4</v>
      </c>
      <c r="D759" t="n">
        <v>61.6</v>
      </c>
      <c r="E759" s="504" t="n">
        <v>-2.3</v>
      </c>
      <c r="F759" s="505" t="n">
        <v>-3.6</v>
      </c>
      <c r="G759" t="inlineStr">
        <is>
          <t>1.17億</t>
        </is>
      </c>
      <c r="H759" t="n">
        <v>1894</v>
      </c>
      <c r="I759" t="n">
        <v>4453</v>
      </c>
      <c r="J759" t="n">
        <v>10</v>
      </c>
      <c r="K759" t="n">
        <v>63.5</v>
      </c>
      <c r="L759" t="n">
        <v>60.4</v>
      </c>
      <c r="M759" s="175" t="n">
        <v>1.89</v>
      </c>
      <c r="N759" t="inlineStr">
        <is>
          <t>以金融業為主的系統整合大廠</t>
        </is>
      </c>
    </row>
    <row r="760">
      <c r="A760" t="n">
        <v>2454</v>
      </c>
      <c r="B760" t="inlineStr">
        <is>
          <t>聯發科</t>
        </is>
      </c>
      <c r="C760" t="n">
        <v>4970</v>
      </c>
      <c r="D760" t="n">
        <v>4525</v>
      </c>
      <c r="E760" s="504" t="n">
        <v>-30</v>
      </c>
      <c r="F760" s="505" t="n">
        <v>-0.66</v>
      </c>
      <c r="G760" t="inlineStr">
        <is>
          <t>651億</t>
        </is>
      </c>
      <c r="H760" t="n">
        <v>14139</v>
      </c>
      <c r="I760" t="n">
        <v>19485</v>
      </c>
      <c r="J760" t="n">
        <v>160.39</v>
      </c>
      <c r="K760" t="n">
        <v>4970</v>
      </c>
      <c r="L760" t="n">
        <v>4380</v>
      </c>
      <c r="M760" s="175" t="n">
        <v>0.88</v>
      </c>
      <c r="N760" t="inlineStr">
        <is>
          <t>全球智慧型手機晶片大廠</t>
        </is>
      </c>
    </row>
    <row r="761">
      <c r="A761" t="n">
        <v>2455</v>
      </c>
      <c r="B761" t="inlineStr">
        <is>
          <t>全新</t>
        </is>
      </c>
      <c r="C761" t="n">
        <v>420</v>
      </c>
      <c r="D761" t="n">
        <v>399</v>
      </c>
      <c r="E761" s="504" t="n">
        <v>-16.5</v>
      </c>
      <c r="F761" s="505" t="n">
        <v>-3.97</v>
      </c>
      <c r="G761" t="inlineStr">
        <is>
          <t>5.23億</t>
        </is>
      </c>
      <c r="H761" t="n">
        <v>1305</v>
      </c>
      <c r="I761" t="n">
        <v>4403</v>
      </c>
      <c r="J761" t="n">
        <v>18.52</v>
      </c>
      <c r="K761" t="n">
        <v>420</v>
      </c>
      <c r="L761" t="n">
        <v>393.5</v>
      </c>
      <c r="M761" s="175" t="n">
        <v>0.71</v>
      </c>
      <c r="N761" t="inlineStr">
        <is>
          <t>全球前三大砷化鎵HBT磊晶片廠</t>
        </is>
      </c>
    </row>
    <row r="762">
      <c r="A762" t="n">
        <v>2457</v>
      </c>
      <c r="B762" t="inlineStr">
        <is>
          <t>飛宏</t>
        </is>
      </c>
      <c r="C762" t="n">
        <v>26.85</v>
      </c>
      <c r="D762" t="n">
        <v>26.5</v>
      </c>
      <c r="E762" s="504" t="n">
        <v>-0.35</v>
      </c>
      <c r="F762" s="505" t="n">
        <v>-1.3</v>
      </c>
      <c r="G762" t="inlineStr">
        <is>
          <t>1.10億</t>
        </is>
      </c>
      <c r="H762" t="n">
        <v>4150</v>
      </c>
      <c r="I762" t="n">
        <v>3988</v>
      </c>
      <c r="J762" t="n">
        <v>42.48</v>
      </c>
      <c r="K762" t="n">
        <v>26.85</v>
      </c>
      <c r="L762" t="n">
        <v>26</v>
      </c>
      <c r="M762" s="175" t="n">
        <v>0.98</v>
      </c>
      <c r="N762" t="inlineStr">
        <is>
          <t>電源供應器領導廠商</t>
        </is>
      </c>
    </row>
    <row r="763">
      <c r="A763" t="n">
        <v>2458</v>
      </c>
      <c r="B763" t="inlineStr">
        <is>
          <t>義隆</t>
        </is>
      </c>
      <c r="C763" t="n">
        <v>168</v>
      </c>
      <c r="D763" t="n">
        <v>167.5</v>
      </c>
      <c r="E763" s="504" t="n">
        <v>0.5</v>
      </c>
      <c r="F763" s="505" t="n">
        <v>0.3</v>
      </c>
      <c r="G763" t="inlineStr">
        <is>
          <t>5.37億</t>
        </is>
      </c>
      <c r="H763" t="n">
        <v>3248</v>
      </c>
      <c r="I763" t="n">
        <v>3423</v>
      </c>
      <c r="J763" t="n">
        <v>30.39</v>
      </c>
      <c r="K763" t="n">
        <v>168.5</v>
      </c>
      <c r="L763" t="n">
        <v>162.5</v>
      </c>
      <c r="M763" s="175" t="n">
        <v>1.07</v>
      </c>
      <c r="N763" t="inlineStr">
        <is>
          <t>全球NB觸控板模組與觸控IC龍頭</t>
        </is>
      </c>
    </row>
    <row r="764">
      <c r="A764" t="n">
        <v>2459</v>
      </c>
      <c r="B764" t="inlineStr">
        <is>
          <t>敦吉</t>
        </is>
      </c>
      <c r="C764" t="n">
        <v>67</v>
      </c>
      <c r="D764" t="n">
        <v>70.90000000000001</v>
      </c>
      <c r="E764" s="504" t="n">
        <v>3.6</v>
      </c>
      <c r="F764" s="505" t="n">
        <v>5.35</v>
      </c>
      <c r="G764" t="inlineStr">
        <is>
          <t>6327萬</t>
        </is>
      </c>
      <c r="H764" t="n">
        <v>912</v>
      </c>
      <c r="I764" t="n">
        <v>313</v>
      </c>
      <c r="J764" t="n">
        <v>10.56</v>
      </c>
      <c r="K764" t="n">
        <v>70.90000000000001</v>
      </c>
      <c r="L764" t="n">
        <v>67</v>
      </c>
      <c r="M764" s="175" t="n">
        <v>0.86</v>
      </c>
      <c r="N764" t="inlineStr">
        <is>
          <t>經營通路、製造、驗證三大事業群</t>
        </is>
      </c>
    </row>
    <row r="765">
      <c r="A765" t="n">
        <v>2460</v>
      </c>
      <c r="B765" t="inlineStr">
        <is>
          <t>建通</t>
        </is>
      </c>
      <c r="C765" t="n">
        <v>32.9</v>
      </c>
      <c r="D765" t="n">
        <v>35.7</v>
      </c>
      <c r="E765" s="504" t="n">
        <v>2.9</v>
      </c>
      <c r="F765" s="505" t="n">
        <v>8.84</v>
      </c>
      <c r="G765" t="inlineStr">
        <is>
          <t>8831萬</t>
        </is>
      </c>
      <c r="H765" t="n">
        <v>2611</v>
      </c>
      <c r="I765" t="n">
        <v>708</v>
      </c>
      <c r="J765" t="n">
        <v>16.92</v>
      </c>
      <c r="K765" t="n">
        <v>35.95</v>
      </c>
      <c r="L765" t="n">
        <v>32.25</v>
      </c>
      <c r="M765" s="175" t="n">
        <v>1.54</v>
      </c>
      <c r="N765" t="inlineStr">
        <is>
          <t>亞洲最大電器類端子製造廠</t>
        </is>
      </c>
    </row>
    <row r="766">
      <c r="A766" t="n">
        <v>2461</v>
      </c>
      <c r="B766" t="inlineStr">
        <is>
          <t>光群雷</t>
        </is>
      </c>
      <c r="C766" t="n">
        <v>17.15</v>
      </c>
      <c r="D766" t="n">
        <v>17.55</v>
      </c>
      <c r="E766" s="504" t="n">
        <v>0.75</v>
      </c>
      <c r="F766" s="505" t="n">
        <v>4.46</v>
      </c>
      <c r="G766" t="inlineStr">
        <is>
          <t>3485萬</t>
        </is>
      </c>
      <c r="H766" t="n">
        <v>2018</v>
      </c>
      <c r="I766" t="n">
        <v>1266</v>
      </c>
      <c r="J766" t="n">
        <v>19.19</v>
      </c>
      <c r="K766" t="n">
        <v>17.8</v>
      </c>
      <c r="L766" t="n">
        <v>16.9</v>
      </c>
      <c r="M766" s="175" t="n">
        <v>1.05</v>
      </c>
      <c r="N766" t="inlineStr">
        <is>
          <t>全球重要知名雷射全像材料整合供應商</t>
        </is>
      </c>
    </row>
    <row r="767">
      <c r="A767" t="n">
        <v>2462</v>
      </c>
      <c r="B767" t="inlineStr">
        <is>
          <t>良得電</t>
        </is>
      </c>
      <c r="C767" t="n">
        <v>23.8</v>
      </c>
      <c r="D767" t="n">
        <v>24.15</v>
      </c>
      <c r="E767" s="504" t="n">
        <v>1.05</v>
      </c>
      <c r="F767" s="505" t="n">
        <v>4.55</v>
      </c>
      <c r="G767" t="inlineStr">
        <is>
          <t>6456萬</t>
        </is>
      </c>
      <c r="H767" t="n">
        <v>2742</v>
      </c>
      <c r="I767" t="n">
        <v>672</v>
      </c>
      <c r="J767" t="n">
        <v>15.08</v>
      </c>
      <c r="K767" t="n">
        <v>24.45</v>
      </c>
      <c r="L767" t="n">
        <v>22.75</v>
      </c>
      <c r="M767" s="175" t="n">
        <v>1.82</v>
      </c>
      <c r="N767" t="inlineStr">
        <is>
          <t>台灣知名電源線製造商</t>
        </is>
      </c>
    </row>
    <row r="768">
      <c r="A768" t="n">
        <v>2464</v>
      </c>
      <c r="B768" t="inlineStr">
        <is>
          <t>盟立</t>
        </is>
      </c>
      <c r="C768" t="n">
        <v>200</v>
      </c>
      <c r="D768" t="n">
        <v>185</v>
      </c>
      <c r="E768" s="504" t="n">
        <v>-14</v>
      </c>
      <c r="F768" s="505" t="n">
        <v>-7.04</v>
      </c>
      <c r="G768" t="inlineStr">
        <is>
          <t>32.5億</t>
        </is>
      </c>
      <c r="H768" t="n">
        <v>17279</v>
      </c>
      <c r="I768" t="n">
        <v>21151</v>
      </c>
      <c r="J768" t="n">
        <v>20.64</v>
      </c>
      <c r="K768" t="n">
        <v>200</v>
      </c>
      <c r="L768" t="n">
        <v>182.5</v>
      </c>
      <c r="M768" s="175" t="n">
        <v>8.369999999999999</v>
      </c>
      <c r="N768" t="inlineStr">
        <is>
          <t>台灣工業自動化設備廠</t>
        </is>
      </c>
    </row>
    <row r="769">
      <c r="A769" t="n">
        <v>2465</v>
      </c>
      <c r="B769" t="inlineStr">
        <is>
          <t>麗臺</t>
        </is>
      </c>
      <c r="C769" t="n">
        <v>90.3</v>
      </c>
      <c r="D769" t="n">
        <v>89.09999999999999</v>
      </c>
      <c r="E769" s="504" t="n">
        <v>0.6</v>
      </c>
      <c r="F769" s="505" t="n">
        <v>0.68</v>
      </c>
      <c r="G769" t="inlineStr">
        <is>
          <t>3.08億</t>
        </is>
      </c>
      <c r="H769" t="n">
        <v>3476</v>
      </c>
      <c r="I769" t="n">
        <v>2531</v>
      </c>
      <c r="J769" t="n">
        <v>9.390000000000001</v>
      </c>
      <c r="K769" t="n">
        <v>92</v>
      </c>
      <c r="L769" t="n">
        <v>86.09999999999999</v>
      </c>
      <c r="M769" s="175" t="n">
        <v>3.7</v>
      </c>
      <c r="N769" t="inlineStr">
        <is>
          <t>台灣繪圖卡廠商</t>
        </is>
      </c>
    </row>
    <row r="770">
      <c r="A770" t="n">
        <v>2466</v>
      </c>
      <c r="B770" t="inlineStr">
        <is>
          <t>冠西電</t>
        </is>
      </c>
      <c r="C770" t="n">
        <v>47</v>
      </c>
      <c r="D770" t="n">
        <v>45.7</v>
      </c>
      <c r="E770" s="504" t="n">
        <v>-1.3</v>
      </c>
      <c r="F770" s="505" t="n">
        <v>-2.77</v>
      </c>
      <c r="G770" t="inlineStr">
        <is>
          <t>1202萬</t>
        </is>
      </c>
      <c r="H770" t="n">
        <v>261</v>
      </c>
      <c r="I770" t="n">
        <v>278</v>
      </c>
      <c r="J770" t="n">
        <v>17.35</v>
      </c>
      <c r="K770" t="n">
        <v>47</v>
      </c>
      <c r="L770" t="n">
        <v>45.6</v>
      </c>
      <c r="M770" s="175" t="n">
        <v>0.15</v>
      </c>
      <c r="N770" t="inlineStr">
        <is>
          <t>LED裝飾燈及光電元件製造商</t>
        </is>
      </c>
    </row>
    <row r="771">
      <c r="A771" t="n">
        <v>2467</v>
      </c>
      <c r="B771" t="inlineStr">
        <is>
          <t>志聖</t>
        </is>
      </c>
      <c r="C771" t="n">
        <v>637</v>
      </c>
      <c r="D771" t="n">
        <v>588</v>
      </c>
      <c r="E771" s="504" t="n">
        <v>-49</v>
      </c>
      <c r="F771" s="505" t="n">
        <v>-7.69</v>
      </c>
      <c r="G771" t="inlineStr">
        <is>
          <t>17.4億</t>
        </is>
      </c>
      <c r="H771" t="n">
        <v>2900</v>
      </c>
      <c r="I771" t="n">
        <v>2626</v>
      </c>
      <c r="J771" t="n">
        <v>16.12</v>
      </c>
      <c r="K771" t="n">
        <v>637</v>
      </c>
      <c r="L771" t="n">
        <v>582</v>
      </c>
      <c r="M771" s="175" t="n">
        <v>1.85</v>
      </c>
      <c r="N771" t="inlineStr">
        <is>
          <t>印刷電路板製程用壓膜機知名大廠</t>
        </is>
      </c>
    </row>
    <row r="772">
      <c r="A772" t="n">
        <v>2468</v>
      </c>
      <c r="B772" t="inlineStr">
        <is>
          <t>華經</t>
        </is>
      </c>
      <c r="C772" t="n">
        <v>40.05</v>
      </c>
      <c r="D772" t="n">
        <v>40.15</v>
      </c>
      <c r="E772" s="504" t="n">
        <v>3.65</v>
      </c>
      <c r="F772" s="505" t="n">
        <v>10</v>
      </c>
      <c r="G772" t="inlineStr">
        <is>
          <t>1.73億</t>
        </is>
      </c>
      <c r="H772" t="n">
        <v>4337</v>
      </c>
      <c r="I772" t="n">
        <v>397</v>
      </c>
      <c r="J772" t="n">
        <v>7</v>
      </c>
      <c r="K772" t="n">
        <v>40.15</v>
      </c>
      <c r="L772" t="n">
        <v>38.9</v>
      </c>
      <c r="M772" s="175" t="n">
        <v>6.2</v>
      </c>
      <c r="N772" t="inlineStr">
        <is>
          <t>以數位影像處理為主的系統整合商</t>
        </is>
      </c>
    </row>
    <row r="773">
      <c r="A773" t="n">
        <v>2471</v>
      </c>
      <c r="B773" t="inlineStr">
        <is>
          <t>資通</t>
        </is>
      </c>
      <c r="C773" t="n">
        <v>55</v>
      </c>
      <c r="D773" t="n">
        <v>54.2</v>
      </c>
      <c r="E773" s="504" t="n">
        <v>-0.4</v>
      </c>
      <c r="F773" s="505" t="n">
        <v>-0.73</v>
      </c>
      <c r="G773" t="inlineStr">
        <is>
          <t>6623萬</t>
        </is>
      </c>
      <c r="H773" t="n">
        <v>1217</v>
      </c>
      <c r="I773" t="n">
        <v>653</v>
      </c>
      <c r="J773" t="n">
        <v>4.73</v>
      </c>
      <c r="K773" t="n">
        <v>55.8</v>
      </c>
      <c r="L773" t="n">
        <v>53.4</v>
      </c>
      <c r="M773" s="175" t="n">
        <v>2.58</v>
      </c>
      <c r="N773" t="inlineStr">
        <is>
          <t>以金融業及製造業為主的系統整合廠商</t>
        </is>
      </c>
    </row>
    <row r="774">
      <c r="A774" t="n">
        <v>2472</v>
      </c>
      <c r="B774" t="inlineStr">
        <is>
          <t>立隆電</t>
        </is>
      </c>
      <c r="C774" t="n">
        <v>387</v>
      </c>
      <c r="D774" t="n">
        <v>380</v>
      </c>
      <c r="E774" s="504" t="n">
        <v>-12</v>
      </c>
      <c r="F774" s="505" t="n">
        <v>-3.06</v>
      </c>
      <c r="G774" t="inlineStr">
        <is>
          <t>16.1億</t>
        </is>
      </c>
      <c r="H774" t="n">
        <v>4400</v>
      </c>
      <c r="I774" t="n">
        <v>12358</v>
      </c>
      <c r="J774" t="n">
        <v>16.47</v>
      </c>
      <c r="K774" t="n">
        <v>387</v>
      </c>
      <c r="L774" t="n">
        <v>353</v>
      </c>
      <c r="M774" s="175" t="n">
        <v>2.67</v>
      </c>
      <c r="N774" t="inlineStr">
        <is>
          <t>台灣第一大鋁電解電容器廠</t>
        </is>
      </c>
    </row>
    <row r="775">
      <c r="A775" t="n">
        <v>2474</v>
      </c>
      <c r="B775" t="inlineStr">
        <is>
          <t>可成</t>
        </is>
      </c>
      <c r="C775" t="n">
        <v>245.5</v>
      </c>
      <c r="D775" t="n">
        <v>245.5</v>
      </c>
      <c r="E775" s="504" t="n">
        <v>22</v>
      </c>
      <c r="F775" s="505" t="n">
        <v>9.84</v>
      </c>
      <c r="G775" t="inlineStr">
        <is>
          <t>51.6億</t>
        </is>
      </c>
      <c r="H775" t="n">
        <v>21006</v>
      </c>
      <c r="I775" t="n">
        <v>26067</v>
      </c>
      <c r="J775" t="n">
        <v>53.88</v>
      </c>
      <c r="K775" t="n">
        <v>245.5</v>
      </c>
      <c r="L775" t="n">
        <v>245.5</v>
      </c>
      <c r="M775" s="175" t="n">
        <v>3.74</v>
      </c>
      <c r="N775" t="inlineStr">
        <is>
          <t>台灣知名的金屬機殼製造大廠</t>
        </is>
      </c>
    </row>
    <row r="776">
      <c r="A776" t="n">
        <v>2476</v>
      </c>
      <c r="B776" t="inlineStr">
        <is>
          <t>鉅祥</t>
        </is>
      </c>
      <c r="C776" t="n">
        <v>122.5</v>
      </c>
      <c r="D776" t="n">
        <v>119</v>
      </c>
      <c r="E776" s="504" t="n">
        <v>-3</v>
      </c>
      <c r="F776" s="505" t="n">
        <v>-2.46</v>
      </c>
      <c r="G776" t="inlineStr">
        <is>
          <t>6.58億</t>
        </is>
      </c>
      <c r="H776" t="n">
        <v>5603</v>
      </c>
      <c r="I776" t="n">
        <v>7572</v>
      </c>
      <c r="J776" t="n">
        <v>21.89</v>
      </c>
      <c r="K776" t="n">
        <v>123</v>
      </c>
      <c r="L776" t="n">
        <v>114.5</v>
      </c>
      <c r="M776" s="175" t="n">
        <v>2.57</v>
      </c>
      <c r="N776" t="inlineStr">
        <is>
          <t>台灣沖壓件暨機構件大廠</t>
        </is>
      </c>
    </row>
    <row r="777">
      <c r="A777" t="n">
        <v>2477</v>
      </c>
      <c r="B777" t="inlineStr">
        <is>
          <t>美隆電</t>
        </is>
      </c>
      <c r="C777" t="n">
        <v>22.5</v>
      </c>
      <c r="D777" t="n">
        <v>22.3</v>
      </c>
      <c r="E777" s="504" t="n">
        <v>0.15</v>
      </c>
      <c r="F777" s="505" t="n">
        <v>0.68</v>
      </c>
      <c r="G777" t="inlineStr">
        <is>
          <t>847萬</t>
        </is>
      </c>
      <c r="H777" t="n">
        <v>382</v>
      </c>
      <c r="I777" t="n">
        <v>387</v>
      </c>
      <c r="J777" t="n">
        <v>15.86</v>
      </c>
      <c r="K777" t="n">
        <v>22.5</v>
      </c>
      <c r="L777" t="n">
        <v>21.95</v>
      </c>
      <c r="M777" s="175" t="n">
        <v>0.24</v>
      </c>
      <c r="N777" t="inlineStr">
        <is>
          <t>台灣最大音箱及揚聲器製造廠之一</t>
        </is>
      </c>
    </row>
    <row r="778">
      <c r="A778" t="n">
        <v>2478</v>
      </c>
      <c r="B778" t="inlineStr">
        <is>
          <t>大毅</t>
        </is>
      </c>
      <c r="C778" t="n">
        <v>144</v>
      </c>
      <c r="D778" t="n">
        <v>143</v>
      </c>
      <c r="E778" s="504" t="n">
        <v>-1</v>
      </c>
      <c r="F778" s="505" t="n">
        <v>-0.6899999999999999</v>
      </c>
      <c r="G778" t="inlineStr">
        <is>
          <t>4.20億</t>
        </is>
      </c>
      <c r="H778" t="n">
        <v>3123</v>
      </c>
      <c r="I778" t="n">
        <v>4242</v>
      </c>
      <c r="J778" t="n">
        <v>14.47</v>
      </c>
      <c r="K778" t="n">
        <v>145</v>
      </c>
      <c r="L778" t="n">
        <v>130</v>
      </c>
      <c r="M778" s="175" t="n">
        <v>2.16</v>
      </c>
      <c r="N778" t="inlineStr">
        <is>
          <t>台灣知名晶片電阻製造商</t>
        </is>
      </c>
    </row>
    <row r="779">
      <c r="A779" t="n">
        <v>2480</v>
      </c>
      <c r="B779" t="inlineStr">
        <is>
          <t>敦陽科</t>
        </is>
      </c>
      <c r="C779" t="n">
        <v>161.5</v>
      </c>
      <c r="D779" t="n">
        <v>159.5</v>
      </c>
      <c r="E779" s="504" t="n">
        <v>-1.5</v>
      </c>
      <c r="F779" s="505" t="n">
        <v>-0.93</v>
      </c>
      <c r="G779" t="inlineStr">
        <is>
          <t>1.93億</t>
        </is>
      </c>
      <c r="H779" t="n">
        <v>1210</v>
      </c>
      <c r="I779" t="n">
        <v>775</v>
      </c>
      <c r="J779" t="n">
        <v>10.64</v>
      </c>
      <c r="K779" t="n">
        <v>162.5</v>
      </c>
      <c r="L779" t="n">
        <v>157.5</v>
      </c>
      <c r="M779" s="175" t="n">
        <v>1.14</v>
      </c>
      <c r="N779" t="inlineStr">
        <is>
          <t>台灣資訊系統整合服務大廠</t>
        </is>
      </c>
    </row>
    <row r="780">
      <c r="A780" t="n">
        <v>2481</v>
      </c>
      <c r="B780" t="inlineStr">
        <is>
          <t>強茂</t>
        </is>
      </c>
      <c r="C780" t="n">
        <v>157.5</v>
      </c>
      <c r="D780" t="n">
        <v>146</v>
      </c>
      <c r="E780" s="504" t="n">
        <v>-11</v>
      </c>
      <c r="F780" s="505" t="n">
        <v>-7.01</v>
      </c>
      <c r="G780" t="inlineStr">
        <is>
          <t>61.9億</t>
        </is>
      </c>
      <c r="H780" t="n">
        <v>41548</v>
      </c>
      <c r="I780" t="n">
        <v>62779</v>
      </c>
      <c r="J780" t="n">
        <v>38.21</v>
      </c>
      <c r="K780" t="n">
        <v>158.5</v>
      </c>
      <c r="L780" t="n">
        <v>144.5</v>
      </c>
      <c r="M780" s="175" t="n">
        <v>10.87</v>
      </c>
      <c r="N780" t="inlineStr">
        <is>
          <t>台灣最大二極體廠</t>
        </is>
      </c>
    </row>
    <row r="781">
      <c r="A781" t="n">
        <v>2482</v>
      </c>
      <c r="B781" t="inlineStr">
        <is>
          <t>連宇</t>
        </is>
      </c>
      <c r="C781" t="n">
        <v>16.8</v>
      </c>
      <c r="D781" t="n">
        <v>17.05</v>
      </c>
      <c r="E781" s="504" t="n">
        <v>0.3</v>
      </c>
      <c r="F781" s="505" t="n">
        <v>1.79</v>
      </c>
      <c r="G781" t="inlineStr">
        <is>
          <t>508萬</t>
        </is>
      </c>
      <c r="H781" t="n">
        <v>305</v>
      </c>
      <c r="I781" t="n">
        <v>227</v>
      </c>
      <c r="J781" t="n">
        <v>7.79</v>
      </c>
      <c r="K781" t="n">
        <v>17.05</v>
      </c>
      <c r="L781" t="n">
        <v>16.5</v>
      </c>
      <c r="M781" s="175" t="n">
        <v>0.39</v>
      </c>
      <c r="N781" t="inlineStr">
        <is>
          <t>台灣讀卡機等電子支付交易設備廠</t>
        </is>
      </c>
    </row>
    <row r="782">
      <c r="A782" t="n">
        <v>2483</v>
      </c>
      <c r="B782" t="inlineStr">
        <is>
          <t>百容</t>
        </is>
      </c>
      <c r="C782" t="n">
        <v>25.9</v>
      </c>
      <c r="D782" t="n">
        <v>25.5</v>
      </c>
      <c r="E782" s="504" t="n">
        <v>0</v>
      </c>
      <c r="F782" s="505" t="n">
        <v>0</v>
      </c>
      <c r="G782" t="inlineStr">
        <is>
          <t>1960萬</t>
        </is>
      </c>
      <c r="H782" t="n">
        <v>774</v>
      </c>
      <c r="I782" t="n">
        <v>697</v>
      </c>
      <c r="J782" t="n">
        <v>10.79</v>
      </c>
      <c r="K782" t="n">
        <v>25.9</v>
      </c>
      <c r="L782" t="n">
        <v>24.65</v>
      </c>
      <c r="M782" s="175" t="n">
        <v>0.72</v>
      </c>
      <c r="N782" t="inlineStr">
        <is>
          <t>台灣知名程式開關兼繼電器供應商</t>
        </is>
      </c>
    </row>
    <row r="783">
      <c r="A783" t="n">
        <v>2484</v>
      </c>
      <c r="B783" t="inlineStr">
        <is>
          <t>希華</t>
        </is>
      </c>
      <c r="C783" t="n">
        <v>53</v>
      </c>
      <c r="D783" t="n">
        <v>51.9</v>
      </c>
      <c r="E783" s="504" t="n">
        <v>-1.3</v>
      </c>
      <c r="F783" s="505" t="n">
        <v>-2.44</v>
      </c>
      <c r="G783" t="inlineStr">
        <is>
          <t>6.47億</t>
        </is>
      </c>
      <c r="H783" t="n">
        <v>12603</v>
      </c>
      <c r="I783" t="n">
        <v>29956</v>
      </c>
      <c r="J783" t="n">
        <v>15.94</v>
      </c>
      <c r="K783" t="n">
        <v>53.1</v>
      </c>
      <c r="L783" t="n">
        <v>50</v>
      </c>
      <c r="M783" s="175" t="n">
        <v>7.91</v>
      </c>
      <c r="N783" t="inlineStr">
        <is>
          <t>台灣石英元件大廠</t>
        </is>
      </c>
    </row>
    <row r="784">
      <c r="A784" t="n">
        <v>2485</v>
      </c>
      <c r="B784" t="inlineStr">
        <is>
          <t>兆赫</t>
        </is>
      </c>
      <c r="C784" t="n">
        <v>72.8</v>
      </c>
      <c r="D784" t="n">
        <v>69.90000000000001</v>
      </c>
      <c r="E784" s="504" t="n">
        <v>-2.7</v>
      </c>
      <c r="F784" s="505" t="n">
        <v>-3.72</v>
      </c>
      <c r="G784" t="inlineStr">
        <is>
          <t>10.6億</t>
        </is>
      </c>
      <c r="H784" t="n">
        <v>15040</v>
      </c>
      <c r="I784" t="n">
        <v>28640</v>
      </c>
      <c r="J784" t="n">
        <v>31.77</v>
      </c>
      <c r="K784" t="n">
        <v>73.8</v>
      </c>
      <c r="L784" t="n">
        <v>69.09999999999999</v>
      </c>
      <c r="M784" s="175" t="n">
        <v>4.73</v>
      </c>
      <c r="N784" t="inlineStr">
        <is>
          <t>機上盒、LNB、有線電視傳輸設備製造商</t>
        </is>
      </c>
    </row>
    <row r="785">
      <c r="A785" t="n">
        <v>2486</v>
      </c>
      <c r="B785" t="inlineStr">
        <is>
          <t>一詮</t>
        </is>
      </c>
      <c r="C785" t="n">
        <v>268.5</v>
      </c>
      <c r="D785" t="n">
        <v>253.5</v>
      </c>
      <c r="E785" s="504" t="n">
        <v>-13</v>
      </c>
      <c r="F785" s="505" t="n">
        <v>-4.88</v>
      </c>
      <c r="G785" t="inlineStr">
        <is>
          <t>27.2億</t>
        </is>
      </c>
      <c r="H785" t="n">
        <v>10478</v>
      </c>
      <c r="I785" t="n">
        <v>10188</v>
      </c>
      <c r="J785" t="n">
        <v>23.57</v>
      </c>
      <c r="K785" t="n">
        <v>276</v>
      </c>
      <c r="L785" t="n">
        <v>248</v>
      </c>
      <c r="M785" s="175" t="n">
        <v>4.48</v>
      </c>
      <c r="N785" t="inlineStr">
        <is>
          <t>台灣LED導線架大廠</t>
        </is>
      </c>
    </row>
    <row r="786">
      <c r="A786" t="n">
        <v>2488</v>
      </c>
      <c r="B786" t="inlineStr">
        <is>
          <t>漢平</t>
        </is>
      </c>
      <c r="C786" t="n">
        <v>54.1</v>
      </c>
      <c r="D786" t="n">
        <v>53.7</v>
      </c>
      <c r="E786" s="504" t="n">
        <v>-0.4</v>
      </c>
      <c r="F786" s="505" t="n">
        <v>-0.74</v>
      </c>
      <c r="G786" t="inlineStr">
        <is>
          <t>1191萬</t>
        </is>
      </c>
      <c r="H786" t="n">
        <v>221</v>
      </c>
      <c r="I786" t="n">
        <v>191</v>
      </c>
      <c r="J786" t="n">
        <v>8</v>
      </c>
      <c r="K786" t="n">
        <v>54.4</v>
      </c>
      <c r="L786" t="n">
        <v>53.6</v>
      </c>
      <c r="M786" s="175" t="n">
        <v>0.28</v>
      </c>
      <c r="N786" t="inlineStr">
        <is>
          <t>台灣娛樂音訊產品ODM製造商</t>
        </is>
      </c>
    </row>
    <row r="787">
      <c r="A787" t="n">
        <v>2489</v>
      </c>
      <c r="B787" t="inlineStr">
        <is>
          <t>瑞軒</t>
        </is>
      </c>
      <c r="C787" t="n">
        <v>49.7</v>
      </c>
      <c r="D787" t="n">
        <v>47.8</v>
      </c>
      <c r="E787" s="504" t="n">
        <v>-0.85</v>
      </c>
      <c r="F787" s="505" t="n">
        <v>-1.75</v>
      </c>
      <c r="G787" t="inlineStr">
        <is>
          <t>15.3億</t>
        </is>
      </c>
      <c r="H787" t="n">
        <v>31421</v>
      </c>
      <c r="I787" t="n">
        <v>69465</v>
      </c>
      <c r="J787" t="n">
        <v>61</v>
      </c>
      <c r="K787" t="n">
        <v>50.8</v>
      </c>
      <c r="L787" t="n">
        <v>47.15</v>
      </c>
      <c r="M787" s="175" t="n">
        <v>5.15</v>
      </c>
      <c r="N787" t="inlineStr">
        <is>
          <t>台灣知名液晶電視及顯示器代工廠</t>
        </is>
      </c>
    </row>
    <row r="788">
      <c r="A788" t="n">
        <v>2491</v>
      </c>
      <c r="B788" t="inlineStr">
        <is>
          <t>吉祥全</t>
        </is>
      </c>
      <c r="C788" t="n">
        <v>28.15</v>
      </c>
      <c r="D788" t="n">
        <v>28.15</v>
      </c>
      <c r="E788" s="504" t="n">
        <v>2.55</v>
      </c>
      <c r="F788" s="505" t="n">
        <v>9.960000000000001</v>
      </c>
      <c r="G788" t="inlineStr">
        <is>
          <t>7510萬</t>
        </is>
      </c>
      <c r="H788" t="n">
        <v>2668</v>
      </c>
      <c r="I788" t="n">
        <v>1361</v>
      </c>
      <c r="J788" t="n">
        <v>8.199999999999999</v>
      </c>
      <c r="K788" t="n">
        <v>28.15</v>
      </c>
      <c r="L788" t="n">
        <v>28.15</v>
      </c>
      <c r="M788" s="175" t="n">
        <v>3.25</v>
      </c>
      <c r="N788" t="inlineStr">
        <is>
          <t>主要從事照明應用產品製造及銷售</t>
        </is>
      </c>
    </row>
    <row r="789">
      <c r="A789" t="n">
        <v>2492</v>
      </c>
      <c r="B789" t="inlineStr">
        <is>
          <t>華新科</t>
        </is>
      </c>
      <c r="C789" t="n">
        <v>391</v>
      </c>
      <c r="D789" t="n">
        <v>456</v>
      </c>
      <c r="E789" s="504" t="n">
        <v>40</v>
      </c>
      <c r="F789" s="505" t="n">
        <v>9.619999999999999</v>
      </c>
      <c r="G789" t="inlineStr">
        <is>
          <t>33.7億</t>
        </is>
      </c>
      <c r="H789" t="n">
        <v>8585</v>
      </c>
      <c r="I789" t="n">
        <v>6973</v>
      </c>
      <c r="J789" t="n">
        <v>48.52</v>
      </c>
      <c r="K789" t="n">
        <v>456</v>
      </c>
      <c r="L789" t="n">
        <v>374.5</v>
      </c>
      <c r="M789" s="175" t="n">
        <v>1.77</v>
      </c>
      <c r="N789" t="inlineStr">
        <is>
          <t>全球前五大MLCC廠</t>
        </is>
      </c>
    </row>
    <row r="790">
      <c r="A790" t="n">
        <v>2493</v>
      </c>
      <c r="B790" t="inlineStr">
        <is>
          <t>揚博</t>
        </is>
      </c>
      <c r="C790" t="n">
        <v>154</v>
      </c>
      <c r="D790" t="n">
        <v>147</v>
      </c>
      <c r="E790" s="504" t="n">
        <v>-6</v>
      </c>
      <c r="F790" s="505" t="n">
        <v>-3.92</v>
      </c>
      <c r="G790" t="inlineStr">
        <is>
          <t>4.09億</t>
        </is>
      </c>
      <c r="H790" t="n">
        <v>2743</v>
      </c>
      <c r="I790" t="n">
        <v>8408</v>
      </c>
      <c r="J790" t="n">
        <v>12.68</v>
      </c>
      <c r="K790" t="n">
        <v>156.5</v>
      </c>
      <c r="L790" t="n">
        <v>146</v>
      </c>
      <c r="M790" s="175" t="n">
        <v>2.16</v>
      </c>
      <c r="N790" t="inlineStr">
        <is>
          <t>全球最大的PCB濕製程大廠</t>
        </is>
      </c>
    </row>
    <row r="791">
      <c r="A791" t="n">
        <v>2495</v>
      </c>
      <c r="B791" t="inlineStr">
        <is>
          <t>普安</t>
        </is>
      </c>
      <c r="C791" t="n">
        <v>51.2</v>
      </c>
      <c r="D791" t="n">
        <v>51.6</v>
      </c>
      <c r="E791" s="504" t="n">
        <v>0.7</v>
      </c>
      <c r="F791" s="505" t="n">
        <v>1.38</v>
      </c>
      <c r="G791" t="inlineStr">
        <is>
          <t>7.60億</t>
        </is>
      </c>
      <c r="H791" t="n">
        <v>14972</v>
      </c>
      <c r="I791" t="n">
        <v>21833</v>
      </c>
      <c r="J791" t="n">
        <v>27.36</v>
      </c>
      <c r="K791" t="n">
        <v>53</v>
      </c>
      <c r="L791" t="n">
        <v>48.75</v>
      </c>
      <c r="M791" s="175" t="n">
        <v>5.47</v>
      </c>
      <c r="N791" t="inlineStr">
        <is>
          <t>全球前十大磁碟陣列及NAS系統供應商</t>
        </is>
      </c>
    </row>
    <row r="792">
      <c r="A792" t="n">
        <v>2496</v>
      </c>
      <c r="B792" t="inlineStr">
        <is>
          <t>卓越</t>
        </is>
      </c>
      <c r="C792" t="n">
        <v>64.7</v>
      </c>
      <c r="D792" t="n">
        <v>64.59999999999999</v>
      </c>
      <c r="E792" s="504" t="n">
        <v>-0.1</v>
      </c>
      <c r="F792" s="505" t="n">
        <v>-0.15</v>
      </c>
      <c r="G792" t="inlineStr">
        <is>
          <t>220萬</t>
        </is>
      </c>
      <c r="H792" t="n">
        <v>34</v>
      </c>
      <c r="I792" t="n">
        <v>14</v>
      </c>
      <c r="J792" t="n">
        <v>1.91</v>
      </c>
      <c r="K792" t="n">
        <v>65</v>
      </c>
      <c r="L792" t="n">
        <v>64.5</v>
      </c>
      <c r="M792" s="175" t="n">
        <v>0.18</v>
      </c>
      <c r="N792" t="inlineStr">
        <is>
          <t>為補教教育服務商，旗下擁有陳立補習班</t>
        </is>
      </c>
    </row>
    <row r="793">
      <c r="A793" t="n">
        <v>2497</v>
      </c>
      <c r="B793" t="inlineStr">
        <is>
          <t>怡利電</t>
        </is>
      </c>
      <c r="C793" t="n">
        <v>64.3</v>
      </c>
      <c r="D793" t="n">
        <v>61.8</v>
      </c>
      <c r="E793" s="504" t="n">
        <v>-3.8</v>
      </c>
      <c r="F793" s="505" t="n">
        <v>-5.79</v>
      </c>
      <c r="G793" t="inlineStr">
        <is>
          <t>2.12億</t>
        </is>
      </c>
      <c r="H793" t="n">
        <v>3392</v>
      </c>
      <c r="I793" t="n">
        <v>2159</v>
      </c>
      <c r="J793" t="n">
        <v>13.09</v>
      </c>
      <c r="K793" t="n">
        <v>64.90000000000001</v>
      </c>
      <c r="L793" t="n">
        <v>60.5</v>
      </c>
      <c r="M793" s="175" t="n">
        <v>2.87</v>
      </c>
      <c r="N793" t="inlineStr">
        <is>
          <t>國內車載影音主機大廠</t>
        </is>
      </c>
    </row>
    <row r="794">
      <c r="A794" t="n">
        <v>2498</v>
      </c>
      <c r="B794" t="inlineStr">
        <is>
          <t>宏達電</t>
        </is>
      </c>
      <c r="C794" t="n">
        <v>46</v>
      </c>
      <c r="D794" t="n">
        <v>50</v>
      </c>
      <c r="E794" s="504" t="n">
        <v>4.5</v>
      </c>
      <c r="F794" s="505" t="n">
        <v>9.890000000000001</v>
      </c>
      <c r="G794" t="inlineStr">
        <is>
          <t>18.3億</t>
        </is>
      </c>
      <c r="H794" t="n">
        <v>36981</v>
      </c>
      <c r="I794" t="n">
        <v>11708</v>
      </c>
      <c r="J794" t="n">
        <v>83.61</v>
      </c>
      <c r="K794" t="n">
        <v>50</v>
      </c>
      <c r="L794" t="n">
        <v>45.9</v>
      </c>
      <c r="M794" s="175" t="n">
        <v>4.42</v>
      </c>
      <c r="N794" t="inlineStr">
        <is>
          <t>以HTC品牌行銷全球前十大智慧型手機廠商</t>
        </is>
      </c>
    </row>
    <row r="795">
      <c r="A795" t="n">
        <v>2501</v>
      </c>
      <c r="B795" t="inlineStr">
        <is>
          <t>國建</t>
        </is>
      </c>
      <c r="C795" t="n">
        <v>22.9</v>
      </c>
      <c r="D795" t="n">
        <v>22.7</v>
      </c>
      <c r="E795" s="504" t="n">
        <v>-0.25</v>
      </c>
      <c r="F795" s="505" t="n">
        <v>-1.09</v>
      </c>
      <c r="G795" t="inlineStr">
        <is>
          <t>5546萬</t>
        </is>
      </c>
      <c r="H795" t="n">
        <v>2449</v>
      </c>
      <c r="I795" t="n">
        <v>3893</v>
      </c>
      <c r="J795" t="n">
        <v>115.96</v>
      </c>
      <c r="K795" t="n">
        <v>22.9</v>
      </c>
      <c r="L795" t="n">
        <v>22.6</v>
      </c>
      <c r="M795" s="175" t="n">
        <v>0.21</v>
      </c>
      <c r="N795" t="inlineStr">
        <is>
          <t>屬霖園集團之台灣老牌營建開發業者</t>
        </is>
      </c>
    </row>
    <row r="796">
      <c r="A796" t="n">
        <v>2504</v>
      </c>
      <c r="B796" t="inlineStr">
        <is>
          <t>國產</t>
        </is>
      </c>
      <c r="C796" t="n">
        <v>35.6</v>
      </c>
      <c r="D796" t="n">
        <v>35.2</v>
      </c>
      <c r="E796" s="504" t="n">
        <v>-0.3</v>
      </c>
      <c r="F796" s="505" t="n">
        <v>-0.85</v>
      </c>
      <c r="G796" t="inlineStr">
        <is>
          <t>1.32億</t>
        </is>
      </c>
      <c r="H796" t="n">
        <v>3732</v>
      </c>
      <c r="I796" t="n">
        <v>2474</v>
      </c>
      <c r="J796" t="n">
        <v>118</v>
      </c>
      <c r="K796" t="n">
        <v>35.8</v>
      </c>
      <c r="L796" t="n">
        <v>35.2</v>
      </c>
      <c r="M796" s="175" t="n">
        <v>0.32</v>
      </c>
      <c r="N796" t="inlineStr">
        <is>
          <t>台灣知名預拌混凝土大廠</t>
        </is>
      </c>
    </row>
    <row r="797">
      <c r="A797" t="n">
        <v>2505</v>
      </c>
      <c r="B797" t="inlineStr">
        <is>
          <t>國揚</t>
        </is>
      </c>
      <c r="C797" t="n">
        <v>17.45</v>
      </c>
      <c r="D797" t="n">
        <v>17.5</v>
      </c>
      <c r="E797" s="504" t="n">
        <v>0.05</v>
      </c>
      <c r="F797" s="505" t="n">
        <v>0.29</v>
      </c>
      <c r="G797" t="inlineStr">
        <is>
          <t>366萬</t>
        </is>
      </c>
      <c r="H797" t="n">
        <v>211</v>
      </c>
      <c r="I797" t="n">
        <v>377</v>
      </c>
      <c r="J797" t="n">
        <v>38</v>
      </c>
      <c r="K797" t="n">
        <v>17.55</v>
      </c>
      <c r="L797" t="n">
        <v>17.35</v>
      </c>
      <c r="M797" s="175" t="n">
        <v>0.06</v>
      </c>
      <c r="N797" t="inlineStr">
        <is>
          <t>整合百貨、飯店、休閒、地產的營建商</t>
        </is>
      </c>
    </row>
    <row r="798">
      <c r="A798" t="n">
        <v>2506</v>
      </c>
      <c r="B798" t="inlineStr">
        <is>
          <t>太設</t>
        </is>
      </c>
      <c r="C798" t="n">
        <v>8.73</v>
      </c>
      <c r="D798" t="n">
        <v>8.73</v>
      </c>
      <c r="E798" s="504" t="n">
        <v>0.01</v>
      </c>
      <c r="F798" s="505" t="n">
        <v>0.11</v>
      </c>
      <c r="G798" t="inlineStr">
        <is>
          <t>125萬</t>
        </is>
      </c>
      <c r="H798" t="n">
        <v>144</v>
      </c>
      <c r="I798" t="n">
        <v>151</v>
      </c>
      <c r="J798" t="n">
        <v>38.7</v>
      </c>
      <c r="K798" t="n">
        <v>8.779999999999999</v>
      </c>
      <c r="L798" t="n">
        <v>8.65</v>
      </c>
      <c r="M798" s="175" t="n">
        <v>0.04</v>
      </c>
      <c r="N798" t="inlineStr">
        <is>
          <t>多角化經營建設、百貨及休閒等事業</t>
        </is>
      </c>
    </row>
    <row r="799">
      <c r="A799" t="n">
        <v>2509</v>
      </c>
      <c r="B799" t="inlineStr">
        <is>
          <t>全坤建</t>
        </is>
      </c>
      <c r="C799" t="n">
        <v>12.25</v>
      </c>
      <c r="D799" t="n">
        <v>12.35</v>
      </c>
      <c r="E799" s="504" t="n">
        <v>0.05</v>
      </c>
      <c r="F799" s="505" t="n">
        <v>0.41</v>
      </c>
      <c r="G799" t="inlineStr">
        <is>
          <t>258萬</t>
        </is>
      </c>
      <c r="H799" t="n">
        <v>210</v>
      </c>
      <c r="I799" t="n">
        <v>230</v>
      </c>
      <c r="J799" t="n">
        <v>22.46</v>
      </c>
      <c r="K799" t="n">
        <v>12.4</v>
      </c>
      <c r="L799" t="n">
        <v>12.15</v>
      </c>
      <c r="M799" s="175" t="n">
        <v>0.09</v>
      </c>
      <c r="N799" t="inlineStr">
        <is>
          <t>推案集中於大台北地區的建商</t>
        </is>
      </c>
    </row>
    <row r="800">
      <c r="A800" t="n">
        <v>2511</v>
      </c>
      <c r="B800" t="inlineStr">
        <is>
          <t>太子</t>
        </is>
      </c>
      <c r="C800" t="n">
        <v>7.84</v>
      </c>
      <c r="D800" t="n">
        <v>7.88</v>
      </c>
      <c r="E800" s="504" t="n">
        <v>0.07000000000000001</v>
      </c>
      <c r="F800" s="505" t="n">
        <v>0.9</v>
      </c>
      <c r="G800" t="inlineStr">
        <is>
          <t>1294萬</t>
        </is>
      </c>
      <c r="H800" t="n">
        <v>1651</v>
      </c>
      <c r="I800" t="n">
        <v>1435</v>
      </c>
      <c r="J800" t="n">
        <v>162.33</v>
      </c>
      <c r="K800" t="n">
        <v>7.89</v>
      </c>
      <c r="L800" t="n">
        <v>7.78</v>
      </c>
      <c r="M800" s="175" t="n">
        <v>0.1</v>
      </c>
      <c r="N800" t="inlineStr">
        <is>
          <t>統一集團旗下建商</t>
        </is>
      </c>
    </row>
    <row r="801">
      <c r="A801" t="n">
        <v>2514</v>
      </c>
      <c r="B801" t="inlineStr">
        <is>
          <t>龍邦</t>
        </is>
      </c>
      <c r="C801" t="n">
        <v>13.55</v>
      </c>
      <c r="D801" t="n">
        <v>13.35</v>
      </c>
      <c r="E801" s="504" t="n">
        <v>-0.3</v>
      </c>
      <c r="F801" s="505" t="n">
        <v>-2.2</v>
      </c>
      <c r="G801" t="inlineStr">
        <is>
          <t>464萬</t>
        </is>
      </c>
      <c r="H801" t="n">
        <v>348</v>
      </c>
      <c r="I801" t="n">
        <v>375</v>
      </c>
      <c r="J801" t="n">
        <v>39.47</v>
      </c>
      <c r="K801" t="n">
        <v>13.75</v>
      </c>
      <c r="L801" t="n">
        <v>13.15</v>
      </c>
      <c r="M801" s="175" t="n">
        <v>0.09</v>
      </c>
      <c r="N801" t="inlineStr">
        <is>
          <t>中部地區首家上市建商</t>
        </is>
      </c>
    </row>
    <row r="802">
      <c r="A802" t="n">
        <v>2515</v>
      </c>
      <c r="B802" t="inlineStr">
        <is>
          <t>中工</t>
        </is>
      </c>
      <c r="C802" t="n">
        <v>12.85</v>
      </c>
      <c r="D802" t="n">
        <v>12.75</v>
      </c>
      <c r="E802" s="504" t="n">
        <v>-0.05</v>
      </c>
      <c r="F802" s="505" t="n">
        <v>-0.39</v>
      </c>
      <c r="G802" t="inlineStr">
        <is>
          <t>9814萬</t>
        </is>
      </c>
      <c r="H802" t="n">
        <v>7724</v>
      </c>
      <c r="I802" t="n">
        <v>8391</v>
      </c>
      <c r="J802" t="n">
        <v>160.79</v>
      </c>
      <c r="K802" t="n">
        <v>12.85</v>
      </c>
      <c r="L802" t="n">
        <v>12.65</v>
      </c>
      <c r="M802" s="175" t="n">
        <v>0.48</v>
      </c>
      <c r="N802" t="inlineStr">
        <is>
          <t>威京集團旗下，建築工程廠商</t>
        </is>
      </c>
    </row>
    <row r="803">
      <c r="A803" t="n">
        <v>2516</v>
      </c>
      <c r="B803" t="inlineStr">
        <is>
          <t>新建</t>
        </is>
      </c>
      <c r="C803" t="n">
        <v>12.7</v>
      </c>
      <c r="D803" t="n">
        <v>12.45</v>
      </c>
      <c r="E803" s="504" t="n">
        <v>-0.15</v>
      </c>
      <c r="F803" s="505" t="n">
        <v>-1.19</v>
      </c>
      <c r="G803" t="inlineStr">
        <is>
          <t>236萬</t>
        </is>
      </c>
      <c r="H803" t="n">
        <v>190</v>
      </c>
      <c r="I803" t="n">
        <v>632</v>
      </c>
      <c r="J803" t="n">
        <v>22.63</v>
      </c>
      <c r="K803" t="n">
        <v>12.7</v>
      </c>
      <c r="L803" t="n">
        <v>12.3</v>
      </c>
      <c r="M803" s="175" t="n">
        <v>0.08</v>
      </c>
      <c r="N803" t="inlineStr">
        <is>
          <t>主要承攬公共工程為主之營造廠商</t>
        </is>
      </c>
    </row>
    <row r="804">
      <c r="A804" t="n">
        <v>2520</v>
      </c>
      <c r="B804" t="inlineStr">
        <is>
          <t>冠德</t>
        </is>
      </c>
      <c r="C804" t="n">
        <v>30.9</v>
      </c>
      <c r="D804" t="n">
        <v>31.2</v>
      </c>
      <c r="E804" s="504" t="n">
        <v>0.3</v>
      </c>
      <c r="F804" s="505" t="n">
        <v>0.97</v>
      </c>
      <c r="G804" t="inlineStr">
        <is>
          <t>5458萬</t>
        </is>
      </c>
      <c r="H804" t="n">
        <v>1757</v>
      </c>
      <c r="I804" t="n">
        <v>1558</v>
      </c>
      <c r="J804" t="n">
        <v>60.95</v>
      </c>
      <c r="K804" t="n">
        <v>31.35</v>
      </c>
      <c r="L804" t="n">
        <v>30.55</v>
      </c>
      <c r="M804" s="175" t="n">
        <v>0.29</v>
      </c>
      <c r="N804" t="inlineStr">
        <is>
          <t>大台北地區的中大型建商</t>
        </is>
      </c>
    </row>
    <row r="805">
      <c r="A805" t="n">
        <v>2524</v>
      </c>
      <c r="B805" t="inlineStr">
        <is>
          <t>京城</t>
        </is>
      </c>
      <c r="C805" t="n">
        <v>35.45</v>
      </c>
      <c r="D805" t="n">
        <v>33.95</v>
      </c>
      <c r="E805" s="504" t="n">
        <v>-1.5</v>
      </c>
      <c r="F805" s="505" t="n">
        <v>-4.23</v>
      </c>
      <c r="G805" t="inlineStr">
        <is>
          <t>1181萬</t>
        </is>
      </c>
      <c r="H805" t="n">
        <v>347</v>
      </c>
      <c r="I805" t="n">
        <v>110</v>
      </c>
      <c r="J805" t="n">
        <v>36.6</v>
      </c>
      <c r="K805" t="n">
        <v>35.8</v>
      </c>
      <c r="L805" t="n">
        <v>33.5</v>
      </c>
      <c r="M805" s="175" t="n">
        <v>0.09</v>
      </c>
      <c r="N805" t="inlineStr">
        <is>
          <t>高雄地區知名建商</t>
        </is>
      </c>
    </row>
    <row r="806">
      <c r="A806" t="n">
        <v>2527</v>
      </c>
      <c r="B806" t="inlineStr">
        <is>
          <t>宏璟</t>
        </is>
      </c>
      <c r="C806" t="n">
        <v>37</v>
      </c>
      <c r="D806" t="n">
        <v>36.6</v>
      </c>
      <c r="E806" s="504" t="n">
        <v>-0.15</v>
      </c>
      <c r="F806" s="505" t="n">
        <v>-0.41</v>
      </c>
      <c r="G806" t="inlineStr">
        <is>
          <t>1413萬</t>
        </is>
      </c>
      <c r="H806" t="n">
        <v>392</v>
      </c>
      <c r="I806" t="n">
        <v>644</v>
      </c>
      <c r="J806" t="n">
        <v>27.03</v>
      </c>
      <c r="K806" t="n">
        <v>37</v>
      </c>
      <c r="L806" t="n">
        <v>36.05</v>
      </c>
      <c r="M806" s="175" t="n">
        <v>0.15</v>
      </c>
      <c r="N806" t="inlineStr">
        <is>
          <t>日月光旗下建商</t>
        </is>
      </c>
    </row>
    <row r="807">
      <c r="A807" t="n">
        <v>2528</v>
      </c>
      <c r="B807" t="inlineStr">
        <is>
          <t>皇普</t>
        </is>
      </c>
      <c r="C807" t="n">
        <v>20.1</v>
      </c>
      <c r="D807" t="n">
        <v>20.2</v>
      </c>
      <c r="E807" s="504" t="n">
        <v>0.05</v>
      </c>
      <c r="F807" s="505" t="n">
        <v>0.25</v>
      </c>
      <c r="G807" t="inlineStr">
        <is>
          <t>883萬</t>
        </is>
      </c>
      <c r="H807" t="n">
        <v>436</v>
      </c>
      <c r="I807" t="n">
        <v>1363</v>
      </c>
      <c r="J807" t="n">
        <v>43.6</v>
      </c>
      <c r="K807" t="n">
        <v>20.4</v>
      </c>
      <c r="L807" t="n">
        <v>20.1</v>
      </c>
      <c r="M807" s="175" t="n">
        <v>0.1</v>
      </c>
      <c r="N807" t="inlineStr">
        <is>
          <t>以大台北地區推案為主的建商</t>
        </is>
      </c>
    </row>
    <row r="808">
      <c r="A808" t="n">
        <v>2530</v>
      </c>
      <c r="B808" t="inlineStr">
        <is>
          <t>華建</t>
        </is>
      </c>
      <c r="C808" t="n">
        <v>19.7</v>
      </c>
      <c r="D808" t="n">
        <v>18.8</v>
      </c>
      <c r="E808" s="504" t="n">
        <v>-0.9</v>
      </c>
      <c r="F808" s="505" t="n">
        <v>-4.57</v>
      </c>
      <c r="G808" t="inlineStr">
        <is>
          <t>2942萬</t>
        </is>
      </c>
      <c r="H808" t="n">
        <v>1556</v>
      </c>
      <c r="I808" t="n">
        <v>1963</v>
      </c>
      <c r="J808" t="n">
        <v>84.13</v>
      </c>
      <c r="K808" t="n">
        <v>19.7</v>
      </c>
      <c r="L808" t="n">
        <v>18.55</v>
      </c>
      <c r="M808" s="175" t="n">
        <v>0.18</v>
      </c>
      <c r="N808" t="inlineStr">
        <is>
          <t>推案集中於大台北地區的建商</t>
        </is>
      </c>
    </row>
    <row r="809">
      <c r="A809" t="n">
        <v>2534</v>
      </c>
      <c r="B809" t="inlineStr">
        <is>
          <t>宏盛</t>
        </is>
      </c>
      <c r="C809" t="n">
        <v>17.2</v>
      </c>
      <c r="D809" t="n">
        <v>17.15</v>
      </c>
      <c r="E809" s="504" t="n">
        <v>-0.15</v>
      </c>
      <c r="F809" s="505" t="n">
        <v>-0.87</v>
      </c>
      <c r="G809" t="inlineStr">
        <is>
          <t>1947萬</t>
        </is>
      </c>
      <c r="H809" t="n">
        <v>1142</v>
      </c>
      <c r="I809" t="n">
        <v>1443</v>
      </c>
      <c r="J809" t="n">
        <v>47.42</v>
      </c>
      <c r="K809" t="n">
        <v>17.2</v>
      </c>
      <c r="L809" t="n">
        <v>16.95</v>
      </c>
      <c r="M809" s="175" t="n">
        <v>0.24</v>
      </c>
      <c r="N809" t="inlineStr">
        <is>
          <t>宏泰集團旗下建商，以仁愛帝寶豪宅推案而知名</t>
        </is>
      </c>
    </row>
    <row r="810">
      <c r="A810" t="n">
        <v>2535</v>
      </c>
      <c r="B810" t="inlineStr">
        <is>
          <t>達欣工</t>
        </is>
      </c>
      <c r="C810" t="n">
        <v>82.40000000000001</v>
      </c>
      <c r="D810" t="n">
        <v>81.3</v>
      </c>
      <c r="E810" s="504" t="n">
        <v>-1.1</v>
      </c>
      <c r="F810" s="505" t="n">
        <v>-1.33</v>
      </c>
      <c r="G810" t="inlineStr">
        <is>
          <t>3951萬</t>
        </is>
      </c>
      <c r="H810" t="n">
        <v>489</v>
      </c>
      <c r="I810" t="n">
        <v>738</v>
      </c>
      <c r="J810" t="n">
        <v>27.08</v>
      </c>
      <c r="K810" t="n">
        <v>82.8</v>
      </c>
      <c r="L810" t="n">
        <v>80</v>
      </c>
      <c r="M810" s="175" t="n">
        <v>0.18</v>
      </c>
      <c r="N810" t="inlineStr">
        <is>
          <t>台灣主要甲級營造廠之一</t>
        </is>
      </c>
    </row>
    <row r="811">
      <c r="A811" t="n">
        <v>2536</v>
      </c>
      <c r="B811" t="inlineStr">
        <is>
          <t>宏普</t>
        </is>
      </c>
      <c r="C811" t="n">
        <v>19.75</v>
      </c>
      <c r="D811" t="n">
        <v>19.65</v>
      </c>
      <c r="E811" s="504" t="n">
        <v>-0.1</v>
      </c>
      <c r="F811" s="505" t="n">
        <v>-0.51</v>
      </c>
      <c r="G811" t="inlineStr">
        <is>
          <t>1063萬</t>
        </is>
      </c>
      <c r="H811" t="n">
        <v>539</v>
      </c>
      <c r="I811" t="n">
        <v>453</v>
      </c>
      <c r="J811" t="n">
        <v>33.28</v>
      </c>
      <c r="K811" t="n">
        <v>19.85</v>
      </c>
      <c r="L811" t="n">
        <v>19.6</v>
      </c>
      <c r="M811" s="175" t="n">
        <v>0.16</v>
      </c>
      <c r="N811" t="inlineStr">
        <is>
          <t>推案集中於大台北地區之建商</t>
        </is>
      </c>
    </row>
    <row r="812">
      <c r="A812" t="n">
        <v>2537</v>
      </c>
      <c r="B812" t="inlineStr">
        <is>
          <t>聯上發</t>
        </is>
      </c>
      <c r="C812" t="n">
        <v>10.05</v>
      </c>
      <c r="D812" t="n">
        <v>9.98</v>
      </c>
      <c r="E812" s="504" t="n">
        <v>-0.07000000000000001</v>
      </c>
      <c r="F812" s="505" t="n">
        <v>-0.7</v>
      </c>
      <c r="G812" t="inlineStr">
        <is>
          <t>1227萬</t>
        </is>
      </c>
      <c r="H812" t="n">
        <v>1232</v>
      </c>
      <c r="I812" t="n">
        <v>1274</v>
      </c>
      <c r="J812" t="n">
        <v>30.06</v>
      </c>
      <c r="K812" t="n">
        <v>10.15</v>
      </c>
      <c r="L812" t="n">
        <v>9.82</v>
      </c>
      <c r="M812" s="175" t="n">
        <v>0.41</v>
      </c>
      <c r="N812" t="inlineStr">
        <is>
          <t>聯上集團旗下負責大台北及桃園地區推案的建商</t>
        </is>
      </c>
    </row>
    <row r="813">
      <c r="A813" t="n">
        <v>2538</v>
      </c>
      <c r="B813" t="inlineStr">
        <is>
          <t>基泰</t>
        </is>
      </c>
      <c r="C813" t="n">
        <v>9.640000000000001</v>
      </c>
      <c r="D813" t="n">
        <v>9.51</v>
      </c>
      <c r="E813" s="504" t="n">
        <v>-0.13</v>
      </c>
      <c r="F813" s="505" t="n">
        <v>-1.35</v>
      </c>
      <c r="G813" t="inlineStr">
        <is>
          <t>1106萬</t>
        </is>
      </c>
      <c r="H813" t="n">
        <v>1152</v>
      </c>
      <c r="I813" t="n">
        <v>1027</v>
      </c>
      <c r="J813" t="n">
        <v>44.5</v>
      </c>
      <c r="K813" t="n">
        <v>9.699999999999999</v>
      </c>
      <c r="L813" t="n">
        <v>9.5</v>
      </c>
      <c r="M813" s="175" t="n">
        <v>0.26</v>
      </c>
      <c r="N813" t="inlineStr">
        <is>
          <t>推案集中於大台北地區之建商</t>
        </is>
      </c>
    </row>
    <row r="814">
      <c r="A814" t="n">
        <v>2539</v>
      </c>
      <c r="B814" t="inlineStr">
        <is>
          <t>櫻花建</t>
        </is>
      </c>
      <c r="C814" t="n">
        <v>36.8</v>
      </c>
      <c r="D814" t="n">
        <v>36</v>
      </c>
      <c r="E814" s="504" t="n">
        <v>-0.7</v>
      </c>
      <c r="F814" s="505" t="n">
        <v>-1.91</v>
      </c>
      <c r="G814" t="inlineStr">
        <is>
          <t>6565萬</t>
        </is>
      </c>
      <c r="H814" t="n">
        <v>1822</v>
      </c>
      <c r="I814" t="n">
        <v>3541</v>
      </c>
      <c r="J814" t="n">
        <v>119.31</v>
      </c>
      <c r="K814" t="n">
        <v>36.95</v>
      </c>
      <c r="L814" t="n">
        <v>35.55</v>
      </c>
      <c r="M814" s="175" t="n">
        <v>0.15</v>
      </c>
      <c r="N814" t="inlineStr">
        <is>
          <t>推案集中於大台中地區之建商</t>
        </is>
      </c>
    </row>
    <row r="815">
      <c r="A815" t="n">
        <v>2540</v>
      </c>
      <c r="B815" t="inlineStr">
        <is>
          <t>愛山林</t>
        </is>
      </c>
      <c r="C815" t="n">
        <v>54.2</v>
      </c>
      <c r="D815" t="n">
        <v>53</v>
      </c>
      <c r="E815" s="504" t="n">
        <v>-1.2</v>
      </c>
      <c r="F815" s="505" t="n">
        <v>-2.21</v>
      </c>
      <c r="G815" t="inlineStr">
        <is>
          <t>3204萬</t>
        </is>
      </c>
      <c r="H815" t="n">
        <v>600</v>
      </c>
      <c r="I815" t="n">
        <v>960</v>
      </c>
      <c r="J815" t="n">
        <v>94.48999999999999</v>
      </c>
      <c r="K815" t="n">
        <v>54.4</v>
      </c>
      <c r="L815" t="n">
        <v>53</v>
      </c>
      <c r="M815" s="175" t="n">
        <v>0.06</v>
      </c>
      <c r="N815" t="inlineStr">
        <is>
          <t>甲山林旗下建商及代銷商</t>
        </is>
      </c>
    </row>
    <row r="816">
      <c r="A816" t="n">
        <v>2542</v>
      </c>
      <c r="B816" t="inlineStr">
        <is>
          <t>興富發</t>
        </is>
      </c>
      <c r="C816" t="n">
        <v>42.5</v>
      </c>
      <c r="D816" t="n">
        <v>42.45</v>
      </c>
      <c r="E816" s="504" t="n">
        <v>-0.15</v>
      </c>
      <c r="F816" s="505" t="n">
        <v>-0.35</v>
      </c>
      <c r="G816" t="inlineStr">
        <is>
          <t>10.1億</t>
        </is>
      </c>
      <c r="H816" t="n">
        <v>23715</v>
      </c>
      <c r="I816" t="n">
        <v>11670</v>
      </c>
      <c r="J816" t="n">
        <v>217.31</v>
      </c>
      <c r="K816" t="n">
        <v>43.25</v>
      </c>
      <c r="L816" t="n">
        <v>42.25</v>
      </c>
      <c r="M816" s="175" t="n">
        <v>1.09</v>
      </c>
      <c r="N816" t="inlineStr">
        <is>
          <t>台灣前十大推案建商</t>
        </is>
      </c>
    </row>
    <row r="817">
      <c r="A817" t="n">
        <v>2543</v>
      </c>
      <c r="B817" t="inlineStr">
        <is>
          <t>皇昌</t>
        </is>
      </c>
      <c r="C817" t="n">
        <v>47</v>
      </c>
      <c r="D817" t="n">
        <v>45.75</v>
      </c>
      <c r="E817" s="504" t="n">
        <v>-1.25</v>
      </c>
      <c r="F817" s="505" t="n">
        <v>-2.66</v>
      </c>
      <c r="G817" t="inlineStr">
        <is>
          <t>8702萬</t>
        </is>
      </c>
      <c r="H817" t="n">
        <v>1891</v>
      </c>
      <c r="I817" t="n">
        <v>3404</v>
      </c>
      <c r="J817" t="n">
        <v>52.85</v>
      </c>
      <c r="K817" t="n">
        <v>47.4</v>
      </c>
      <c r="L817" t="n">
        <v>45.6</v>
      </c>
      <c r="M817" s="175" t="n">
        <v>0.36</v>
      </c>
      <c r="N817" t="inlineStr">
        <is>
          <t>主要承攬公共工程之營造廠</t>
        </is>
      </c>
    </row>
    <row r="818">
      <c r="A818" t="n">
        <v>2545</v>
      </c>
      <c r="B818" t="inlineStr">
        <is>
          <t>皇翔</t>
        </is>
      </c>
      <c r="C818" t="n">
        <v>37</v>
      </c>
      <c r="D818" t="n">
        <v>37.5</v>
      </c>
      <c r="E818" s="504" t="n">
        <v>0.55</v>
      </c>
      <c r="F818" s="505" t="n">
        <v>1.49</v>
      </c>
      <c r="G818" t="inlineStr">
        <is>
          <t>1713萬</t>
        </is>
      </c>
      <c r="H818" t="n">
        <v>458</v>
      </c>
      <c r="I818" t="n">
        <v>447</v>
      </c>
      <c r="J818" t="n">
        <v>37.97</v>
      </c>
      <c r="K818" t="n">
        <v>37.55</v>
      </c>
      <c r="L818" t="n">
        <v>37</v>
      </c>
      <c r="M818" s="175" t="n">
        <v>0.12</v>
      </c>
      <c r="N818" t="inlineStr">
        <is>
          <t>推案集中於大台北地區建商，知名推案為皇翔御琚</t>
        </is>
      </c>
    </row>
    <row r="819">
      <c r="A819" t="n">
        <v>2546</v>
      </c>
      <c r="B819" t="inlineStr">
        <is>
          <t>根基</t>
        </is>
      </c>
      <c r="C819" t="n">
        <v>87.3</v>
      </c>
      <c r="D819" t="n">
        <v>86.8</v>
      </c>
      <c r="E819" s="504" t="n">
        <v>-0.5</v>
      </c>
      <c r="F819" s="505" t="n">
        <v>-0.57</v>
      </c>
      <c r="G819" t="inlineStr">
        <is>
          <t>1263萬</t>
        </is>
      </c>
      <c r="H819" t="n">
        <v>146</v>
      </c>
      <c r="I819" t="n">
        <v>167</v>
      </c>
      <c r="J819" t="n">
        <v>13.05</v>
      </c>
      <c r="K819" t="n">
        <v>87.59999999999999</v>
      </c>
      <c r="L819" t="n">
        <v>85.59999999999999</v>
      </c>
      <c r="M819" s="175" t="n">
        <v>0.11</v>
      </c>
      <c r="N819" t="inlineStr">
        <is>
          <t>冠德旗下，住宅及土木工程營造廠</t>
        </is>
      </c>
    </row>
    <row r="820">
      <c r="A820" t="n">
        <v>2547</v>
      </c>
      <c r="B820" t="inlineStr">
        <is>
          <t>日勝生</t>
        </is>
      </c>
      <c r="C820" t="n">
        <v>9.99</v>
      </c>
      <c r="D820" t="n">
        <v>10.25</v>
      </c>
      <c r="E820" s="504" t="n">
        <v>0.33</v>
      </c>
      <c r="F820" s="505" t="n">
        <v>3.33</v>
      </c>
      <c r="G820" t="inlineStr">
        <is>
          <t>6399萬</t>
        </is>
      </c>
      <c r="H820" t="n">
        <v>6317</v>
      </c>
      <c r="I820" t="n">
        <v>2281</v>
      </c>
      <c r="J820" t="n">
        <v>103.51</v>
      </c>
      <c r="K820" t="n">
        <v>10.35</v>
      </c>
      <c r="L820" t="n">
        <v>9.98</v>
      </c>
      <c r="M820" s="175" t="n">
        <v>0.61</v>
      </c>
      <c r="N820" t="inlineStr">
        <is>
          <t>以政府開發案起家，橫跨建築、百貨及觀光的中型建商</t>
        </is>
      </c>
    </row>
    <row r="821">
      <c r="A821" t="n">
        <v>2548</v>
      </c>
      <c r="B821" t="inlineStr">
        <is>
          <t>華固</t>
        </is>
      </c>
      <c r="C821" t="n">
        <v>113</v>
      </c>
      <c r="D821" t="n">
        <v>104.5</v>
      </c>
      <c r="E821" s="504" t="n">
        <v>-10</v>
      </c>
      <c r="F821" s="505" t="n">
        <v>-8.73</v>
      </c>
      <c r="G821" t="inlineStr">
        <is>
          <t>11.5億</t>
        </is>
      </c>
      <c r="H821" t="n">
        <v>10923</v>
      </c>
      <c r="I821" t="n">
        <v>3644</v>
      </c>
      <c r="J821" t="n">
        <v>31.97</v>
      </c>
      <c r="K821" t="n">
        <v>113</v>
      </c>
      <c r="L821" t="n">
        <v>103.5</v>
      </c>
      <c r="M821" s="175" t="n">
        <v>3.42</v>
      </c>
      <c r="N821" t="inlineStr">
        <is>
          <t>大台北地區中型建商，並轉向地上權開發</t>
        </is>
      </c>
    </row>
    <row r="822">
      <c r="A822" t="n">
        <v>2596</v>
      </c>
      <c r="B822" t="inlineStr">
        <is>
          <t>綠意</t>
        </is>
      </c>
      <c r="C822" t="n">
        <v>27.85</v>
      </c>
      <c r="D822" t="n">
        <v>29.05</v>
      </c>
      <c r="E822" s="504" t="n">
        <v>1.2</v>
      </c>
      <c r="F822" s="505" t="n">
        <v>4.31</v>
      </c>
      <c r="G822" t="inlineStr">
        <is>
          <t>730萬</t>
        </is>
      </c>
      <c r="H822" t="n">
        <v>256</v>
      </c>
      <c r="I822" t="n">
        <v>217</v>
      </c>
      <c r="J822" t="n">
        <v>10</v>
      </c>
      <c r="K822" t="n">
        <v>29.1</v>
      </c>
      <c r="L822" t="n">
        <v>27.65</v>
      </c>
      <c r="M822" s="175" t="n">
        <v>0.26</v>
      </c>
      <c r="N822" t="inlineStr">
        <is>
          <t>桃園及台北地區小型建商</t>
        </is>
      </c>
    </row>
    <row r="823">
      <c r="A823" t="n">
        <v>2597</v>
      </c>
      <c r="B823" t="inlineStr">
        <is>
          <t>潤弘</t>
        </is>
      </c>
      <c r="C823" t="n">
        <v>168</v>
      </c>
      <c r="D823" t="n">
        <v>173.5</v>
      </c>
      <c r="E823" s="504" t="n">
        <v>7</v>
      </c>
      <c r="F823" s="505" t="n">
        <v>4.2</v>
      </c>
      <c r="G823" t="inlineStr">
        <is>
          <t>6.74億</t>
        </is>
      </c>
      <c r="H823" t="n">
        <v>3863</v>
      </c>
      <c r="I823" t="n">
        <v>863</v>
      </c>
      <c r="J823" t="n">
        <v>31.07</v>
      </c>
      <c r="K823" t="n">
        <v>180</v>
      </c>
      <c r="L823" t="n">
        <v>166.5</v>
      </c>
      <c r="M823" s="175" t="n">
        <v>1.24</v>
      </c>
      <c r="N823" t="inlineStr">
        <is>
          <t>潤泰集團旗下，營造廠商</t>
        </is>
      </c>
    </row>
    <row r="824">
      <c r="A824" t="n">
        <v>2601</v>
      </c>
      <c r="B824" t="inlineStr">
        <is>
          <t>益航</t>
        </is>
      </c>
      <c r="C824" t="n">
        <v>6.33</v>
      </c>
      <c r="D824" t="n">
        <v>6.33</v>
      </c>
      <c r="E824" s="504" t="n">
        <v>0.57</v>
      </c>
      <c r="F824" s="505" t="n">
        <v>9.9</v>
      </c>
      <c r="G824" t="inlineStr">
        <is>
          <t>3961萬</t>
        </is>
      </c>
      <c r="H824" t="n">
        <v>6259</v>
      </c>
      <c r="I824" t="n">
        <v>3391</v>
      </c>
      <c r="J824" t="n">
        <v>82.48</v>
      </c>
      <c r="K824" t="n">
        <v>6.33</v>
      </c>
      <c r="L824" t="n">
        <v>6.27</v>
      </c>
      <c r="M824" s="175" t="n">
        <v>0.76</v>
      </c>
      <c r="N824" t="inlineStr">
        <is>
          <t>從事散裝航運，在大陸持有大洋百貨</t>
        </is>
      </c>
    </row>
    <row r="825">
      <c r="A825" t="n">
        <v>2603</v>
      </c>
      <c r="B825" t="inlineStr">
        <is>
          <t>長榮</t>
        </is>
      </c>
      <c r="C825" t="n">
        <v>225</v>
      </c>
      <c r="D825" t="n">
        <v>231</v>
      </c>
      <c r="E825" s="504" t="n">
        <v>7</v>
      </c>
      <c r="F825" s="505" t="n">
        <v>3.13</v>
      </c>
      <c r="G825" t="inlineStr">
        <is>
          <t>80.1億</t>
        </is>
      </c>
      <c r="H825" t="n">
        <v>35246</v>
      </c>
      <c r="I825" t="n">
        <v>31670</v>
      </c>
      <c r="J825" t="n">
        <v>216.5</v>
      </c>
      <c r="K825" t="n">
        <v>231</v>
      </c>
      <c r="L825" t="n">
        <v>220.5</v>
      </c>
      <c r="M825" s="175" t="n">
        <v>1.63</v>
      </c>
      <c r="N825" t="inlineStr">
        <is>
          <t>全球前七大貨櫃航商，且為台灣最大</t>
        </is>
      </c>
    </row>
    <row r="826">
      <c r="A826" t="n">
        <v>2605</v>
      </c>
      <c r="B826" t="inlineStr">
        <is>
          <t>新興</t>
        </is>
      </c>
      <c r="C826" t="n">
        <v>33.2</v>
      </c>
      <c r="D826" t="n">
        <v>33.2</v>
      </c>
      <c r="E826" s="504" t="n">
        <v>0</v>
      </c>
      <c r="F826" s="505" t="n">
        <v>0</v>
      </c>
      <c r="G826" t="inlineStr">
        <is>
          <t>2.69億</t>
        </is>
      </c>
      <c r="H826" t="n">
        <v>8205</v>
      </c>
      <c r="I826" t="n">
        <v>7773</v>
      </c>
      <c r="J826" t="n">
        <v>58.54</v>
      </c>
      <c r="K826" t="n">
        <v>33.6</v>
      </c>
      <c r="L826" t="n">
        <v>32.25</v>
      </c>
      <c r="M826" s="175" t="n">
        <v>1.4</v>
      </c>
      <c r="N826" t="inlineStr">
        <is>
          <t>台灣前四大散裝船商</t>
        </is>
      </c>
    </row>
    <row r="827">
      <c r="A827" t="n">
        <v>2606</v>
      </c>
      <c r="B827" t="inlineStr">
        <is>
          <t>裕民</t>
        </is>
      </c>
      <c r="C827" t="n">
        <v>72</v>
      </c>
      <c r="D827" t="n">
        <v>72</v>
      </c>
      <c r="E827" s="504" t="n">
        <v>0.1</v>
      </c>
      <c r="F827" s="505" t="n">
        <v>0.14</v>
      </c>
      <c r="G827" t="inlineStr">
        <is>
          <t>4.16億</t>
        </is>
      </c>
      <c r="H827" t="n">
        <v>5832</v>
      </c>
      <c r="I827" t="n">
        <v>9099</v>
      </c>
      <c r="J827" t="n">
        <v>84.51000000000001</v>
      </c>
      <c r="K827" t="n">
        <v>72</v>
      </c>
      <c r="L827" t="n">
        <v>69.7</v>
      </c>
      <c r="M827" s="175" t="n">
        <v>0.6899999999999999</v>
      </c>
      <c r="N827" t="inlineStr">
        <is>
          <t>台灣最大散裝航運公司之一</t>
        </is>
      </c>
    </row>
    <row r="828">
      <c r="A828" t="n">
        <v>2607</v>
      </c>
      <c r="B828" t="inlineStr">
        <is>
          <t>榮運</t>
        </is>
      </c>
      <c r="C828" t="n">
        <v>48.45</v>
      </c>
      <c r="D828" t="n">
        <v>48.65</v>
      </c>
      <c r="E828" s="504" t="n">
        <v>0.1</v>
      </c>
      <c r="F828" s="505" t="n">
        <v>0.21</v>
      </c>
      <c r="G828" t="inlineStr">
        <is>
          <t>2277萬</t>
        </is>
      </c>
      <c r="H828" t="n">
        <v>469</v>
      </c>
      <c r="I828" t="n">
        <v>890</v>
      </c>
      <c r="J828" t="n">
        <v>53.36</v>
      </c>
      <c r="K828" t="n">
        <v>48.75</v>
      </c>
      <c r="L828" t="n">
        <v>48.1</v>
      </c>
      <c r="M828" s="175" t="n">
        <v>0.09</v>
      </c>
      <c r="N828" t="inlineStr">
        <is>
          <t>長榮集團旗之內陸貨櫃運輸及倉儲服務業者</t>
        </is>
      </c>
    </row>
    <row r="829">
      <c r="A829" t="n">
        <v>2608</v>
      </c>
      <c r="B829" t="inlineStr">
        <is>
          <t>嘉里大榮</t>
        </is>
      </c>
      <c r="C829" t="n">
        <v>29.4</v>
      </c>
      <c r="D829" t="n">
        <v>29.75</v>
      </c>
      <c r="E829" s="504" t="n">
        <v>0.35</v>
      </c>
      <c r="F829" s="505" t="n">
        <v>1.19</v>
      </c>
      <c r="G829" t="inlineStr">
        <is>
          <t>1169萬</t>
        </is>
      </c>
      <c r="H829" t="n">
        <v>396</v>
      </c>
      <c r="I829" t="n">
        <v>685</v>
      </c>
      <c r="J829" t="n">
        <v>46.7</v>
      </c>
      <c r="K829" t="n">
        <v>29.75</v>
      </c>
      <c r="L829" t="n">
        <v>29.3</v>
      </c>
      <c r="M829" s="175" t="n">
        <v>0.08</v>
      </c>
      <c r="N829" t="inlineStr">
        <is>
          <t>台灣大型物流貨運公司，港資嘉里物流為最大股東</t>
        </is>
      </c>
    </row>
    <row r="830">
      <c r="A830" t="n">
        <v>2609</v>
      </c>
      <c r="B830" t="inlineStr">
        <is>
          <t>陽明</t>
        </is>
      </c>
      <c r="C830" t="n">
        <v>55</v>
      </c>
      <c r="D830" t="n">
        <v>53.6</v>
      </c>
      <c r="E830" s="504" t="n">
        <v>-1.3</v>
      </c>
      <c r="F830" s="505" t="n">
        <v>-2.37</v>
      </c>
      <c r="G830" t="inlineStr">
        <is>
          <t>38.3億</t>
        </is>
      </c>
      <c r="H830" t="n">
        <v>71639</v>
      </c>
      <c r="I830" t="n">
        <v>29079</v>
      </c>
      <c r="J830" t="n">
        <v>349.21</v>
      </c>
      <c r="K830" t="n">
        <v>55</v>
      </c>
      <c r="L830" t="n">
        <v>52.9</v>
      </c>
      <c r="M830" s="175" t="n">
        <v>2.05</v>
      </c>
      <c r="N830" t="inlineStr">
        <is>
          <t>台灣第二大貨櫃海運公司</t>
        </is>
      </c>
    </row>
    <row r="831">
      <c r="A831" t="n">
        <v>2610</v>
      </c>
      <c r="B831" t="inlineStr">
        <is>
          <t>華航</t>
        </is>
      </c>
      <c r="C831" t="n">
        <v>19.5</v>
      </c>
      <c r="D831" t="n">
        <v>19.5</v>
      </c>
      <c r="E831" s="504" t="n">
        <v>-0.05</v>
      </c>
      <c r="F831" s="505" t="n">
        <v>-0.26</v>
      </c>
      <c r="G831" t="inlineStr">
        <is>
          <t>9.16億</t>
        </is>
      </c>
      <c r="H831" t="n">
        <v>47384</v>
      </c>
      <c r="I831" t="n">
        <v>107225</v>
      </c>
      <c r="J831" t="n">
        <v>614.5</v>
      </c>
      <c r="K831" t="n">
        <v>19.5</v>
      </c>
      <c r="L831" t="n">
        <v>19.15</v>
      </c>
      <c r="M831" s="175" t="n">
        <v>0.78</v>
      </c>
      <c r="N831" t="inlineStr">
        <is>
          <t>台灣前兩大航空公司</t>
        </is>
      </c>
    </row>
    <row r="832">
      <c r="A832" t="n">
        <v>2611</v>
      </c>
      <c r="B832" t="inlineStr">
        <is>
          <t>志信</t>
        </is>
      </c>
      <c r="C832" t="n">
        <v>13.9</v>
      </c>
      <c r="D832" t="n">
        <v>13.6</v>
      </c>
      <c r="E832" s="504" t="n">
        <v>-0.05</v>
      </c>
      <c r="F832" s="505" t="n">
        <v>-0.37</v>
      </c>
      <c r="G832" t="inlineStr">
        <is>
          <t>999萬</t>
        </is>
      </c>
      <c r="H832" t="n">
        <v>740</v>
      </c>
      <c r="I832" t="n">
        <v>635</v>
      </c>
      <c r="J832" t="n">
        <v>18.9</v>
      </c>
      <c r="K832" t="n">
        <v>13.9</v>
      </c>
      <c r="L832" t="n">
        <v>13.35</v>
      </c>
      <c r="M832" s="175" t="n">
        <v>0.39</v>
      </c>
      <c r="N832" t="inlineStr">
        <is>
          <t>多角化經營陸運、加油站、營建、飯店業務</t>
        </is>
      </c>
    </row>
    <row r="833">
      <c r="A833" t="n">
        <v>2612</v>
      </c>
      <c r="B833" t="inlineStr">
        <is>
          <t>中航</t>
        </is>
      </c>
      <c r="C833" t="n">
        <v>57</v>
      </c>
      <c r="D833" t="n">
        <v>56.6</v>
      </c>
      <c r="E833" s="504" t="n">
        <v>-0.7</v>
      </c>
      <c r="F833" s="505" t="n">
        <v>-1.22</v>
      </c>
      <c r="G833" t="inlineStr">
        <is>
          <t>3342萬</t>
        </is>
      </c>
      <c r="H833" t="n">
        <v>593</v>
      </c>
      <c r="I833" t="n">
        <v>1016</v>
      </c>
      <c r="J833" t="n">
        <v>19.75</v>
      </c>
      <c r="K833" t="n">
        <v>57.2</v>
      </c>
      <c r="L833" t="n">
        <v>55.9</v>
      </c>
      <c r="M833" s="175" t="n">
        <v>0.3</v>
      </c>
      <c r="N833" t="inlineStr">
        <is>
          <t>台灣散裝航運業者，且是具規模的貨櫃運輸業者</t>
        </is>
      </c>
    </row>
    <row r="834">
      <c r="A834" t="n">
        <v>2613</v>
      </c>
      <c r="B834" t="inlineStr">
        <is>
          <t>中櫃</t>
        </is>
      </c>
      <c r="C834" t="n">
        <v>22.8</v>
      </c>
      <c r="D834" t="n">
        <v>22.5</v>
      </c>
      <c r="E834" s="504" t="n">
        <v>-0.3</v>
      </c>
      <c r="F834" s="505" t="n">
        <v>-1.32</v>
      </c>
      <c r="G834" t="inlineStr">
        <is>
          <t>1185萬</t>
        </is>
      </c>
      <c r="H834" t="n">
        <v>529</v>
      </c>
      <c r="I834" t="n">
        <v>539</v>
      </c>
      <c r="J834" t="n">
        <v>14.84</v>
      </c>
      <c r="K834" t="n">
        <v>22.8</v>
      </c>
      <c r="L834" t="n">
        <v>22.15</v>
      </c>
      <c r="M834" s="175" t="n">
        <v>0.36</v>
      </c>
      <c r="N834" t="inlineStr">
        <is>
          <t>在台灣北、中、南擁有貨櫃集散場之公司</t>
        </is>
      </c>
    </row>
    <row r="835">
      <c r="A835" t="n">
        <v>2614</v>
      </c>
      <c r="B835" t="inlineStr">
        <is>
          <t>東森</t>
        </is>
      </c>
      <c r="C835" t="n">
        <v>18.75</v>
      </c>
      <c r="D835" t="n">
        <v>18.45</v>
      </c>
      <c r="E835" s="504" t="n">
        <v>-0.25</v>
      </c>
      <c r="F835" s="505" t="n">
        <v>-1.34</v>
      </c>
      <c r="G835" t="inlineStr">
        <is>
          <t>1872萬</t>
        </is>
      </c>
      <c r="H835" t="n">
        <v>1016</v>
      </c>
      <c r="I835" t="n">
        <v>1060</v>
      </c>
      <c r="J835" t="n">
        <v>32.73</v>
      </c>
      <c r="K835" t="n">
        <v>18.75</v>
      </c>
      <c r="L835" t="n">
        <v>18.3</v>
      </c>
      <c r="M835" s="175" t="n">
        <v>0.31</v>
      </c>
      <c r="N835" t="inlineStr">
        <is>
          <t>主要從事寵物用品通路、新聞網站、倉儲業務</t>
        </is>
      </c>
    </row>
    <row r="836">
      <c r="A836" t="n">
        <v>2615</v>
      </c>
      <c r="B836" t="inlineStr">
        <is>
          <t>萬海</t>
        </is>
      </c>
      <c r="C836" t="n">
        <v>84.5</v>
      </c>
      <c r="D836" t="n">
        <v>84.2</v>
      </c>
      <c r="E836" s="504" t="n">
        <v>-0.2</v>
      </c>
      <c r="F836" s="505" t="n">
        <v>-0.24</v>
      </c>
      <c r="G836" t="inlineStr">
        <is>
          <t>9.32億</t>
        </is>
      </c>
      <c r="H836" t="n">
        <v>11164</v>
      </c>
      <c r="I836" t="n">
        <v>10883</v>
      </c>
      <c r="J836" t="n">
        <v>280.61</v>
      </c>
      <c r="K836" t="n">
        <v>84.90000000000001</v>
      </c>
      <c r="L836" t="n">
        <v>82.5</v>
      </c>
      <c r="M836" s="175" t="n">
        <v>0.4</v>
      </c>
      <c r="N836" t="inlineStr">
        <is>
          <t>亞洲大型貨櫃輪航商</t>
        </is>
      </c>
    </row>
    <row r="837">
      <c r="A837" t="n">
        <v>2616</v>
      </c>
      <c r="B837" t="inlineStr">
        <is>
          <t>山隆</t>
        </is>
      </c>
      <c r="C837" t="n">
        <v>13.8</v>
      </c>
      <c r="D837" t="n">
        <v>13.6</v>
      </c>
      <c r="E837" s="504" t="n">
        <v>-0.05</v>
      </c>
      <c r="F837" s="505" t="n">
        <v>-0.37</v>
      </c>
      <c r="G837" t="inlineStr">
        <is>
          <t>571萬</t>
        </is>
      </c>
      <c r="H837" t="n">
        <v>422</v>
      </c>
      <c r="I837" t="n">
        <v>464</v>
      </c>
      <c r="J837" t="n">
        <v>13.73</v>
      </c>
      <c r="K837" t="n">
        <v>13.8</v>
      </c>
      <c r="L837" t="n">
        <v>13.4</v>
      </c>
      <c r="M837" s="175" t="n">
        <v>0.31</v>
      </c>
      <c r="N837" t="inlineStr">
        <is>
          <t>台灣知名加油站運營商</t>
        </is>
      </c>
    </row>
    <row r="838">
      <c r="A838" t="n">
        <v>2617</v>
      </c>
      <c r="B838" t="inlineStr">
        <is>
          <t>台航</t>
        </is>
      </c>
      <c r="C838" t="n">
        <v>29.7</v>
      </c>
      <c r="D838" t="n">
        <v>29.5</v>
      </c>
      <c r="E838" s="504" t="n">
        <v>-0.15</v>
      </c>
      <c r="F838" s="505" t="n">
        <v>-0.51</v>
      </c>
      <c r="G838" t="inlineStr">
        <is>
          <t>2709萬</t>
        </is>
      </c>
      <c r="H838" t="n">
        <v>923</v>
      </c>
      <c r="I838" t="n">
        <v>928</v>
      </c>
      <c r="J838" t="n">
        <v>41.73</v>
      </c>
      <c r="K838" t="n">
        <v>29.7</v>
      </c>
      <c r="L838" t="n">
        <v>29.15</v>
      </c>
      <c r="M838" s="175" t="n">
        <v>0.22</v>
      </c>
      <c r="N838" t="inlineStr">
        <is>
          <t>主營散裝航運，兼營客貨輪與特種船舶代營</t>
        </is>
      </c>
    </row>
    <row r="839">
      <c r="A839" t="n">
        <v>2618</v>
      </c>
      <c r="B839" t="inlineStr">
        <is>
          <t>長榮航</t>
        </is>
      </c>
      <c r="C839" t="n">
        <v>37.4</v>
      </c>
      <c r="D839" t="n">
        <v>37.25</v>
      </c>
      <c r="E839" s="504" t="n">
        <v>-0.45</v>
      </c>
      <c r="F839" s="505" t="n">
        <v>-1.19</v>
      </c>
      <c r="G839" t="inlineStr">
        <is>
          <t>31.5億</t>
        </is>
      </c>
      <c r="H839" t="n">
        <v>84233</v>
      </c>
      <c r="I839" t="n">
        <v>85265</v>
      </c>
      <c r="J839" t="n">
        <v>540.04</v>
      </c>
      <c r="K839" t="n">
        <v>37.8</v>
      </c>
      <c r="L839" t="n">
        <v>36.65</v>
      </c>
      <c r="M839" s="175" t="n">
        <v>1.56</v>
      </c>
      <c r="N839" t="inlineStr">
        <is>
          <t>台灣前兩大航空公司</t>
        </is>
      </c>
    </row>
    <row r="840">
      <c r="A840" t="n">
        <v>2630</v>
      </c>
      <c r="B840" t="inlineStr">
        <is>
          <t>亞航</t>
        </is>
      </c>
      <c r="C840" t="n">
        <v>44.05</v>
      </c>
      <c r="D840" t="n">
        <v>42.85</v>
      </c>
      <c r="E840" s="504" t="n">
        <v>-0.85</v>
      </c>
      <c r="F840" s="505" t="n">
        <v>-1.95</v>
      </c>
      <c r="G840" t="inlineStr">
        <is>
          <t>4021萬</t>
        </is>
      </c>
      <c r="H840" t="n">
        <v>937</v>
      </c>
      <c r="I840" t="n">
        <v>1230</v>
      </c>
      <c r="J840" t="n">
        <v>20.94</v>
      </c>
      <c r="K840" t="n">
        <v>44.05</v>
      </c>
      <c r="L840" t="n">
        <v>42.55</v>
      </c>
      <c r="M840" s="175" t="n">
        <v>0.45</v>
      </c>
      <c r="N840" t="inlineStr">
        <is>
          <t>台灣專業航空器修護公司</t>
        </is>
      </c>
    </row>
    <row r="841">
      <c r="A841" t="n">
        <v>2633</v>
      </c>
      <c r="B841" t="inlineStr">
        <is>
          <t>台灣高鐵</t>
        </is>
      </c>
      <c r="C841" t="n">
        <v>25</v>
      </c>
      <c r="D841" t="n">
        <v>25.3</v>
      </c>
      <c r="E841" s="504" t="n">
        <v>0.2</v>
      </c>
      <c r="F841" s="505" t="n">
        <v>0.8</v>
      </c>
      <c r="G841" t="inlineStr">
        <is>
          <t>3.88億</t>
        </is>
      </c>
      <c r="H841" t="n">
        <v>15355</v>
      </c>
      <c r="I841" t="n">
        <v>57903</v>
      </c>
      <c r="J841" t="n">
        <v>562.83</v>
      </c>
      <c r="K841" t="n">
        <v>25.5</v>
      </c>
      <c r="L841" t="n">
        <v>25</v>
      </c>
      <c r="M841" s="175" t="n">
        <v>0.58</v>
      </c>
      <c r="N841" t="inlineStr">
        <is>
          <t>台灣高速鐵路運輸服務公司</t>
        </is>
      </c>
    </row>
    <row r="842">
      <c r="A842" t="n">
        <v>2634</v>
      </c>
      <c r="B842" t="inlineStr">
        <is>
          <t>漢翔</t>
        </is>
      </c>
      <c r="C842" t="n">
        <v>48.15</v>
      </c>
      <c r="D842" t="n">
        <v>47.2</v>
      </c>
      <c r="E842" s="504" t="n">
        <v>-0.55</v>
      </c>
      <c r="F842" s="505" t="n">
        <v>-1.15</v>
      </c>
      <c r="G842" t="inlineStr">
        <is>
          <t>2.09億</t>
        </is>
      </c>
      <c r="H842" t="n">
        <v>4457</v>
      </c>
      <c r="I842" t="n">
        <v>5862</v>
      </c>
      <c r="J842" t="n">
        <v>94.19</v>
      </c>
      <c r="K842" t="n">
        <v>48.2</v>
      </c>
      <c r="L842" t="n">
        <v>46.95</v>
      </c>
      <c r="M842" s="175" t="n">
        <v>0.47</v>
      </c>
      <c r="N842" t="inlineStr">
        <is>
          <t>台灣航太產業領導者</t>
        </is>
      </c>
    </row>
    <row r="843">
      <c r="A843" t="n">
        <v>2636</v>
      </c>
      <c r="B843" t="inlineStr">
        <is>
          <t>台驊控股</t>
        </is>
      </c>
      <c r="C843" t="n">
        <v>69.5</v>
      </c>
      <c r="D843" t="n">
        <v>69.8</v>
      </c>
      <c r="E843" s="504" t="n">
        <v>0</v>
      </c>
      <c r="F843" s="505" t="n">
        <v>0</v>
      </c>
      <c r="G843" t="inlineStr">
        <is>
          <t>4194萬</t>
        </is>
      </c>
      <c r="H843" t="n">
        <v>605</v>
      </c>
      <c r="I843" t="n">
        <v>545</v>
      </c>
      <c r="J843" t="n">
        <v>14.18</v>
      </c>
      <c r="K843" t="n">
        <v>70</v>
      </c>
      <c r="L843" t="n">
        <v>68.59999999999999</v>
      </c>
      <c r="M843" s="175" t="n">
        <v>0.43</v>
      </c>
      <c r="N843" t="inlineStr">
        <is>
          <t>台灣第一家海運承攬上市公司，為物流控股公司</t>
        </is>
      </c>
    </row>
    <row r="844">
      <c r="A844" t="n">
        <v>2637</v>
      </c>
      <c r="B844" t="inlineStr">
        <is>
          <t>慧洋-KY</t>
        </is>
      </c>
      <c r="C844" t="n">
        <v>78.7</v>
      </c>
      <c r="D844" t="n">
        <v>77</v>
      </c>
      <c r="E844" s="504" t="n">
        <v>-1.8</v>
      </c>
      <c r="F844" s="505" t="n">
        <v>-2.28</v>
      </c>
      <c r="G844" t="inlineStr">
        <is>
          <t>4.07億</t>
        </is>
      </c>
      <c r="H844" t="n">
        <v>5326</v>
      </c>
      <c r="I844" t="n">
        <v>4539</v>
      </c>
      <c r="J844" t="n">
        <v>74.64</v>
      </c>
      <c r="K844" t="n">
        <v>78.7</v>
      </c>
      <c r="L844" t="n">
        <v>75.59999999999999</v>
      </c>
      <c r="M844" s="175" t="n">
        <v>0.71</v>
      </c>
      <c r="N844" t="inlineStr">
        <is>
          <t>台灣具規模的散裝船隊船東之一</t>
        </is>
      </c>
    </row>
    <row r="845">
      <c r="A845" t="n">
        <v>2640</v>
      </c>
      <c r="B845" t="inlineStr">
        <is>
          <t>大車隊</t>
        </is>
      </c>
      <c r="C845" t="n">
        <v>159.5</v>
      </c>
      <c r="D845" t="n">
        <v>157</v>
      </c>
      <c r="E845" s="504" t="n">
        <v>-3.5</v>
      </c>
      <c r="F845" s="505" t="n">
        <v>-2.18</v>
      </c>
      <c r="G845" t="inlineStr">
        <is>
          <t>555萬</t>
        </is>
      </c>
      <c r="H845" t="n">
        <v>35</v>
      </c>
      <c r="I845" t="n">
        <v>34</v>
      </c>
      <c r="J845" t="n">
        <v>5.93</v>
      </c>
      <c r="K845" t="n">
        <v>160</v>
      </c>
      <c r="L845" t="n">
        <v>157</v>
      </c>
      <c r="M845" s="175" t="n">
        <v>0.06</v>
      </c>
      <c r="N845" t="inlineStr">
        <is>
          <t>台灣計程車車隊龍頭企業</t>
        </is>
      </c>
    </row>
    <row r="846">
      <c r="A846" t="n">
        <v>2641</v>
      </c>
      <c r="B846" t="inlineStr">
        <is>
          <t>正德</t>
        </is>
      </c>
      <c r="C846" t="n">
        <v>19.05</v>
      </c>
      <c r="D846" t="n">
        <v>19.7</v>
      </c>
      <c r="E846" s="504" t="n">
        <v>0.35</v>
      </c>
      <c r="F846" s="505" t="n">
        <v>1.81</v>
      </c>
      <c r="G846" t="inlineStr">
        <is>
          <t>2.96億</t>
        </is>
      </c>
      <c r="H846" t="n">
        <v>15325</v>
      </c>
      <c r="I846" t="n">
        <v>4708</v>
      </c>
      <c r="J846" t="n">
        <v>33.03</v>
      </c>
      <c r="K846" t="n">
        <v>19.7</v>
      </c>
      <c r="L846" t="n">
        <v>18.85</v>
      </c>
      <c r="M846" s="175" t="n">
        <v>4.64</v>
      </c>
      <c r="N846" t="inlineStr">
        <is>
          <t>以亞洲近洋航線為主力之散裝航運業者</t>
        </is>
      </c>
    </row>
    <row r="847">
      <c r="A847" t="n">
        <v>2642</v>
      </c>
      <c r="B847" t="inlineStr">
        <is>
          <t>宅配通</t>
        </is>
      </c>
      <c r="C847" t="n">
        <v>21.5</v>
      </c>
      <c r="D847" t="n">
        <v>20.95</v>
      </c>
      <c r="E847" s="504" t="n">
        <v>0</v>
      </c>
      <c r="F847" s="505" t="n">
        <v>0</v>
      </c>
      <c r="G847" t="inlineStr">
        <is>
          <t>309萬</t>
        </is>
      </c>
      <c r="H847" t="n">
        <v>149</v>
      </c>
      <c r="I847" t="n">
        <v>189</v>
      </c>
      <c r="J847" t="n">
        <v>9.550000000000001</v>
      </c>
      <c r="K847" t="n">
        <v>21.5</v>
      </c>
      <c r="L847" t="n">
        <v>20.85</v>
      </c>
      <c r="M847" s="175" t="n">
        <v>0.16</v>
      </c>
      <c r="N847" t="inlineStr">
        <is>
          <t>東元與日本通運合資成立的宅配服務業者</t>
        </is>
      </c>
    </row>
    <row r="848">
      <c r="A848" t="n">
        <v>2643</v>
      </c>
      <c r="B848" t="inlineStr">
        <is>
          <t>捷迅</t>
        </is>
      </c>
      <c r="C848" t="n">
        <v>66.40000000000001</v>
      </c>
      <c r="D848" t="n">
        <v>66.40000000000001</v>
      </c>
      <c r="E848" s="504" t="n">
        <v>-0.5</v>
      </c>
      <c r="F848" s="505" t="n">
        <v>-0.75</v>
      </c>
      <c r="G848" t="inlineStr">
        <is>
          <t>324萬</t>
        </is>
      </c>
      <c r="H848" t="n">
        <v>49</v>
      </c>
      <c r="I848" t="n">
        <v>54</v>
      </c>
      <c r="J848" t="n">
        <v>3.5</v>
      </c>
      <c r="K848" t="n">
        <v>66.8</v>
      </c>
      <c r="L848" t="n">
        <v>65.90000000000001</v>
      </c>
      <c r="M848" s="175" t="n">
        <v>0.14</v>
      </c>
      <c r="N848" t="inlineStr">
        <is>
          <t>台灣承攬航空貨運、海運與報關業務之物流業者</t>
        </is>
      </c>
    </row>
    <row r="849">
      <c r="A849" t="n">
        <v>2645</v>
      </c>
      <c r="B849" t="inlineStr">
        <is>
          <t>長榮航太</t>
        </is>
      </c>
      <c r="C849" t="n">
        <v>172</v>
      </c>
      <c r="D849" t="n">
        <v>166</v>
      </c>
      <c r="E849" s="504" t="n">
        <v>-6.5</v>
      </c>
      <c r="F849" s="505" t="n">
        <v>-3.77</v>
      </c>
      <c r="G849" t="inlineStr">
        <is>
          <t>3.41億</t>
        </is>
      </c>
      <c r="H849" t="n">
        <v>2040</v>
      </c>
      <c r="I849" t="n">
        <v>2125</v>
      </c>
      <c r="J849" t="n">
        <v>37.46</v>
      </c>
      <c r="K849" t="n">
        <v>172</v>
      </c>
      <c r="L849" t="n">
        <v>164</v>
      </c>
      <c r="M849" s="175" t="n">
        <v>0.54</v>
      </c>
      <c r="N849" t="inlineStr">
        <is>
          <t>長榮航旗下，全球十大飛機維修公司之一</t>
        </is>
      </c>
    </row>
    <row r="850">
      <c r="A850" t="n">
        <v>2646</v>
      </c>
      <c r="B850" t="inlineStr">
        <is>
          <t>星宇航空</t>
        </is>
      </c>
      <c r="C850" t="n">
        <v>20.7</v>
      </c>
      <c r="D850" t="n">
        <v>20.9</v>
      </c>
      <c r="E850" s="504" t="n">
        <v>0.2</v>
      </c>
      <c r="F850" s="505" t="n">
        <v>0.97</v>
      </c>
      <c r="G850" t="inlineStr">
        <is>
          <t>2.05億</t>
        </is>
      </c>
      <c r="H850" t="n">
        <v>9892</v>
      </c>
      <c r="I850" t="n">
        <v>7948</v>
      </c>
      <c r="J850" t="n">
        <v>300.87</v>
      </c>
      <c r="K850" t="n">
        <v>21</v>
      </c>
      <c r="L850" t="n">
        <v>20.45</v>
      </c>
      <c r="M850" s="175" t="n">
        <v>0.33</v>
      </c>
      <c r="N850" t="inlineStr">
        <is>
          <t>主要提供國際間客、貨運輸服務</t>
        </is>
      </c>
    </row>
    <row r="851">
      <c r="A851" t="n">
        <v>2701</v>
      </c>
      <c r="B851" t="inlineStr">
        <is>
          <t>萬企</t>
        </is>
      </c>
      <c r="C851" t="n">
        <v>10.3</v>
      </c>
      <c r="D851" t="n">
        <v>10.25</v>
      </c>
      <c r="E851" s="504" t="n">
        <v>-0.05</v>
      </c>
      <c r="F851" s="505" t="n">
        <v>-0.49</v>
      </c>
      <c r="G851" t="inlineStr">
        <is>
          <t>57.7萬</t>
        </is>
      </c>
      <c r="H851" t="n">
        <v>56</v>
      </c>
      <c r="I851" t="n">
        <v>156</v>
      </c>
      <c r="J851" t="n">
        <v>45</v>
      </c>
      <c r="K851" t="n">
        <v>10.35</v>
      </c>
      <c r="L851" t="n">
        <v>10.25</v>
      </c>
      <c r="M851" s="175" t="n">
        <v>0.01</v>
      </c>
      <c r="N851" t="inlineStr">
        <is>
          <t>經營商場租賃、電影院及遊樂場業務</t>
        </is>
      </c>
    </row>
    <row r="852">
      <c r="A852" t="n">
        <v>2702</v>
      </c>
      <c r="B852" t="inlineStr">
        <is>
          <t>華園</t>
        </is>
      </c>
      <c r="C852" t="n">
        <v>13.5</v>
      </c>
      <c r="D852" t="n">
        <v>13.2</v>
      </c>
      <c r="E852" s="504" t="n">
        <v>-0.3</v>
      </c>
      <c r="F852" s="505" t="n">
        <v>-2.22</v>
      </c>
      <c r="G852" t="inlineStr">
        <is>
          <t>95.6萬</t>
        </is>
      </c>
      <c r="H852" t="n">
        <v>72</v>
      </c>
      <c r="I852" t="n">
        <v>106</v>
      </c>
      <c r="J852" t="n">
        <v>15.66</v>
      </c>
      <c r="K852" t="n">
        <v>13.5</v>
      </c>
      <c r="L852" t="n">
        <v>13.1</v>
      </c>
      <c r="M852" s="175" t="n">
        <v>0.05</v>
      </c>
      <c r="N852" t="inlineStr">
        <is>
          <t>位於高雄六合夜市及愛河中心點的國際觀光飯店</t>
        </is>
      </c>
    </row>
    <row r="853">
      <c r="A853" t="n">
        <v>2704</v>
      </c>
      <c r="B853" t="inlineStr">
        <is>
          <t>國賓</t>
        </is>
      </c>
      <c r="C853" t="n">
        <v>42.3</v>
      </c>
      <c r="D853" t="n">
        <v>42.4</v>
      </c>
      <c r="E853" s="504" t="n">
        <v>0.1</v>
      </c>
      <c r="F853" s="505" t="n">
        <v>0.24</v>
      </c>
      <c r="G853" t="inlineStr">
        <is>
          <t>588萬</t>
        </is>
      </c>
      <c r="H853" t="n">
        <v>139</v>
      </c>
      <c r="I853" t="n">
        <v>139</v>
      </c>
      <c r="J853" t="n">
        <v>36.69</v>
      </c>
      <c r="K853" t="n">
        <v>42.55</v>
      </c>
      <c r="L853" t="n">
        <v>42.15</v>
      </c>
      <c r="M853" s="175" t="n">
        <v>0.04</v>
      </c>
      <c r="N853" t="inlineStr">
        <is>
          <t>知名飯店及米其林餐廳業者</t>
        </is>
      </c>
    </row>
    <row r="854">
      <c r="A854" t="n">
        <v>2705</v>
      </c>
      <c r="B854" t="inlineStr">
        <is>
          <t>六福</t>
        </is>
      </c>
      <c r="C854" t="n">
        <v>15.35</v>
      </c>
      <c r="D854" t="n">
        <v>15.4</v>
      </c>
      <c r="E854" s="504" t="n">
        <v>0.1</v>
      </c>
      <c r="F854" s="505" t="n">
        <v>0.65</v>
      </c>
      <c r="G854" t="inlineStr">
        <is>
          <t>239萬</t>
        </is>
      </c>
      <c r="H854" t="n">
        <v>157</v>
      </c>
      <c r="I854" t="n">
        <v>987</v>
      </c>
      <c r="J854" t="n">
        <v>19.13</v>
      </c>
      <c r="K854" t="n">
        <v>15.4</v>
      </c>
      <c r="L854" t="n">
        <v>15.2</v>
      </c>
      <c r="M854" s="175" t="n">
        <v>0.08</v>
      </c>
      <c r="N854" t="inlineStr">
        <is>
          <t>集團旗下擁有遊樂園、渡假飯店及五星級飯店</t>
        </is>
      </c>
    </row>
    <row r="855">
      <c r="A855" t="n">
        <v>2706</v>
      </c>
      <c r="B855" t="inlineStr">
        <is>
          <t>第一店</t>
        </is>
      </c>
      <c r="C855" t="n">
        <v>12</v>
      </c>
      <c r="D855" t="n">
        <v>12</v>
      </c>
      <c r="E855" s="504" t="n">
        <v>0.1</v>
      </c>
      <c r="F855" s="505" t="n">
        <v>0.84</v>
      </c>
      <c r="G855" t="inlineStr">
        <is>
          <t>259萬</t>
        </is>
      </c>
      <c r="H855" t="n">
        <v>217</v>
      </c>
      <c r="I855" t="n">
        <v>171</v>
      </c>
      <c r="J855" t="n">
        <v>50</v>
      </c>
      <c r="K855" t="n">
        <v>12.05</v>
      </c>
      <c r="L855" t="n">
        <v>11.8</v>
      </c>
      <c r="M855" s="175" t="n">
        <v>0.04</v>
      </c>
      <c r="N855" t="inlineStr">
        <is>
          <t>位於台北市南京東路精華地帶之飯店</t>
        </is>
      </c>
    </row>
    <row r="856">
      <c r="A856" t="n">
        <v>2707</v>
      </c>
      <c r="B856" t="inlineStr">
        <is>
          <t>晶華</t>
        </is>
      </c>
      <c r="C856" t="n">
        <v>173.5</v>
      </c>
      <c r="D856" t="n">
        <v>174.5</v>
      </c>
      <c r="E856" s="504" t="n">
        <v>1</v>
      </c>
      <c r="F856" s="505" t="n">
        <v>0.58</v>
      </c>
      <c r="G856" t="inlineStr">
        <is>
          <t>4229萬</t>
        </is>
      </c>
      <c r="H856" t="n">
        <v>243</v>
      </c>
      <c r="I856" t="n">
        <v>215</v>
      </c>
      <c r="J856" t="n">
        <v>12.74</v>
      </c>
      <c r="K856" t="n">
        <v>175</v>
      </c>
      <c r="L856" t="n">
        <v>172.5</v>
      </c>
      <c r="M856" s="175" t="n">
        <v>0.19</v>
      </c>
      <c r="N856" t="inlineStr">
        <is>
          <t>國際五星級觀光飯店</t>
        </is>
      </c>
    </row>
    <row r="857">
      <c r="A857" t="n">
        <v>2712</v>
      </c>
      <c r="B857" t="inlineStr">
        <is>
          <t>遠雄來</t>
        </is>
      </c>
      <c r="C857" t="n">
        <v>15.35</v>
      </c>
      <c r="D857" t="n">
        <v>15.3</v>
      </c>
      <c r="E857" s="504" t="n">
        <v>-0.05</v>
      </c>
      <c r="F857" s="505" t="n">
        <v>-0.33</v>
      </c>
      <c r="G857" t="inlineStr">
        <is>
          <t>16.6萬</t>
        </is>
      </c>
      <c r="H857" t="n">
        <v>11</v>
      </c>
      <c r="I857" t="n">
        <v>12</v>
      </c>
      <c r="J857" t="n">
        <v>10.5</v>
      </c>
      <c r="K857" t="n">
        <v>15.35</v>
      </c>
      <c r="L857" t="n">
        <v>15</v>
      </c>
      <c r="M857" s="175" t="n">
        <v>0.01</v>
      </c>
      <c r="N857" t="inlineStr">
        <is>
          <t>遠雄旗下位於花蓮海洋公園旁之五星級飯店</t>
        </is>
      </c>
    </row>
    <row r="858">
      <c r="A858" t="n">
        <v>2718</v>
      </c>
      <c r="B858" t="inlineStr">
        <is>
          <t>全心投控</t>
        </is>
      </c>
      <c r="C858" t="n">
        <v>46.55</v>
      </c>
      <c r="D858" t="n">
        <v>46.75</v>
      </c>
      <c r="E858" s="504" t="n">
        <v>0.2</v>
      </c>
      <c r="F858" s="505" t="n">
        <v>0.43</v>
      </c>
      <c r="G858" t="inlineStr">
        <is>
          <t>196萬</t>
        </is>
      </c>
      <c r="H858" t="n">
        <v>42</v>
      </c>
      <c r="I858" t="n">
        <v>77</v>
      </c>
      <c r="J858" t="n">
        <v>8.76</v>
      </c>
      <c r="K858" t="n">
        <v>46.75</v>
      </c>
      <c r="L858" t="n">
        <v>46.55</v>
      </c>
      <c r="M858" s="175" t="n">
        <v>0.05</v>
      </c>
      <c r="N858" t="inlineStr">
        <is>
          <t>由飯店業跨入不動產開發產業</t>
        </is>
      </c>
    </row>
    <row r="859">
      <c r="A859" t="n">
        <v>2719</v>
      </c>
      <c r="B859" t="inlineStr">
        <is>
          <t>燦星旅</t>
        </is>
      </c>
      <c r="C859" t="n">
        <v>25</v>
      </c>
      <c r="D859" t="n">
        <v>25</v>
      </c>
      <c r="E859" s="504" t="n">
        <v>-0.1</v>
      </c>
      <c r="F859" s="505" t="n">
        <v>-0.4</v>
      </c>
      <c r="G859" t="inlineStr">
        <is>
          <t>72.5萬</t>
        </is>
      </c>
      <c r="H859" t="n">
        <v>29</v>
      </c>
      <c r="I859" t="n">
        <v>20</v>
      </c>
      <c r="J859" t="n">
        <v>6.92</v>
      </c>
      <c r="K859" t="n">
        <v>25.05</v>
      </c>
      <c r="L859" t="n">
        <v>25</v>
      </c>
      <c r="M859" s="175" t="n">
        <v>0.04</v>
      </c>
      <c r="N859" t="inlineStr">
        <is>
          <t>台鋼集團旗下旅遊公司</t>
        </is>
      </c>
    </row>
    <row r="860">
      <c r="A860" t="n">
        <v>2722</v>
      </c>
      <c r="B860" t="inlineStr">
        <is>
          <t>夏都</t>
        </is>
      </c>
      <c r="C860" t="n">
        <v>22.8</v>
      </c>
      <c r="D860" t="n">
        <v>22.6</v>
      </c>
      <c r="E860" s="504" t="n">
        <v>0.1</v>
      </c>
      <c r="F860" s="505" t="n">
        <v>0.44</v>
      </c>
      <c r="G860" t="inlineStr">
        <is>
          <t>109萬</t>
        </is>
      </c>
      <c r="H860" t="n">
        <v>48</v>
      </c>
      <c r="I860" t="n">
        <v>52</v>
      </c>
      <c r="J860" t="n">
        <v>14.32</v>
      </c>
      <c r="K860" t="n">
        <v>22.8</v>
      </c>
      <c r="L860" t="n">
        <v>22.5</v>
      </c>
      <c r="M860" s="175" t="n">
        <v>0.03</v>
      </c>
      <c r="N860" t="inlineStr">
        <is>
          <t>官田鋼轉投資，位於台灣墾丁之觀光渡假飯店</t>
        </is>
      </c>
    </row>
    <row r="861">
      <c r="A861" t="n">
        <v>2723</v>
      </c>
      <c r="B861" t="inlineStr">
        <is>
          <t>美食-KY</t>
        </is>
      </c>
      <c r="C861" t="n">
        <v>62.1</v>
      </c>
      <c r="D861" t="n">
        <v>62.8</v>
      </c>
      <c r="E861" s="504" t="n">
        <v>0.7</v>
      </c>
      <c r="F861" s="505" t="n">
        <v>1.13</v>
      </c>
      <c r="G861" t="inlineStr">
        <is>
          <t>1834萬</t>
        </is>
      </c>
      <c r="H861" t="n">
        <v>293</v>
      </c>
      <c r="I861" t="n">
        <v>491</v>
      </c>
      <c r="J861" t="n">
        <v>18</v>
      </c>
      <c r="K861" t="n">
        <v>63</v>
      </c>
      <c r="L861" t="n">
        <v>62.1</v>
      </c>
      <c r="M861" s="175" t="n">
        <v>0.16</v>
      </c>
      <c r="N861" t="inlineStr">
        <is>
          <t>以「85度C」為品牌之咖啡烘焙連鎖店</t>
        </is>
      </c>
    </row>
    <row r="862">
      <c r="A862" t="n">
        <v>2724</v>
      </c>
      <c r="B862" t="inlineStr">
        <is>
          <t>藝舍-KY</t>
        </is>
      </c>
      <c r="C862" t="inlineStr">
        <is>
          <t>--</t>
        </is>
      </c>
      <c r="D862" t="inlineStr">
        <is>
          <t>--</t>
        </is>
      </c>
      <c r="E862" s="504" t="inlineStr">
        <is>
          <t>--</t>
        </is>
      </c>
      <c r="F862" s="505" t="inlineStr">
        <is>
          <t>--</t>
        </is>
      </c>
      <c r="G862" t="inlineStr">
        <is>
          <t>--</t>
        </is>
      </c>
      <c r="H862" t="n">
        <v>0</v>
      </c>
      <c r="I862" t="n">
        <v>7</v>
      </c>
      <c r="J862" t="n">
        <v>5.97</v>
      </c>
      <c r="K862" t="inlineStr">
        <is>
          <t>--</t>
        </is>
      </c>
      <c r="L862" t="inlineStr">
        <is>
          <t>--</t>
        </is>
      </c>
      <c r="M862" s="175" t="n">
        <v>0</v>
      </c>
      <c r="N862" t="inlineStr">
        <is>
          <t>轉型為不動產代銷服務商</t>
        </is>
      </c>
    </row>
    <row r="863">
      <c r="A863" t="n">
        <v>2726</v>
      </c>
      <c r="B863" t="inlineStr">
        <is>
          <t>雅茗-KY</t>
        </is>
      </c>
      <c r="C863" t="n">
        <v>10.1</v>
      </c>
      <c r="D863" t="n">
        <v>9.98</v>
      </c>
      <c r="E863" s="504" t="n">
        <v>-0.47</v>
      </c>
      <c r="F863" s="505" t="n">
        <v>-4.5</v>
      </c>
      <c r="G863" t="inlineStr">
        <is>
          <t>26.5萬</t>
        </is>
      </c>
      <c r="H863" t="n">
        <v>27</v>
      </c>
      <c r="I863" t="n">
        <v>60</v>
      </c>
      <c r="J863" t="n">
        <v>3.79</v>
      </c>
      <c r="K863" t="n">
        <v>10.15</v>
      </c>
      <c r="L863" t="n">
        <v>9.59</v>
      </c>
      <c r="M863" s="175" t="n">
        <v>0.07000000000000001</v>
      </c>
      <c r="N863" t="inlineStr">
        <is>
          <t>在大陸以快樂檸檬品牌知名的台商茶飲料業者</t>
        </is>
      </c>
    </row>
    <row r="864">
      <c r="A864" t="n">
        <v>2727</v>
      </c>
      <c r="B864" t="inlineStr">
        <is>
          <t>王品</t>
        </is>
      </c>
      <c r="C864" t="n">
        <v>236</v>
      </c>
      <c r="D864" t="n">
        <v>237.5</v>
      </c>
      <c r="E864" s="504" t="n">
        <v>1.5</v>
      </c>
      <c r="F864" s="505" t="n">
        <v>0.64</v>
      </c>
      <c r="G864" t="inlineStr">
        <is>
          <t>9803萬</t>
        </is>
      </c>
      <c r="H864" t="n">
        <v>414</v>
      </c>
      <c r="I864" t="n">
        <v>421</v>
      </c>
      <c r="J864" t="n">
        <v>8.289999999999999</v>
      </c>
      <c r="K864" t="n">
        <v>238.5</v>
      </c>
      <c r="L864" t="n">
        <v>234.5</v>
      </c>
      <c r="M864" s="175" t="n">
        <v>0.5</v>
      </c>
      <c r="N864" t="inlineStr">
        <is>
          <t>連鎖餐飲集團，旗下擁有多個餐飲品牌</t>
        </is>
      </c>
    </row>
    <row r="865">
      <c r="A865" t="n">
        <v>2729</v>
      </c>
      <c r="B865" t="inlineStr">
        <is>
          <t>瓦城</t>
        </is>
      </c>
      <c r="C865" t="n">
        <v>158</v>
      </c>
      <c r="D865" t="n">
        <v>158.5</v>
      </c>
      <c r="E865" s="504" t="n">
        <v>0.5</v>
      </c>
      <c r="F865" s="505" t="n">
        <v>0.32</v>
      </c>
      <c r="G865" t="inlineStr">
        <is>
          <t>363萬</t>
        </is>
      </c>
      <c r="H865" t="n">
        <v>23</v>
      </c>
      <c r="I865" t="n">
        <v>44</v>
      </c>
      <c r="J865" t="n">
        <v>4.3</v>
      </c>
      <c r="K865" t="n">
        <v>158.5</v>
      </c>
      <c r="L865" t="n">
        <v>157.5</v>
      </c>
      <c r="M865" s="175" t="n">
        <v>0.05</v>
      </c>
      <c r="N865" t="inlineStr">
        <is>
          <t>泰式料理連鎖餐廳</t>
        </is>
      </c>
    </row>
    <row r="866">
      <c r="A866" t="n">
        <v>2731</v>
      </c>
      <c r="B866" t="inlineStr">
        <is>
          <t>雄獅</t>
        </is>
      </c>
      <c r="C866" t="n">
        <v>170</v>
      </c>
      <c r="D866" t="n">
        <v>169.5</v>
      </c>
      <c r="E866" s="504" t="n">
        <v>0</v>
      </c>
      <c r="F866" s="505" t="n">
        <v>0</v>
      </c>
      <c r="G866" t="inlineStr">
        <is>
          <t>2.40億</t>
        </is>
      </c>
      <c r="H866" t="n">
        <v>1414</v>
      </c>
      <c r="I866" t="n">
        <v>1649</v>
      </c>
      <c r="J866" t="n">
        <v>9.33</v>
      </c>
      <c r="K866" t="n">
        <v>171.5</v>
      </c>
      <c r="L866" t="n">
        <v>168.5</v>
      </c>
      <c r="M866" s="175" t="n">
        <v>1.52</v>
      </c>
      <c r="N866" t="inlineStr">
        <is>
          <t>台灣知名與規模最大的旅行社之一</t>
        </is>
      </c>
    </row>
    <row r="867">
      <c r="A867" t="n">
        <v>2732</v>
      </c>
      <c r="B867" t="inlineStr">
        <is>
          <t>六角</t>
        </is>
      </c>
      <c r="C867" t="n">
        <v>64.3</v>
      </c>
      <c r="D867" t="n">
        <v>64.8</v>
      </c>
      <c r="E867" s="504" t="n">
        <v>-0.2</v>
      </c>
      <c r="F867" s="505" t="n">
        <v>-0.31</v>
      </c>
      <c r="G867" t="inlineStr">
        <is>
          <t>272萬</t>
        </is>
      </c>
      <c r="H867" t="n">
        <v>42</v>
      </c>
      <c r="I867" t="n">
        <v>67</v>
      </c>
      <c r="J867" t="n">
        <v>4.65</v>
      </c>
      <c r="K867" t="n">
        <v>65.7</v>
      </c>
      <c r="L867" t="n">
        <v>64.2</v>
      </c>
      <c r="M867" s="175" t="n">
        <v>0.09</v>
      </c>
      <c r="N867" t="inlineStr">
        <is>
          <t>在全球80個城市擁有門市據點的外帶式茶飲與甜品供應商</t>
        </is>
      </c>
    </row>
    <row r="868">
      <c r="A868" t="n">
        <v>2734</v>
      </c>
      <c r="B868" t="inlineStr">
        <is>
          <t>易飛網</t>
        </is>
      </c>
      <c r="C868" t="n">
        <v>15.1</v>
      </c>
      <c r="D868" t="n">
        <v>15.1</v>
      </c>
      <c r="E868" s="504" t="n">
        <v>0</v>
      </c>
      <c r="F868" s="505" t="n">
        <v>0</v>
      </c>
      <c r="G868" t="inlineStr">
        <is>
          <t>99.3萬</t>
        </is>
      </c>
      <c r="H868" t="n">
        <v>66</v>
      </c>
      <c r="I868" t="n">
        <v>152</v>
      </c>
      <c r="J868" t="n">
        <v>5.73</v>
      </c>
      <c r="K868" t="n">
        <v>15.1</v>
      </c>
      <c r="L868" t="n">
        <v>15</v>
      </c>
      <c r="M868" s="175" t="n">
        <v>0.12</v>
      </c>
      <c r="N868" t="inlineStr">
        <is>
          <t>聚焦於線上銷售服務的旅行社業者</t>
        </is>
      </c>
    </row>
    <row r="869">
      <c r="A869" t="n">
        <v>2736</v>
      </c>
      <c r="B869" t="inlineStr">
        <is>
          <t>富野</t>
        </is>
      </c>
      <c r="C869" t="n">
        <v>12.05</v>
      </c>
      <c r="D869" t="n">
        <v>12.1</v>
      </c>
      <c r="E869" s="504" t="n">
        <v>0.1</v>
      </c>
      <c r="F869" s="505" t="n">
        <v>0.83</v>
      </c>
      <c r="G869" t="inlineStr">
        <is>
          <t>78.6萬</t>
        </is>
      </c>
      <c r="H869" t="n">
        <v>65</v>
      </c>
      <c r="I869" t="n">
        <v>83</v>
      </c>
      <c r="J869" t="n">
        <v>8</v>
      </c>
      <c r="K869" t="n">
        <v>12.2</v>
      </c>
      <c r="L869" t="n">
        <v>12</v>
      </c>
      <c r="M869" s="175" t="n">
        <v>0.08</v>
      </c>
      <c r="N869" t="inlineStr">
        <is>
          <t>台東縣知本溫泉區的知名溫泉飯店</t>
        </is>
      </c>
    </row>
    <row r="870">
      <c r="A870" t="n">
        <v>2739</v>
      </c>
      <c r="B870" t="inlineStr">
        <is>
          <t>寒舍</t>
        </is>
      </c>
      <c r="C870" t="n">
        <v>35.4</v>
      </c>
      <c r="D870" t="n">
        <v>35.35</v>
      </c>
      <c r="E870" s="504" t="n">
        <v>0</v>
      </c>
      <c r="F870" s="505" t="n">
        <v>0</v>
      </c>
      <c r="G870" t="inlineStr">
        <is>
          <t>550萬</t>
        </is>
      </c>
      <c r="H870" t="n">
        <v>156</v>
      </c>
      <c r="I870" t="n">
        <v>115</v>
      </c>
      <c r="J870" t="n">
        <v>9.15</v>
      </c>
      <c r="K870" t="n">
        <v>35.5</v>
      </c>
      <c r="L870" t="n">
        <v>34.9</v>
      </c>
      <c r="M870" s="175" t="n">
        <v>0.17</v>
      </c>
      <c r="N870" t="inlineStr">
        <is>
          <t>在台北經營管理五星級飯店及餐飲服務之業者</t>
        </is>
      </c>
    </row>
    <row r="871">
      <c r="A871" t="n">
        <v>2740</v>
      </c>
      <c r="B871" t="inlineStr">
        <is>
          <t>華軒</t>
        </is>
      </c>
      <c r="C871" t="n">
        <v>34.75</v>
      </c>
      <c r="D871" t="n">
        <v>36.4</v>
      </c>
      <c r="E871" s="504" t="n">
        <v>2.05</v>
      </c>
      <c r="F871" s="505" t="n">
        <v>5.97</v>
      </c>
      <c r="G871" t="inlineStr">
        <is>
          <t>17.7萬</t>
        </is>
      </c>
      <c r="H871" t="n">
        <v>5</v>
      </c>
      <c r="I871" t="n">
        <v>8</v>
      </c>
      <c r="J871" t="n">
        <v>1.68</v>
      </c>
      <c r="K871" t="n">
        <v>36.4</v>
      </c>
      <c r="L871" t="n">
        <v>34.75</v>
      </c>
      <c r="M871" s="175" t="n">
        <v>0.03</v>
      </c>
      <c r="N871" t="inlineStr">
        <is>
          <t>旗下「點八餐飲集團」主營港式餐飲品牌</t>
        </is>
      </c>
    </row>
    <row r="872">
      <c r="A872" t="n">
        <v>2743</v>
      </c>
      <c r="B872" t="inlineStr">
        <is>
          <t>山富</t>
        </is>
      </c>
      <c r="C872" t="n">
        <v>69.59999999999999</v>
      </c>
      <c r="D872" t="n">
        <v>69.2</v>
      </c>
      <c r="E872" s="504" t="n">
        <v>0</v>
      </c>
      <c r="F872" s="505" t="n">
        <v>0</v>
      </c>
      <c r="G872" t="inlineStr">
        <is>
          <t>744萬</t>
        </is>
      </c>
      <c r="H872" t="n">
        <v>108</v>
      </c>
      <c r="I872" t="n">
        <v>153</v>
      </c>
      <c r="J872" t="n">
        <v>4.68</v>
      </c>
      <c r="K872" t="n">
        <v>69.59999999999999</v>
      </c>
      <c r="L872" t="n">
        <v>68.59999999999999</v>
      </c>
      <c r="M872" s="175" t="n">
        <v>0.23</v>
      </c>
      <c r="N872" t="inlineStr">
        <is>
          <t>台灣知名旅行社之一</t>
        </is>
      </c>
    </row>
    <row r="873">
      <c r="A873" t="n">
        <v>2745</v>
      </c>
      <c r="B873" t="inlineStr">
        <is>
          <t>五福</t>
        </is>
      </c>
      <c r="C873" t="n">
        <v>104</v>
      </c>
      <c r="D873" t="n">
        <v>103</v>
      </c>
      <c r="E873" s="504" t="n">
        <v>-1</v>
      </c>
      <c r="F873" s="505" t="n">
        <v>-0.96</v>
      </c>
      <c r="G873" t="inlineStr">
        <is>
          <t>2974萬</t>
        </is>
      </c>
      <c r="H873" t="n">
        <v>290</v>
      </c>
      <c r="I873" t="n">
        <v>179</v>
      </c>
      <c r="J873" t="n">
        <v>3.38</v>
      </c>
      <c r="K873" t="n">
        <v>104</v>
      </c>
      <c r="L873" t="n">
        <v>102</v>
      </c>
      <c r="M873" s="175" t="n">
        <v>0.86</v>
      </c>
      <c r="N873" t="inlineStr">
        <is>
          <t>來自高雄的國內前五大旅行社</t>
        </is>
      </c>
    </row>
    <row r="874">
      <c r="A874" t="n">
        <v>2748</v>
      </c>
      <c r="B874" t="inlineStr">
        <is>
          <t>雲品</t>
        </is>
      </c>
      <c r="C874" t="n">
        <v>39.4</v>
      </c>
      <c r="D874" t="n">
        <v>39.65</v>
      </c>
      <c r="E874" s="504" t="n">
        <v>0.25</v>
      </c>
      <c r="F874" s="505" t="n">
        <v>0.63</v>
      </c>
      <c r="G874" t="inlineStr">
        <is>
          <t>347萬</t>
        </is>
      </c>
      <c r="H874" t="n">
        <v>88</v>
      </c>
      <c r="I874" t="n">
        <v>158</v>
      </c>
      <c r="J874" t="n">
        <v>10.58</v>
      </c>
      <c r="K874" t="n">
        <v>39.65</v>
      </c>
      <c r="L874" t="n">
        <v>39.2</v>
      </c>
      <c r="M874" s="175" t="n">
        <v>0.08</v>
      </c>
      <c r="N874" t="inlineStr">
        <is>
          <t>日月潭首家擁有天然溫泉的五星渡假飯店</t>
        </is>
      </c>
    </row>
    <row r="875">
      <c r="A875" t="n">
        <v>2751</v>
      </c>
      <c r="B875" t="inlineStr">
        <is>
          <t>王座</t>
        </is>
      </c>
      <c r="C875" t="n">
        <v>52.8</v>
      </c>
      <c r="D875" t="n">
        <v>52.5</v>
      </c>
      <c r="E875" s="504" t="n">
        <v>0</v>
      </c>
      <c r="F875" s="505" t="n">
        <v>0</v>
      </c>
      <c r="G875" t="inlineStr">
        <is>
          <t>47.4萬</t>
        </is>
      </c>
      <c r="H875" t="n">
        <v>9</v>
      </c>
      <c r="I875" t="n">
        <v>15</v>
      </c>
      <c r="J875" t="n">
        <v>1.98</v>
      </c>
      <c r="K875" t="n">
        <v>53.3</v>
      </c>
      <c r="L875" t="n">
        <v>52</v>
      </c>
      <c r="M875" s="175" t="n">
        <v>0.05</v>
      </c>
      <c r="N875" t="inlineStr">
        <is>
          <t>六角旗下，代理與經營海內外餐飲品牌</t>
        </is>
      </c>
    </row>
    <row r="876">
      <c r="A876" t="n">
        <v>2752</v>
      </c>
      <c r="B876" t="inlineStr">
        <is>
          <t>豆府</t>
        </is>
      </c>
      <c r="C876" t="n">
        <v>171</v>
      </c>
      <c r="D876" t="n">
        <v>172</v>
      </c>
      <c r="E876" s="504" t="n">
        <v>1</v>
      </c>
      <c r="F876" s="505" t="n">
        <v>0.58</v>
      </c>
      <c r="G876" t="inlineStr">
        <is>
          <t>532萬</t>
        </is>
      </c>
      <c r="H876" t="n">
        <v>31</v>
      </c>
      <c r="I876" t="n">
        <v>35</v>
      </c>
      <c r="J876" t="n">
        <v>2.67</v>
      </c>
      <c r="K876" t="n">
        <v>172</v>
      </c>
      <c r="L876" t="n">
        <v>171</v>
      </c>
      <c r="M876" s="175" t="n">
        <v>0.12</v>
      </c>
      <c r="N876" t="inlineStr">
        <is>
          <t>台灣規模最大韓式連鎖餐廳集團</t>
        </is>
      </c>
    </row>
    <row r="877">
      <c r="A877" t="n">
        <v>2753</v>
      </c>
      <c r="B877" t="inlineStr">
        <is>
          <t>八方雲集</t>
        </is>
      </c>
      <c r="C877" t="n">
        <v>178</v>
      </c>
      <c r="D877" t="n">
        <v>179</v>
      </c>
      <c r="E877" s="504" t="n">
        <v>2</v>
      </c>
      <c r="F877" s="505" t="n">
        <v>1.13</v>
      </c>
      <c r="G877" t="inlineStr">
        <is>
          <t>3967萬</t>
        </is>
      </c>
      <c r="H877" t="n">
        <v>226</v>
      </c>
      <c r="I877" t="n">
        <v>310</v>
      </c>
      <c r="J877" t="n">
        <v>6.66</v>
      </c>
      <c r="K877" t="n">
        <v>179</v>
      </c>
      <c r="L877" t="n">
        <v>176.5</v>
      </c>
      <c r="M877" s="175" t="n">
        <v>0.34</v>
      </c>
      <c r="N877" t="inlineStr">
        <is>
          <t>台式連鎖餐飲集團，擁有八方雲集、梁社漢排骨</t>
        </is>
      </c>
    </row>
    <row r="878">
      <c r="A878" t="n">
        <v>2754</v>
      </c>
      <c r="B878" t="inlineStr">
        <is>
          <t>亞洲藏壽司</t>
        </is>
      </c>
      <c r="C878" t="n">
        <v>67.59999999999999</v>
      </c>
      <c r="D878" t="n">
        <v>67.8</v>
      </c>
      <c r="E878" s="504" t="n">
        <v>-0.5</v>
      </c>
      <c r="F878" s="505" t="n">
        <v>-0.73</v>
      </c>
      <c r="G878" t="inlineStr">
        <is>
          <t>283萬</t>
        </is>
      </c>
      <c r="H878" t="n">
        <v>42</v>
      </c>
      <c r="I878" t="n">
        <v>96</v>
      </c>
      <c r="J878" t="n">
        <v>4.69</v>
      </c>
      <c r="K878" t="n">
        <v>67.8</v>
      </c>
      <c r="L878" t="n">
        <v>67</v>
      </c>
      <c r="M878" s="175" t="n">
        <v>0.09</v>
      </c>
      <c r="N878" t="inlineStr">
        <is>
          <t>日式迴轉壽司連鎖店，擁有品牌「藏壽司」</t>
        </is>
      </c>
    </row>
    <row r="879">
      <c r="A879" t="n">
        <v>2755</v>
      </c>
      <c r="B879" t="inlineStr">
        <is>
          <t>揚秦</t>
        </is>
      </c>
      <c r="C879" t="n">
        <v>133</v>
      </c>
      <c r="D879" t="n">
        <v>134.5</v>
      </c>
      <c r="E879" s="504" t="n">
        <v>0.5</v>
      </c>
      <c r="F879" s="505" t="n">
        <v>0.37</v>
      </c>
      <c r="G879" t="inlineStr">
        <is>
          <t>403萬</t>
        </is>
      </c>
      <c r="H879" t="n">
        <v>30</v>
      </c>
      <c r="I879" t="n">
        <v>31</v>
      </c>
      <c r="J879" t="n">
        <v>3.74</v>
      </c>
      <c r="K879" t="n">
        <v>135</v>
      </c>
      <c r="L879" t="n">
        <v>133</v>
      </c>
      <c r="M879" s="175" t="n">
        <v>0.08</v>
      </c>
      <c r="N879" t="inlineStr">
        <is>
          <t>連鎖.直營門市餐飲經營者，核心品牌「麥味登」</t>
        </is>
      </c>
    </row>
    <row r="880">
      <c r="A880" t="n">
        <v>2756</v>
      </c>
      <c r="B880" t="inlineStr">
        <is>
          <t>聯發國際</t>
        </is>
      </c>
      <c r="C880" t="n">
        <v>59.7</v>
      </c>
      <c r="D880" t="n">
        <v>59.6</v>
      </c>
      <c r="E880" s="504" t="n">
        <v>-0.6</v>
      </c>
      <c r="F880" s="505" t="n">
        <v>-1</v>
      </c>
      <c r="G880" t="inlineStr">
        <is>
          <t>29.8萬</t>
        </is>
      </c>
      <c r="H880" t="n">
        <v>5</v>
      </c>
      <c r="I880" t="n">
        <v>19</v>
      </c>
      <c r="J880" t="n">
        <v>2.46</v>
      </c>
      <c r="K880" t="n">
        <v>59.7</v>
      </c>
      <c r="L880" t="n">
        <v>59.4</v>
      </c>
      <c r="M880" s="175" t="n">
        <v>0.02</v>
      </c>
      <c r="N880" t="inlineStr">
        <is>
          <t>茶飲連鎖店，核心品牌「歇腳亭」</t>
        </is>
      </c>
    </row>
    <row r="881">
      <c r="A881" t="n">
        <v>2762</v>
      </c>
      <c r="B881" t="inlineStr">
        <is>
          <t>世界健身-KY</t>
        </is>
      </c>
      <c r="C881" t="n">
        <v>84.3</v>
      </c>
      <c r="D881" t="n">
        <v>84.5</v>
      </c>
      <c r="E881" s="504" t="n">
        <v>-1</v>
      </c>
      <c r="F881" s="505" t="n">
        <v>-1.17</v>
      </c>
      <c r="G881" t="inlineStr">
        <is>
          <t>321萬</t>
        </is>
      </c>
      <c r="H881" t="n">
        <v>38</v>
      </c>
      <c r="I881" t="n">
        <v>136</v>
      </c>
      <c r="J881" t="n">
        <v>11.25</v>
      </c>
      <c r="K881" t="n">
        <v>85.40000000000001</v>
      </c>
      <c r="L881" t="n">
        <v>84</v>
      </c>
      <c r="M881" s="175" t="n">
        <v>0.03</v>
      </c>
      <c r="N881" t="inlineStr">
        <is>
          <t>主要經營會員制連鎖健身中心</t>
        </is>
      </c>
    </row>
    <row r="882">
      <c r="A882" t="n">
        <v>2801</v>
      </c>
      <c r="B882" t="inlineStr">
        <is>
          <t>彰銀</t>
        </is>
      </c>
      <c r="C882" t="n">
        <v>20.4</v>
      </c>
      <c r="D882" t="n">
        <v>20.6</v>
      </c>
      <c r="E882" s="504" t="n">
        <v>0.15</v>
      </c>
      <c r="F882" s="505" t="n">
        <v>0.73</v>
      </c>
      <c r="G882" t="inlineStr">
        <is>
          <t>7.55億</t>
        </is>
      </c>
      <c r="H882" t="n">
        <v>36843</v>
      </c>
      <c r="I882" t="n">
        <v>30717</v>
      </c>
      <c r="J882" t="n">
        <v>1176.6</v>
      </c>
      <c r="K882" t="n">
        <v>20.65</v>
      </c>
      <c r="L882" t="n">
        <v>20.3</v>
      </c>
      <c r="M882" s="175" t="n">
        <v>0.31</v>
      </c>
      <c r="N882" t="inlineStr">
        <is>
          <t>台灣老牌銀行，為銀行界歷史悠久的三商銀之一</t>
        </is>
      </c>
    </row>
    <row r="883">
      <c r="A883" t="n">
        <v>2812</v>
      </c>
      <c r="B883" t="inlineStr">
        <is>
          <t>台中銀</t>
        </is>
      </c>
      <c r="C883" t="n">
        <v>18.35</v>
      </c>
      <c r="D883" t="n">
        <v>18.7</v>
      </c>
      <c r="E883" s="504" t="n">
        <v>0.3</v>
      </c>
      <c r="F883" s="505" t="n">
        <v>1.63</v>
      </c>
      <c r="G883" t="inlineStr">
        <is>
          <t>3.43億</t>
        </is>
      </c>
      <c r="H883" t="n">
        <v>18548</v>
      </c>
      <c r="I883" t="n">
        <v>22654</v>
      </c>
      <c r="J883" t="n">
        <v>602.16</v>
      </c>
      <c r="K883" t="n">
        <v>18.75</v>
      </c>
      <c r="L883" t="n">
        <v>18.25</v>
      </c>
      <c r="M883" s="175" t="n">
        <v>0.31</v>
      </c>
      <c r="N883" t="inlineStr">
        <is>
          <t>中纖為大股東之中小型商業銀行</t>
        </is>
      </c>
    </row>
    <row r="884">
      <c r="A884" t="n">
        <v>2816</v>
      </c>
      <c r="B884" t="inlineStr">
        <is>
          <t>旺旺保</t>
        </is>
      </c>
      <c r="C884" t="n">
        <v>33.5</v>
      </c>
      <c r="D884" t="n">
        <v>33</v>
      </c>
      <c r="E884" s="504" t="n">
        <v>-0.3</v>
      </c>
      <c r="F884" s="505" t="n">
        <v>-0.9</v>
      </c>
      <c r="G884" t="inlineStr">
        <is>
          <t>1242萬</t>
        </is>
      </c>
      <c r="H884" t="n">
        <v>504</v>
      </c>
      <c r="I884" t="n">
        <v>371</v>
      </c>
      <c r="J884" t="n">
        <v>22.36</v>
      </c>
      <c r="K884" t="n">
        <v>33.7</v>
      </c>
      <c r="L884" t="n">
        <v>32.6</v>
      </c>
      <c r="M884" s="175" t="n">
        <v>0.23</v>
      </c>
      <c r="N884" t="inlineStr">
        <is>
          <t>台灣產險業第一家上市公司，後由旺旺集團入主</t>
        </is>
      </c>
    </row>
    <row r="885">
      <c r="A885" t="n">
        <v>2820</v>
      </c>
      <c r="B885" t="inlineStr">
        <is>
          <t>華票</t>
        </is>
      </c>
      <c r="C885" t="n">
        <v>16.7</v>
      </c>
      <c r="D885" t="n">
        <v>17</v>
      </c>
      <c r="E885" s="504" t="n">
        <v>0.25</v>
      </c>
      <c r="F885" s="505" t="n">
        <v>1.49</v>
      </c>
      <c r="G885" t="inlineStr">
        <is>
          <t>3983萬</t>
        </is>
      </c>
      <c r="H885" t="n">
        <v>2362</v>
      </c>
      <c r="I885" t="n">
        <v>1345</v>
      </c>
      <c r="J885" t="n">
        <v>134.3</v>
      </c>
      <c r="K885" t="n">
        <v>17</v>
      </c>
      <c r="L885" t="n">
        <v>16.7</v>
      </c>
      <c r="M885" s="175" t="n">
        <v>0.18</v>
      </c>
      <c r="N885" t="inlineStr">
        <is>
          <t>台灣前三大票券商</t>
        </is>
      </c>
    </row>
    <row r="886">
      <c r="A886" t="n">
        <v>2832</v>
      </c>
      <c r="B886" t="inlineStr">
        <is>
          <t>台產</t>
        </is>
      </c>
      <c r="C886" t="n">
        <v>53.5</v>
      </c>
      <c r="D886" t="n">
        <v>53.7</v>
      </c>
      <c r="E886" s="504" t="n">
        <v>0.1</v>
      </c>
      <c r="F886" s="505" t="n">
        <v>0.19</v>
      </c>
      <c r="G886" t="inlineStr">
        <is>
          <t>996萬</t>
        </is>
      </c>
      <c r="H886" t="n">
        <v>186</v>
      </c>
      <c r="I886" t="n">
        <v>215</v>
      </c>
      <c r="J886" t="n">
        <v>25.35</v>
      </c>
      <c r="K886" t="n">
        <v>53.9</v>
      </c>
      <c r="L886" t="n">
        <v>53.2</v>
      </c>
      <c r="M886" s="175" t="n">
        <v>0.07000000000000001</v>
      </c>
      <c r="N886" t="inlineStr">
        <is>
          <t>台灣歷史最悠久的中小型產險公司</t>
        </is>
      </c>
    </row>
    <row r="887">
      <c r="A887" t="n">
        <v>2834</v>
      </c>
      <c r="B887" t="inlineStr">
        <is>
          <t>臺企銀</t>
        </is>
      </c>
      <c r="C887" t="n">
        <v>16.15</v>
      </c>
      <c r="D887" t="n">
        <v>16.3</v>
      </c>
      <c r="E887" s="504" t="n">
        <v>0.1</v>
      </c>
      <c r="F887" s="505" t="n">
        <v>0.62</v>
      </c>
      <c r="G887" t="inlineStr">
        <is>
          <t>4.80億</t>
        </is>
      </c>
      <c r="H887" t="n">
        <v>29654</v>
      </c>
      <c r="I887" t="n">
        <v>38518</v>
      </c>
      <c r="J887" t="n">
        <v>971.8099999999999</v>
      </c>
      <c r="K887" t="n">
        <v>16.3</v>
      </c>
      <c r="L887" t="n">
        <v>16.1</v>
      </c>
      <c r="M887" s="175" t="n">
        <v>0.31</v>
      </c>
      <c r="N887" t="inlineStr">
        <is>
          <t>台灣六大泛公股銀行之一</t>
        </is>
      </c>
    </row>
    <row r="888">
      <c r="A888" t="n">
        <v>2836</v>
      </c>
      <c r="B888" t="inlineStr">
        <is>
          <t>高雄銀</t>
        </is>
      </c>
      <c r="C888" t="n">
        <v>11.7</v>
      </c>
      <c r="D888" t="n">
        <v>11.9</v>
      </c>
      <c r="E888" s="504" t="n">
        <v>0.2</v>
      </c>
      <c r="F888" s="505" t="n">
        <v>1.71</v>
      </c>
      <c r="G888" t="inlineStr">
        <is>
          <t>3025萬</t>
        </is>
      </c>
      <c r="H888" t="n">
        <v>2557</v>
      </c>
      <c r="I888" t="n">
        <v>1725</v>
      </c>
      <c r="J888" t="n">
        <v>183.99</v>
      </c>
      <c r="K888" t="n">
        <v>11.9</v>
      </c>
      <c r="L888" t="n">
        <v>11.7</v>
      </c>
      <c r="M888" s="175" t="n">
        <v>0.14</v>
      </c>
      <c r="N888" t="inlineStr">
        <is>
          <t>高雄市政府為大股東之區域型銀行</t>
        </is>
      </c>
    </row>
    <row r="889">
      <c r="A889" t="n">
        <v>2838</v>
      </c>
      <c r="B889" t="inlineStr">
        <is>
          <t>聯邦銀</t>
        </is>
      </c>
      <c r="C889" t="n">
        <v>20.45</v>
      </c>
      <c r="D889" t="n">
        <v>20.6</v>
      </c>
      <c r="E889" s="504" t="n">
        <v>0.1</v>
      </c>
      <c r="F889" s="505" t="n">
        <v>0.49</v>
      </c>
      <c r="G889" t="inlineStr">
        <is>
          <t>3799萬</t>
        </is>
      </c>
      <c r="H889" t="n">
        <v>1853</v>
      </c>
      <c r="I889" t="n">
        <v>1806</v>
      </c>
      <c r="J889" t="n">
        <v>434.06</v>
      </c>
      <c r="K889" t="n">
        <v>20.75</v>
      </c>
      <c r="L889" t="n">
        <v>20.3</v>
      </c>
      <c r="M889" s="175" t="n">
        <v>0.04</v>
      </c>
      <c r="N889" t="inlineStr">
        <is>
          <t>三重幫林榮三家族為大股東之民營銀行</t>
        </is>
      </c>
    </row>
    <row r="890">
      <c r="A890" t="n">
        <v>2845</v>
      </c>
      <c r="B890" t="inlineStr">
        <is>
          <t>遠東銀</t>
        </is>
      </c>
      <c r="C890" t="n">
        <v>12.1</v>
      </c>
      <c r="D890" t="n">
        <v>12.1</v>
      </c>
      <c r="E890" s="504" t="n">
        <v>0</v>
      </c>
      <c r="F890" s="505" t="n">
        <v>0</v>
      </c>
      <c r="G890" t="inlineStr">
        <is>
          <t>1.22億</t>
        </is>
      </c>
      <c r="H890" t="n">
        <v>10074</v>
      </c>
      <c r="I890" t="n">
        <v>13786</v>
      </c>
      <c r="J890" t="n">
        <v>486.53</v>
      </c>
      <c r="K890" t="n">
        <v>12.15</v>
      </c>
      <c r="L890" t="n">
        <v>12</v>
      </c>
      <c r="M890" s="175" t="n">
        <v>0.21</v>
      </c>
      <c r="N890" t="inlineStr">
        <is>
          <t>遠東集團旗下之中小型商業銀行</t>
        </is>
      </c>
    </row>
    <row r="891">
      <c r="A891" t="n">
        <v>2849</v>
      </c>
      <c r="B891" t="inlineStr">
        <is>
          <t>安泰銀</t>
        </is>
      </c>
      <c r="C891" t="n">
        <v>13.95</v>
      </c>
      <c r="D891" t="n">
        <v>14</v>
      </c>
      <c r="E891" s="504" t="n">
        <v>0</v>
      </c>
      <c r="F891" s="505" t="n">
        <v>0</v>
      </c>
      <c r="G891" t="inlineStr">
        <is>
          <t>160萬</t>
        </is>
      </c>
      <c r="H891" t="n">
        <v>115</v>
      </c>
      <c r="I891" t="n">
        <v>128</v>
      </c>
      <c r="J891" t="n">
        <v>195.76</v>
      </c>
      <c r="K891" t="n">
        <v>14</v>
      </c>
      <c r="L891" t="n">
        <v>13.8</v>
      </c>
      <c r="M891" s="175" t="n">
        <v>0.01</v>
      </c>
      <c r="N891" t="inlineStr">
        <is>
          <t>私募基金隆力集團入主的中小型銀行</t>
        </is>
      </c>
    </row>
    <row r="892">
      <c r="A892" t="n">
        <v>2850</v>
      </c>
      <c r="B892" t="inlineStr">
        <is>
          <t>新產</t>
        </is>
      </c>
      <c r="C892" t="n">
        <v>140.5</v>
      </c>
      <c r="D892" t="n">
        <v>142</v>
      </c>
      <c r="E892" s="504" t="n">
        <v>-0.5</v>
      </c>
      <c r="F892" s="505" t="n">
        <v>-0.35</v>
      </c>
      <c r="G892" t="inlineStr">
        <is>
          <t>7886萬</t>
        </is>
      </c>
      <c r="H892" t="n">
        <v>561</v>
      </c>
      <c r="I892" t="n">
        <v>827</v>
      </c>
      <c r="J892" t="n">
        <v>31.6</v>
      </c>
      <c r="K892" t="n">
        <v>142</v>
      </c>
      <c r="L892" t="n">
        <v>139.5</v>
      </c>
      <c r="M892" s="175" t="n">
        <v>0.18</v>
      </c>
      <c r="N892" t="inlineStr">
        <is>
          <t>新光集團旗下，為台灣前三大產險公司</t>
        </is>
      </c>
    </row>
    <row r="893">
      <c r="A893" t="n">
        <v>2851</v>
      </c>
      <c r="B893" t="inlineStr">
        <is>
          <t>中再保</t>
        </is>
      </c>
      <c r="C893" t="n">
        <v>35.05</v>
      </c>
      <c r="D893" t="n">
        <v>35.05</v>
      </c>
      <c r="E893" s="504" t="n">
        <v>-0.1</v>
      </c>
      <c r="F893" s="505" t="n">
        <v>-0.28</v>
      </c>
      <c r="G893" t="inlineStr">
        <is>
          <t>4333萬</t>
        </is>
      </c>
      <c r="H893" t="n">
        <v>1238</v>
      </c>
      <c r="I893" t="n">
        <v>2265</v>
      </c>
      <c r="J893" t="n">
        <v>80.04000000000001</v>
      </c>
      <c r="K893" t="n">
        <v>35.1</v>
      </c>
      <c r="L893" t="n">
        <v>34.9</v>
      </c>
      <c r="M893" s="175" t="n">
        <v>0.15</v>
      </c>
      <c r="N893" t="inlineStr">
        <is>
          <t>長榮集團旗下，為台灣保險市場中唯一的本土再保險公司</t>
        </is>
      </c>
    </row>
    <row r="894">
      <c r="A894" t="n">
        <v>2852</v>
      </c>
      <c r="B894" t="inlineStr">
        <is>
          <t>第一保</t>
        </is>
      </c>
      <c r="C894" t="n">
        <v>27.5</v>
      </c>
      <c r="D894" t="n">
        <v>27.3</v>
      </c>
      <c r="E894" s="504" t="n">
        <v>0.2</v>
      </c>
      <c r="F894" s="505" t="n">
        <v>0.74</v>
      </c>
      <c r="G894" t="inlineStr">
        <is>
          <t>1603萬</t>
        </is>
      </c>
      <c r="H894" t="n">
        <v>587</v>
      </c>
      <c r="I894" t="n">
        <v>421</v>
      </c>
      <c r="J894" t="n">
        <v>30.12</v>
      </c>
      <c r="K894" t="n">
        <v>27.5</v>
      </c>
      <c r="L894" t="n">
        <v>27.05</v>
      </c>
      <c r="M894" s="175" t="n">
        <v>0.19</v>
      </c>
      <c r="N894" t="inlineStr">
        <is>
          <t>台灣排名前十大的產險公司</t>
        </is>
      </c>
    </row>
    <row r="895">
      <c r="A895" t="n">
        <v>2855</v>
      </c>
      <c r="B895" t="inlineStr">
        <is>
          <t>統一證</t>
        </is>
      </c>
      <c r="C895" t="n">
        <v>48.2</v>
      </c>
      <c r="D895" t="n">
        <v>49.45</v>
      </c>
      <c r="E895" s="504" t="n">
        <v>1.25</v>
      </c>
      <c r="F895" s="505" t="n">
        <v>2.59</v>
      </c>
      <c r="G895" t="inlineStr">
        <is>
          <t>10.3億</t>
        </is>
      </c>
      <c r="H895" t="n">
        <v>20945</v>
      </c>
      <c r="I895" t="n">
        <v>12072</v>
      </c>
      <c r="J895" t="n">
        <v>160.14</v>
      </c>
      <c r="K895" t="n">
        <v>50.5</v>
      </c>
      <c r="L895" t="n">
        <v>47.2</v>
      </c>
      <c r="M895" s="175" t="n">
        <v>1.31</v>
      </c>
      <c r="N895" t="inlineStr">
        <is>
          <t>為統一集團旗下券商，市佔排名前八大</t>
        </is>
      </c>
    </row>
    <row r="896">
      <c r="A896" t="n">
        <v>2867</v>
      </c>
      <c r="B896" t="inlineStr">
        <is>
          <t>三商壽</t>
        </is>
      </c>
      <c r="C896" t="n">
        <v>7.63</v>
      </c>
      <c r="D896" t="n">
        <v>7.79</v>
      </c>
      <c r="E896" s="504" t="n">
        <v>0.16</v>
      </c>
      <c r="F896" s="505" t="n">
        <v>2.1</v>
      </c>
      <c r="G896" t="inlineStr">
        <is>
          <t>1.55億</t>
        </is>
      </c>
      <c r="H896" t="n">
        <v>20088</v>
      </c>
      <c r="I896" t="n">
        <v>10756</v>
      </c>
      <c r="J896" t="n">
        <v>589.95</v>
      </c>
      <c r="K896" t="n">
        <v>7.8</v>
      </c>
      <c r="L896" t="n">
        <v>7.61</v>
      </c>
      <c r="M896" s="175" t="n">
        <v>0.34</v>
      </c>
      <c r="N896" t="inlineStr">
        <is>
          <t>台灣排名前七大的壽險公司，隸屬三商集團</t>
        </is>
      </c>
    </row>
    <row r="897">
      <c r="A897" t="n">
        <v>2880</v>
      </c>
      <c r="B897" t="inlineStr">
        <is>
          <t>華南金</t>
        </is>
      </c>
      <c r="C897" t="n">
        <v>32.5</v>
      </c>
      <c r="D897" t="n">
        <v>34.05</v>
      </c>
      <c r="E897" s="504" t="n">
        <v>1.2</v>
      </c>
      <c r="F897" s="505" t="n">
        <v>3.65</v>
      </c>
      <c r="G897" t="inlineStr">
        <is>
          <t>39.1億</t>
        </is>
      </c>
      <c r="H897" t="n">
        <v>115309</v>
      </c>
      <c r="I897" t="n">
        <v>95126</v>
      </c>
      <c r="J897" t="n">
        <v>1391.7</v>
      </c>
      <c r="K897" t="n">
        <v>34.4</v>
      </c>
      <c r="L897" t="n">
        <v>32.4</v>
      </c>
      <c r="M897" s="175" t="n">
        <v>0.83</v>
      </c>
      <c r="N897" t="inlineStr">
        <is>
          <t>以銀行為主體公營金控公司，為台灣銀行界歷史悠久的三商銀之一</t>
        </is>
      </c>
    </row>
    <row r="898">
      <c r="A898" t="n">
        <v>2881</v>
      </c>
      <c r="B898" t="inlineStr">
        <is>
          <t>富邦金</t>
        </is>
      </c>
      <c r="C898" t="n">
        <v>110.5</v>
      </c>
      <c r="D898" t="n">
        <v>113.5</v>
      </c>
      <c r="E898" s="504" t="n">
        <v>3</v>
      </c>
      <c r="F898" s="505" t="n">
        <v>2.71</v>
      </c>
      <c r="G898" t="inlineStr">
        <is>
          <t>108億</t>
        </is>
      </c>
      <c r="H898" t="n">
        <v>97014</v>
      </c>
      <c r="I898" t="n">
        <v>101853</v>
      </c>
      <c r="J898" t="n">
        <v>1400.74</v>
      </c>
      <c r="K898" t="n">
        <v>113.5</v>
      </c>
      <c r="L898" t="n">
        <v>109</v>
      </c>
      <c r="M898" s="175" t="n">
        <v>0.6899999999999999</v>
      </c>
      <c r="N898" t="inlineStr">
        <is>
          <t>台灣資產規模前二大的金控公司，旗下擁有台灣最大產險公司</t>
        </is>
      </c>
    </row>
    <row r="899">
      <c r="A899" t="n">
        <v>2882</v>
      </c>
      <c r="B899" t="inlineStr">
        <is>
          <t>國泰金</t>
        </is>
      </c>
      <c r="C899" t="n">
        <v>88.5</v>
      </c>
      <c r="D899" t="n">
        <v>89.2</v>
      </c>
      <c r="E899" s="504" t="n">
        <v>1</v>
      </c>
      <c r="F899" s="505" t="n">
        <v>1.13</v>
      </c>
      <c r="G899" t="inlineStr">
        <is>
          <t>50.8億</t>
        </is>
      </c>
      <c r="H899" t="n">
        <v>57649</v>
      </c>
      <c r="I899" t="n">
        <v>63171</v>
      </c>
      <c r="J899" t="n">
        <v>1466.92</v>
      </c>
      <c r="K899" t="n">
        <v>89.2</v>
      </c>
      <c r="L899" t="n">
        <v>86.59999999999999</v>
      </c>
      <c r="M899" s="175" t="n">
        <v>0.39</v>
      </c>
      <c r="N899" t="inlineStr">
        <is>
          <t>台灣資產規模前二大金控公司，旗下擁有台灣最大壽險公司</t>
        </is>
      </c>
    </row>
    <row r="900">
      <c r="A900" t="n">
        <v>2883</v>
      </c>
      <c r="B900" t="inlineStr">
        <is>
          <t>凱基金</t>
        </is>
      </c>
      <c r="C900" t="n">
        <v>22.55</v>
      </c>
      <c r="D900" t="n">
        <v>23.4</v>
      </c>
      <c r="E900" s="504" t="n">
        <v>0.75</v>
      </c>
      <c r="F900" s="505" t="n">
        <v>3.31</v>
      </c>
      <c r="G900" t="inlineStr">
        <is>
          <t>48.9億</t>
        </is>
      </c>
      <c r="H900" t="n">
        <v>212368</v>
      </c>
      <c r="I900" t="n">
        <v>91464</v>
      </c>
      <c r="J900" t="n">
        <v>1697.48</v>
      </c>
      <c r="K900" t="n">
        <v>23.45</v>
      </c>
      <c r="L900" t="n">
        <v>22.3</v>
      </c>
      <c r="M900" s="175" t="n">
        <v>1.25</v>
      </c>
      <c r="N900" t="inlineStr">
        <is>
          <t>以投資銀行業務為主之金控，並藉購併跨入證券與商業銀行領域</t>
        </is>
      </c>
    </row>
    <row r="901">
      <c r="A901" t="n">
        <v>2884</v>
      </c>
      <c r="B901" t="inlineStr">
        <is>
          <t>玉山金</t>
        </is>
      </c>
      <c r="C901" t="n">
        <v>31.4</v>
      </c>
      <c r="D901" t="n">
        <v>32.2</v>
      </c>
      <c r="E901" s="504" t="n">
        <v>0.75</v>
      </c>
      <c r="F901" s="505" t="n">
        <v>2.38</v>
      </c>
      <c r="G901" t="inlineStr">
        <is>
          <t>24.8億</t>
        </is>
      </c>
      <c r="H901" t="n">
        <v>77550</v>
      </c>
      <c r="I901" t="n">
        <v>69659</v>
      </c>
      <c r="J901" t="n">
        <v>1617.4</v>
      </c>
      <c r="K901" t="n">
        <v>32.2</v>
      </c>
      <c r="L901" t="n">
        <v>31.4</v>
      </c>
      <c r="M901" s="175" t="n">
        <v>0.48</v>
      </c>
      <c r="N901" t="inlineStr">
        <is>
          <t>以玉山銀行為主體的金控公司</t>
        </is>
      </c>
    </row>
    <row r="902">
      <c r="A902" t="n">
        <v>2885</v>
      </c>
      <c r="B902" t="inlineStr">
        <is>
          <t>元大金</t>
        </is>
      </c>
      <c r="C902" t="n">
        <v>59.1</v>
      </c>
      <c r="D902" t="n">
        <v>59.6</v>
      </c>
      <c r="E902" s="504" t="n">
        <v>0.4</v>
      </c>
      <c r="F902" s="505" t="n">
        <v>0.68</v>
      </c>
      <c r="G902" t="inlineStr">
        <is>
          <t>18.2億</t>
        </is>
      </c>
      <c r="H902" t="n">
        <v>30667</v>
      </c>
      <c r="I902" t="n">
        <v>47590</v>
      </c>
      <c r="J902" t="n">
        <v>1333.11</v>
      </c>
      <c r="K902" t="n">
        <v>59.9</v>
      </c>
      <c r="L902" t="n">
        <v>58.9</v>
      </c>
      <c r="M902" s="175" t="n">
        <v>0.23</v>
      </c>
      <c r="N902" t="inlineStr">
        <is>
          <t>以證券為主體金控公司，旗下元大證券為台灣最大券商</t>
        </is>
      </c>
    </row>
    <row r="903">
      <c r="A903" t="n">
        <v>2886</v>
      </c>
      <c r="B903" t="inlineStr">
        <is>
          <t>兆豐金</t>
        </is>
      </c>
      <c r="C903" t="n">
        <v>41.2</v>
      </c>
      <c r="D903" t="n">
        <v>41.7</v>
      </c>
      <c r="E903" s="504" t="n">
        <v>0.25</v>
      </c>
      <c r="F903" s="505" t="n">
        <v>0.6</v>
      </c>
      <c r="G903" t="inlineStr">
        <is>
          <t>29.0億</t>
        </is>
      </c>
      <c r="H903" t="n">
        <v>69117</v>
      </c>
      <c r="I903" t="n">
        <v>53698</v>
      </c>
      <c r="J903" t="n">
        <v>1483.34</v>
      </c>
      <c r="K903" t="n">
        <v>42.4</v>
      </c>
      <c r="L903" t="n">
        <v>41.05</v>
      </c>
      <c r="M903" s="175" t="n">
        <v>0.47</v>
      </c>
      <c r="N903" t="inlineStr">
        <is>
          <t>具有國營背景的金控公司，旗下銀行為台灣主要企業聯貸銀行</t>
        </is>
      </c>
    </row>
    <row r="904">
      <c r="A904" t="n">
        <v>2887</v>
      </c>
      <c r="B904" t="inlineStr">
        <is>
          <t>台新新光金</t>
        </is>
      </c>
      <c r="C904" t="n">
        <v>24.45</v>
      </c>
      <c r="D904" t="n">
        <v>26.1</v>
      </c>
      <c r="E904" s="504" t="n">
        <v>1.5</v>
      </c>
      <c r="F904" s="505" t="n">
        <v>6.1</v>
      </c>
      <c r="G904" t="inlineStr">
        <is>
          <t>63.8億</t>
        </is>
      </c>
      <c r="H904" t="n">
        <v>254002</v>
      </c>
      <c r="I904" t="n">
        <v>181871</v>
      </c>
      <c r="J904" t="n">
        <v>2486.64</v>
      </c>
      <c r="K904" t="n">
        <v>26.1</v>
      </c>
      <c r="L904" t="n">
        <v>24.3</v>
      </c>
      <c r="M904" s="175" t="n">
        <v>1.02</v>
      </c>
      <c r="N904" t="inlineStr">
        <is>
          <t>以消費金融業務為主體之台灣金控公司</t>
        </is>
      </c>
    </row>
    <row r="905">
      <c r="A905" t="n">
        <v>2889</v>
      </c>
      <c r="B905" t="inlineStr">
        <is>
          <t>國票金</t>
        </is>
      </c>
      <c r="C905" t="n">
        <v>14.65</v>
      </c>
      <c r="D905" t="n">
        <v>14.75</v>
      </c>
      <c r="E905" s="504" t="n">
        <v>0</v>
      </c>
      <c r="F905" s="505" t="n">
        <v>0</v>
      </c>
      <c r="G905" t="inlineStr">
        <is>
          <t>7528萬</t>
        </is>
      </c>
      <c r="H905" t="n">
        <v>5149</v>
      </c>
      <c r="I905" t="n">
        <v>3298</v>
      </c>
      <c r="J905" t="n">
        <v>363.36</v>
      </c>
      <c r="K905" t="n">
        <v>14.8</v>
      </c>
      <c r="L905" t="n">
        <v>14.5</v>
      </c>
      <c r="M905" s="175" t="n">
        <v>0.14</v>
      </c>
      <c r="N905" t="inlineStr">
        <is>
          <t>台灣唯一以票券業務為主體之金控公司</t>
        </is>
      </c>
    </row>
    <row r="906">
      <c r="A906" t="n">
        <v>2890</v>
      </c>
      <c r="B906" t="inlineStr">
        <is>
          <t>永豐金</t>
        </is>
      </c>
      <c r="C906" t="n">
        <v>30.4</v>
      </c>
      <c r="D906" t="n">
        <v>31</v>
      </c>
      <c r="E906" s="504" t="n">
        <v>0.55</v>
      </c>
      <c r="F906" s="505" t="n">
        <v>1.81</v>
      </c>
      <c r="G906" t="inlineStr">
        <is>
          <t>16.4億</t>
        </is>
      </c>
      <c r="H906" t="n">
        <v>53150</v>
      </c>
      <c r="I906" t="n">
        <v>39895</v>
      </c>
      <c r="J906" t="n">
        <v>1449.23</v>
      </c>
      <c r="K906" t="n">
        <v>31</v>
      </c>
      <c r="L906" t="n">
        <v>30.3</v>
      </c>
      <c r="M906" s="175" t="n">
        <v>0.37</v>
      </c>
      <c r="N906" t="inlineStr">
        <is>
          <t>以銀行為主體的的大型金控，旗下另有證券、投信業務</t>
        </is>
      </c>
    </row>
    <row r="907">
      <c r="A907" t="n">
        <v>2891</v>
      </c>
      <c r="B907" t="inlineStr">
        <is>
          <t>中信金</t>
        </is>
      </c>
      <c r="C907" t="n">
        <v>62</v>
      </c>
      <c r="D907" t="n">
        <v>64.09999999999999</v>
      </c>
      <c r="E907" s="504" t="n">
        <v>2</v>
      </c>
      <c r="F907" s="505" t="n">
        <v>3.22</v>
      </c>
      <c r="G907" t="inlineStr">
        <is>
          <t>44.5億</t>
        </is>
      </c>
      <c r="H907" t="n">
        <v>70071</v>
      </c>
      <c r="I907" t="n">
        <v>68705</v>
      </c>
      <c r="J907" t="n">
        <v>1967.69</v>
      </c>
      <c r="K907" t="n">
        <v>64.40000000000001</v>
      </c>
      <c r="L907" t="n">
        <v>61.8</v>
      </c>
      <c r="M907" s="175" t="n">
        <v>0.36</v>
      </c>
      <c r="N907" t="inlineStr">
        <is>
          <t>台灣資產規模前四大金控公司，旗下中信銀為最大信用卡發卡銀行</t>
        </is>
      </c>
    </row>
    <row r="908">
      <c r="A908" t="n">
        <v>2892</v>
      </c>
      <c r="B908" t="inlineStr">
        <is>
          <t>第一金</t>
        </is>
      </c>
      <c r="C908" t="n">
        <v>27.75</v>
      </c>
      <c r="D908" t="n">
        <v>28.15</v>
      </c>
      <c r="E908" s="504" t="n">
        <v>0.4</v>
      </c>
      <c r="F908" s="505" t="n">
        <v>1.44</v>
      </c>
      <c r="G908" t="inlineStr">
        <is>
          <t>16.1億</t>
        </is>
      </c>
      <c r="H908" t="n">
        <v>57629</v>
      </c>
      <c r="I908" t="n">
        <v>58257</v>
      </c>
      <c r="J908" t="n">
        <v>1437.95</v>
      </c>
      <c r="K908" t="n">
        <v>28.2</v>
      </c>
      <c r="L908" t="n">
        <v>27.7</v>
      </c>
      <c r="M908" s="175" t="n">
        <v>0.4</v>
      </c>
      <c r="N908" t="inlineStr">
        <is>
          <t>台灣前三大官股金控公司，旗下銀行為業界歷史悠久的三商銀之一</t>
        </is>
      </c>
    </row>
    <row r="909">
      <c r="A909" t="n">
        <v>2897</v>
      </c>
      <c r="B909" t="inlineStr">
        <is>
          <t>王道銀行</t>
        </is>
      </c>
      <c r="C909" t="n">
        <v>9.92</v>
      </c>
      <c r="D909" t="n">
        <v>10</v>
      </c>
      <c r="E909" s="504" t="n">
        <v>0.06</v>
      </c>
      <c r="F909" s="505" t="n">
        <v>0.6</v>
      </c>
      <c r="G909" t="inlineStr">
        <is>
          <t>6809萬</t>
        </is>
      </c>
      <c r="H909" t="n">
        <v>6820</v>
      </c>
      <c r="I909" t="n">
        <v>4419</v>
      </c>
      <c r="J909" t="n">
        <v>280.54</v>
      </c>
      <c r="K909" t="n">
        <v>10.05</v>
      </c>
      <c r="L909" t="n">
        <v>9.9</v>
      </c>
      <c r="M909" s="175" t="n">
        <v>0.24</v>
      </c>
      <c r="N909" t="inlineStr">
        <is>
          <t>前身為台灣工業銀行，台灣第一家數位銀行</t>
        </is>
      </c>
    </row>
    <row r="910">
      <c r="A910" t="n">
        <v>2901</v>
      </c>
      <c r="B910" t="inlineStr">
        <is>
          <t>欣欣</t>
        </is>
      </c>
      <c r="C910" t="n">
        <v>22.9</v>
      </c>
      <c r="D910" t="n">
        <v>23.5</v>
      </c>
      <c r="E910" s="504" t="n">
        <v>0</v>
      </c>
      <c r="F910" s="505" t="n">
        <v>0</v>
      </c>
      <c r="G910" t="inlineStr">
        <is>
          <t>239萬</t>
        </is>
      </c>
      <c r="H910" t="n">
        <v>103</v>
      </c>
      <c r="I910" t="n">
        <v>26</v>
      </c>
      <c r="J910" t="n">
        <v>7.3</v>
      </c>
      <c r="K910" t="n">
        <v>23.5</v>
      </c>
      <c r="L910" t="n">
        <v>22.9</v>
      </c>
      <c r="M910" s="175" t="n">
        <v>0.14</v>
      </c>
      <c r="N910" t="inlineStr">
        <is>
          <t>位於台北市中山區精華地段之百貨業者，退撫會為最大股東</t>
        </is>
      </c>
    </row>
    <row r="911">
      <c r="A911" t="n">
        <v>2903</v>
      </c>
      <c r="B911" t="inlineStr">
        <is>
          <t>遠百</t>
        </is>
      </c>
      <c r="C911" t="n">
        <v>21.8</v>
      </c>
      <c r="D911" t="n">
        <v>22.15</v>
      </c>
      <c r="E911" s="504" t="n">
        <v>0.25</v>
      </c>
      <c r="F911" s="505" t="n">
        <v>1.14</v>
      </c>
      <c r="G911" t="inlineStr">
        <is>
          <t>7286萬</t>
        </is>
      </c>
      <c r="H911" t="n">
        <v>3314</v>
      </c>
      <c r="I911" t="n">
        <v>2614</v>
      </c>
      <c r="J911" t="n">
        <v>141.69</v>
      </c>
      <c r="K911" t="n">
        <v>22.2</v>
      </c>
      <c r="L911" t="n">
        <v>21.75</v>
      </c>
      <c r="M911" s="175" t="n">
        <v>0.23</v>
      </c>
      <c r="N911" t="inlineStr">
        <is>
          <t>隸屬遠東集團，合併SOGO百貨成為台灣百貨業龍頭</t>
        </is>
      </c>
    </row>
    <row r="912">
      <c r="A912" t="n">
        <v>2904</v>
      </c>
      <c r="B912" t="inlineStr">
        <is>
          <t>匯僑</t>
        </is>
      </c>
      <c r="C912" t="n">
        <v>14.2</v>
      </c>
      <c r="D912" t="n">
        <v>14.2</v>
      </c>
      <c r="E912" s="504" t="n">
        <v>0</v>
      </c>
      <c r="F912" s="505" t="n">
        <v>0</v>
      </c>
      <c r="G912" t="inlineStr">
        <is>
          <t>53.7萬</t>
        </is>
      </c>
      <c r="H912" t="n">
        <v>38</v>
      </c>
      <c r="I912" t="n">
        <v>75</v>
      </c>
      <c r="J912" t="n">
        <v>7.78</v>
      </c>
      <c r="K912" t="n">
        <v>14.3</v>
      </c>
      <c r="L912" t="n">
        <v>14.05</v>
      </c>
      <c r="M912" s="175" t="n">
        <v>0.05</v>
      </c>
      <c r="N912" t="inlineStr">
        <is>
          <t>台灣專業的石化倉儲廠</t>
        </is>
      </c>
    </row>
    <row r="913">
      <c r="A913" t="n">
        <v>2905</v>
      </c>
      <c r="B913" t="inlineStr">
        <is>
          <t>三商</t>
        </is>
      </c>
      <c r="C913" t="n">
        <v>13.7</v>
      </c>
      <c r="D913" t="n">
        <v>14</v>
      </c>
      <c r="E913" s="504" t="n">
        <v>0.3</v>
      </c>
      <c r="F913" s="505" t="n">
        <v>2.19</v>
      </c>
      <c r="G913" t="inlineStr">
        <is>
          <t>1342萬</t>
        </is>
      </c>
      <c r="H913" t="n">
        <v>969</v>
      </c>
      <c r="I913" t="n">
        <v>682</v>
      </c>
      <c r="J913" t="n">
        <v>111.04</v>
      </c>
      <c r="K913" t="n">
        <v>14.1</v>
      </c>
      <c r="L913" t="n">
        <v>13.6</v>
      </c>
      <c r="M913" s="175" t="n">
        <v>0.09</v>
      </c>
      <c r="N913" t="inlineStr">
        <is>
          <t>轉投資子公司業務包含壽險、零售、餐飲、資訊服務、製藥等</t>
        </is>
      </c>
    </row>
    <row r="914">
      <c r="A914" t="n">
        <v>2906</v>
      </c>
      <c r="B914" t="inlineStr">
        <is>
          <t>高林</t>
        </is>
      </c>
      <c r="C914" t="n">
        <v>12.5</v>
      </c>
      <c r="D914" t="n">
        <v>12.5</v>
      </c>
      <c r="E914" s="504" t="n">
        <v>-0.05</v>
      </c>
      <c r="F914" s="505" t="n">
        <v>-0.4</v>
      </c>
      <c r="G914" t="inlineStr">
        <is>
          <t>387萬</t>
        </is>
      </c>
      <c r="H914" t="n">
        <v>309</v>
      </c>
      <c r="I914" t="n">
        <v>280</v>
      </c>
      <c r="J914" t="n">
        <v>20.91</v>
      </c>
      <c r="K914" t="n">
        <v>12.6</v>
      </c>
      <c r="L914" t="n">
        <v>12.45</v>
      </c>
      <c r="M914" s="175" t="n">
        <v>0.15</v>
      </c>
      <c r="N914" t="inlineStr">
        <is>
          <t>為國內知名貿易商，並代理G2000等多項品牌服飾</t>
        </is>
      </c>
    </row>
    <row r="915">
      <c r="A915" t="n">
        <v>2908</v>
      </c>
      <c r="B915" t="inlineStr">
        <is>
          <t>特力</t>
        </is>
      </c>
      <c r="C915" t="n">
        <v>21.5</v>
      </c>
      <c r="D915" t="n">
        <v>21.75</v>
      </c>
      <c r="E915" s="504" t="n">
        <v>0.2</v>
      </c>
      <c r="F915" s="505" t="n">
        <v>0.93</v>
      </c>
      <c r="G915" t="inlineStr">
        <is>
          <t>1072萬</t>
        </is>
      </c>
      <c r="H915" t="n">
        <v>495</v>
      </c>
      <c r="I915" t="n">
        <v>444</v>
      </c>
      <c r="J915" t="n">
        <v>50.99</v>
      </c>
      <c r="K915" t="n">
        <v>21.75</v>
      </c>
      <c r="L915" t="n">
        <v>21.45</v>
      </c>
      <c r="M915" s="175" t="n">
        <v>0.1</v>
      </c>
      <c r="N915" t="inlineStr">
        <is>
          <t>海內外家居用品貿易商，擁有特力屋、HOLA零售品牌</t>
        </is>
      </c>
    </row>
    <row r="916">
      <c r="A916" t="n">
        <v>2910</v>
      </c>
      <c r="B916" t="inlineStr">
        <is>
          <t>統領</t>
        </is>
      </c>
      <c r="C916" t="n">
        <v>22.35</v>
      </c>
      <c r="D916" t="n">
        <v>22</v>
      </c>
      <c r="E916" s="504" t="n">
        <v>0</v>
      </c>
      <c r="F916" s="505" t="n">
        <v>0</v>
      </c>
      <c r="G916" t="inlineStr">
        <is>
          <t>22.0萬</t>
        </is>
      </c>
      <c r="H916" t="n">
        <v>10</v>
      </c>
      <c r="I916" t="n">
        <v>13</v>
      </c>
      <c r="J916" t="n">
        <v>17.54</v>
      </c>
      <c r="K916" t="n">
        <v>22.35</v>
      </c>
      <c r="L916" t="n">
        <v>21.85</v>
      </c>
      <c r="M916" s="175" t="n">
        <v>0.01</v>
      </c>
      <c r="N916" t="inlineStr">
        <is>
          <t>由百貨公司跨足至營建之業者</t>
        </is>
      </c>
    </row>
    <row r="917">
      <c r="A917" t="n">
        <v>2911</v>
      </c>
      <c r="B917" t="inlineStr">
        <is>
          <t>麗嬰房</t>
        </is>
      </c>
      <c r="C917" t="n">
        <v>8.15</v>
      </c>
      <c r="D917" t="n">
        <v>8</v>
      </c>
      <c r="E917" s="504" t="n">
        <v>0.32</v>
      </c>
      <c r="F917" s="505" t="n">
        <v>4.17</v>
      </c>
      <c r="G917" t="inlineStr">
        <is>
          <t>253萬</t>
        </is>
      </c>
      <c r="H917" t="n">
        <v>319</v>
      </c>
      <c r="I917" t="n">
        <v>1453</v>
      </c>
      <c r="J917" t="n">
        <v>10.51</v>
      </c>
      <c r="K917" t="n">
        <v>8.23</v>
      </c>
      <c r="L917" t="n">
        <v>7.74</v>
      </c>
      <c r="M917" s="175" t="n">
        <v>0.3</v>
      </c>
      <c r="N917" t="inlineStr">
        <is>
          <t>台灣嬰幼童服飾第一大品牌</t>
        </is>
      </c>
    </row>
    <row r="918">
      <c r="A918" t="n">
        <v>2912</v>
      </c>
      <c r="B918" t="inlineStr">
        <is>
          <t>統一超</t>
        </is>
      </c>
      <c r="C918" t="n">
        <v>225.5</v>
      </c>
      <c r="D918" t="n">
        <v>233</v>
      </c>
      <c r="E918" s="504" t="n">
        <v>5.5</v>
      </c>
      <c r="F918" s="505" t="n">
        <v>2.42</v>
      </c>
      <c r="G918" t="inlineStr">
        <is>
          <t>31.0億</t>
        </is>
      </c>
      <c r="H918" t="n">
        <v>13500</v>
      </c>
      <c r="I918" t="n">
        <v>15188</v>
      </c>
      <c r="J918" t="n">
        <v>103.96</v>
      </c>
      <c r="K918" t="n">
        <v>233.5</v>
      </c>
      <c r="L918" t="n">
        <v>220</v>
      </c>
      <c r="M918" s="175" t="n">
        <v>1.3</v>
      </c>
      <c r="N918" t="inlineStr">
        <is>
          <t>經營7-11為台灣超商龍頭，隸屬統一集團</t>
        </is>
      </c>
    </row>
    <row r="919">
      <c r="A919" t="n">
        <v>2913</v>
      </c>
      <c r="B919" t="inlineStr">
        <is>
          <t>農林</t>
        </is>
      </c>
      <c r="C919" t="n">
        <v>11.2</v>
      </c>
      <c r="D919" t="n">
        <v>11.3</v>
      </c>
      <c r="E919" s="504" t="n">
        <v>0.2</v>
      </c>
      <c r="F919" s="505" t="n">
        <v>1.8</v>
      </c>
      <c r="G919" t="inlineStr">
        <is>
          <t>2528萬</t>
        </is>
      </c>
      <c r="H919" t="n">
        <v>2264</v>
      </c>
      <c r="I919" t="n">
        <v>2404</v>
      </c>
      <c r="J919" t="n">
        <v>79</v>
      </c>
      <c r="K919" t="n">
        <v>11.3</v>
      </c>
      <c r="L919" t="n">
        <v>11</v>
      </c>
      <c r="M919" s="175" t="n">
        <v>0.32</v>
      </c>
      <c r="N919" t="inlineStr">
        <is>
          <t>台灣茶葉產製銷一條龍企業</t>
        </is>
      </c>
    </row>
    <row r="920">
      <c r="A920" t="n">
        <v>2915</v>
      </c>
      <c r="B920" t="inlineStr">
        <is>
          <t>潤泰全</t>
        </is>
      </c>
      <c r="C920" t="n">
        <v>45.15</v>
      </c>
      <c r="D920" t="n">
        <v>45.9</v>
      </c>
      <c r="E920" s="504" t="n">
        <v>0.65</v>
      </c>
      <c r="F920" s="505" t="n">
        <v>1.44</v>
      </c>
      <c r="G920" t="inlineStr">
        <is>
          <t>1.23億</t>
        </is>
      </c>
      <c r="H920" t="n">
        <v>2711</v>
      </c>
      <c r="I920" t="n">
        <v>3514</v>
      </c>
      <c r="J920" t="n">
        <v>110.43</v>
      </c>
      <c r="K920" t="n">
        <v>46.15</v>
      </c>
      <c r="L920" t="n">
        <v>44.95</v>
      </c>
      <c r="M920" s="175" t="n">
        <v>0.25</v>
      </c>
      <c r="N920" t="inlineStr">
        <is>
          <t>潤泰集團旗下，經營紡織貿易、零售事業之控股公司</t>
        </is>
      </c>
    </row>
    <row r="921">
      <c r="A921" t="n">
        <v>2916</v>
      </c>
      <c r="B921" t="inlineStr">
        <is>
          <t>滿心</t>
        </is>
      </c>
      <c r="C921" t="n">
        <v>43.45</v>
      </c>
      <c r="D921" t="n">
        <v>43.35</v>
      </c>
      <c r="E921" s="504" t="n">
        <v>-0.1</v>
      </c>
      <c r="F921" s="505" t="n">
        <v>-0.23</v>
      </c>
      <c r="G921" t="inlineStr">
        <is>
          <t>441萬</t>
        </is>
      </c>
      <c r="H921" t="n">
        <v>103</v>
      </c>
      <c r="I921" t="n">
        <v>318</v>
      </c>
      <c r="J921" t="n">
        <v>6.46</v>
      </c>
      <c r="K921" t="n">
        <v>43.45</v>
      </c>
      <c r="L921" t="n">
        <v>43.2</v>
      </c>
      <c r="M921" s="175" t="n">
        <v>0.16</v>
      </c>
      <c r="N921" t="inlineStr">
        <is>
          <t>台灣前二大代理知名品牌服飾廠商</t>
        </is>
      </c>
    </row>
    <row r="922">
      <c r="A922" t="n">
        <v>2923</v>
      </c>
      <c r="B922" t="inlineStr">
        <is>
          <t>鼎固-KY</t>
        </is>
      </c>
      <c r="C922" t="n">
        <v>25.4</v>
      </c>
      <c r="D922" t="n">
        <v>26.2</v>
      </c>
      <c r="E922" s="504" t="n">
        <v>0.5</v>
      </c>
      <c r="F922" s="505" t="n">
        <v>1.95</v>
      </c>
      <c r="G922" t="inlineStr">
        <is>
          <t>352萬</t>
        </is>
      </c>
      <c r="H922" t="n">
        <v>136</v>
      </c>
      <c r="I922" t="n">
        <v>121</v>
      </c>
      <c r="J922" t="n">
        <v>174.03</v>
      </c>
      <c r="K922" t="n">
        <v>26.6</v>
      </c>
      <c r="L922" t="n">
        <v>25</v>
      </c>
      <c r="M922" s="175" t="n">
        <v>0.01</v>
      </c>
      <c r="N922" t="inlineStr">
        <is>
          <t>日月光轉投資的房地產開發商</t>
        </is>
      </c>
    </row>
    <row r="923">
      <c r="A923" t="n">
        <v>2924</v>
      </c>
      <c r="B923" t="inlineStr">
        <is>
          <t>宏太-KY</t>
        </is>
      </c>
      <c r="C923" t="n">
        <v>15.35</v>
      </c>
      <c r="D923" t="n">
        <v>16.3</v>
      </c>
      <c r="E923" s="504" t="n">
        <v>0.5</v>
      </c>
      <c r="F923" s="505" t="n">
        <v>3.16</v>
      </c>
      <c r="G923" t="inlineStr">
        <is>
          <t>7.79萬</t>
        </is>
      </c>
      <c r="H923" t="n">
        <v>5</v>
      </c>
      <c r="I923" t="n">
        <v>5</v>
      </c>
      <c r="J923" t="n">
        <v>5.2</v>
      </c>
      <c r="K923" t="n">
        <v>16.3</v>
      </c>
      <c r="L923" t="n">
        <v>15.25</v>
      </c>
      <c r="M923" s="175" t="n">
        <v>0.01</v>
      </c>
      <c r="N923" t="inlineStr">
        <is>
          <t>以「黃色小鴨」品牌在兩岸經營嬰童產品</t>
        </is>
      </c>
    </row>
    <row r="924">
      <c r="A924" t="n">
        <v>2926</v>
      </c>
      <c r="B924" t="inlineStr">
        <is>
          <t>誠品生活</t>
        </is>
      </c>
      <c r="C924" t="n">
        <v>34.65</v>
      </c>
      <c r="D924" t="n">
        <v>34.5</v>
      </c>
      <c r="E924" s="504" t="n">
        <v>-0.4</v>
      </c>
      <c r="F924" s="505" t="n">
        <v>-1.15</v>
      </c>
      <c r="G924" t="inlineStr">
        <is>
          <t>96.0萬</t>
        </is>
      </c>
      <c r="H924" t="n">
        <v>28</v>
      </c>
      <c r="I924" t="n">
        <v>36</v>
      </c>
      <c r="J924" t="n">
        <v>4.74</v>
      </c>
      <c r="K924" t="n">
        <v>34.65</v>
      </c>
      <c r="L924" t="n">
        <v>34</v>
      </c>
      <c r="M924" s="175" t="n">
        <v>0.06</v>
      </c>
      <c r="N924" t="inlineStr">
        <is>
          <t>誠品集團旗下百貨通路及餐旅業者</t>
        </is>
      </c>
    </row>
    <row r="925">
      <c r="A925" t="n">
        <v>2929</v>
      </c>
      <c r="B925" t="inlineStr">
        <is>
          <t>淘帝-KY</t>
        </is>
      </c>
      <c r="C925" t="n">
        <v>5.8</v>
      </c>
      <c r="D925" t="n">
        <v>6.05</v>
      </c>
      <c r="E925" s="504" t="n">
        <v>0.26</v>
      </c>
      <c r="F925" s="505" t="n">
        <v>4.49</v>
      </c>
      <c r="G925" t="inlineStr">
        <is>
          <t>413萬</t>
        </is>
      </c>
      <c r="H925" t="n">
        <v>686</v>
      </c>
      <c r="I925" t="n">
        <v>1268</v>
      </c>
      <c r="J925" t="n">
        <v>10.95</v>
      </c>
      <c r="K925" t="n">
        <v>6.2</v>
      </c>
      <c r="L925" t="n">
        <v>5.8</v>
      </c>
      <c r="M925" s="175" t="n">
        <v>0.63</v>
      </c>
      <c r="N925" t="inlineStr">
        <is>
          <t>為中國大陸童裝前十大品牌廠</t>
        </is>
      </c>
    </row>
    <row r="926">
      <c r="A926" t="n">
        <v>2937</v>
      </c>
      <c r="B926" t="inlineStr">
        <is>
          <t>集雅社</t>
        </is>
      </c>
      <c r="C926" t="n">
        <v>48.6</v>
      </c>
      <c r="D926" t="n">
        <v>48.5</v>
      </c>
      <c r="E926" s="504" t="n">
        <v>-0.1</v>
      </c>
      <c r="F926" s="505" t="n">
        <v>-0.21</v>
      </c>
      <c r="G926" t="inlineStr">
        <is>
          <t>38.8萬</t>
        </is>
      </c>
      <c r="H926" t="n">
        <v>8</v>
      </c>
      <c r="I926" t="n">
        <v>8</v>
      </c>
      <c r="J926" t="n">
        <v>4.35</v>
      </c>
      <c r="K926" t="n">
        <v>48.6</v>
      </c>
      <c r="L926" t="n">
        <v>47.95</v>
      </c>
      <c r="M926" s="175" t="n">
        <v>0.02</v>
      </c>
      <c r="N926" t="inlineStr">
        <is>
          <t>百貨家電龍頭通路商</t>
        </is>
      </c>
    </row>
    <row r="927">
      <c r="A927" t="n">
        <v>2939</v>
      </c>
      <c r="B927" t="inlineStr">
        <is>
          <t>永邑-KY</t>
        </is>
      </c>
      <c r="C927" t="n">
        <v>22.2</v>
      </c>
      <c r="D927" t="n">
        <v>21.05</v>
      </c>
      <c r="E927" s="504" t="n">
        <v>0.05</v>
      </c>
      <c r="F927" s="505" t="n">
        <v>0.24</v>
      </c>
      <c r="G927" t="inlineStr">
        <is>
          <t>51.1萬</t>
        </is>
      </c>
      <c r="H927" t="n">
        <v>24</v>
      </c>
      <c r="I927" t="n">
        <v>15</v>
      </c>
      <c r="J927" t="n">
        <v>4.55</v>
      </c>
      <c r="K927" t="n">
        <v>22.2</v>
      </c>
      <c r="L927" t="n">
        <v>21.05</v>
      </c>
      <c r="M927" s="175" t="n">
        <v>0.05</v>
      </c>
      <c r="N927" t="inlineStr">
        <is>
          <t>生活應用產品開發供應商</t>
        </is>
      </c>
    </row>
    <row r="928">
      <c r="A928" t="n">
        <v>2941</v>
      </c>
      <c r="B928" t="inlineStr">
        <is>
          <t>米斯特</t>
        </is>
      </c>
      <c r="C928" t="n">
        <v>30.35</v>
      </c>
      <c r="D928" t="n">
        <v>30.75</v>
      </c>
      <c r="E928" s="504" t="n">
        <v>-0.25</v>
      </c>
      <c r="F928" s="505" t="n">
        <v>-0.8100000000000001</v>
      </c>
      <c r="G928" t="inlineStr">
        <is>
          <t>42.3萬</t>
        </is>
      </c>
      <c r="H928" t="n">
        <v>15</v>
      </c>
      <c r="I928" t="n">
        <v>6</v>
      </c>
      <c r="J928" t="n">
        <v>1.54</v>
      </c>
      <c r="K928" t="n">
        <v>30.75</v>
      </c>
      <c r="L928" t="n">
        <v>30</v>
      </c>
      <c r="M928" s="175" t="n">
        <v>0.1</v>
      </c>
      <c r="N928" t="inlineStr">
        <is>
          <t>台灣服飾品牌OMO零售商</t>
        </is>
      </c>
    </row>
    <row r="929">
      <c r="A929" t="n">
        <v>2945</v>
      </c>
      <c r="B929" t="inlineStr">
        <is>
          <t>三商家購</t>
        </is>
      </c>
      <c r="C929" t="n">
        <v>41.7</v>
      </c>
      <c r="D929" t="n">
        <v>42.3</v>
      </c>
      <c r="E929" s="504" t="n">
        <v>0.6</v>
      </c>
      <c r="F929" s="505" t="n">
        <v>1.44</v>
      </c>
      <c r="G929" t="inlineStr">
        <is>
          <t>244萬</t>
        </is>
      </c>
      <c r="H929" t="n">
        <v>58</v>
      </c>
      <c r="I929" t="n">
        <v>15</v>
      </c>
      <c r="J929" t="n">
        <v>6.75</v>
      </c>
      <c r="K929" t="n">
        <v>42.3</v>
      </c>
      <c r="L929" t="n">
        <v>41.2</v>
      </c>
      <c r="M929" s="175" t="n">
        <v>0.09</v>
      </c>
      <c r="N929" t="inlineStr">
        <is>
          <t>三商旗下社區型連鎖超市業者</t>
        </is>
      </c>
    </row>
    <row r="930">
      <c r="A930" t="n">
        <v>2947</v>
      </c>
      <c r="B930" t="inlineStr">
        <is>
          <t>振宇五金</t>
        </is>
      </c>
      <c r="C930" t="n">
        <v>77.5</v>
      </c>
      <c r="D930" t="n">
        <v>77.3</v>
      </c>
      <c r="E930" s="504" t="n">
        <v>-0.2</v>
      </c>
      <c r="F930" s="505" t="n">
        <v>-0.26</v>
      </c>
      <c r="G930" t="inlineStr">
        <is>
          <t>101萬</t>
        </is>
      </c>
      <c r="H930" t="n">
        <v>13</v>
      </c>
      <c r="I930" t="n">
        <v>19</v>
      </c>
      <c r="J930" t="n">
        <v>2.15</v>
      </c>
      <c r="K930" t="n">
        <v>77.5</v>
      </c>
      <c r="L930" t="n">
        <v>77.3</v>
      </c>
      <c r="M930" s="175" t="n">
        <v>0.06</v>
      </c>
      <c r="N930" t="inlineStr">
        <is>
          <t>大型五金修繕專業賣場</t>
        </is>
      </c>
    </row>
    <row r="931">
      <c r="A931" t="n">
        <v>2948</v>
      </c>
      <c r="B931" t="inlineStr">
        <is>
          <t>寶陞</t>
        </is>
      </c>
      <c r="C931" t="n">
        <v>36.35</v>
      </c>
      <c r="D931" t="n">
        <v>37.9</v>
      </c>
      <c r="E931" s="504" t="n">
        <v>-0.05</v>
      </c>
      <c r="F931" s="505" t="n">
        <v>-0.13</v>
      </c>
      <c r="G931" t="inlineStr">
        <is>
          <t>7.42萬</t>
        </is>
      </c>
      <c r="H931" t="n">
        <v>2</v>
      </c>
      <c r="I931" t="n">
        <v>4</v>
      </c>
      <c r="J931" t="n">
        <v>3.1</v>
      </c>
      <c r="K931" t="n">
        <v>37.9</v>
      </c>
      <c r="L931" t="n">
        <v>36.35</v>
      </c>
      <c r="M931" s="175" t="n">
        <v>0.01</v>
      </c>
      <c r="N931" t="inlineStr">
        <is>
          <t>代理及自有地板品牌及室內建材銷售商</t>
        </is>
      </c>
    </row>
    <row r="932">
      <c r="A932" t="n">
        <v>2949</v>
      </c>
      <c r="B932" t="inlineStr">
        <is>
          <t>欣新網</t>
        </is>
      </c>
      <c r="C932" t="n">
        <v>63.5</v>
      </c>
      <c r="D932" t="n">
        <v>63.5</v>
      </c>
      <c r="E932" s="504" t="n">
        <v>0</v>
      </c>
      <c r="F932" s="505" t="n">
        <v>0</v>
      </c>
      <c r="G932" t="inlineStr">
        <is>
          <t>82.2萬</t>
        </is>
      </c>
      <c r="H932" t="n">
        <v>13</v>
      </c>
      <c r="I932" t="n">
        <v>9</v>
      </c>
      <c r="J932" t="n">
        <v>3.06</v>
      </c>
      <c r="K932" t="n">
        <v>63.5</v>
      </c>
      <c r="L932" t="n">
        <v>62.9</v>
      </c>
      <c r="M932" s="175" t="n">
        <v>0.04</v>
      </c>
      <c r="N932" t="inlineStr">
        <is>
          <t>台灣電商營運服務商</t>
        </is>
      </c>
    </row>
    <row r="933">
      <c r="A933" t="n">
        <v>3002</v>
      </c>
      <c r="B933" t="inlineStr">
        <is>
          <t>歐格</t>
        </is>
      </c>
      <c r="C933" t="n">
        <v>20.25</v>
      </c>
      <c r="D933" t="n">
        <v>20.45</v>
      </c>
      <c r="E933" s="504" t="n">
        <v>1</v>
      </c>
      <c r="F933" s="505" t="n">
        <v>5.14</v>
      </c>
      <c r="G933" t="inlineStr">
        <is>
          <t>7252萬</t>
        </is>
      </c>
      <c r="H933" t="n">
        <v>3656</v>
      </c>
      <c r="I933" t="n">
        <v>497</v>
      </c>
      <c r="J933" t="n">
        <v>10.2</v>
      </c>
      <c r="K933" t="n">
        <v>20.95</v>
      </c>
      <c r="L933" t="n">
        <v>18.45</v>
      </c>
      <c r="M933" s="175" t="n">
        <v>3.58</v>
      </c>
      <c r="N933" t="inlineStr">
        <is>
          <t>台灣電源管理與智慧家庭解決方案領導廠商</t>
        </is>
      </c>
    </row>
    <row r="934">
      <c r="A934" t="n">
        <v>3003</v>
      </c>
      <c r="B934" t="inlineStr">
        <is>
          <t>健和興</t>
        </is>
      </c>
      <c r="C934" t="n">
        <v>62.1</v>
      </c>
      <c r="D934" t="n">
        <v>61.8</v>
      </c>
      <c r="E934" s="504" t="n">
        <v>-0.3</v>
      </c>
      <c r="F934" s="505" t="n">
        <v>-0.48</v>
      </c>
      <c r="G934" t="inlineStr">
        <is>
          <t>6625萬</t>
        </is>
      </c>
      <c r="H934" t="n">
        <v>1085</v>
      </c>
      <c r="I934" t="n">
        <v>1873</v>
      </c>
      <c r="J934" t="n">
        <v>15.57</v>
      </c>
      <c r="K934" t="n">
        <v>62.1</v>
      </c>
      <c r="L934" t="n">
        <v>60.3</v>
      </c>
      <c r="M934" s="175" t="n">
        <v>0.7</v>
      </c>
      <c r="N934" t="inlineStr">
        <is>
          <t>各種應用之連接器及配線器材生產</t>
        </is>
      </c>
    </row>
    <row r="935">
      <c r="A935" t="n">
        <v>3004</v>
      </c>
      <c r="B935" t="inlineStr">
        <is>
          <t>豐達科</t>
        </is>
      </c>
      <c r="C935" t="n">
        <v>123.5</v>
      </c>
      <c r="D935" t="n">
        <v>119.5</v>
      </c>
      <c r="E935" s="504" t="n">
        <v>-4</v>
      </c>
      <c r="F935" s="505" t="n">
        <v>-3.24</v>
      </c>
      <c r="G935" t="inlineStr">
        <is>
          <t>7897萬</t>
        </is>
      </c>
      <c r="H935" t="n">
        <v>660</v>
      </c>
      <c r="I935" t="n">
        <v>1109</v>
      </c>
      <c r="J935" t="n">
        <v>6.44</v>
      </c>
      <c r="K935" t="n">
        <v>123.5</v>
      </c>
      <c r="L935" t="n">
        <v>118.5</v>
      </c>
      <c r="M935" s="175" t="n">
        <v>1.03</v>
      </c>
      <c r="N935" t="inlineStr">
        <is>
          <t>亞洲唯一合格航太扣件供應商</t>
        </is>
      </c>
    </row>
    <row r="936">
      <c r="A936" t="n">
        <v>3005</v>
      </c>
      <c r="B936" t="inlineStr">
        <is>
          <t>神基</t>
        </is>
      </c>
      <c r="C936" t="n">
        <v>108</v>
      </c>
      <c r="D936" t="n">
        <v>108.5</v>
      </c>
      <c r="E936" s="504" t="n">
        <v>1.5</v>
      </c>
      <c r="F936" s="505" t="n">
        <v>1.4</v>
      </c>
      <c r="G936" t="inlineStr">
        <is>
          <t>11.3億</t>
        </is>
      </c>
      <c r="H936" t="n">
        <v>10456</v>
      </c>
      <c r="I936" t="n">
        <v>5261</v>
      </c>
      <c r="J936" t="n">
        <v>62.43</v>
      </c>
      <c r="K936" t="n">
        <v>109.5</v>
      </c>
      <c r="L936" t="n">
        <v>106.5</v>
      </c>
      <c r="M936" s="175" t="n">
        <v>1.68</v>
      </c>
      <c r="N936" t="inlineStr">
        <is>
          <t>全球前三大軍工規電腦廠</t>
        </is>
      </c>
    </row>
    <row r="937">
      <c r="A937" t="n">
        <v>3006</v>
      </c>
      <c r="B937" t="inlineStr">
        <is>
          <t>晶豪科</t>
        </is>
      </c>
      <c r="C937" t="n">
        <v>254</v>
      </c>
      <c r="D937" t="n">
        <v>267.5</v>
      </c>
      <c r="E937" s="504" t="n">
        <v>17.5</v>
      </c>
      <c r="F937" s="505" t="n">
        <v>7</v>
      </c>
      <c r="G937" t="inlineStr">
        <is>
          <t>101億</t>
        </is>
      </c>
      <c r="H937" t="n">
        <v>38232</v>
      </c>
      <c r="I937" t="n">
        <v>25898</v>
      </c>
      <c r="J937" t="n">
        <v>29.81</v>
      </c>
      <c r="K937" t="n">
        <v>272</v>
      </c>
      <c r="L937" t="n">
        <v>249.5</v>
      </c>
      <c r="M937" s="175" t="n">
        <v>12.84</v>
      </c>
      <c r="N937" t="inlineStr">
        <is>
          <t>台灣利基型記憶體IC設計廠商</t>
        </is>
      </c>
    </row>
    <row r="938">
      <c r="A938" t="n">
        <v>3008</v>
      </c>
      <c r="B938" t="inlineStr">
        <is>
          <t>大立光</t>
        </is>
      </c>
      <c r="C938" t="n">
        <v>3780</v>
      </c>
      <c r="D938" t="n">
        <v>3850</v>
      </c>
      <c r="E938" s="504" t="n">
        <v>15</v>
      </c>
      <c r="F938" s="505" t="n">
        <v>0.39</v>
      </c>
      <c r="G938" t="inlineStr">
        <is>
          <t>29.6億</t>
        </is>
      </c>
      <c r="H938" t="n">
        <v>785</v>
      </c>
      <c r="I938" t="n">
        <v>1331</v>
      </c>
      <c r="J938" t="n">
        <v>13.08</v>
      </c>
      <c r="K938" t="n">
        <v>3850</v>
      </c>
      <c r="L938" t="n">
        <v>3705</v>
      </c>
      <c r="M938" s="175" t="n">
        <v>0.6</v>
      </c>
      <c r="N938" t="inlineStr">
        <is>
          <t>全球智慧型手機鏡頭龍頭廠</t>
        </is>
      </c>
    </row>
    <row r="939">
      <c r="A939" t="n">
        <v>3010</v>
      </c>
      <c r="B939" t="inlineStr">
        <is>
          <t>華立</t>
        </is>
      </c>
      <c r="C939" t="n">
        <v>138.5</v>
      </c>
      <c r="D939" t="n">
        <v>141</v>
      </c>
      <c r="E939" s="504" t="n">
        <v>2.5</v>
      </c>
      <c r="F939" s="505" t="n">
        <v>1.81</v>
      </c>
      <c r="G939" t="inlineStr">
        <is>
          <t>1.97億</t>
        </is>
      </c>
      <c r="H939" t="n">
        <v>1422</v>
      </c>
      <c r="I939" t="n">
        <v>1416</v>
      </c>
      <c r="J939" t="n">
        <v>25.94</v>
      </c>
      <c r="K939" t="n">
        <v>141</v>
      </c>
      <c r="L939" t="n">
        <v>136.5</v>
      </c>
      <c r="M939" s="175" t="n">
        <v>0.55</v>
      </c>
      <c r="N939" t="inlineStr">
        <is>
          <t>大中華半導體前段製程材料與化學品最大供應商</t>
        </is>
      </c>
    </row>
    <row r="940">
      <c r="A940" t="n">
        <v>3011</v>
      </c>
      <c r="B940" t="inlineStr">
        <is>
          <t>今皓</t>
        </is>
      </c>
      <c r="C940" t="n">
        <v>14.95</v>
      </c>
      <c r="D940" t="n">
        <v>14.9</v>
      </c>
      <c r="E940" s="504" t="n">
        <v>0.4</v>
      </c>
      <c r="F940" s="505" t="n">
        <v>2.76</v>
      </c>
      <c r="G940" t="inlineStr">
        <is>
          <t>1.00億</t>
        </is>
      </c>
      <c r="H940" t="n">
        <v>6773</v>
      </c>
      <c r="I940" t="n">
        <v>2467</v>
      </c>
      <c r="J940" t="n">
        <v>12.96</v>
      </c>
      <c r="K940" t="n">
        <v>15.15</v>
      </c>
      <c r="L940" t="n">
        <v>14.1</v>
      </c>
      <c r="M940" s="175" t="n">
        <v>5.78</v>
      </c>
      <c r="N940" t="inlineStr">
        <is>
          <t>3C產品之電源線供應大廠</t>
        </is>
      </c>
    </row>
    <row r="941">
      <c r="A941" t="n">
        <v>3013</v>
      </c>
      <c r="B941" t="inlineStr">
        <is>
          <t>晟銘電</t>
        </is>
      </c>
      <c r="C941" t="n">
        <v>129.5</v>
      </c>
      <c r="D941" t="n">
        <v>133.5</v>
      </c>
      <c r="E941" s="504" t="n">
        <v>10</v>
      </c>
      <c r="F941" s="505" t="n">
        <v>8.1</v>
      </c>
      <c r="G941" t="inlineStr">
        <is>
          <t>36.5億</t>
        </is>
      </c>
      <c r="H941" t="n">
        <v>27387</v>
      </c>
      <c r="I941" t="n">
        <v>8141</v>
      </c>
      <c r="J941" t="n">
        <v>20.51</v>
      </c>
      <c r="K941" t="n">
        <v>135.5</v>
      </c>
      <c r="L941" t="n">
        <v>129.5</v>
      </c>
      <c r="M941" s="175" t="n">
        <v>13.35</v>
      </c>
      <c r="N941" t="inlineStr">
        <is>
          <t>台灣伺服器機殼OEM/ODM製造商</t>
        </is>
      </c>
    </row>
    <row r="942">
      <c r="A942" t="n">
        <v>3014</v>
      </c>
      <c r="B942" t="inlineStr">
        <is>
          <t>聯陽</t>
        </is>
      </c>
      <c r="C942" t="n">
        <v>152</v>
      </c>
      <c r="D942" t="n">
        <v>151</v>
      </c>
      <c r="E942" s="504" t="n">
        <v>-1.5</v>
      </c>
      <c r="F942" s="505" t="n">
        <v>-0.98</v>
      </c>
      <c r="G942" t="inlineStr">
        <is>
          <t>3.81億</t>
        </is>
      </c>
      <c r="H942" t="n">
        <v>2541</v>
      </c>
      <c r="I942" t="n">
        <v>3053</v>
      </c>
      <c r="J942" t="n">
        <v>16.6</v>
      </c>
      <c r="K942" t="n">
        <v>153.5</v>
      </c>
      <c r="L942" t="n">
        <v>148.5</v>
      </c>
      <c r="M942" s="175" t="n">
        <v>1.53</v>
      </c>
      <c r="N942" t="inlineStr">
        <is>
          <t>全球輸出入(I/O)控制IC領導廠商</t>
        </is>
      </c>
    </row>
    <row r="943">
      <c r="A943" t="n">
        <v>3015</v>
      </c>
      <c r="B943" t="inlineStr">
        <is>
          <t>全漢</t>
        </is>
      </c>
      <c r="C943" t="n">
        <v>55.4</v>
      </c>
      <c r="D943" t="n">
        <v>54.5</v>
      </c>
      <c r="E943" s="504" t="n">
        <v>-0.7</v>
      </c>
      <c r="F943" s="505" t="n">
        <v>-1.27</v>
      </c>
      <c r="G943" t="inlineStr">
        <is>
          <t>1.80億</t>
        </is>
      </c>
      <c r="H943" t="n">
        <v>3314</v>
      </c>
      <c r="I943" t="n">
        <v>1108</v>
      </c>
      <c r="J943" t="n">
        <v>18.73</v>
      </c>
      <c r="K943" t="n">
        <v>55.5</v>
      </c>
      <c r="L943" t="n">
        <v>53.1</v>
      </c>
      <c r="M943" s="175" t="n">
        <v>1.77</v>
      </c>
      <c r="N943" t="inlineStr">
        <is>
          <t>全球前十大交換式電源供應器廠商</t>
        </is>
      </c>
    </row>
    <row r="944">
      <c r="A944" t="n">
        <v>3016</v>
      </c>
      <c r="B944" t="inlineStr">
        <is>
          <t>嘉晶</t>
        </is>
      </c>
      <c r="C944" t="n">
        <v>124.5</v>
      </c>
      <c r="D944" t="n">
        <v>118.5</v>
      </c>
      <c r="E944" s="504" t="n">
        <v>-7.5</v>
      </c>
      <c r="F944" s="505" t="n">
        <v>-5.95</v>
      </c>
      <c r="G944" t="inlineStr">
        <is>
          <t>9.45億</t>
        </is>
      </c>
      <c r="H944" t="n">
        <v>7770</v>
      </c>
      <c r="I944" t="n">
        <v>18605</v>
      </c>
      <c r="J944" t="n">
        <v>28.86</v>
      </c>
      <c r="K944" t="n">
        <v>126.5</v>
      </c>
      <c r="L944" t="n">
        <v>118.5</v>
      </c>
      <c r="M944" s="175" t="n">
        <v>2.69</v>
      </c>
      <c r="N944" t="inlineStr">
        <is>
          <t>台灣專業磊晶矽晶圓業者</t>
        </is>
      </c>
    </row>
    <row r="945">
      <c r="A945" t="n">
        <v>3017</v>
      </c>
      <c r="B945" t="inlineStr">
        <is>
          <t>奇鋐</t>
        </is>
      </c>
      <c r="C945" t="n">
        <v>2800</v>
      </c>
      <c r="D945" t="n">
        <v>2700</v>
      </c>
      <c r="E945" s="504" t="n">
        <v>-85</v>
      </c>
      <c r="F945" s="505" t="n">
        <v>-3.05</v>
      </c>
      <c r="G945" t="inlineStr">
        <is>
          <t>105億</t>
        </is>
      </c>
      <c r="H945" t="n">
        <v>3841</v>
      </c>
      <c r="I945" t="n">
        <v>6032</v>
      </c>
      <c r="J945" t="n">
        <v>39.25</v>
      </c>
      <c r="K945" t="n">
        <v>2835</v>
      </c>
      <c r="L945" t="n">
        <v>2650</v>
      </c>
      <c r="M945" s="175" t="n">
        <v>0.98</v>
      </c>
      <c r="N945" t="inlineStr">
        <is>
          <t>全球最大PC散熱模組廠</t>
        </is>
      </c>
    </row>
    <row r="946">
      <c r="A946" t="n">
        <v>3018</v>
      </c>
      <c r="B946" t="inlineStr">
        <is>
          <t>隆銘綠能</t>
        </is>
      </c>
      <c r="C946" t="n">
        <v>9.539999999999999</v>
      </c>
      <c r="D946" t="n">
        <v>9.42</v>
      </c>
      <c r="E946" s="504" t="n">
        <v>-0.12</v>
      </c>
      <c r="F946" s="505" t="n">
        <v>-1.26</v>
      </c>
      <c r="G946" t="inlineStr">
        <is>
          <t>24.8萬</t>
        </is>
      </c>
      <c r="H946" t="n">
        <v>26</v>
      </c>
      <c r="I946" t="n">
        <v>27</v>
      </c>
      <c r="J946" t="n">
        <v>7.54</v>
      </c>
      <c r="K946" t="n">
        <v>9.539999999999999</v>
      </c>
      <c r="L946" t="n">
        <v>9.42</v>
      </c>
      <c r="M946" s="175" t="n">
        <v>0.07000000000000001</v>
      </c>
      <c r="N946" t="inlineStr">
        <is>
          <t>台灣無塵室及工廠、住宅機電系統整合工程之大廠</t>
        </is>
      </c>
    </row>
    <row r="947">
      <c r="A947" t="n">
        <v>3019</v>
      </c>
      <c r="B947" t="inlineStr">
        <is>
          <t>亞光</t>
        </is>
      </c>
      <c r="C947" t="n">
        <v>157.5</v>
      </c>
      <c r="D947" t="n">
        <v>152.5</v>
      </c>
      <c r="E947" s="504" t="n">
        <v>-2.5</v>
      </c>
      <c r="F947" s="505" t="n">
        <v>-1.61</v>
      </c>
      <c r="G947" t="inlineStr">
        <is>
          <t>11.7億</t>
        </is>
      </c>
      <c r="H947" t="n">
        <v>7632</v>
      </c>
      <c r="I947" t="n">
        <v>8688</v>
      </c>
      <c r="J947" t="n">
        <v>27.92</v>
      </c>
      <c r="K947" t="n">
        <v>157.5</v>
      </c>
      <c r="L947" t="n">
        <v>150</v>
      </c>
      <c r="M947" s="175" t="n">
        <v>2.73</v>
      </c>
      <c r="N947" t="inlineStr">
        <is>
          <t>台灣光學鏡頭大廠，專注於玻璃鏡片與非球面模造玻璃</t>
        </is>
      </c>
    </row>
    <row r="948">
      <c r="A948" t="n">
        <v>3021</v>
      </c>
      <c r="B948" t="inlineStr">
        <is>
          <t>鴻名</t>
        </is>
      </c>
      <c r="C948" t="n">
        <v>36.4</v>
      </c>
      <c r="D948" t="n">
        <v>36.4</v>
      </c>
      <c r="E948" s="504" t="n">
        <v>3.3</v>
      </c>
      <c r="F948" s="505" t="n">
        <v>9.970000000000001</v>
      </c>
      <c r="G948" t="inlineStr">
        <is>
          <t>2.69億</t>
        </is>
      </c>
      <c r="H948" t="n">
        <v>7550</v>
      </c>
      <c r="I948" t="n">
        <v>740</v>
      </c>
      <c r="J948" t="n">
        <v>9.49</v>
      </c>
      <c r="K948" t="n">
        <v>36.4</v>
      </c>
      <c r="L948" t="n">
        <v>33.25</v>
      </c>
      <c r="M948" s="175" t="n">
        <v>7.96</v>
      </c>
      <c r="N948" t="inlineStr">
        <is>
          <t>提供3C產品線材、連接器及電子元件廠商</t>
        </is>
      </c>
    </row>
    <row r="949">
      <c r="A949" t="n">
        <v>3022</v>
      </c>
      <c r="B949" t="inlineStr">
        <is>
          <t>威強電</t>
        </is>
      </c>
      <c r="C949" t="n">
        <v>76.8</v>
      </c>
      <c r="D949" t="n">
        <v>77.7</v>
      </c>
      <c r="E949" s="504" t="n">
        <v>1.8</v>
      </c>
      <c r="F949" s="505" t="n">
        <v>2.37</v>
      </c>
      <c r="G949" t="inlineStr">
        <is>
          <t>1.35億</t>
        </is>
      </c>
      <c r="H949" t="n">
        <v>1759</v>
      </c>
      <c r="I949" t="n">
        <v>1275</v>
      </c>
      <c r="J949" t="n">
        <v>17.66</v>
      </c>
      <c r="K949" t="n">
        <v>77.7</v>
      </c>
      <c r="L949" t="n">
        <v>75.59999999999999</v>
      </c>
      <c r="M949" s="175" t="n">
        <v>1</v>
      </c>
      <c r="N949" t="inlineStr">
        <is>
          <t>台灣知名工業電腦廠商</t>
        </is>
      </c>
    </row>
    <row r="950">
      <c r="A950" t="n">
        <v>3023</v>
      </c>
      <c r="B950" t="inlineStr">
        <is>
          <t>信邦</t>
        </is>
      </c>
      <c r="C950" t="n">
        <v>316</v>
      </c>
      <c r="D950" t="n">
        <v>313</v>
      </c>
      <c r="E950" s="504" t="n">
        <v>-5</v>
      </c>
      <c r="F950" s="505" t="n">
        <v>-1.57</v>
      </c>
      <c r="G950" t="inlineStr">
        <is>
          <t>5.08億</t>
        </is>
      </c>
      <c r="H950" t="n">
        <v>1640</v>
      </c>
      <c r="I950" t="n">
        <v>1702</v>
      </c>
      <c r="J950" t="n">
        <v>24.01</v>
      </c>
      <c r="K950" t="n">
        <v>318</v>
      </c>
      <c r="L950" t="n">
        <v>306.5</v>
      </c>
      <c r="M950" s="175" t="n">
        <v>0.68</v>
      </c>
      <c r="N950" t="inlineStr">
        <is>
          <t>台灣知名連接線束製造廠</t>
        </is>
      </c>
    </row>
    <row r="951">
      <c r="A951" t="n">
        <v>3024</v>
      </c>
      <c r="B951" t="inlineStr">
        <is>
          <t>憶聲</t>
        </is>
      </c>
      <c r="C951" t="n">
        <v>14.15</v>
      </c>
      <c r="D951" t="n">
        <v>13.8</v>
      </c>
      <c r="E951" s="504" t="n">
        <v>-0.2</v>
      </c>
      <c r="F951" s="505" t="n">
        <v>-1.43</v>
      </c>
      <c r="G951" t="inlineStr">
        <is>
          <t>5748萬</t>
        </is>
      </c>
      <c r="H951" t="n">
        <v>4232</v>
      </c>
      <c r="I951" t="n">
        <v>3176</v>
      </c>
      <c r="J951" t="n">
        <v>27.72</v>
      </c>
      <c r="K951" t="n">
        <v>14.15</v>
      </c>
      <c r="L951" t="n">
        <v>13.3</v>
      </c>
      <c r="M951" s="175" t="n">
        <v>1.53</v>
      </c>
      <c r="N951" t="inlineStr">
        <is>
          <t>經營歌林品牌家電</t>
        </is>
      </c>
    </row>
    <row r="952">
      <c r="A952" t="n">
        <v>3025</v>
      </c>
      <c r="B952" t="inlineStr">
        <is>
          <t>星通</t>
        </is>
      </c>
      <c r="C952" t="n">
        <v>72.5</v>
      </c>
      <c r="D952" t="n">
        <v>72.09999999999999</v>
      </c>
      <c r="E952" s="504" t="n">
        <v>-0.4</v>
      </c>
      <c r="F952" s="505" t="n">
        <v>-0.55</v>
      </c>
      <c r="G952" t="inlineStr">
        <is>
          <t>7697萬</t>
        </is>
      </c>
      <c r="H952" t="n">
        <v>1076</v>
      </c>
      <c r="I952" t="n">
        <v>2974</v>
      </c>
      <c r="J952" t="n">
        <v>5.67</v>
      </c>
      <c r="K952" t="n">
        <v>73.3</v>
      </c>
      <c r="L952" t="n">
        <v>70</v>
      </c>
      <c r="M952" s="175" t="n">
        <v>1.9</v>
      </c>
      <c r="N952" t="inlineStr">
        <is>
          <t>台灣電信局端設備製造商</t>
        </is>
      </c>
    </row>
    <row r="953">
      <c r="A953" t="n">
        <v>3026</v>
      </c>
      <c r="B953" t="inlineStr">
        <is>
          <t>禾伸堂</t>
        </is>
      </c>
      <c r="C953" t="n">
        <v>640</v>
      </c>
      <c r="D953" t="n">
        <v>650</v>
      </c>
      <c r="E953" s="504" t="n">
        <v>-22</v>
      </c>
      <c r="F953" s="505" t="n">
        <v>-3.27</v>
      </c>
      <c r="G953" t="inlineStr">
        <is>
          <t>19.3億</t>
        </is>
      </c>
      <c r="H953" t="n">
        <v>3127</v>
      </c>
      <c r="I953" t="n">
        <v>2200</v>
      </c>
      <c r="J953" t="n">
        <v>16.59</v>
      </c>
      <c r="K953" t="n">
        <v>650</v>
      </c>
      <c r="L953" t="n">
        <v>605</v>
      </c>
      <c r="M953" s="175" t="n">
        <v>1.88</v>
      </c>
      <c r="N953" t="inlineStr">
        <is>
          <t>主要自製MLCC及代理電子元件</t>
        </is>
      </c>
    </row>
    <row r="954">
      <c r="A954" t="n">
        <v>3027</v>
      </c>
      <c r="B954" t="inlineStr">
        <is>
          <t>盛達</t>
        </is>
      </c>
      <c r="C954" t="n">
        <v>20</v>
      </c>
      <c r="D954" t="n">
        <v>20.05</v>
      </c>
      <c r="E954" s="504" t="n">
        <v>0.3</v>
      </c>
      <c r="F954" s="505" t="n">
        <v>1.52</v>
      </c>
      <c r="G954" t="inlineStr">
        <is>
          <t>1345萬</t>
        </is>
      </c>
      <c r="H954" t="n">
        <v>682</v>
      </c>
      <c r="I954" t="n">
        <v>849</v>
      </c>
      <c r="J954" t="n">
        <v>13</v>
      </c>
      <c r="K954" t="n">
        <v>20.05</v>
      </c>
      <c r="L954" t="n">
        <v>19.55</v>
      </c>
      <c r="M954" s="175" t="n">
        <v>0.59</v>
      </c>
      <c r="N954" t="inlineStr">
        <is>
          <t>再生能源設備銷售與系統供應商</t>
        </is>
      </c>
    </row>
    <row r="955">
      <c r="A955" t="n">
        <v>3028</v>
      </c>
      <c r="B955" t="inlineStr">
        <is>
          <t>增你強</t>
        </is>
      </c>
      <c r="C955" t="n">
        <v>81.8</v>
      </c>
      <c r="D955" t="n">
        <v>84</v>
      </c>
      <c r="E955" s="504" t="n">
        <v>2.9</v>
      </c>
      <c r="F955" s="505" t="n">
        <v>3.58</v>
      </c>
      <c r="G955" t="inlineStr">
        <is>
          <t>3.52億</t>
        </is>
      </c>
      <c r="H955" t="n">
        <v>4272</v>
      </c>
      <c r="I955" t="n">
        <v>3562</v>
      </c>
      <c r="J955" t="n">
        <v>23.72</v>
      </c>
      <c r="K955" t="n">
        <v>84</v>
      </c>
      <c r="L955" t="n">
        <v>80.59999999999999</v>
      </c>
      <c r="M955" s="175" t="n">
        <v>1.8</v>
      </c>
      <c r="N955" t="inlineStr">
        <is>
          <t>台灣半導體元件代理通路商</t>
        </is>
      </c>
    </row>
    <row r="956">
      <c r="A956" t="n">
        <v>3029</v>
      </c>
      <c r="B956" t="inlineStr">
        <is>
          <t>零壹</t>
        </is>
      </c>
      <c r="C956" t="n">
        <v>115.5</v>
      </c>
      <c r="D956" t="n">
        <v>114.5</v>
      </c>
      <c r="E956" s="504" t="n">
        <v>9</v>
      </c>
      <c r="F956" s="505" t="n">
        <v>8.529999999999999</v>
      </c>
      <c r="G956" t="inlineStr">
        <is>
          <t>14.3億</t>
        </is>
      </c>
      <c r="H956" t="n">
        <v>12535</v>
      </c>
      <c r="I956" t="n">
        <v>1877</v>
      </c>
      <c r="J956" t="n">
        <v>16.7</v>
      </c>
      <c r="K956" t="n">
        <v>116</v>
      </c>
      <c r="L956" t="n">
        <v>110</v>
      </c>
      <c r="M956" s="175" t="n">
        <v>8.09</v>
      </c>
      <c r="N956" t="inlineStr">
        <is>
          <t>台灣大型加值型網路代理商</t>
        </is>
      </c>
    </row>
    <row r="957">
      <c r="A957" t="n">
        <v>3030</v>
      </c>
      <c r="B957" t="inlineStr">
        <is>
          <t>德律</t>
        </is>
      </c>
      <c r="C957" t="n">
        <v>403</v>
      </c>
      <c r="D957" t="n">
        <v>371</v>
      </c>
      <c r="E957" s="504" t="n">
        <v>-37</v>
      </c>
      <c r="F957" s="505" t="n">
        <v>-9.07</v>
      </c>
      <c r="G957" t="inlineStr">
        <is>
          <t>31.9億</t>
        </is>
      </c>
      <c r="H957" t="n">
        <v>8434</v>
      </c>
      <c r="I957" t="n">
        <v>5135</v>
      </c>
      <c r="J957" t="n">
        <v>23.62</v>
      </c>
      <c r="K957" t="n">
        <v>403</v>
      </c>
      <c r="L957" t="n">
        <v>368</v>
      </c>
      <c r="M957" s="175" t="n">
        <v>3.57</v>
      </c>
      <c r="N957" t="inlineStr">
        <is>
          <t>電路板組裝檢測設備大廠</t>
        </is>
      </c>
    </row>
    <row r="958">
      <c r="A958" t="n">
        <v>3031</v>
      </c>
      <c r="B958" t="inlineStr">
        <is>
          <t>佰鴻</t>
        </is>
      </c>
      <c r="C958" t="n">
        <v>32.5</v>
      </c>
      <c r="D958" t="n">
        <v>31.95</v>
      </c>
      <c r="E958" s="504" t="n">
        <v>-0.45</v>
      </c>
      <c r="F958" s="505" t="n">
        <v>-1.39</v>
      </c>
      <c r="G958" t="inlineStr">
        <is>
          <t>6547萬</t>
        </is>
      </c>
      <c r="H958" t="n">
        <v>2063</v>
      </c>
      <c r="I958" t="n">
        <v>3449</v>
      </c>
      <c r="J958" t="n">
        <v>17.32</v>
      </c>
      <c r="K958" t="n">
        <v>32.65</v>
      </c>
      <c r="L958" t="n">
        <v>31.3</v>
      </c>
      <c r="M958" s="175" t="n">
        <v>1.19</v>
      </c>
      <c r="N958" t="inlineStr">
        <is>
          <t>台灣LED封裝暨紅外線傳輸模組廠商</t>
        </is>
      </c>
    </row>
    <row r="959">
      <c r="A959" t="n">
        <v>3032</v>
      </c>
      <c r="B959" t="inlineStr">
        <is>
          <t>偉訓</t>
        </is>
      </c>
      <c r="C959" t="n">
        <v>91.5</v>
      </c>
      <c r="D959" t="n">
        <v>88</v>
      </c>
      <c r="E959" s="504" t="n">
        <v>-3</v>
      </c>
      <c r="F959" s="505" t="n">
        <v>-3.3</v>
      </c>
      <c r="G959" t="inlineStr">
        <is>
          <t>2.49億</t>
        </is>
      </c>
      <c r="H959" t="n">
        <v>2806</v>
      </c>
      <c r="I959" t="n">
        <v>2241</v>
      </c>
      <c r="J959" t="n">
        <v>11.33</v>
      </c>
      <c r="K959" t="n">
        <v>92.8</v>
      </c>
      <c r="L959" t="n">
        <v>86.40000000000001</v>
      </c>
      <c r="M959" s="175" t="n">
        <v>2.72</v>
      </c>
      <c r="N959" t="inlineStr">
        <is>
          <t>台灣PC電源供應器及機殼製造廠，並跨入電競領域</t>
        </is>
      </c>
    </row>
    <row r="960">
      <c r="A960" t="n">
        <v>3033</v>
      </c>
      <c r="B960" t="inlineStr">
        <is>
          <t>威健</t>
        </is>
      </c>
      <c r="C960" t="n">
        <v>48.85</v>
      </c>
      <c r="D960" t="n">
        <v>49.7</v>
      </c>
      <c r="E960" s="504" t="n">
        <v>0.85</v>
      </c>
      <c r="F960" s="505" t="n">
        <v>1.74</v>
      </c>
      <c r="G960" t="inlineStr">
        <is>
          <t>3.78億</t>
        </is>
      </c>
      <c r="H960" t="n">
        <v>7721</v>
      </c>
      <c r="I960" t="n">
        <v>15131</v>
      </c>
      <c r="J960" t="n">
        <v>48.53</v>
      </c>
      <c r="K960" t="n">
        <v>49.7</v>
      </c>
      <c r="L960" t="n">
        <v>48.45</v>
      </c>
      <c r="M960" s="175" t="n">
        <v>1.61</v>
      </c>
      <c r="N960" t="inlineStr">
        <is>
          <t>半導體零組件專業代理商</t>
        </is>
      </c>
    </row>
    <row r="961">
      <c r="A961" t="n">
        <v>3034</v>
      </c>
      <c r="B961" t="inlineStr">
        <is>
          <t>聯詠</t>
        </is>
      </c>
      <c r="C961" t="n">
        <v>498</v>
      </c>
      <c r="D961" t="n">
        <v>507</v>
      </c>
      <c r="E961" s="504" t="n">
        <v>10.5</v>
      </c>
      <c r="F961" s="505" t="n">
        <v>2.11</v>
      </c>
      <c r="G961" t="inlineStr">
        <is>
          <t>52.9億</t>
        </is>
      </c>
      <c r="H961" t="n">
        <v>10562</v>
      </c>
      <c r="I961" t="n">
        <v>6604</v>
      </c>
      <c r="J961" t="n">
        <v>60.85</v>
      </c>
      <c r="K961" t="n">
        <v>510</v>
      </c>
      <c r="L961" t="n">
        <v>493</v>
      </c>
      <c r="M961" s="175" t="n">
        <v>1.74</v>
      </c>
      <c r="N961" t="inlineStr">
        <is>
          <t>全球面板驅動IC設計龍頭廠</t>
        </is>
      </c>
    </row>
    <row r="962">
      <c r="A962" t="n">
        <v>3035</v>
      </c>
      <c r="B962" t="inlineStr">
        <is>
          <t>智原</t>
        </is>
      </c>
      <c r="C962" t="n">
        <v>212</v>
      </c>
      <c r="D962" t="n">
        <v>209.5</v>
      </c>
      <c r="E962" s="504" t="n">
        <v>-1.5</v>
      </c>
      <c r="F962" s="505" t="n">
        <v>-0.71</v>
      </c>
      <c r="G962" t="inlineStr">
        <is>
          <t>29.7億</t>
        </is>
      </c>
      <c r="H962" t="n">
        <v>14248</v>
      </c>
      <c r="I962" t="n">
        <v>15722</v>
      </c>
      <c r="J962" t="n">
        <v>26.06</v>
      </c>
      <c r="K962" t="n">
        <v>217</v>
      </c>
      <c r="L962" t="n">
        <v>201</v>
      </c>
      <c r="M962" s="175" t="n">
        <v>5.47</v>
      </c>
      <c r="N962" t="inlineStr">
        <is>
          <t>聯電體系的ASIC及設計IP廠</t>
        </is>
      </c>
    </row>
    <row r="963">
      <c r="A963" t="n">
        <v>3036</v>
      </c>
      <c r="B963" t="inlineStr">
        <is>
          <t>文曄</t>
        </is>
      </c>
      <c r="C963" t="n">
        <v>296.5</v>
      </c>
      <c r="D963" t="n">
        <v>290.5</v>
      </c>
      <c r="E963" s="504" t="n">
        <v>3</v>
      </c>
      <c r="F963" s="505" t="n">
        <v>1.04</v>
      </c>
      <c r="G963" t="inlineStr">
        <is>
          <t>53.3億</t>
        </is>
      </c>
      <c r="H963" t="n">
        <v>18316</v>
      </c>
      <c r="I963" t="n">
        <v>8169</v>
      </c>
      <c r="J963" t="n">
        <v>126.91</v>
      </c>
      <c r="K963" t="n">
        <v>301</v>
      </c>
      <c r="L963" t="n">
        <v>285</v>
      </c>
      <c r="M963" s="175" t="n">
        <v>1.44</v>
      </c>
      <c r="N963" t="inlineStr">
        <is>
          <t>台灣前三大半導體IC通路商</t>
        </is>
      </c>
    </row>
    <row r="964">
      <c r="A964" t="n">
        <v>3037</v>
      </c>
      <c r="B964" t="inlineStr">
        <is>
          <t>欣興</t>
        </is>
      </c>
      <c r="C964" t="n">
        <v>1050</v>
      </c>
      <c r="D964" t="n">
        <v>975</v>
      </c>
      <c r="E964" s="504" t="n">
        <v>-75</v>
      </c>
      <c r="F964" s="505" t="n">
        <v>-7.14</v>
      </c>
      <c r="G964" t="inlineStr">
        <is>
          <t>253億</t>
        </is>
      </c>
      <c r="H964" t="n">
        <v>25728</v>
      </c>
      <c r="I964" t="n">
        <v>25407</v>
      </c>
      <c r="J964" t="n">
        <v>158.95</v>
      </c>
      <c r="K964" t="n">
        <v>1050</v>
      </c>
      <c r="L964" t="n">
        <v>950</v>
      </c>
      <c r="M964" s="175" t="n">
        <v>1.63</v>
      </c>
      <c r="N964" t="inlineStr">
        <is>
          <t>全球印刷電路板龍頭廠之一</t>
        </is>
      </c>
    </row>
    <row r="965">
      <c r="A965" t="n">
        <v>3038</v>
      </c>
      <c r="B965" t="inlineStr">
        <is>
          <t>全台</t>
        </is>
      </c>
      <c r="C965" t="n">
        <v>24</v>
      </c>
      <c r="D965" t="n">
        <v>23.8</v>
      </c>
      <c r="E965" s="504" t="n">
        <v>0</v>
      </c>
      <c r="F965" s="505" t="n">
        <v>0</v>
      </c>
      <c r="G965" t="inlineStr">
        <is>
          <t>1769萬</t>
        </is>
      </c>
      <c r="H965" t="n">
        <v>750</v>
      </c>
      <c r="I965" t="n">
        <v>618</v>
      </c>
      <c r="J965" t="n">
        <v>15.74</v>
      </c>
      <c r="K965" t="n">
        <v>24.15</v>
      </c>
      <c r="L965" t="n">
        <v>23.3</v>
      </c>
      <c r="M965" s="175" t="n">
        <v>0.48</v>
      </c>
      <c r="N965" t="inlineStr">
        <is>
          <t>台灣中小尺寸面板模組廠</t>
        </is>
      </c>
    </row>
    <row r="966">
      <c r="A966" t="n">
        <v>3040</v>
      </c>
      <c r="B966" t="inlineStr">
        <is>
          <t>遠見</t>
        </is>
      </c>
      <c r="C966" t="n">
        <v>41.2</v>
      </c>
      <c r="D966" t="n">
        <v>40.45</v>
      </c>
      <c r="E966" s="504" t="n">
        <v>-1.2</v>
      </c>
      <c r="F966" s="505" t="n">
        <v>-2.88</v>
      </c>
      <c r="G966" t="inlineStr">
        <is>
          <t>2143萬</t>
        </is>
      </c>
      <c r="H966" t="n">
        <v>529</v>
      </c>
      <c r="I966" t="n">
        <v>162</v>
      </c>
      <c r="J966" t="n">
        <v>6.62</v>
      </c>
      <c r="K966" t="n">
        <v>41.25</v>
      </c>
      <c r="L966" t="n">
        <v>40.05</v>
      </c>
      <c r="M966" s="175" t="n">
        <v>0.8</v>
      </c>
      <c r="N966" t="inlineStr">
        <is>
          <t>從事品牌授權、物業租賃及加值型服務</t>
        </is>
      </c>
    </row>
    <row r="967">
      <c r="A967" t="n">
        <v>3041</v>
      </c>
      <c r="B967" t="inlineStr">
        <is>
          <t>揚智</t>
        </is>
      </c>
      <c r="C967" t="n">
        <v>25.95</v>
      </c>
      <c r="D967" t="n">
        <v>25.65</v>
      </c>
      <c r="E967" s="504" t="n">
        <v>0</v>
      </c>
      <c r="F967" s="505" t="n">
        <v>0</v>
      </c>
      <c r="G967" t="inlineStr">
        <is>
          <t>3960萬</t>
        </is>
      </c>
      <c r="H967" t="n">
        <v>1557</v>
      </c>
      <c r="I967" t="n">
        <v>1791</v>
      </c>
      <c r="J967" t="n">
        <v>14.02</v>
      </c>
      <c r="K967" t="n">
        <v>26.25</v>
      </c>
      <c r="L967" t="n">
        <v>24.95</v>
      </c>
      <c r="M967" s="175" t="n">
        <v>1.33</v>
      </c>
      <c r="N967" t="inlineStr">
        <is>
          <t>專注於數位機上盒系統單晶片開發的領導廠商</t>
        </is>
      </c>
    </row>
    <row r="968">
      <c r="A968" t="n">
        <v>3042</v>
      </c>
      <c r="B968" t="inlineStr">
        <is>
          <t>晶技</t>
        </is>
      </c>
      <c r="C968" t="n">
        <v>198.5</v>
      </c>
      <c r="D968" t="n">
        <v>210</v>
      </c>
      <c r="E968" s="504" t="n">
        <v>7.5</v>
      </c>
      <c r="F968" s="505" t="n">
        <v>3.7</v>
      </c>
      <c r="G968" t="inlineStr">
        <is>
          <t>47.0億</t>
        </is>
      </c>
      <c r="H968" t="n">
        <v>22932</v>
      </c>
      <c r="I968" t="n">
        <v>36175</v>
      </c>
      <c r="J968" t="n">
        <v>34.3</v>
      </c>
      <c r="K968" t="n">
        <v>212.5</v>
      </c>
      <c r="L968" t="n">
        <v>196.5</v>
      </c>
      <c r="M968" s="175" t="n">
        <v>7.21</v>
      </c>
      <c r="N968" t="inlineStr">
        <is>
          <t>台灣最大石英元件、頻率控制元件廠商</t>
        </is>
      </c>
    </row>
    <row r="969">
      <c r="A969" t="n">
        <v>3043</v>
      </c>
      <c r="B969" t="inlineStr">
        <is>
          <t>科風</t>
        </is>
      </c>
      <c r="C969" t="n">
        <v>21.7</v>
      </c>
      <c r="D969" t="n">
        <v>21.55</v>
      </c>
      <c r="E969" s="504" t="n">
        <v>0</v>
      </c>
      <c r="F969" s="505" t="n">
        <v>0</v>
      </c>
      <c r="G969" t="inlineStr">
        <is>
          <t>342萬</t>
        </is>
      </c>
      <c r="H969" t="n">
        <v>160</v>
      </c>
      <c r="I969" t="n">
        <v>259</v>
      </c>
      <c r="J969" t="n">
        <v>3.9</v>
      </c>
      <c r="K969" t="n">
        <v>21.8</v>
      </c>
      <c r="L969" t="n">
        <v>21.15</v>
      </c>
      <c r="M969" s="175" t="n">
        <v>0.41</v>
      </c>
      <c r="N969" t="inlineStr">
        <is>
          <t>不斷電系統和電力保護產品品牌廠商</t>
        </is>
      </c>
    </row>
    <row r="970">
      <c r="A970" t="n">
        <v>3044</v>
      </c>
      <c r="B970" t="inlineStr">
        <is>
          <t>健鼎</t>
        </is>
      </c>
      <c r="C970" t="n">
        <v>516</v>
      </c>
      <c r="D970" t="n">
        <v>508</v>
      </c>
      <c r="E970" s="504" t="n">
        <v>-10</v>
      </c>
      <c r="F970" s="505" t="n">
        <v>-1.93</v>
      </c>
      <c r="G970" t="inlineStr">
        <is>
          <t>25.8億</t>
        </is>
      </c>
      <c r="H970" t="n">
        <v>5120</v>
      </c>
      <c r="I970" t="n">
        <v>5093</v>
      </c>
      <c r="J970" t="n">
        <v>52.56</v>
      </c>
      <c r="K970" t="n">
        <v>517</v>
      </c>
      <c r="L970" t="n">
        <v>497</v>
      </c>
      <c r="M970" s="175" t="n">
        <v>0.97</v>
      </c>
      <c r="N970" t="inlineStr">
        <is>
          <t>全球前十大印刷電路板廠之一</t>
        </is>
      </c>
    </row>
    <row r="971">
      <c r="A971" t="n">
        <v>3045</v>
      </c>
      <c r="B971" t="inlineStr">
        <is>
          <t>台灣大</t>
        </is>
      </c>
      <c r="C971" t="n">
        <v>114</v>
      </c>
      <c r="D971" t="n">
        <v>115.5</v>
      </c>
      <c r="E971" s="504" t="n">
        <v>1.5</v>
      </c>
      <c r="F971" s="505" t="n">
        <v>1.32</v>
      </c>
      <c r="G971" t="inlineStr">
        <is>
          <t>21.2億</t>
        </is>
      </c>
      <c r="H971" t="n">
        <v>18397</v>
      </c>
      <c r="I971" t="n">
        <v>18907</v>
      </c>
      <c r="J971" t="n">
        <v>372.33</v>
      </c>
      <c r="K971" t="n">
        <v>115.5</v>
      </c>
      <c r="L971" t="n">
        <v>114</v>
      </c>
      <c r="M971" s="175" t="n">
        <v>0.49</v>
      </c>
      <c r="N971" t="inlineStr">
        <is>
          <t>台灣前三大電信業者之一</t>
        </is>
      </c>
    </row>
    <row r="972">
      <c r="A972" t="n">
        <v>3046</v>
      </c>
      <c r="B972" t="inlineStr">
        <is>
          <t>建碁</t>
        </is>
      </c>
      <c r="C972" t="n">
        <v>63.6</v>
      </c>
      <c r="D972" t="n">
        <v>62.1</v>
      </c>
      <c r="E972" s="504" t="n">
        <v>-1.9</v>
      </c>
      <c r="F972" s="505" t="n">
        <v>-2.97</v>
      </c>
      <c r="G972" t="inlineStr">
        <is>
          <t>1.73億</t>
        </is>
      </c>
      <c r="H972" t="n">
        <v>2771</v>
      </c>
      <c r="I972" t="n">
        <v>1862</v>
      </c>
      <c r="J972" t="n">
        <v>7.84</v>
      </c>
      <c r="K972" t="n">
        <v>63.7</v>
      </c>
      <c r="L972" t="n">
        <v>61</v>
      </c>
      <c r="M972" s="175" t="n">
        <v>3.53</v>
      </c>
      <c r="N972" t="inlineStr">
        <is>
          <t>宏碁轉投資工業電腦與數位看板公司</t>
        </is>
      </c>
    </row>
    <row r="973">
      <c r="A973" t="n">
        <v>3047</v>
      </c>
      <c r="B973" t="inlineStr">
        <is>
          <t>訊舟</t>
        </is>
      </c>
      <c r="C973" t="n">
        <v>15.6</v>
      </c>
      <c r="D973" t="n">
        <v>16.95</v>
      </c>
      <c r="E973" s="504" t="n">
        <v>1.5</v>
      </c>
      <c r="F973" s="505" t="n">
        <v>9.710000000000001</v>
      </c>
      <c r="G973" t="inlineStr">
        <is>
          <t>9951萬</t>
        </is>
      </c>
      <c r="H973" t="n">
        <v>6101</v>
      </c>
      <c r="I973" t="n">
        <v>1791</v>
      </c>
      <c r="J973" t="n">
        <v>22.48</v>
      </c>
      <c r="K973" t="n">
        <v>16.95</v>
      </c>
      <c r="L973" t="n">
        <v>15.4</v>
      </c>
      <c r="M973" s="175" t="n">
        <v>2.72</v>
      </c>
      <c r="N973" t="inlineStr">
        <is>
          <t>兼營品牌(EDIMAX)與代工的網通設備廠</t>
        </is>
      </c>
    </row>
    <row r="974">
      <c r="A974" t="n">
        <v>3048</v>
      </c>
      <c r="B974" t="inlineStr">
        <is>
          <t>益登</t>
        </is>
      </c>
      <c r="C974" t="n">
        <v>70.40000000000001</v>
      </c>
      <c r="D974" t="n">
        <v>75.2</v>
      </c>
      <c r="E974" s="504" t="n">
        <v>6.8</v>
      </c>
      <c r="F974" s="505" t="n">
        <v>9.94</v>
      </c>
      <c r="G974" t="inlineStr">
        <is>
          <t>16.4億</t>
        </is>
      </c>
      <c r="H974" t="n">
        <v>22389</v>
      </c>
      <c r="I974" t="n">
        <v>18405</v>
      </c>
      <c r="J974" t="n">
        <v>26.98</v>
      </c>
      <c r="K974" t="n">
        <v>75.2</v>
      </c>
      <c r="L974" t="n">
        <v>69.90000000000001</v>
      </c>
      <c r="M974" s="175" t="n">
        <v>9.140000000000001</v>
      </c>
      <c r="N974" t="inlineStr">
        <is>
          <t>全球第十大半導體代理商</t>
        </is>
      </c>
    </row>
    <row r="975">
      <c r="A975" t="n">
        <v>3049</v>
      </c>
      <c r="B975" t="inlineStr">
        <is>
          <t>精金</t>
        </is>
      </c>
      <c r="C975" t="n">
        <v>13.5</v>
      </c>
      <c r="D975" t="n">
        <v>14.4</v>
      </c>
      <c r="E975" s="504" t="n">
        <v>1.3</v>
      </c>
      <c r="F975" s="505" t="n">
        <v>9.92</v>
      </c>
      <c r="G975" t="inlineStr">
        <is>
          <t>4.44億</t>
        </is>
      </c>
      <c r="H975" t="n">
        <v>32235</v>
      </c>
      <c r="I975" t="n">
        <v>10900</v>
      </c>
      <c r="J975" t="n">
        <v>80.2</v>
      </c>
      <c r="K975" t="n">
        <v>14.4</v>
      </c>
      <c r="L975" t="n">
        <v>12.9</v>
      </c>
      <c r="M975" s="175" t="n">
        <v>4.02</v>
      </c>
      <c r="N975" t="inlineStr">
        <is>
          <t>瀚宇彩晶關係企業，為觸控感測器製造商</t>
        </is>
      </c>
    </row>
    <row r="976">
      <c r="A976" t="n">
        <v>3050</v>
      </c>
      <c r="B976" t="inlineStr">
        <is>
          <t>鈺德</t>
        </is>
      </c>
      <c r="C976" t="n">
        <v>12.75</v>
      </c>
      <c r="D976" t="n">
        <v>13.2</v>
      </c>
      <c r="E976" s="504" t="n">
        <v>0.45</v>
      </c>
      <c r="F976" s="505" t="n">
        <v>3.53</v>
      </c>
      <c r="G976" t="inlineStr">
        <is>
          <t>1797萬</t>
        </is>
      </c>
      <c r="H976" t="n">
        <v>1404</v>
      </c>
      <c r="I976" t="n">
        <v>1171</v>
      </c>
      <c r="J976" t="n">
        <v>15.5</v>
      </c>
      <c r="K976" t="n">
        <v>13.25</v>
      </c>
      <c r="L976" t="n">
        <v>12.55</v>
      </c>
      <c r="M976" s="175" t="n">
        <v>0.91</v>
      </c>
      <c r="N976" t="inlineStr">
        <is>
          <t>錸德集團旗下台灣最大預錄碟片廠</t>
        </is>
      </c>
    </row>
    <row r="977">
      <c r="A977" t="n">
        <v>3051</v>
      </c>
      <c r="B977" t="inlineStr">
        <is>
          <t>力特</t>
        </is>
      </c>
      <c r="C977" t="n">
        <v>30.1</v>
      </c>
      <c r="D977" t="n">
        <v>29.8</v>
      </c>
      <c r="E977" s="504" t="n">
        <v>1</v>
      </c>
      <c r="F977" s="505" t="n">
        <v>3.47</v>
      </c>
      <c r="G977" t="inlineStr">
        <is>
          <t>3.49億</t>
        </is>
      </c>
      <c r="H977" t="n">
        <v>11693</v>
      </c>
      <c r="I977" t="n">
        <v>4686</v>
      </c>
      <c r="J977" t="n">
        <v>16.7</v>
      </c>
      <c r="K977" t="n">
        <v>30.4</v>
      </c>
      <c r="L977" t="n">
        <v>29.2</v>
      </c>
      <c r="M977" s="175" t="n">
        <v>7</v>
      </c>
      <c r="N977" t="inlineStr">
        <is>
          <t>全球前十大偏光板供應商之一</t>
        </is>
      </c>
    </row>
    <row r="978">
      <c r="A978" t="n">
        <v>3052</v>
      </c>
      <c r="B978" t="inlineStr">
        <is>
          <t>夆典</t>
        </is>
      </c>
      <c r="C978" t="n">
        <v>10.65</v>
      </c>
      <c r="D978" t="n">
        <v>10.6</v>
      </c>
      <c r="E978" s="504" t="n">
        <v>-0.05</v>
      </c>
      <c r="F978" s="505" t="n">
        <v>-0.47</v>
      </c>
      <c r="G978" t="inlineStr">
        <is>
          <t>600萬</t>
        </is>
      </c>
      <c r="H978" t="n">
        <v>566</v>
      </c>
      <c r="I978" t="n">
        <v>751</v>
      </c>
      <c r="J978" t="n">
        <v>23.32</v>
      </c>
      <c r="K978" t="n">
        <v>10.65</v>
      </c>
      <c r="L978" t="n">
        <v>10.55</v>
      </c>
      <c r="M978" s="175" t="n">
        <v>0.24</v>
      </c>
      <c r="N978" t="inlineStr">
        <is>
          <t>提供工程整合服務之廠商</t>
        </is>
      </c>
    </row>
    <row r="979">
      <c r="A979" t="n">
        <v>3054</v>
      </c>
      <c r="B979" t="inlineStr">
        <is>
          <t>立萬利</t>
        </is>
      </c>
      <c r="C979" t="n">
        <v>68.5</v>
      </c>
      <c r="D979" t="n">
        <v>72</v>
      </c>
      <c r="E979" s="504" t="n">
        <v>3.5</v>
      </c>
      <c r="F979" s="505" t="n">
        <v>5.11</v>
      </c>
      <c r="G979" t="inlineStr">
        <is>
          <t>3784萬</t>
        </is>
      </c>
      <c r="H979" t="n">
        <v>535</v>
      </c>
      <c r="I979" t="n">
        <v>264</v>
      </c>
      <c r="J979" t="n">
        <v>8.07</v>
      </c>
      <c r="K979" t="n">
        <v>72.90000000000001</v>
      </c>
      <c r="L979" t="n">
        <v>67.40000000000001</v>
      </c>
      <c r="M979" s="175" t="n">
        <v>0.66</v>
      </c>
      <c r="N979" t="inlineStr">
        <is>
          <t>生技保健相關產品之銷售廠商</t>
        </is>
      </c>
    </row>
    <row r="980">
      <c r="A980" t="n">
        <v>3055</v>
      </c>
      <c r="B980" t="inlineStr">
        <is>
          <t>蔚華科</t>
        </is>
      </c>
      <c r="C980" t="n">
        <v>107</v>
      </c>
      <c r="D980" t="n">
        <v>102</v>
      </c>
      <c r="E980" s="504" t="n">
        <v>-6.5</v>
      </c>
      <c r="F980" s="505" t="n">
        <v>-5.99</v>
      </c>
      <c r="G980" t="inlineStr">
        <is>
          <t>3.76億</t>
        </is>
      </c>
      <c r="H980" t="n">
        <v>3701</v>
      </c>
      <c r="I980" t="n">
        <v>3676</v>
      </c>
      <c r="J980" t="n">
        <v>11.5</v>
      </c>
      <c r="K980" t="n">
        <v>107</v>
      </c>
      <c r="L980" t="n">
        <v>98.2</v>
      </c>
      <c r="M980" s="175" t="n">
        <v>3.75</v>
      </c>
      <c r="N980" t="inlineStr">
        <is>
          <t>半導體測試解決方案商</t>
        </is>
      </c>
    </row>
    <row r="981">
      <c r="A981" t="n">
        <v>3056</v>
      </c>
      <c r="B981" t="inlineStr">
        <is>
          <t>富華新</t>
        </is>
      </c>
      <c r="C981" t="n">
        <v>13.4</v>
      </c>
      <c r="D981" t="n">
        <v>13.5</v>
      </c>
      <c r="E981" s="504" t="n">
        <v>0.1</v>
      </c>
      <c r="F981" s="505" t="n">
        <v>0.75</v>
      </c>
      <c r="G981" t="inlineStr">
        <is>
          <t>1845萬</t>
        </is>
      </c>
      <c r="H981" t="n">
        <v>1383</v>
      </c>
      <c r="I981" t="n">
        <v>1514</v>
      </c>
      <c r="J981" t="n">
        <v>48.06</v>
      </c>
      <c r="K981" t="n">
        <v>13.5</v>
      </c>
      <c r="L981" t="n">
        <v>13.25</v>
      </c>
      <c r="M981" s="175" t="n">
        <v>0.29</v>
      </c>
      <c r="N981" t="inlineStr">
        <is>
          <t>推案集中於中部地區之建商</t>
        </is>
      </c>
    </row>
    <row r="982">
      <c r="A982" t="n">
        <v>3057</v>
      </c>
      <c r="B982" t="inlineStr">
        <is>
          <t>喬鼎</t>
        </is>
      </c>
      <c r="C982" t="n">
        <v>22.4</v>
      </c>
      <c r="D982" t="n">
        <v>21.95</v>
      </c>
      <c r="E982" s="504" t="n">
        <v>-0.45</v>
      </c>
      <c r="F982" s="505" t="n">
        <v>-2.01</v>
      </c>
      <c r="G982" t="inlineStr">
        <is>
          <t>1602萬</t>
        </is>
      </c>
      <c r="H982" t="n">
        <v>722</v>
      </c>
      <c r="I982" t="n">
        <v>601</v>
      </c>
      <c r="J982" t="n">
        <v>6.79</v>
      </c>
      <c r="K982" t="n">
        <v>22.95</v>
      </c>
      <c r="L982" t="n">
        <v>21.65</v>
      </c>
      <c r="M982" s="175" t="n">
        <v>1.2</v>
      </c>
      <c r="N982" t="inlineStr">
        <is>
          <t>全球知名RAID控制器及儲存解決方案供應商</t>
        </is>
      </c>
    </row>
    <row r="983">
      <c r="A983" t="n">
        <v>3058</v>
      </c>
      <c r="B983" t="inlineStr">
        <is>
          <t>立德</t>
        </is>
      </c>
      <c r="C983" t="n">
        <v>9.99</v>
      </c>
      <c r="D983" t="n">
        <v>9.99</v>
      </c>
      <c r="E983" s="504" t="n">
        <v>0.63</v>
      </c>
      <c r="F983" s="505" t="n">
        <v>6.73</v>
      </c>
      <c r="G983" t="inlineStr">
        <is>
          <t>4990萬</t>
        </is>
      </c>
      <c r="H983" t="n">
        <v>5178</v>
      </c>
      <c r="I983" t="n">
        <v>1627</v>
      </c>
      <c r="J983" t="n">
        <v>20.17</v>
      </c>
      <c r="K983" t="n">
        <v>10</v>
      </c>
      <c r="L983" t="n">
        <v>9.33</v>
      </c>
      <c r="M983" s="175" t="n">
        <v>2.57</v>
      </c>
      <c r="N983" t="inlineStr">
        <is>
          <t>以消費性網通應用為主的電源供應器廠</t>
        </is>
      </c>
    </row>
    <row r="984">
      <c r="A984" t="n">
        <v>3059</v>
      </c>
      <c r="B984" t="inlineStr">
        <is>
          <t>華晶科</t>
        </is>
      </c>
      <c r="C984" t="n">
        <v>51</v>
      </c>
      <c r="D984" t="n">
        <v>51</v>
      </c>
      <c r="E984" s="504" t="n">
        <v>4.55</v>
      </c>
      <c r="F984" s="505" t="n">
        <v>9.800000000000001</v>
      </c>
      <c r="G984" t="inlineStr">
        <is>
          <t>7.38億</t>
        </is>
      </c>
      <c r="H984" t="n">
        <v>14466</v>
      </c>
      <c r="I984" t="n">
        <v>10613</v>
      </c>
      <c r="J984" t="n">
        <v>30.77</v>
      </c>
      <c r="K984" t="n">
        <v>51</v>
      </c>
      <c r="L984" t="n">
        <v>50.8</v>
      </c>
      <c r="M984" s="175" t="n">
        <v>4.7</v>
      </c>
      <c r="N984" t="inlineStr">
        <is>
          <t>以車用鏡頭、影像晶片與醫療產品為主軸</t>
        </is>
      </c>
    </row>
    <row r="985">
      <c r="A985" t="n">
        <v>3060</v>
      </c>
      <c r="B985" t="inlineStr">
        <is>
          <t>銘異</t>
        </is>
      </c>
      <c r="C985" t="n">
        <v>30.05</v>
      </c>
      <c r="D985" t="n">
        <v>32.6</v>
      </c>
      <c r="E985" s="504" t="n">
        <v>2.95</v>
      </c>
      <c r="F985" s="505" t="n">
        <v>9.949999999999999</v>
      </c>
      <c r="G985" t="inlineStr">
        <is>
          <t>5.02億</t>
        </is>
      </c>
      <c r="H985" t="n">
        <v>15531</v>
      </c>
      <c r="I985" t="n">
        <v>3769</v>
      </c>
      <c r="J985" t="n">
        <v>13.76</v>
      </c>
      <c r="K985" t="n">
        <v>32.6</v>
      </c>
      <c r="L985" t="n">
        <v>29.75</v>
      </c>
      <c r="M985" s="175" t="n">
        <v>11.29</v>
      </c>
      <c r="N985" t="inlineStr">
        <is>
          <t>台灣最大硬碟零組件製造商，主要產品為音圈馬達</t>
        </is>
      </c>
    </row>
    <row r="986">
      <c r="A986" t="n">
        <v>3062</v>
      </c>
      <c r="B986" t="inlineStr">
        <is>
          <t>建漢</t>
        </is>
      </c>
      <c r="C986" t="n">
        <v>31.3</v>
      </c>
      <c r="D986" t="n">
        <v>31.4</v>
      </c>
      <c r="E986" s="504" t="n">
        <v>0.3</v>
      </c>
      <c r="F986" s="505" t="n">
        <v>0.96</v>
      </c>
      <c r="G986" t="inlineStr">
        <is>
          <t>4.38億</t>
        </is>
      </c>
      <c r="H986" t="n">
        <v>14136</v>
      </c>
      <c r="I986" t="n">
        <v>12655</v>
      </c>
      <c r="J986" t="n">
        <v>33.01</v>
      </c>
      <c r="K986" t="n">
        <v>31.7</v>
      </c>
      <c r="L986" t="n">
        <v>30.1</v>
      </c>
      <c r="M986" s="175" t="n">
        <v>4.28</v>
      </c>
      <c r="N986" t="inlineStr">
        <is>
          <t>鴻海投資的無線與寬頻網路設備製造商</t>
        </is>
      </c>
    </row>
    <row r="987">
      <c r="A987" t="n">
        <v>3064</v>
      </c>
      <c r="B987" t="inlineStr">
        <is>
          <t>泰偉</t>
        </is>
      </c>
      <c r="C987" t="inlineStr">
        <is>
          <t>--</t>
        </is>
      </c>
      <c r="D987" t="inlineStr">
        <is>
          <t>--</t>
        </is>
      </c>
      <c r="E987" s="504" t="inlineStr">
        <is>
          <t>--</t>
        </is>
      </c>
      <c r="F987" s="505" t="inlineStr">
        <is>
          <t>--</t>
        </is>
      </c>
      <c r="G987" t="inlineStr">
        <is>
          <t>--</t>
        </is>
      </c>
      <c r="H987" t="n">
        <v>0</v>
      </c>
      <c r="I987" t="n">
        <v>5</v>
      </c>
      <c r="J987" t="n">
        <v>1.3</v>
      </c>
      <c r="K987" t="inlineStr">
        <is>
          <t>--</t>
        </is>
      </c>
      <c r="L987" t="inlineStr">
        <is>
          <t>--</t>
        </is>
      </c>
      <c r="M987" s="175" t="n">
        <v>0</v>
      </c>
      <c r="N987" t="inlineStr">
        <is>
          <t>台灣博奕遊戲與博奕機台公司</t>
        </is>
      </c>
    </row>
    <row r="988">
      <c r="A988" t="n">
        <v>3066</v>
      </c>
      <c r="B988" t="inlineStr">
        <is>
          <t>李洲</t>
        </is>
      </c>
      <c r="C988" t="n">
        <v>21.3</v>
      </c>
      <c r="D988" t="n">
        <v>21.75</v>
      </c>
      <c r="E988" s="504" t="n">
        <v>0.4</v>
      </c>
      <c r="F988" s="505" t="n">
        <v>1.87</v>
      </c>
      <c r="G988" t="inlineStr">
        <is>
          <t>1511萬</t>
        </is>
      </c>
      <c r="H988" t="n">
        <v>712</v>
      </c>
      <c r="I988" t="n">
        <v>705</v>
      </c>
      <c r="J988" t="n">
        <v>8.31</v>
      </c>
      <c r="K988" t="n">
        <v>21.95</v>
      </c>
      <c r="L988" t="n">
        <v>20.75</v>
      </c>
      <c r="M988" s="175" t="n">
        <v>0.86</v>
      </c>
      <c r="N988" t="inlineStr">
        <is>
          <t>台灣利基型LED封裝廠</t>
        </is>
      </c>
    </row>
    <row r="989">
      <c r="A989" t="n">
        <v>3067</v>
      </c>
      <c r="B989" t="inlineStr">
        <is>
          <t>全域</t>
        </is>
      </c>
      <c r="C989" t="n">
        <v>19.5</v>
      </c>
      <c r="D989" t="n">
        <v>19.3</v>
      </c>
      <c r="E989" s="504" t="n">
        <v>-0.2</v>
      </c>
      <c r="F989" s="505" t="n">
        <v>-1.03</v>
      </c>
      <c r="G989" t="inlineStr">
        <is>
          <t>3.88萬</t>
        </is>
      </c>
      <c r="H989" t="n">
        <v>2</v>
      </c>
      <c r="I989" t="n">
        <v>19</v>
      </c>
      <c r="J989" t="n">
        <v>2</v>
      </c>
      <c r="K989" t="n">
        <v>19.5</v>
      </c>
      <c r="L989" t="n">
        <v>19.3</v>
      </c>
      <c r="M989" s="175" t="n">
        <v>0.01</v>
      </c>
      <c r="N989" t="inlineStr">
        <is>
          <t>以Phonic為品牌行銷全球之專業音響廠商</t>
        </is>
      </c>
    </row>
    <row r="990">
      <c r="A990" t="n">
        <v>3071</v>
      </c>
      <c r="B990" t="inlineStr">
        <is>
          <t>協禧</t>
        </is>
      </c>
      <c r="C990" t="n">
        <v>33.65</v>
      </c>
      <c r="D990" t="n">
        <v>33.5</v>
      </c>
      <c r="E990" s="504" t="n">
        <v>0.05</v>
      </c>
      <c r="F990" s="505" t="n">
        <v>0.15</v>
      </c>
      <c r="G990" t="inlineStr">
        <is>
          <t>5472萬</t>
        </is>
      </c>
      <c r="H990" t="n">
        <v>1628</v>
      </c>
      <c r="I990" t="n">
        <v>1631</v>
      </c>
      <c r="J990" t="n">
        <v>11</v>
      </c>
      <c r="K990" t="n">
        <v>34.45</v>
      </c>
      <c r="L990" t="n">
        <v>33.15</v>
      </c>
      <c r="M990" s="175" t="n">
        <v>1.48</v>
      </c>
      <c r="N990" t="inlineStr">
        <is>
          <t>生產NB用散熱風扇及模組廠</t>
        </is>
      </c>
    </row>
    <row r="991">
      <c r="A991" t="n">
        <v>3073</v>
      </c>
      <c r="B991" t="inlineStr">
        <is>
          <t>天方能源</t>
        </is>
      </c>
      <c r="C991" t="n">
        <v>20.5</v>
      </c>
      <c r="D991" t="n">
        <v>20.5</v>
      </c>
      <c r="E991" s="504" t="n">
        <v>0.25</v>
      </c>
      <c r="F991" s="505" t="n">
        <v>1.23</v>
      </c>
      <c r="G991" t="inlineStr">
        <is>
          <t>277萬</t>
        </is>
      </c>
      <c r="H991" t="n">
        <v>135</v>
      </c>
      <c r="I991" t="n">
        <v>135</v>
      </c>
      <c r="J991" t="n">
        <v>3.95</v>
      </c>
      <c r="K991" t="n">
        <v>20.85</v>
      </c>
      <c r="L991" t="n">
        <v>20.3</v>
      </c>
      <c r="M991" s="175" t="n">
        <v>0.34</v>
      </c>
      <c r="N991" t="inlineStr">
        <is>
          <t>從事太陽能發電、風力發電、儲能等再生能源業務</t>
        </is>
      </c>
    </row>
    <row r="992">
      <c r="A992" t="n">
        <v>3078</v>
      </c>
      <c r="B992" t="inlineStr">
        <is>
          <t>僑威</t>
        </is>
      </c>
      <c r="C992" t="n">
        <v>59.1</v>
      </c>
      <c r="D992" t="n">
        <v>59</v>
      </c>
      <c r="E992" s="504" t="n">
        <v>0.1</v>
      </c>
      <c r="F992" s="505" t="n">
        <v>0.17</v>
      </c>
      <c r="G992" t="inlineStr">
        <is>
          <t>1.76億</t>
        </is>
      </c>
      <c r="H992" t="n">
        <v>2975</v>
      </c>
      <c r="I992" t="n">
        <v>1460</v>
      </c>
      <c r="J992" t="n">
        <v>22.74</v>
      </c>
      <c r="K992" t="n">
        <v>60.4</v>
      </c>
      <c r="L992" t="n">
        <v>58.1</v>
      </c>
      <c r="M992" s="175" t="n">
        <v>1.31</v>
      </c>
      <c r="N992" t="inlineStr">
        <is>
          <t>全球clone市場上最大電源供應器製造商</t>
        </is>
      </c>
    </row>
    <row r="993">
      <c r="A993" t="n">
        <v>3081</v>
      </c>
      <c r="B993" t="inlineStr">
        <is>
          <t>聯亞</t>
        </is>
      </c>
      <c r="C993" t="n">
        <v>2795</v>
      </c>
      <c r="D993" t="n">
        <v>2575</v>
      </c>
      <c r="E993" s="504" t="n">
        <v>-110</v>
      </c>
      <c r="F993" s="505" t="n">
        <v>-4.1</v>
      </c>
      <c r="G993" t="inlineStr">
        <is>
          <t>65.4億</t>
        </is>
      </c>
      <c r="H993" t="n">
        <v>2445</v>
      </c>
      <c r="I993" t="n">
        <v>2679</v>
      </c>
      <c r="J993" t="n">
        <v>9.25</v>
      </c>
      <c r="K993" t="n">
        <v>2865</v>
      </c>
      <c r="L993" t="n">
        <v>2525</v>
      </c>
      <c r="M993" s="175" t="n">
        <v>2.64</v>
      </c>
      <c r="N993" t="inlineStr">
        <is>
          <t>生產砷化鎵與磷化銦為基板的磊晶廠</t>
        </is>
      </c>
    </row>
    <row r="994">
      <c r="A994" t="n">
        <v>3083</v>
      </c>
      <c r="B994" t="inlineStr">
        <is>
          <t>網龍</t>
        </is>
      </c>
      <c r="C994" t="n">
        <v>28.6</v>
      </c>
      <c r="D994" t="n">
        <v>28.55</v>
      </c>
      <c r="E994" s="504" t="n">
        <v>0.45</v>
      </c>
      <c r="F994" s="505" t="n">
        <v>1.6</v>
      </c>
      <c r="G994" t="inlineStr">
        <is>
          <t>841萬</t>
        </is>
      </c>
      <c r="H994" t="n">
        <v>296</v>
      </c>
      <c r="I994" t="n">
        <v>225</v>
      </c>
      <c r="J994" t="n">
        <v>8.65</v>
      </c>
      <c r="K994" t="n">
        <v>28.7</v>
      </c>
      <c r="L994" t="n">
        <v>28.2</v>
      </c>
      <c r="M994" s="175" t="n">
        <v>0.34</v>
      </c>
      <c r="N994" t="inlineStr">
        <is>
          <t>智冠轉投資線上遊戲開發商</t>
        </is>
      </c>
    </row>
    <row r="995">
      <c r="A995" t="n">
        <v>3085</v>
      </c>
      <c r="B995" t="inlineStr">
        <is>
          <t>新零售</t>
        </is>
      </c>
      <c r="C995" t="n">
        <v>12.5</v>
      </c>
      <c r="D995" t="n">
        <v>12.5</v>
      </c>
      <c r="E995" s="504" t="n">
        <v>0</v>
      </c>
      <c r="F995" s="505" t="n">
        <v>0</v>
      </c>
      <c r="G995" t="inlineStr">
        <is>
          <t>1.25萬</t>
        </is>
      </c>
      <c r="H995" t="n">
        <v>1</v>
      </c>
      <c r="I995" t="n">
        <v>47</v>
      </c>
      <c r="J995" t="n">
        <v>6.9</v>
      </c>
      <c r="K995" t="n">
        <v>12.5</v>
      </c>
      <c r="L995" t="n">
        <v>12.5</v>
      </c>
      <c r="M995" s="175" t="n">
        <v>0</v>
      </c>
      <c r="N995" t="inlineStr">
        <is>
          <t>台灣鋼鐵集團旗下電商公司</t>
        </is>
      </c>
    </row>
    <row r="996">
      <c r="A996" t="n">
        <v>3086</v>
      </c>
      <c r="B996" t="inlineStr">
        <is>
          <t>華義*</t>
        </is>
      </c>
      <c r="C996" t="n">
        <v>37.15</v>
      </c>
      <c r="D996" t="n">
        <v>37.15</v>
      </c>
      <c r="E996" s="504" t="n">
        <v>3.35</v>
      </c>
      <c r="F996" s="505" t="n">
        <v>9.91</v>
      </c>
      <c r="G996" t="inlineStr">
        <is>
          <t>1479萬</t>
        </is>
      </c>
      <c r="H996" t="n">
        <v>398</v>
      </c>
      <c r="I996" t="n">
        <v>968</v>
      </c>
      <c r="J996" t="n">
        <v>2.73</v>
      </c>
      <c r="K996" t="n">
        <v>37.15</v>
      </c>
      <c r="L996" t="n">
        <v>37.15</v>
      </c>
      <c r="M996" s="175" t="n">
        <v>0.15</v>
      </c>
      <c r="N996" t="inlineStr">
        <is>
          <t>台灣知名遊戲軟體業者</t>
        </is>
      </c>
    </row>
    <row r="997">
      <c r="A997" t="n">
        <v>3088</v>
      </c>
      <c r="B997" t="inlineStr">
        <is>
          <t>艾訊</t>
        </is>
      </c>
      <c r="C997" t="n">
        <v>143</v>
      </c>
      <c r="D997" t="n">
        <v>141</v>
      </c>
      <c r="E997" s="504" t="n">
        <v>-0.5</v>
      </c>
      <c r="F997" s="505" t="n">
        <v>-0.35</v>
      </c>
      <c r="G997" t="inlineStr">
        <is>
          <t>2.43億</t>
        </is>
      </c>
      <c r="H997" t="n">
        <v>1739</v>
      </c>
      <c r="I997" t="n">
        <v>2123</v>
      </c>
      <c r="J997" t="n">
        <v>10.86</v>
      </c>
      <c r="K997" t="n">
        <v>144.5</v>
      </c>
      <c r="L997" t="n">
        <v>138</v>
      </c>
      <c r="M997" s="175" t="n">
        <v>1.6</v>
      </c>
      <c r="N997" t="inlineStr">
        <is>
          <t>研華轉投資工業電腦廠商</t>
        </is>
      </c>
    </row>
    <row r="998">
      <c r="A998" t="n">
        <v>3090</v>
      </c>
      <c r="B998" t="inlineStr">
        <is>
          <t>日電貿</t>
        </is>
      </c>
      <c r="C998" t="n">
        <v>233</v>
      </c>
      <c r="D998" t="n">
        <v>220</v>
      </c>
      <c r="E998" s="504" t="n">
        <v>-13.5</v>
      </c>
      <c r="F998" s="505" t="n">
        <v>-5.78</v>
      </c>
      <c r="G998" t="inlineStr">
        <is>
          <t>5.23億</t>
        </is>
      </c>
      <c r="H998" t="n">
        <v>2384</v>
      </c>
      <c r="I998" t="n">
        <v>3688</v>
      </c>
      <c r="J998" t="n">
        <v>28.76</v>
      </c>
      <c r="K998" t="n">
        <v>233</v>
      </c>
      <c r="L998" t="n">
        <v>215</v>
      </c>
      <c r="M998" s="175" t="n">
        <v>0.83</v>
      </c>
      <c r="N998" t="inlineStr">
        <is>
          <t>台灣最大的被動元件代理商</t>
        </is>
      </c>
    </row>
    <row r="999">
      <c r="A999" t="n">
        <v>3092</v>
      </c>
      <c r="B999" t="inlineStr">
        <is>
          <t>鴻碩</t>
        </is>
      </c>
      <c r="C999" t="n">
        <v>31.95</v>
      </c>
      <c r="D999" t="n">
        <v>30.75</v>
      </c>
      <c r="E999" s="504" t="n">
        <v>-1.2</v>
      </c>
      <c r="F999" s="505" t="n">
        <v>-3.76</v>
      </c>
      <c r="G999" t="inlineStr">
        <is>
          <t>3063萬</t>
        </is>
      </c>
      <c r="H999" t="n">
        <v>981</v>
      </c>
      <c r="I999" t="n">
        <v>749</v>
      </c>
      <c r="J999" t="n">
        <v>10.66</v>
      </c>
      <c r="K999" t="n">
        <v>32.35</v>
      </c>
      <c r="L999" t="n">
        <v>30.4</v>
      </c>
      <c r="M999" s="175" t="n">
        <v>0.92</v>
      </c>
      <c r="N999" t="inlineStr">
        <is>
          <t>台灣知名連接元件製造商</t>
        </is>
      </c>
    </row>
    <row r="1000">
      <c r="A1000" t="n">
        <v>3093</v>
      </c>
      <c r="B1000" t="inlineStr">
        <is>
          <t>港建*</t>
        </is>
      </c>
      <c r="C1000" t="n">
        <v>52.1</v>
      </c>
      <c r="D1000" t="n">
        <v>51</v>
      </c>
      <c r="E1000" s="504" t="n">
        <v>-1</v>
      </c>
      <c r="F1000" s="505" t="n">
        <v>-1.92</v>
      </c>
      <c r="G1000" t="inlineStr">
        <is>
          <t>4766萬</t>
        </is>
      </c>
      <c r="H1000" t="n">
        <v>939</v>
      </c>
      <c r="I1000" t="n">
        <v>1895</v>
      </c>
      <c r="J1000" t="n">
        <v>3.63</v>
      </c>
      <c r="K1000" t="n">
        <v>52.1</v>
      </c>
      <c r="L1000" t="n">
        <v>50</v>
      </c>
      <c r="M1000" s="175" t="n">
        <v>0.65</v>
      </c>
      <c r="N1000" t="inlineStr">
        <is>
          <t>PCB、IC封裝及CD-R/DVD製程設備廠</t>
        </is>
      </c>
    </row>
    <row r="1001">
      <c r="A1001" t="n">
        <v>3094</v>
      </c>
      <c r="B1001" t="inlineStr">
        <is>
          <t>聯傑</t>
        </is>
      </c>
      <c r="C1001" t="n">
        <v>34.3</v>
      </c>
      <c r="D1001" t="n">
        <v>33.75</v>
      </c>
      <c r="E1001" s="504" t="n">
        <v>-0.25</v>
      </c>
      <c r="F1001" s="505" t="n">
        <v>-0.74</v>
      </c>
      <c r="G1001" t="inlineStr">
        <is>
          <t>5812萬</t>
        </is>
      </c>
      <c r="H1001" t="n">
        <v>1713</v>
      </c>
      <c r="I1001" t="n">
        <v>2643</v>
      </c>
      <c r="J1001" t="n">
        <v>8.31</v>
      </c>
      <c r="K1001" t="n">
        <v>35.5</v>
      </c>
      <c r="L1001" t="n">
        <v>32.7</v>
      </c>
      <c r="M1001" s="175" t="n">
        <v>2.06</v>
      </c>
      <c r="N1001" t="inlineStr">
        <is>
          <t>嵌入式乙太網路IC設計廠商</t>
        </is>
      </c>
    </row>
    <row r="1002">
      <c r="A1002" t="n">
        <v>3095</v>
      </c>
      <c r="B1002" t="inlineStr">
        <is>
          <t>及成</t>
        </is>
      </c>
      <c r="C1002" t="n">
        <v>42.5</v>
      </c>
      <c r="D1002" t="n">
        <v>42.35</v>
      </c>
      <c r="E1002" s="504" t="n">
        <v>-1.65</v>
      </c>
      <c r="F1002" s="505" t="n">
        <v>-3.75</v>
      </c>
      <c r="G1002" t="inlineStr">
        <is>
          <t>246萬</t>
        </is>
      </c>
      <c r="H1002" t="n">
        <v>58</v>
      </c>
      <c r="I1002" t="n">
        <v>45</v>
      </c>
      <c r="J1002" t="n">
        <v>1</v>
      </c>
      <c r="K1002" t="n">
        <v>43.25</v>
      </c>
      <c r="L1002" t="n">
        <v>41.7</v>
      </c>
      <c r="M1002" s="175" t="n">
        <v>0.58</v>
      </c>
      <c r="N1002" t="inlineStr">
        <is>
          <t>台灣鋁合金沖壓零件廠</t>
        </is>
      </c>
    </row>
    <row r="1003">
      <c r="A1003" t="n">
        <v>3105</v>
      </c>
      <c r="B1003" t="inlineStr">
        <is>
          <t>穩懋</t>
        </is>
      </c>
      <c r="C1003" t="n">
        <v>538</v>
      </c>
      <c r="D1003" t="n">
        <v>519</v>
      </c>
      <c r="E1003" s="504" t="n">
        <v>-11</v>
      </c>
      <c r="F1003" s="505" t="n">
        <v>-2.08</v>
      </c>
      <c r="G1003" t="inlineStr">
        <is>
          <t>174億</t>
        </is>
      </c>
      <c r="H1003" t="n">
        <v>32577</v>
      </c>
      <c r="I1003" t="n">
        <v>36115</v>
      </c>
      <c r="J1003" t="n">
        <v>42.39</v>
      </c>
      <c r="K1003" t="n">
        <v>554</v>
      </c>
      <c r="L1003" t="n">
        <v>515</v>
      </c>
      <c r="M1003" s="175" t="n">
        <v>7.68</v>
      </c>
      <c r="N1003" t="inlineStr">
        <is>
          <t>全球最大砷化鎵晶圓代工廠</t>
        </is>
      </c>
    </row>
    <row r="1004">
      <c r="A1004" t="n">
        <v>3114</v>
      </c>
      <c r="B1004" t="inlineStr">
        <is>
          <t>好德</t>
        </is>
      </c>
      <c r="C1004" t="n">
        <v>32.7</v>
      </c>
      <c r="D1004" t="n">
        <v>33.6</v>
      </c>
      <c r="E1004" s="504" t="n">
        <v>0.5</v>
      </c>
      <c r="F1004" s="505" t="n">
        <v>1.51</v>
      </c>
      <c r="G1004" t="inlineStr">
        <is>
          <t>6025萬</t>
        </is>
      </c>
      <c r="H1004" t="n">
        <v>1881</v>
      </c>
      <c r="I1004" t="n">
        <v>1450</v>
      </c>
      <c r="J1004" t="n">
        <v>6.51</v>
      </c>
      <c r="K1004" t="n">
        <v>33.8</v>
      </c>
      <c r="L1004" t="n">
        <v>31</v>
      </c>
      <c r="M1004" s="175" t="n">
        <v>2.89</v>
      </c>
      <c r="N1004" t="inlineStr">
        <is>
          <t>電子零組件及製程設備與耗材之專業代理商</t>
        </is>
      </c>
    </row>
    <row r="1005">
      <c r="A1005" t="n">
        <v>3115</v>
      </c>
      <c r="B1005" t="inlineStr">
        <is>
          <t>富榮綱</t>
        </is>
      </c>
      <c r="C1005" t="n">
        <v>8.65</v>
      </c>
      <c r="D1005" t="n">
        <v>8.880000000000001</v>
      </c>
      <c r="E1005" s="504" t="n">
        <v>0.25</v>
      </c>
      <c r="F1005" s="505" t="n">
        <v>2.9</v>
      </c>
      <c r="G1005" t="inlineStr">
        <is>
          <t>12.2萬</t>
        </is>
      </c>
      <c r="H1005" t="n">
        <v>14</v>
      </c>
      <c r="I1005" t="n">
        <v>28</v>
      </c>
      <c r="J1005" t="n">
        <v>7.22</v>
      </c>
      <c r="K1005" t="n">
        <v>8.960000000000001</v>
      </c>
      <c r="L1005" t="n">
        <v>8.65</v>
      </c>
      <c r="M1005" s="175" t="n">
        <v>0.02</v>
      </c>
      <c r="N1005" t="inlineStr">
        <is>
          <t>台灣從事鋁錠等有色金屬買賣業務公司</t>
        </is>
      </c>
    </row>
    <row r="1006">
      <c r="A1006" t="n">
        <v>3118</v>
      </c>
      <c r="B1006" t="inlineStr">
        <is>
          <t>進階</t>
        </is>
      </c>
      <c r="C1006" t="n">
        <v>33.55</v>
      </c>
      <c r="D1006" t="n">
        <v>33.5</v>
      </c>
      <c r="E1006" s="504" t="n">
        <v>-0.1</v>
      </c>
      <c r="F1006" s="505" t="n">
        <v>-0.3</v>
      </c>
      <c r="G1006" t="inlineStr">
        <is>
          <t>204萬</t>
        </is>
      </c>
      <c r="H1006" t="n">
        <v>61</v>
      </c>
      <c r="I1006" t="n">
        <v>45</v>
      </c>
      <c r="J1006" t="n">
        <v>3.25</v>
      </c>
      <c r="K1006" t="n">
        <v>33.65</v>
      </c>
      <c r="L1006" t="n">
        <v>33.25</v>
      </c>
      <c r="M1006" s="175" t="n">
        <v>0.19</v>
      </c>
      <c r="N1006" t="inlineStr">
        <is>
          <t>台灣具規模的生醫實驗室儀器耗材通路商</t>
        </is>
      </c>
    </row>
    <row r="1007">
      <c r="A1007" t="n">
        <v>3122</v>
      </c>
      <c r="B1007" t="inlineStr">
        <is>
          <t>笙泉</t>
        </is>
      </c>
      <c r="C1007" t="n">
        <v>31.8</v>
      </c>
      <c r="D1007" t="n">
        <v>31.85</v>
      </c>
      <c r="E1007" s="504" t="n">
        <v>0.05</v>
      </c>
      <c r="F1007" s="505" t="n">
        <v>0.16</v>
      </c>
      <c r="G1007" t="inlineStr">
        <is>
          <t>1757萬</t>
        </is>
      </c>
      <c r="H1007" t="n">
        <v>559</v>
      </c>
      <c r="I1007" t="n">
        <v>508</v>
      </c>
      <c r="J1007" t="n">
        <v>4.08</v>
      </c>
      <c r="K1007" t="n">
        <v>32.3</v>
      </c>
      <c r="L1007" t="n">
        <v>30.8</v>
      </c>
      <c r="M1007" s="175" t="n">
        <v>1.37</v>
      </c>
      <c r="N1007" t="inlineStr">
        <is>
          <t>提供有關MCU軟硬體全方位服務的廠商</t>
        </is>
      </c>
    </row>
    <row r="1008">
      <c r="A1008" t="n">
        <v>3128</v>
      </c>
      <c r="B1008" t="inlineStr">
        <is>
          <t>昇銳</t>
        </is>
      </c>
      <c r="C1008" t="n">
        <v>23.95</v>
      </c>
      <c r="D1008" t="n">
        <v>25.6</v>
      </c>
      <c r="E1008" s="504" t="n">
        <v>2.1</v>
      </c>
      <c r="F1008" s="505" t="n">
        <v>8.94</v>
      </c>
      <c r="G1008" t="inlineStr">
        <is>
          <t>5841萬</t>
        </is>
      </c>
      <c r="H1008" t="n">
        <v>2298</v>
      </c>
      <c r="I1008" t="n">
        <v>224</v>
      </c>
      <c r="J1008" t="n">
        <v>4.73</v>
      </c>
      <c r="K1008" t="n">
        <v>25.85</v>
      </c>
      <c r="L1008" t="n">
        <v>23.8</v>
      </c>
      <c r="M1008" s="175" t="n">
        <v>4.86</v>
      </c>
      <c r="N1008" t="inlineStr">
        <is>
          <t>為監視系統領域之專業安全監控廠</t>
        </is>
      </c>
    </row>
    <row r="1009">
      <c r="A1009" t="n">
        <v>3130</v>
      </c>
      <c r="B1009" t="inlineStr">
        <is>
          <t>一零四</t>
        </is>
      </c>
      <c r="C1009" t="n">
        <v>220.5</v>
      </c>
      <c r="D1009" t="n">
        <v>221.5</v>
      </c>
      <c r="E1009" s="504" t="n">
        <v>0</v>
      </c>
      <c r="F1009" s="505" t="n">
        <v>0</v>
      </c>
      <c r="G1009" t="inlineStr">
        <is>
          <t>618萬</t>
        </is>
      </c>
      <c r="H1009" t="n">
        <v>28</v>
      </c>
      <c r="I1009" t="n">
        <v>37</v>
      </c>
      <c r="J1009" t="n">
        <v>3.32</v>
      </c>
      <c r="K1009" t="n">
        <v>221.5</v>
      </c>
      <c r="L1009" t="n">
        <v>220.5</v>
      </c>
      <c r="M1009" s="175" t="n">
        <v>0.08</v>
      </c>
      <c r="N1009" t="inlineStr">
        <is>
          <t>台灣人力資源網站第一品牌</t>
        </is>
      </c>
    </row>
    <row r="1010">
      <c r="A1010" t="n">
        <v>3131</v>
      </c>
      <c r="B1010" t="inlineStr">
        <is>
          <t>弘塑</t>
        </is>
      </c>
      <c r="C1010" t="n">
        <v>3200</v>
      </c>
      <c r="D1010" t="n">
        <v>3305</v>
      </c>
      <c r="E1010" s="504" t="n">
        <v>40</v>
      </c>
      <c r="F1010" s="505" t="n">
        <v>1.23</v>
      </c>
      <c r="G1010" t="inlineStr">
        <is>
          <t>15.2億</t>
        </is>
      </c>
      <c r="H1010" t="n">
        <v>470</v>
      </c>
      <c r="I1010" t="n">
        <v>1038</v>
      </c>
      <c r="J1010" t="n">
        <v>2.97</v>
      </c>
      <c r="K1010" t="n">
        <v>3315</v>
      </c>
      <c r="L1010" t="n">
        <v>3125</v>
      </c>
      <c r="M1010" s="175" t="n">
        <v>1.61</v>
      </c>
      <c r="N1010" t="inlineStr">
        <is>
          <t>酸槽設備在台市占率第一名</t>
        </is>
      </c>
    </row>
    <row r="1011">
      <c r="A1011" t="n">
        <v>3135</v>
      </c>
      <c r="B1011" t="inlineStr">
        <is>
          <t>凌航</t>
        </is>
      </c>
      <c r="C1011" t="n">
        <v>253</v>
      </c>
      <c r="D1011" t="n">
        <v>240</v>
      </c>
      <c r="E1011" s="504" t="n">
        <v>-10.5</v>
      </c>
      <c r="F1011" s="505" t="n">
        <v>-4.19</v>
      </c>
      <c r="G1011" t="inlineStr">
        <is>
          <t>17.4億</t>
        </is>
      </c>
      <c r="H1011" t="n">
        <v>7100</v>
      </c>
      <c r="I1011" t="n">
        <v>3822</v>
      </c>
      <c r="J1011" t="n">
        <v>9.49</v>
      </c>
      <c r="K1011" t="n">
        <v>256.5</v>
      </c>
      <c r="L1011" t="n">
        <v>235</v>
      </c>
      <c r="M1011" s="175" t="n">
        <v>9.16</v>
      </c>
      <c r="N1011" t="inlineStr">
        <is>
          <t>台灣記憶體模組生產商</t>
        </is>
      </c>
    </row>
    <row r="1012">
      <c r="A1012" t="n">
        <v>3138</v>
      </c>
      <c r="B1012" t="inlineStr">
        <is>
          <t>耀登</t>
        </is>
      </c>
      <c r="C1012" t="n">
        <v>167.5</v>
      </c>
      <c r="D1012" t="n">
        <v>165</v>
      </c>
      <c r="E1012" s="504" t="n">
        <v>-2</v>
      </c>
      <c r="F1012" s="505" t="n">
        <v>-1.2</v>
      </c>
      <c r="G1012" t="inlineStr">
        <is>
          <t>1.73億</t>
        </is>
      </c>
      <c r="H1012" t="n">
        <v>1049</v>
      </c>
      <c r="I1012" t="n">
        <v>1463</v>
      </c>
      <c r="J1012" t="n">
        <v>5.64</v>
      </c>
      <c r="K1012" t="n">
        <v>171.5</v>
      </c>
      <c r="L1012" t="n">
        <v>160</v>
      </c>
      <c r="M1012" s="175" t="n">
        <v>2.03</v>
      </c>
      <c r="N1012" t="inlineStr">
        <is>
          <t>台灣天線製造、儀器設備代理廠商</t>
        </is>
      </c>
    </row>
    <row r="1013">
      <c r="A1013" t="n">
        <v>3141</v>
      </c>
      <c r="B1013" t="inlineStr">
        <is>
          <t>晶宏</t>
        </is>
      </c>
      <c r="C1013" t="n">
        <v>78</v>
      </c>
      <c r="D1013" t="n">
        <v>77.3</v>
      </c>
      <c r="E1013" s="504" t="n">
        <v>-0.7</v>
      </c>
      <c r="F1013" s="505" t="n">
        <v>-0.9</v>
      </c>
      <c r="G1013" t="inlineStr">
        <is>
          <t>1.88億</t>
        </is>
      </c>
      <c r="H1013" t="n">
        <v>2486</v>
      </c>
      <c r="I1013" t="n">
        <v>5596</v>
      </c>
      <c r="J1013" t="n">
        <v>7.55</v>
      </c>
      <c r="K1013" t="n">
        <v>78.2</v>
      </c>
      <c r="L1013" t="n">
        <v>73.8</v>
      </c>
      <c r="M1013" s="175" t="n">
        <v>3.29</v>
      </c>
      <c r="N1013" t="inlineStr">
        <is>
          <t>LCD驅動IC設計公司，也是電子紙驅動IC重要供應商之一</t>
        </is>
      </c>
    </row>
    <row r="1014">
      <c r="A1014" t="n">
        <v>3147</v>
      </c>
      <c r="B1014" t="inlineStr">
        <is>
          <t>大綜</t>
        </is>
      </c>
      <c r="C1014" t="n">
        <v>215.5</v>
      </c>
      <c r="D1014" t="n">
        <v>220.5</v>
      </c>
      <c r="E1014" s="504" t="n">
        <v>20</v>
      </c>
      <c r="F1014" s="505" t="n">
        <v>9.98</v>
      </c>
      <c r="G1014" t="inlineStr">
        <is>
          <t>4.78億</t>
        </is>
      </c>
      <c r="H1014" t="n">
        <v>2183</v>
      </c>
      <c r="I1014" t="n">
        <v>745</v>
      </c>
      <c r="J1014" t="n">
        <v>4.37</v>
      </c>
      <c r="K1014" t="n">
        <v>220.5</v>
      </c>
      <c r="L1014" t="n">
        <v>215</v>
      </c>
      <c r="M1014" s="175" t="n">
        <v>5</v>
      </c>
      <c r="N1014" t="inlineStr">
        <is>
          <t>電腦軟硬體設備代理銷售及系統整合商</t>
        </is>
      </c>
    </row>
    <row r="1015">
      <c r="A1015" t="n">
        <v>3149</v>
      </c>
      <c r="B1015" t="inlineStr">
        <is>
          <t>正達</t>
        </is>
      </c>
      <c r="C1015" t="n">
        <v>86.09999999999999</v>
      </c>
      <c r="D1015" t="n">
        <v>86.09999999999999</v>
      </c>
      <c r="E1015" s="504" t="n">
        <v>7.8</v>
      </c>
      <c r="F1015" s="505" t="n">
        <v>9.960000000000001</v>
      </c>
      <c r="G1015" t="inlineStr">
        <is>
          <t>31.9億</t>
        </is>
      </c>
      <c r="H1015" t="n">
        <v>37283</v>
      </c>
      <c r="I1015" t="n">
        <v>27070</v>
      </c>
      <c r="J1015" t="n">
        <v>22.62</v>
      </c>
      <c r="K1015" t="n">
        <v>86.09999999999999</v>
      </c>
      <c r="L1015" t="n">
        <v>83.5</v>
      </c>
      <c r="M1015" s="175" t="n">
        <v>16.48</v>
      </c>
      <c r="N1015" t="inlineStr">
        <is>
          <t>鴻海集團旗下之玻璃加工龍頭廠商</t>
        </is>
      </c>
    </row>
    <row r="1016">
      <c r="A1016" t="n">
        <v>3152</v>
      </c>
      <c r="B1016" t="inlineStr">
        <is>
          <t>璟德</t>
        </is>
      </c>
      <c r="C1016" t="n">
        <v>185.5</v>
      </c>
      <c r="D1016" t="n">
        <v>186</v>
      </c>
      <c r="E1016" s="504" t="n">
        <v>-0.5</v>
      </c>
      <c r="F1016" s="505" t="n">
        <v>-0.27</v>
      </c>
      <c r="G1016" t="inlineStr">
        <is>
          <t>3.07億</t>
        </is>
      </c>
      <c r="H1016" t="n">
        <v>1670</v>
      </c>
      <c r="I1016" t="n">
        <v>2805</v>
      </c>
      <c r="J1016" t="n">
        <v>6.9</v>
      </c>
      <c r="K1016" t="n">
        <v>188</v>
      </c>
      <c r="L1016" t="n">
        <v>178.5</v>
      </c>
      <c r="M1016" s="175" t="n">
        <v>2.42</v>
      </c>
      <c r="N1016" t="inlineStr">
        <is>
          <t>台灣最大LTCC元件廠</t>
        </is>
      </c>
    </row>
    <row r="1017">
      <c r="A1017" t="n">
        <v>3158</v>
      </c>
      <c r="B1017" t="inlineStr">
        <is>
          <t>嘉實</t>
        </is>
      </c>
      <c r="C1017" t="n">
        <v>85.3</v>
      </c>
      <c r="D1017" t="n">
        <v>85.3</v>
      </c>
      <c r="E1017" s="504" t="n">
        <v>0</v>
      </c>
      <c r="F1017" s="505" t="n">
        <v>0</v>
      </c>
      <c r="G1017" t="inlineStr">
        <is>
          <t>704萬</t>
        </is>
      </c>
      <c r="H1017" t="n">
        <v>84</v>
      </c>
      <c r="I1017" t="n">
        <v>16</v>
      </c>
      <c r="J1017" t="n">
        <v>3.05</v>
      </c>
      <c r="K1017" t="n">
        <v>85.3</v>
      </c>
      <c r="L1017" t="n">
        <v>82.5</v>
      </c>
      <c r="M1017" s="175" t="n">
        <v>0.28</v>
      </c>
      <c r="N1017" t="inlineStr">
        <is>
          <t>金融資訊流整合系統及股市即時報價供應商</t>
        </is>
      </c>
    </row>
    <row r="1018">
      <c r="A1018" t="n">
        <v>3162</v>
      </c>
      <c r="B1018" t="inlineStr">
        <is>
          <t>精確</t>
        </is>
      </c>
      <c r="C1018" t="n">
        <v>86.3</v>
      </c>
      <c r="D1018" t="n">
        <v>83.59999999999999</v>
      </c>
      <c r="E1018" s="504" t="n">
        <v>-2.5</v>
      </c>
      <c r="F1018" s="505" t="n">
        <v>-2.9</v>
      </c>
      <c r="G1018" t="inlineStr">
        <is>
          <t>1.90億</t>
        </is>
      </c>
      <c r="H1018" t="n">
        <v>2245</v>
      </c>
      <c r="I1018" t="n">
        <v>5789</v>
      </c>
      <c r="J1018" t="n">
        <v>15.43</v>
      </c>
      <c r="K1018" t="n">
        <v>86.7</v>
      </c>
      <c r="L1018" t="n">
        <v>83</v>
      </c>
      <c r="M1018" s="175" t="n">
        <v>1.45</v>
      </c>
      <c r="N1018" t="inlineStr">
        <is>
          <t>敏實集團旗下的車用鋁壓鑄零件供應商</t>
        </is>
      </c>
    </row>
    <row r="1019">
      <c r="A1019" t="n">
        <v>3163</v>
      </c>
      <c r="B1019" t="inlineStr">
        <is>
          <t>波若威</t>
        </is>
      </c>
      <c r="C1019" t="n">
        <v>1100</v>
      </c>
      <c r="D1019" t="n">
        <v>988</v>
      </c>
      <c r="E1019" s="504" t="n">
        <v>-72</v>
      </c>
      <c r="F1019" s="505" t="n">
        <v>-6.79</v>
      </c>
      <c r="G1019" t="inlineStr">
        <is>
          <t>45.4億</t>
        </is>
      </c>
      <c r="H1019" t="n">
        <v>4431</v>
      </c>
      <c r="I1019" t="n">
        <v>4078</v>
      </c>
      <c r="J1019" t="n">
        <v>8.050000000000001</v>
      </c>
      <c r="K1019" t="n">
        <v>1120</v>
      </c>
      <c r="L1019" t="n">
        <v>982</v>
      </c>
      <c r="M1019" s="175" t="n">
        <v>5.5</v>
      </c>
      <c r="N1019" t="inlineStr">
        <is>
          <t>台灣最大光纖被動元件代工廠</t>
        </is>
      </c>
    </row>
    <row r="1020">
      <c r="A1020" t="n">
        <v>3164</v>
      </c>
      <c r="B1020" t="inlineStr">
        <is>
          <t>景岳</t>
        </is>
      </c>
      <c r="C1020" t="n">
        <v>16.35</v>
      </c>
      <c r="D1020" t="n">
        <v>16.25</v>
      </c>
      <c r="E1020" s="504" t="n">
        <v>-0.15</v>
      </c>
      <c r="F1020" s="505" t="n">
        <v>-0.91</v>
      </c>
      <c r="G1020" t="inlineStr">
        <is>
          <t>115萬</t>
        </is>
      </c>
      <c r="H1020" t="n">
        <v>71</v>
      </c>
      <c r="I1020" t="n">
        <v>133</v>
      </c>
      <c r="J1020" t="n">
        <v>8.6</v>
      </c>
      <c r="K1020" t="n">
        <v>16.35</v>
      </c>
      <c r="L1020" t="n">
        <v>16.2</v>
      </c>
      <c r="M1020" s="175" t="n">
        <v>0.08</v>
      </c>
      <c r="N1020" t="inlineStr">
        <is>
          <t>亞洲第一家益生菌原料藥GMP廠</t>
        </is>
      </c>
    </row>
    <row r="1021">
      <c r="A1021" t="n">
        <v>3167</v>
      </c>
      <c r="B1021" t="inlineStr">
        <is>
          <t>大量</t>
        </is>
      </c>
      <c r="C1021" t="n">
        <v>797</v>
      </c>
      <c r="D1021" t="n">
        <v>840</v>
      </c>
      <c r="E1021" s="504" t="n">
        <v>54</v>
      </c>
      <c r="F1021" s="505" t="n">
        <v>6.87</v>
      </c>
      <c r="G1021" t="inlineStr">
        <is>
          <t>6.54億</t>
        </is>
      </c>
      <c r="H1021" t="n">
        <v>796</v>
      </c>
      <c r="I1021" t="n">
        <v>679</v>
      </c>
      <c r="J1021" t="n">
        <v>9.039999999999999</v>
      </c>
      <c r="K1021" t="n">
        <v>845</v>
      </c>
      <c r="L1021" t="n">
        <v>784</v>
      </c>
      <c r="M1021" s="175" t="n">
        <v>0.9</v>
      </c>
      <c r="N1021" t="inlineStr">
        <is>
          <t>全球PCB成型機龍頭廠</t>
        </is>
      </c>
    </row>
    <row r="1022">
      <c r="A1022" t="n">
        <v>3168</v>
      </c>
      <c r="B1022" t="inlineStr">
        <is>
          <t>眾福科</t>
        </is>
      </c>
      <c r="C1022" t="n">
        <v>50.4</v>
      </c>
      <c r="D1022" t="n">
        <v>48.25</v>
      </c>
      <c r="E1022" s="504" t="n">
        <v>-0.7</v>
      </c>
      <c r="F1022" s="505" t="n">
        <v>-1.43</v>
      </c>
      <c r="G1022" t="inlineStr">
        <is>
          <t>550萬</t>
        </is>
      </c>
      <c r="H1022" t="n">
        <v>113</v>
      </c>
      <c r="I1022" t="n">
        <v>208</v>
      </c>
      <c r="J1022" t="n">
        <v>7.51</v>
      </c>
      <c r="K1022" t="n">
        <v>50.4</v>
      </c>
      <c r="L1022" t="n">
        <v>48</v>
      </c>
      <c r="M1022" s="175" t="n">
        <v>0.15</v>
      </c>
      <c r="N1022" t="inlineStr">
        <is>
          <t>佳世達旗下，為工控及客製化液晶顯示器之製造商</t>
        </is>
      </c>
    </row>
    <row r="1023">
      <c r="A1023" t="n">
        <v>3169</v>
      </c>
      <c r="B1023" t="inlineStr">
        <is>
          <t>亞信</t>
        </is>
      </c>
      <c r="C1023" t="n">
        <v>120</v>
      </c>
      <c r="D1023" t="n">
        <v>123</v>
      </c>
      <c r="E1023" s="504" t="n">
        <v>4</v>
      </c>
      <c r="F1023" s="505" t="n">
        <v>3.36</v>
      </c>
      <c r="G1023" t="inlineStr">
        <is>
          <t>1.01億</t>
        </is>
      </c>
      <c r="H1023" t="n">
        <v>842</v>
      </c>
      <c r="I1023" t="n">
        <v>966</v>
      </c>
      <c r="J1023" t="n">
        <v>6.33</v>
      </c>
      <c r="K1023" t="n">
        <v>123.5</v>
      </c>
      <c r="L1023" t="n">
        <v>118</v>
      </c>
      <c r="M1023" s="175" t="n">
        <v>1.33</v>
      </c>
      <c r="N1023" t="inlineStr">
        <is>
          <t>台灣乙太網路控制晶片廠</t>
        </is>
      </c>
    </row>
    <row r="1024">
      <c r="A1024" t="n">
        <v>3171</v>
      </c>
      <c r="B1024" t="inlineStr">
        <is>
          <t>炎洲流通</t>
        </is>
      </c>
      <c r="C1024" t="n">
        <v>69.09999999999999</v>
      </c>
      <c r="D1024" t="n">
        <v>72.7</v>
      </c>
      <c r="E1024" s="504" t="n">
        <v>3.2</v>
      </c>
      <c r="F1024" s="505" t="n">
        <v>4.6</v>
      </c>
      <c r="G1024" t="inlineStr">
        <is>
          <t>760萬</t>
        </is>
      </c>
      <c r="H1024" t="n">
        <v>107</v>
      </c>
      <c r="I1024" t="n">
        <v>27</v>
      </c>
      <c r="J1024" t="n">
        <v>3.31</v>
      </c>
      <c r="K1024" t="n">
        <v>72.8</v>
      </c>
      <c r="L1024" t="n">
        <v>69.09999999999999</v>
      </c>
      <c r="M1024" s="175" t="n">
        <v>0.32</v>
      </c>
      <c r="N1024" t="inlineStr">
        <is>
          <t>炎洲集團旗下的包材通路商</t>
        </is>
      </c>
    </row>
    <row r="1025">
      <c r="A1025" t="n">
        <v>3176</v>
      </c>
      <c r="B1025" t="inlineStr">
        <is>
          <t>基亞</t>
        </is>
      </c>
      <c r="C1025" t="n">
        <v>32.45</v>
      </c>
      <c r="D1025" t="n">
        <v>32.6</v>
      </c>
      <c r="E1025" s="504" t="n">
        <v>0.15</v>
      </c>
      <c r="F1025" s="505" t="n">
        <v>0.46</v>
      </c>
      <c r="G1025" t="inlineStr">
        <is>
          <t>1804萬</t>
        </is>
      </c>
      <c r="H1025" t="n">
        <v>554</v>
      </c>
      <c r="I1025" t="n">
        <v>781</v>
      </c>
      <c r="J1025" t="n">
        <v>13.93</v>
      </c>
      <c r="K1025" t="n">
        <v>33.15</v>
      </c>
      <c r="L1025" t="n">
        <v>32.25</v>
      </c>
      <c r="M1025" s="175" t="n">
        <v>0.4</v>
      </c>
      <c r="N1025" t="inlineStr">
        <is>
          <t>全球知名的核酸檢驗試劑和肝癌新藥研發廠</t>
        </is>
      </c>
    </row>
    <row r="1026">
      <c r="A1026" t="n">
        <v>3178</v>
      </c>
      <c r="B1026" t="inlineStr">
        <is>
          <t>公準</t>
        </is>
      </c>
      <c r="C1026" t="n">
        <v>70</v>
      </c>
      <c r="D1026" t="n">
        <v>68.8</v>
      </c>
      <c r="E1026" s="504" t="n">
        <v>-1.2</v>
      </c>
      <c r="F1026" s="505" t="n">
        <v>-1.71</v>
      </c>
      <c r="G1026" t="inlineStr">
        <is>
          <t>1006萬</t>
        </is>
      </c>
      <c r="H1026" t="n">
        <v>147</v>
      </c>
      <c r="I1026" t="n">
        <v>272</v>
      </c>
      <c r="J1026" t="n">
        <v>4.51</v>
      </c>
      <c r="K1026" t="n">
        <v>70</v>
      </c>
      <c r="L1026" t="n">
        <v>68</v>
      </c>
      <c r="M1026" s="175" t="n">
        <v>0.33</v>
      </c>
      <c r="N1026" t="inlineStr">
        <is>
          <t>機台設備使用之關鍵零組件、精密模具製造商</t>
        </is>
      </c>
    </row>
    <row r="1027">
      <c r="A1027" t="n">
        <v>3188</v>
      </c>
      <c r="B1027" t="inlineStr">
        <is>
          <t>鑫龍騰</t>
        </is>
      </c>
      <c r="C1027" t="n">
        <v>22.55</v>
      </c>
      <c r="D1027" t="n">
        <v>22.6</v>
      </c>
      <c r="E1027" s="504" t="n">
        <v>0.05</v>
      </c>
      <c r="F1027" s="505" t="n">
        <v>0.22</v>
      </c>
      <c r="G1027" t="inlineStr">
        <is>
          <t>556萬</t>
        </is>
      </c>
      <c r="H1027" t="n">
        <v>247</v>
      </c>
      <c r="I1027" t="n">
        <v>421</v>
      </c>
      <c r="J1027" t="n">
        <v>18.86</v>
      </c>
      <c r="K1027" t="n">
        <v>22.75</v>
      </c>
      <c r="L1027" t="n">
        <v>22.45</v>
      </c>
      <c r="M1027" s="175" t="n">
        <v>0.13</v>
      </c>
      <c r="N1027" t="inlineStr">
        <is>
          <t>以開發南部不動產商品為主</t>
        </is>
      </c>
    </row>
    <row r="1028">
      <c r="A1028" t="n">
        <v>3189</v>
      </c>
      <c r="B1028" t="inlineStr">
        <is>
          <t>景碩</t>
        </is>
      </c>
      <c r="C1028" t="n">
        <v>778</v>
      </c>
      <c r="D1028" t="n">
        <v>743</v>
      </c>
      <c r="E1028" s="504" t="n">
        <v>-31</v>
      </c>
      <c r="F1028" s="505" t="n">
        <v>-4.01</v>
      </c>
      <c r="G1028" t="inlineStr">
        <is>
          <t>44.2億</t>
        </is>
      </c>
      <c r="H1028" t="n">
        <v>6081</v>
      </c>
      <c r="I1028" t="n">
        <v>20571</v>
      </c>
      <c r="J1028" t="n">
        <v>52.69</v>
      </c>
      <c r="K1028" t="n">
        <v>778</v>
      </c>
      <c r="L1028" t="n">
        <v>710</v>
      </c>
      <c r="M1028" s="175" t="n">
        <v>1.15</v>
      </c>
      <c r="N1028" t="inlineStr">
        <is>
          <t>全球ABF載板的主要供應商</t>
        </is>
      </c>
    </row>
    <row r="1029">
      <c r="A1029" t="n">
        <v>3191</v>
      </c>
      <c r="B1029" t="inlineStr">
        <is>
          <t>雲嘉南</t>
        </is>
      </c>
      <c r="C1029" t="n">
        <v>24.25</v>
      </c>
      <c r="D1029" t="n">
        <v>22.45</v>
      </c>
      <c r="E1029" s="504" t="n">
        <v>-2.25</v>
      </c>
      <c r="F1029" s="505" t="n">
        <v>-9.109999999999999</v>
      </c>
      <c r="G1029" t="inlineStr">
        <is>
          <t>1396萬</t>
        </is>
      </c>
      <c r="H1029" t="n">
        <v>621</v>
      </c>
      <c r="I1029" t="n">
        <v>755</v>
      </c>
      <c r="J1029" t="n">
        <v>4.36</v>
      </c>
      <c r="K1029" t="n">
        <v>24.25</v>
      </c>
      <c r="L1029" t="n">
        <v>22.25</v>
      </c>
      <c r="M1029" s="175" t="n">
        <v>1.42</v>
      </c>
      <c r="N1029" t="inlineStr">
        <is>
          <t>變壓器線架專業生產商</t>
        </is>
      </c>
    </row>
    <row r="1030">
      <c r="A1030" t="n">
        <v>3205</v>
      </c>
      <c r="B1030" t="inlineStr">
        <is>
          <t>佰研</t>
        </is>
      </c>
      <c r="C1030" t="n">
        <v>53.5</v>
      </c>
      <c r="D1030" t="n">
        <v>52.3</v>
      </c>
      <c r="E1030" s="504" t="n">
        <v>-1</v>
      </c>
      <c r="F1030" s="505" t="n">
        <v>-1.88</v>
      </c>
      <c r="G1030" t="inlineStr">
        <is>
          <t>741萬</t>
        </is>
      </c>
      <c r="H1030" t="n">
        <v>140</v>
      </c>
      <c r="I1030" t="n">
        <v>129</v>
      </c>
      <c r="J1030" t="n">
        <v>6.75</v>
      </c>
      <c r="K1030" t="n">
        <v>54</v>
      </c>
      <c r="L1030" t="n">
        <v>52.3</v>
      </c>
      <c r="M1030" s="175" t="n">
        <v>0.21</v>
      </c>
      <c r="N1030" t="inlineStr">
        <is>
          <t>透過克緹直銷有機食品及保健食品</t>
        </is>
      </c>
    </row>
    <row r="1031">
      <c r="A1031" t="n">
        <v>3206</v>
      </c>
      <c r="B1031" t="inlineStr">
        <is>
          <t>志豐</t>
        </is>
      </c>
      <c r="C1031" t="n">
        <v>41</v>
      </c>
      <c r="D1031" t="n">
        <v>40.4</v>
      </c>
      <c r="E1031" s="504" t="n">
        <v>0</v>
      </c>
      <c r="F1031" s="505" t="n">
        <v>0</v>
      </c>
      <c r="G1031" t="inlineStr">
        <is>
          <t>1904萬</t>
        </is>
      </c>
      <c r="H1031" t="n">
        <v>469</v>
      </c>
      <c r="I1031" t="n">
        <v>834</v>
      </c>
      <c r="J1031" t="n">
        <v>5.89</v>
      </c>
      <c r="K1031" t="n">
        <v>41.9</v>
      </c>
      <c r="L1031" t="n">
        <v>39.7</v>
      </c>
      <c r="M1031" s="175" t="n">
        <v>0.8</v>
      </c>
      <c r="N1031" t="inlineStr">
        <is>
          <t>耳機與蜂鳴器等電聲元件廠</t>
        </is>
      </c>
    </row>
    <row r="1032">
      <c r="A1032" t="n">
        <v>3207</v>
      </c>
      <c r="B1032" t="inlineStr">
        <is>
          <t>耀勝</t>
        </is>
      </c>
      <c r="C1032" t="n">
        <v>68</v>
      </c>
      <c r="D1032" t="n">
        <v>71.7</v>
      </c>
      <c r="E1032" s="504" t="n">
        <v>3.8</v>
      </c>
      <c r="F1032" s="505" t="n">
        <v>5.6</v>
      </c>
      <c r="G1032" t="inlineStr">
        <is>
          <t>1.53億</t>
        </is>
      </c>
      <c r="H1032" t="n">
        <v>2144</v>
      </c>
      <c r="I1032" t="n">
        <v>1027</v>
      </c>
      <c r="J1032" t="n">
        <v>6.64</v>
      </c>
      <c r="K1032" t="n">
        <v>74.5</v>
      </c>
      <c r="L1032" t="n">
        <v>67.5</v>
      </c>
      <c r="M1032" s="175" t="n">
        <v>3.23</v>
      </c>
      <c r="N1032" t="inlineStr">
        <is>
          <t>變壓器及電感線圈製造生產商</t>
        </is>
      </c>
    </row>
    <row r="1033">
      <c r="A1033" t="n">
        <v>3209</v>
      </c>
      <c r="B1033" t="inlineStr">
        <is>
          <t>全科</t>
        </is>
      </c>
      <c r="C1033" t="n">
        <v>75.3</v>
      </c>
      <c r="D1033" t="n">
        <v>77.8</v>
      </c>
      <c r="E1033" s="504" t="n">
        <v>2.5</v>
      </c>
      <c r="F1033" s="505" t="n">
        <v>3.32</v>
      </c>
      <c r="G1033" t="inlineStr">
        <is>
          <t>2.01億</t>
        </is>
      </c>
      <c r="H1033" t="n">
        <v>2639</v>
      </c>
      <c r="I1033" t="n">
        <v>5194</v>
      </c>
      <c r="J1033" t="n">
        <v>23.54</v>
      </c>
      <c r="K1033" t="n">
        <v>77.8</v>
      </c>
      <c r="L1033" t="n">
        <v>74.59999999999999</v>
      </c>
      <c r="M1033" s="175" t="n">
        <v>1.12</v>
      </c>
      <c r="N1033" t="inlineStr">
        <is>
          <t>為專業通訊元件設計及通路商</t>
        </is>
      </c>
    </row>
    <row r="1034">
      <c r="A1034" t="n">
        <v>3211</v>
      </c>
      <c r="B1034" t="inlineStr">
        <is>
          <t>順達</t>
        </is>
      </c>
      <c r="C1034" t="n">
        <v>436</v>
      </c>
      <c r="D1034" t="n">
        <v>422</v>
      </c>
      <c r="E1034" s="504" t="n">
        <v>-14</v>
      </c>
      <c r="F1034" s="505" t="n">
        <v>-3.21</v>
      </c>
      <c r="G1034" t="inlineStr">
        <is>
          <t>37.9億</t>
        </is>
      </c>
      <c r="H1034" t="n">
        <v>8969</v>
      </c>
      <c r="I1034" t="n">
        <v>13966</v>
      </c>
      <c r="J1034" t="n">
        <v>15.43</v>
      </c>
      <c r="K1034" t="n">
        <v>441.5</v>
      </c>
      <c r="L1034" t="n">
        <v>416</v>
      </c>
      <c r="M1034" s="175" t="n">
        <v>5.81</v>
      </c>
      <c r="N1034" t="inlineStr">
        <is>
          <t>全球知名筆記型電腦電池組裝廠</t>
        </is>
      </c>
    </row>
    <row r="1035">
      <c r="A1035" t="n">
        <v>3213</v>
      </c>
      <c r="B1035" t="inlineStr">
        <is>
          <t>茂訊</t>
        </is>
      </c>
      <c r="C1035" t="n">
        <v>123.5</v>
      </c>
      <c r="D1035" t="n">
        <v>124</v>
      </c>
      <c r="E1035" s="504" t="n">
        <v>2</v>
      </c>
      <c r="F1035" s="505" t="n">
        <v>1.64</v>
      </c>
      <c r="G1035" t="inlineStr">
        <is>
          <t>7432萬</t>
        </is>
      </c>
      <c r="H1035" t="n">
        <v>606</v>
      </c>
      <c r="I1035" t="n">
        <v>656</v>
      </c>
      <c r="J1035" t="n">
        <v>5.87</v>
      </c>
      <c r="K1035" t="n">
        <v>124</v>
      </c>
      <c r="L1035" t="n">
        <v>121</v>
      </c>
      <c r="M1035" s="175" t="n">
        <v>1.03</v>
      </c>
      <c r="N1035" t="inlineStr">
        <is>
          <t>國內專業的強固型電腦暨電腦通路商</t>
        </is>
      </c>
    </row>
    <row r="1036">
      <c r="A1036" t="n">
        <v>3217</v>
      </c>
      <c r="B1036" t="inlineStr">
        <is>
          <t>優群</t>
        </is>
      </c>
      <c r="C1036" t="n">
        <v>193.5</v>
      </c>
      <c r="D1036" t="n">
        <v>192</v>
      </c>
      <c r="E1036" s="504" t="n">
        <v>-1.5</v>
      </c>
      <c r="F1036" s="505" t="n">
        <v>-0.78</v>
      </c>
      <c r="G1036" t="inlineStr">
        <is>
          <t>1.80億</t>
        </is>
      </c>
      <c r="H1036" t="n">
        <v>943</v>
      </c>
      <c r="I1036" t="n">
        <v>2428</v>
      </c>
      <c r="J1036" t="n">
        <v>9.01</v>
      </c>
      <c r="K1036" t="n">
        <v>194</v>
      </c>
      <c r="L1036" t="n">
        <v>189.5</v>
      </c>
      <c r="M1036" s="175" t="n">
        <v>1.05</v>
      </c>
      <c r="N1036" t="inlineStr">
        <is>
          <t>國內連接器製造商</t>
        </is>
      </c>
    </row>
    <row r="1037">
      <c r="A1037" t="n">
        <v>3218</v>
      </c>
      <c r="B1037" t="inlineStr">
        <is>
          <t>大學光</t>
        </is>
      </c>
      <c r="C1037" t="n">
        <v>140</v>
      </c>
      <c r="D1037" t="n">
        <v>138</v>
      </c>
      <c r="E1037" s="504" t="n">
        <v>-2</v>
      </c>
      <c r="F1037" s="505" t="n">
        <v>-1.43</v>
      </c>
      <c r="G1037" t="inlineStr">
        <is>
          <t>3482萬</t>
        </is>
      </c>
      <c r="H1037" t="n">
        <v>250</v>
      </c>
      <c r="I1037" t="n">
        <v>512</v>
      </c>
      <c r="J1037" t="n">
        <v>8.470000000000001</v>
      </c>
      <c r="K1037" t="n">
        <v>141.5</v>
      </c>
      <c r="L1037" t="n">
        <v>138</v>
      </c>
      <c r="M1037" s="175" t="n">
        <v>0.3</v>
      </c>
      <c r="N1037" t="inlineStr">
        <is>
          <t>台灣最大視力健康連鎖集團</t>
        </is>
      </c>
    </row>
    <row r="1038">
      <c r="A1038" t="n">
        <v>3219</v>
      </c>
      <c r="B1038" t="inlineStr">
        <is>
          <t>倚強科</t>
        </is>
      </c>
      <c r="C1038" t="n">
        <v>81.2</v>
      </c>
      <c r="D1038" t="n">
        <v>79.5</v>
      </c>
      <c r="E1038" s="504" t="n">
        <v>-1.3</v>
      </c>
      <c r="F1038" s="505" t="n">
        <v>-1.61</v>
      </c>
      <c r="G1038" t="inlineStr">
        <is>
          <t>4035萬</t>
        </is>
      </c>
      <c r="H1038" t="n">
        <v>503</v>
      </c>
      <c r="I1038" t="n">
        <v>715</v>
      </c>
      <c r="J1038" t="n">
        <v>7.18</v>
      </c>
      <c r="K1038" t="n">
        <v>84</v>
      </c>
      <c r="L1038" t="n">
        <v>78.8</v>
      </c>
      <c r="M1038" s="175" t="n">
        <v>0.71</v>
      </c>
      <c r="N1038" t="inlineStr">
        <is>
          <t>全球領先的消費電子及車電測試方案供應商</t>
        </is>
      </c>
    </row>
    <row r="1039">
      <c r="A1039" t="n">
        <v>3221</v>
      </c>
      <c r="B1039" t="inlineStr">
        <is>
          <t>台嘉碩</t>
        </is>
      </c>
      <c r="C1039" t="n">
        <v>57</v>
      </c>
      <c r="D1039" t="n">
        <v>57.3</v>
      </c>
      <c r="E1039" s="504" t="n">
        <v>-0.2</v>
      </c>
      <c r="F1039" s="505" t="n">
        <v>-0.35</v>
      </c>
      <c r="G1039" t="inlineStr">
        <is>
          <t>3.79億</t>
        </is>
      </c>
      <c r="H1039" t="n">
        <v>6789</v>
      </c>
      <c r="I1039" t="n">
        <v>14138</v>
      </c>
      <c r="J1039" t="n">
        <v>10.51</v>
      </c>
      <c r="K1039" t="n">
        <v>57.9</v>
      </c>
      <c r="L1039" t="n">
        <v>54.7</v>
      </c>
      <c r="M1039" s="175" t="n">
        <v>6.46</v>
      </c>
      <c r="N1039" t="inlineStr">
        <is>
          <t>台灣最大的表面聲波濾波器製造商</t>
        </is>
      </c>
    </row>
    <row r="1040">
      <c r="A1040" t="n">
        <v>3224</v>
      </c>
      <c r="B1040" t="inlineStr">
        <is>
          <t>三顧</t>
        </is>
      </c>
      <c r="C1040" t="n">
        <v>38.8</v>
      </c>
      <c r="D1040" t="n">
        <v>38.5</v>
      </c>
      <c r="E1040" s="504" t="n">
        <v>-0.15</v>
      </c>
      <c r="F1040" s="505" t="n">
        <v>-0.39</v>
      </c>
      <c r="G1040" t="inlineStr">
        <is>
          <t>715萬</t>
        </is>
      </c>
      <c r="H1040" t="n">
        <v>186</v>
      </c>
      <c r="I1040" t="n">
        <v>142</v>
      </c>
      <c r="J1040" t="n">
        <v>7.82</v>
      </c>
      <c r="K1040" t="n">
        <v>38.95</v>
      </c>
      <c r="L1040" t="n">
        <v>38.05</v>
      </c>
      <c r="M1040" s="175" t="n">
        <v>0.24</v>
      </c>
      <c r="N1040" t="inlineStr">
        <is>
          <t>經營電子材料代理及再生醫療業務</t>
        </is>
      </c>
    </row>
    <row r="1041">
      <c r="A1041" t="n">
        <v>3226</v>
      </c>
      <c r="B1041" t="inlineStr">
        <is>
          <t>龍鋒</t>
        </is>
      </c>
      <c r="C1041" t="n">
        <v>46</v>
      </c>
      <c r="D1041" t="n">
        <v>46.1</v>
      </c>
      <c r="E1041" s="504" t="n">
        <v>0.85</v>
      </c>
      <c r="F1041" s="505" t="n">
        <v>1.88</v>
      </c>
      <c r="G1041" t="inlineStr">
        <is>
          <t>152萬</t>
        </is>
      </c>
      <c r="H1041" t="n">
        <v>33</v>
      </c>
      <c r="I1041" t="n">
        <v>12</v>
      </c>
      <c r="J1041" t="n">
        <v>6.44</v>
      </c>
      <c r="K1041" t="n">
        <v>47</v>
      </c>
      <c r="L1041" t="n">
        <v>45.85</v>
      </c>
      <c r="M1041" s="175" t="n">
        <v>0.05</v>
      </c>
      <c r="N1041" t="inlineStr">
        <is>
          <t>台灣車燈及車用LED模組製造商</t>
        </is>
      </c>
    </row>
    <row r="1042">
      <c r="A1042" t="n">
        <v>3227</v>
      </c>
      <c r="B1042" t="inlineStr">
        <is>
          <t>原相</t>
        </is>
      </c>
      <c r="C1042" t="n">
        <v>233</v>
      </c>
      <c r="D1042" t="n">
        <v>235</v>
      </c>
      <c r="E1042" s="504" t="n">
        <v>2</v>
      </c>
      <c r="F1042" s="505" t="n">
        <v>0.86</v>
      </c>
      <c r="G1042" t="inlineStr">
        <is>
          <t>6.60億</t>
        </is>
      </c>
      <c r="H1042" t="n">
        <v>2839</v>
      </c>
      <c r="I1042" t="n">
        <v>3028</v>
      </c>
      <c r="J1042" t="n">
        <v>15.05</v>
      </c>
      <c r="K1042" t="n">
        <v>236</v>
      </c>
      <c r="L1042" t="n">
        <v>229.5</v>
      </c>
      <c r="M1042" s="175" t="n">
        <v>1.89</v>
      </c>
      <c r="N1042" t="inlineStr">
        <is>
          <t>為CMOS影像感測器及數位影像應用IC領導廠商</t>
        </is>
      </c>
    </row>
    <row r="1043">
      <c r="A1043" t="n">
        <v>3228</v>
      </c>
      <c r="B1043" t="inlineStr">
        <is>
          <t>金麗科</t>
        </is>
      </c>
      <c r="C1043" t="n">
        <v>204</v>
      </c>
      <c r="D1043" t="n">
        <v>194.5</v>
      </c>
      <c r="E1043" s="504" t="n">
        <v>-2</v>
      </c>
      <c r="F1043" s="505" t="n">
        <v>-1.02</v>
      </c>
      <c r="G1043" t="inlineStr">
        <is>
          <t>1.39億</t>
        </is>
      </c>
      <c r="H1043" t="n">
        <v>721</v>
      </c>
      <c r="I1043" t="n">
        <v>1003</v>
      </c>
      <c r="J1043" t="n">
        <v>7.19</v>
      </c>
      <c r="K1043" t="n">
        <v>204</v>
      </c>
      <c r="L1043" t="n">
        <v>189</v>
      </c>
      <c r="M1043" s="175" t="n">
        <v>1.01</v>
      </c>
      <c r="N1043" t="inlineStr">
        <is>
          <t>從事微控制器IC、嵌入式微處理器及網路單晶片IC等設計公司</t>
        </is>
      </c>
    </row>
    <row r="1044">
      <c r="A1044" t="n">
        <v>3229</v>
      </c>
      <c r="B1044" t="inlineStr">
        <is>
          <t>晟鈦</t>
        </is>
      </c>
      <c r="C1044" t="n">
        <v>50</v>
      </c>
      <c r="D1044" t="n">
        <v>50.3</v>
      </c>
      <c r="E1044" s="504" t="n">
        <v>-4.1</v>
      </c>
      <c r="F1044" s="505" t="n">
        <v>-7.54</v>
      </c>
      <c r="G1044" t="inlineStr">
        <is>
          <t>8010萬</t>
        </is>
      </c>
      <c r="H1044" t="n">
        <v>1605</v>
      </c>
      <c r="I1044" t="n">
        <v>1390</v>
      </c>
      <c r="J1044" t="n">
        <v>6.43</v>
      </c>
      <c r="K1044" t="n">
        <v>52.6</v>
      </c>
      <c r="L1044" t="n">
        <v>49</v>
      </c>
      <c r="M1044" s="175" t="n">
        <v>4.97</v>
      </c>
      <c r="N1044" t="inlineStr">
        <is>
          <t>磷銅球、小量多樣PCB供應商</t>
        </is>
      </c>
    </row>
    <row r="1045">
      <c r="A1045" t="n">
        <v>3230</v>
      </c>
      <c r="B1045" t="inlineStr">
        <is>
          <t>錦明</t>
        </is>
      </c>
      <c r="C1045" t="n">
        <v>31</v>
      </c>
      <c r="D1045" t="n">
        <v>30.7</v>
      </c>
      <c r="E1045" s="504" t="n">
        <v>0</v>
      </c>
      <c r="F1045" s="505" t="n">
        <v>0</v>
      </c>
      <c r="G1045" t="inlineStr">
        <is>
          <t>1952萬</t>
        </is>
      </c>
      <c r="H1045" t="n">
        <v>644</v>
      </c>
      <c r="I1045" t="n">
        <v>776</v>
      </c>
      <c r="J1045" t="n">
        <v>8.6</v>
      </c>
      <c r="K1045" t="n">
        <v>31</v>
      </c>
      <c r="L1045" t="n">
        <v>30.1</v>
      </c>
      <c r="M1045" s="175" t="n">
        <v>0.75</v>
      </c>
      <c r="N1045" t="inlineStr">
        <is>
          <t>生產液晶螢幕金屬機構模具廠</t>
        </is>
      </c>
    </row>
    <row r="1046">
      <c r="A1046" t="n">
        <v>3231</v>
      </c>
      <c r="B1046" t="inlineStr">
        <is>
          <t>緯創</t>
        </is>
      </c>
      <c r="C1046" t="n">
        <v>179</v>
      </c>
      <c r="D1046" t="n">
        <v>191</v>
      </c>
      <c r="E1046" s="504" t="n">
        <v>17</v>
      </c>
      <c r="F1046" s="505" t="n">
        <v>9.77</v>
      </c>
      <c r="G1046" t="inlineStr">
        <is>
          <t>526億</t>
        </is>
      </c>
      <c r="H1046" t="n">
        <v>279118</v>
      </c>
      <c r="I1046" t="n">
        <v>64772</v>
      </c>
      <c r="J1046" t="n">
        <v>318.04</v>
      </c>
      <c r="K1046" t="n">
        <v>191</v>
      </c>
      <c r="L1046" t="n">
        <v>177</v>
      </c>
      <c r="M1046" s="175" t="n">
        <v>8.779999999999999</v>
      </c>
      <c r="N1046" t="inlineStr">
        <is>
          <t>全球前五大NB代工廠</t>
        </is>
      </c>
    </row>
    <row r="1047">
      <c r="A1047" t="n">
        <v>3232</v>
      </c>
      <c r="B1047" t="inlineStr">
        <is>
          <t>昱捷</t>
        </is>
      </c>
      <c r="C1047" t="n">
        <v>22.85</v>
      </c>
      <c r="D1047" t="n">
        <v>22.8</v>
      </c>
      <c r="E1047" s="504" t="n">
        <v>-0.4</v>
      </c>
      <c r="F1047" s="505" t="n">
        <v>-1.72</v>
      </c>
      <c r="G1047" t="inlineStr">
        <is>
          <t>277萬</t>
        </is>
      </c>
      <c r="H1047" t="n">
        <v>122</v>
      </c>
      <c r="I1047" t="n">
        <v>491</v>
      </c>
      <c r="J1047" t="n">
        <v>4.66</v>
      </c>
      <c r="K1047" t="n">
        <v>23</v>
      </c>
      <c r="L1047" t="n">
        <v>22.4</v>
      </c>
      <c r="M1047" s="175" t="n">
        <v>0.26</v>
      </c>
      <c r="N1047" t="inlineStr">
        <is>
          <t>主要代理日系的電子零組件通路商</t>
        </is>
      </c>
    </row>
    <row r="1048">
      <c r="A1048" t="n">
        <v>3234</v>
      </c>
      <c r="B1048" t="inlineStr">
        <is>
          <t>光環</t>
        </is>
      </c>
      <c r="C1048" t="n">
        <v>129</v>
      </c>
      <c r="D1048" t="n">
        <v>130</v>
      </c>
      <c r="E1048" s="504" t="n">
        <v>11.5</v>
      </c>
      <c r="F1048" s="505" t="n">
        <v>9.699999999999999</v>
      </c>
      <c r="G1048" t="inlineStr">
        <is>
          <t>16.3億</t>
        </is>
      </c>
      <c r="H1048" t="n">
        <v>12690</v>
      </c>
      <c r="I1048" t="n">
        <v>2960</v>
      </c>
      <c r="J1048" t="n">
        <v>11.15</v>
      </c>
      <c r="K1048" t="n">
        <v>130</v>
      </c>
      <c r="L1048" t="n">
        <v>120</v>
      </c>
      <c r="M1048" s="175" t="n">
        <v>11.38</v>
      </c>
      <c r="N1048" t="inlineStr">
        <is>
          <t>光收發模組上游晶粒及封裝廠</t>
        </is>
      </c>
    </row>
    <row r="1049">
      <c r="A1049" t="n">
        <v>3236</v>
      </c>
      <c r="B1049" t="inlineStr">
        <is>
          <t>千如</t>
        </is>
      </c>
      <c r="C1049" t="n">
        <v>57.5</v>
      </c>
      <c r="D1049" t="n">
        <v>55</v>
      </c>
      <c r="E1049" s="504" t="n">
        <v>-2.3</v>
      </c>
      <c r="F1049" s="505" t="n">
        <v>-4.01</v>
      </c>
      <c r="G1049" t="inlineStr">
        <is>
          <t>1.45億</t>
        </is>
      </c>
      <c r="H1049" t="n">
        <v>2711</v>
      </c>
      <c r="I1049" t="n">
        <v>9263</v>
      </c>
      <c r="J1049" t="n">
        <v>10.5</v>
      </c>
      <c r="K1049" t="n">
        <v>57.5</v>
      </c>
      <c r="L1049" t="n">
        <v>52.5</v>
      </c>
      <c r="M1049" s="175" t="n">
        <v>2.58</v>
      </c>
      <c r="N1049" t="inlineStr">
        <is>
          <t>台灣SMD晶片電感廠</t>
        </is>
      </c>
    </row>
    <row r="1050">
      <c r="A1050" t="n">
        <v>3252</v>
      </c>
      <c r="B1050" t="inlineStr">
        <is>
          <t>海灣</t>
        </is>
      </c>
      <c r="C1050" t="n">
        <v>17.7</v>
      </c>
      <c r="D1050" t="n">
        <v>17.8</v>
      </c>
      <c r="E1050" s="504" t="n">
        <v>0.05</v>
      </c>
      <c r="F1050" s="505" t="n">
        <v>0.28</v>
      </c>
      <c r="G1050" t="inlineStr">
        <is>
          <t>23.0萬</t>
        </is>
      </c>
      <c r="H1050" t="n">
        <v>13</v>
      </c>
      <c r="I1050" t="n">
        <v>14</v>
      </c>
      <c r="J1050" t="n">
        <v>5.02</v>
      </c>
      <c r="K1050" t="n">
        <v>17.8</v>
      </c>
      <c r="L1050" t="n">
        <v>17.7</v>
      </c>
      <c r="M1050" s="175" t="n">
        <v>0.03</v>
      </c>
      <c r="N1050" t="inlineStr">
        <is>
          <t>知名海邊渡假飯店</t>
        </is>
      </c>
    </row>
    <row r="1051">
      <c r="A1051" t="n">
        <v>3257</v>
      </c>
      <c r="B1051" t="inlineStr">
        <is>
          <t>虹冠電</t>
        </is>
      </c>
      <c r="C1051" t="n">
        <v>66.09999999999999</v>
      </c>
      <c r="D1051" t="n">
        <v>63.1</v>
      </c>
      <c r="E1051" s="504" t="n">
        <v>-3.6</v>
      </c>
      <c r="F1051" s="505" t="n">
        <v>-5.4</v>
      </c>
      <c r="G1051" t="inlineStr">
        <is>
          <t>1.07億</t>
        </is>
      </c>
      <c r="H1051" t="n">
        <v>1682</v>
      </c>
      <c r="I1051" t="n">
        <v>4132</v>
      </c>
      <c r="J1051" t="n">
        <v>7.98</v>
      </c>
      <c r="K1051" t="n">
        <v>66.2</v>
      </c>
      <c r="L1051" t="n">
        <v>61.3</v>
      </c>
      <c r="M1051" s="175" t="n">
        <v>2.11</v>
      </c>
      <c r="N1051" t="inlineStr">
        <is>
          <t>台灣AC-DC類比電源管理IC供應商</t>
        </is>
      </c>
    </row>
    <row r="1052">
      <c r="A1052" t="n">
        <v>3259</v>
      </c>
      <c r="B1052" t="inlineStr">
        <is>
          <t>鑫創</t>
        </is>
      </c>
      <c r="C1052" t="n">
        <v>16.5</v>
      </c>
      <c r="D1052" t="n">
        <v>17.45</v>
      </c>
      <c r="E1052" s="504" t="n">
        <v>0.7</v>
      </c>
      <c r="F1052" s="505" t="n">
        <v>4.18</v>
      </c>
      <c r="G1052" t="inlineStr">
        <is>
          <t>156萬</t>
        </is>
      </c>
      <c r="H1052" t="n">
        <v>93</v>
      </c>
      <c r="I1052" t="n">
        <v>80</v>
      </c>
      <c r="J1052" t="n">
        <v>7.3</v>
      </c>
      <c r="K1052" t="n">
        <v>17.45</v>
      </c>
      <c r="L1052" t="n">
        <v>16.5</v>
      </c>
      <c r="M1052" s="175" t="n">
        <v>0.13</v>
      </c>
      <c r="N1052" t="inlineStr">
        <is>
          <t>從事NAND Flash控制IC及MEMS麥克風IC設計廠</t>
        </is>
      </c>
    </row>
    <row r="1053">
      <c r="A1053" t="n">
        <v>3260</v>
      </c>
      <c r="B1053" t="inlineStr">
        <is>
          <t>威剛</t>
        </is>
      </c>
      <c r="C1053" t="n">
        <v>434</v>
      </c>
      <c r="D1053" t="n">
        <v>469.5</v>
      </c>
      <c r="E1053" s="504" t="n">
        <v>42.5</v>
      </c>
      <c r="F1053" s="505" t="n">
        <v>9.949999999999999</v>
      </c>
      <c r="G1053" t="inlineStr">
        <is>
          <t>267億</t>
        </is>
      </c>
      <c r="H1053" t="n">
        <v>58482</v>
      </c>
      <c r="I1053" t="n">
        <v>14951</v>
      </c>
      <c r="J1053" t="n">
        <v>32.94</v>
      </c>
      <c r="K1053" t="n">
        <v>469.5</v>
      </c>
      <c r="L1053" t="n">
        <v>430</v>
      </c>
      <c r="M1053" s="175" t="n">
        <v>17.95</v>
      </c>
      <c r="N1053" t="inlineStr">
        <is>
          <t>全球前三大記憶體模組廠</t>
        </is>
      </c>
    </row>
    <row r="1054">
      <c r="A1054" t="n">
        <v>3264</v>
      </c>
      <c r="B1054" t="inlineStr">
        <is>
          <t>欣銓</t>
        </is>
      </c>
      <c r="C1054" t="n">
        <v>224.5</v>
      </c>
      <c r="D1054" t="n">
        <v>214.5</v>
      </c>
      <c r="E1054" s="504" t="n">
        <v>-8.5</v>
      </c>
      <c r="F1054" s="505" t="n">
        <v>-3.81</v>
      </c>
      <c r="G1054" t="inlineStr">
        <is>
          <t>43.7億</t>
        </is>
      </c>
      <c r="H1054" t="n">
        <v>20252</v>
      </c>
      <c r="I1054" t="n">
        <v>18170</v>
      </c>
      <c r="J1054" t="n">
        <v>49.02</v>
      </c>
      <c r="K1054" t="n">
        <v>225.5</v>
      </c>
      <c r="L1054" t="n">
        <v>213</v>
      </c>
      <c r="M1054" s="175" t="n">
        <v>4.13</v>
      </c>
      <c r="N1054" t="inlineStr">
        <is>
          <t>主攻晶圓測試，台灣前三大IC測試廠之一</t>
        </is>
      </c>
    </row>
    <row r="1055">
      <c r="A1055" t="n">
        <v>3265</v>
      </c>
      <c r="B1055" t="inlineStr">
        <is>
          <t>台星科</t>
        </is>
      </c>
      <c r="C1055" t="n">
        <v>185</v>
      </c>
      <c r="D1055" t="n">
        <v>182.5</v>
      </c>
      <c r="E1055" s="504" t="n">
        <v>-2.5</v>
      </c>
      <c r="F1055" s="505" t="n">
        <v>-1.35</v>
      </c>
      <c r="G1055" t="inlineStr">
        <is>
          <t>3.13億</t>
        </is>
      </c>
      <c r="H1055" t="n">
        <v>1719</v>
      </c>
      <c r="I1055" t="n">
        <v>2494</v>
      </c>
      <c r="J1055" t="n">
        <v>13.63</v>
      </c>
      <c r="K1055" t="n">
        <v>187.5</v>
      </c>
      <c r="L1055" t="n">
        <v>179</v>
      </c>
      <c r="M1055" s="175" t="n">
        <v>1.26</v>
      </c>
      <c r="N1055" t="inlineStr">
        <is>
          <t>淡馬錫控股之IC封測廠</t>
        </is>
      </c>
    </row>
    <row r="1056">
      <c r="A1056" t="n">
        <v>3266</v>
      </c>
      <c r="B1056" t="inlineStr">
        <is>
          <t>昇陽</t>
        </is>
      </c>
      <c r="C1056" t="n">
        <v>12.8</v>
      </c>
      <c r="D1056" t="n">
        <v>12.75</v>
      </c>
      <c r="E1056" s="504" t="n">
        <v>-0.25</v>
      </c>
      <c r="F1056" s="505" t="n">
        <v>-1.92</v>
      </c>
      <c r="G1056" t="inlineStr">
        <is>
          <t>106萬</t>
        </is>
      </c>
      <c r="H1056" t="n">
        <v>83</v>
      </c>
      <c r="I1056" t="n">
        <v>105</v>
      </c>
      <c r="J1056" t="n">
        <v>35.23</v>
      </c>
      <c r="K1056" t="n">
        <v>12.95</v>
      </c>
      <c r="L1056" t="n">
        <v>12.6</v>
      </c>
      <c r="M1056" s="175" t="n">
        <v>0.02</v>
      </c>
      <c r="N1056" t="inlineStr">
        <is>
          <t>推案集中於大台北地區之建商</t>
        </is>
      </c>
    </row>
    <row r="1057">
      <c r="A1057" t="n">
        <v>3268</v>
      </c>
      <c r="B1057" t="inlineStr">
        <is>
          <t>海德威</t>
        </is>
      </c>
      <c r="C1057" t="n">
        <v>17.5</v>
      </c>
      <c r="D1057" t="n">
        <v>19.3</v>
      </c>
      <c r="E1057" s="504" t="n">
        <v>1.75</v>
      </c>
      <c r="F1057" s="505" t="n">
        <v>9.970000000000001</v>
      </c>
      <c r="G1057" t="inlineStr">
        <is>
          <t>3358萬</t>
        </is>
      </c>
      <c r="H1057" t="n">
        <v>1769</v>
      </c>
      <c r="I1057" t="n">
        <v>164</v>
      </c>
      <c r="J1057" t="n">
        <v>3.47</v>
      </c>
      <c r="K1057" t="n">
        <v>19.3</v>
      </c>
      <c r="L1057" t="n">
        <v>17.35</v>
      </c>
      <c r="M1057" s="175" t="n">
        <v>5.09</v>
      </c>
      <c r="N1057" t="inlineStr">
        <is>
          <t>台灣消費性IC韌體設計廠</t>
        </is>
      </c>
    </row>
    <row r="1058">
      <c r="A1058" t="n">
        <v>3272</v>
      </c>
      <c r="B1058" t="inlineStr">
        <is>
          <t>東碩</t>
        </is>
      </c>
      <c r="C1058" t="n">
        <v>18.3</v>
      </c>
      <c r="D1058" t="n">
        <v>17.9</v>
      </c>
      <c r="E1058" s="504" t="n">
        <v>-0.3</v>
      </c>
      <c r="F1058" s="505" t="n">
        <v>-1.65</v>
      </c>
      <c r="G1058" t="inlineStr">
        <is>
          <t>263萬</t>
        </is>
      </c>
      <c r="H1058" t="n">
        <v>147</v>
      </c>
      <c r="I1058" t="n">
        <v>275</v>
      </c>
      <c r="J1058" t="n">
        <v>6.12</v>
      </c>
      <c r="K1058" t="n">
        <v>18.3</v>
      </c>
      <c r="L1058" t="n">
        <v>17.7</v>
      </c>
      <c r="M1058" s="175" t="n">
        <v>0.24</v>
      </c>
      <c r="N1058" t="inlineStr">
        <is>
          <t>全球PC/行動裝置擴充基座龍頭廠</t>
        </is>
      </c>
    </row>
    <row r="1059">
      <c r="A1059" t="n">
        <v>3276</v>
      </c>
      <c r="B1059" t="inlineStr">
        <is>
          <t>宇環</t>
        </is>
      </c>
      <c r="C1059" t="n">
        <v>14.9</v>
      </c>
      <c r="D1059" t="n">
        <v>14.8</v>
      </c>
      <c r="E1059" s="504" t="n">
        <v>0</v>
      </c>
      <c r="F1059" s="505" t="n">
        <v>0</v>
      </c>
      <c r="G1059" t="inlineStr">
        <is>
          <t>390萬</t>
        </is>
      </c>
      <c r="H1059" t="n">
        <v>269</v>
      </c>
      <c r="I1059" t="n">
        <v>205</v>
      </c>
      <c r="J1059" t="n">
        <v>6.97</v>
      </c>
      <c r="K1059" t="n">
        <v>15.1</v>
      </c>
      <c r="L1059" t="n">
        <v>14.25</v>
      </c>
      <c r="M1059" s="175" t="n">
        <v>0.39</v>
      </c>
      <c r="N1059" t="inlineStr">
        <is>
          <t>志超轉投資印刷電路板公司</t>
        </is>
      </c>
    </row>
    <row r="1060">
      <c r="A1060" t="n">
        <v>3284</v>
      </c>
      <c r="B1060" t="inlineStr">
        <is>
          <t>太普高</t>
        </is>
      </c>
      <c r="C1060" t="n">
        <v>16.1</v>
      </c>
      <c r="D1060" t="n">
        <v>15.85</v>
      </c>
      <c r="E1060" s="504" t="n">
        <v>0</v>
      </c>
      <c r="F1060" s="505" t="n">
        <v>0</v>
      </c>
      <c r="G1060" t="inlineStr">
        <is>
          <t>259萬</t>
        </is>
      </c>
      <c r="H1060" t="n">
        <v>165</v>
      </c>
      <c r="I1060" t="n">
        <v>212</v>
      </c>
      <c r="J1060" t="n">
        <v>10.85</v>
      </c>
      <c r="K1060" t="n">
        <v>16.1</v>
      </c>
      <c r="L1060" t="n">
        <v>15.7</v>
      </c>
      <c r="M1060" s="175" t="n">
        <v>0.15</v>
      </c>
      <c r="N1060" t="inlineStr">
        <is>
          <t>台灣最大預塗式感光平版(PS版)廠</t>
        </is>
      </c>
    </row>
    <row r="1061">
      <c r="A1061" t="n">
        <v>3285</v>
      </c>
      <c r="B1061" t="inlineStr">
        <is>
          <t>微端</t>
        </is>
      </c>
      <c r="C1061" t="n">
        <v>30.35</v>
      </c>
      <c r="D1061" t="n">
        <v>30.75</v>
      </c>
      <c r="E1061" s="504" t="n">
        <v>0.15</v>
      </c>
      <c r="F1061" s="505" t="n">
        <v>0.49</v>
      </c>
      <c r="G1061" t="inlineStr">
        <is>
          <t>248萬</t>
        </is>
      </c>
      <c r="H1061" t="n">
        <v>81</v>
      </c>
      <c r="I1061" t="n">
        <v>149</v>
      </c>
      <c r="J1061" t="n">
        <v>4.27</v>
      </c>
      <c r="K1061" t="n">
        <v>30.9</v>
      </c>
      <c r="L1061" t="n">
        <v>30.15</v>
      </c>
      <c r="M1061" s="175" t="n">
        <v>0.19</v>
      </c>
      <c r="N1061" t="inlineStr">
        <is>
          <t>數位影音產品與LCD模組製造商</t>
        </is>
      </c>
    </row>
    <row r="1062">
      <c r="A1062" t="n">
        <v>3287</v>
      </c>
      <c r="B1062" t="inlineStr">
        <is>
          <t>廣寰科</t>
        </is>
      </c>
      <c r="C1062" t="n">
        <v>38.4</v>
      </c>
      <c r="D1062" t="n">
        <v>37.2</v>
      </c>
      <c r="E1062" s="504" t="n">
        <v>-1.25</v>
      </c>
      <c r="F1062" s="505" t="n">
        <v>-3.25</v>
      </c>
      <c r="G1062" t="inlineStr">
        <is>
          <t>2423萬</t>
        </is>
      </c>
      <c r="H1062" t="n">
        <v>652</v>
      </c>
      <c r="I1062" t="n">
        <v>2010</v>
      </c>
      <c r="J1062" t="n">
        <v>4.4</v>
      </c>
      <c r="K1062" t="n">
        <v>38.4</v>
      </c>
      <c r="L1062" t="n">
        <v>36</v>
      </c>
      <c r="M1062" s="175" t="n">
        <v>1.48</v>
      </c>
      <c r="N1062" t="inlineStr">
        <is>
          <t>「GAMDIAS」電競周邊產品品牌商</t>
        </is>
      </c>
    </row>
    <row r="1063">
      <c r="A1063" t="n">
        <v>3288</v>
      </c>
      <c r="B1063" t="inlineStr">
        <is>
          <t>點晶</t>
        </is>
      </c>
      <c r="C1063" t="n">
        <v>20.05</v>
      </c>
      <c r="D1063" t="n">
        <v>20.05</v>
      </c>
      <c r="E1063" s="504" t="n">
        <v>1.8</v>
      </c>
      <c r="F1063" s="505" t="n">
        <v>9.859999999999999</v>
      </c>
      <c r="G1063" t="inlineStr">
        <is>
          <t>180萬</t>
        </is>
      </c>
      <c r="H1063" t="n">
        <v>90</v>
      </c>
      <c r="I1063" t="n">
        <v>70</v>
      </c>
      <c r="J1063" t="n">
        <v>1.64</v>
      </c>
      <c r="K1063" t="n">
        <v>20.05</v>
      </c>
      <c r="L1063" t="n">
        <v>20.05</v>
      </c>
      <c r="M1063" s="175" t="n">
        <v>0.55</v>
      </c>
      <c r="N1063" t="inlineStr">
        <is>
          <t>LED、馬達驅動應用的類比IC設計廠商</t>
        </is>
      </c>
    </row>
    <row r="1064">
      <c r="A1064" t="n">
        <v>3289</v>
      </c>
      <c r="B1064" t="inlineStr">
        <is>
          <t>宜特</t>
        </is>
      </c>
      <c r="C1064" t="n">
        <v>168.5</v>
      </c>
      <c r="D1064" t="n">
        <v>164.5</v>
      </c>
      <c r="E1064" s="504" t="n">
        <v>-2</v>
      </c>
      <c r="F1064" s="505" t="n">
        <v>-1.2</v>
      </c>
      <c r="G1064" t="inlineStr">
        <is>
          <t>2.75億</t>
        </is>
      </c>
      <c r="H1064" t="n">
        <v>1679</v>
      </c>
      <c r="I1064" t="n">
        <v>1919</v>
      </c>
      <c r="J1064" t="n">
        <v>8.67</v>
      </c>
      <c r="K1064" t="n">
        <v>169</v>
      </c>
      <c r="L1064" t="n">
        <v>160.5</v>
      </c>
      <c r="M1064" s="175" t="n">
        <v>1.94</v>
      </c>
      <c r="N1064" t="inlineStr">
        <is>
          <t>台灣半導體驗證分析大廠</t>
        </is>
      </c>
    </row>
    <row r="1065">
      <c r="A1065" t="n">
        <v>3290</v>
      </c>
      <c r="B1065" t="inlineStr">
        <is>
          <t>東浦</t>
        </is>
      </c>
      <c r="C1065" t="n">
        <v>49.25</v>
      </c>
      <c r="D1065" t="n">
        <v>48.55</v>
      </c>
      <c r="E1065" s="504" t="n">
        <v>-0.2</v>
      </c>
      <c r="F1065" s="505" t="n">
        <v>-0.41</v>
      </c>
      <c r="G1065" t="inlineStr">
        <is>
          <t>5002萬</t>
        </is>
      </c>
      <c r="H1065" t="n">
        <v>1046</v>
      </c>
      <c r="I1065" t="n">
        <v>1112</v>
      </c>
      <c r="J1065" t="n">
        <v>9.02</v>
      </c>
      <c r="K1065" t="n">
        <v>49.25</v>
      </c>
      <c r="L1065" t="n">
        <v>46.5</v>
      </c>
      <c r="M1065" s="175" t="n">
        <v>1.16</v>
      </c>
      <c r="N1065" t="inlineStr">
        <is>
          <t>塑膠精密元件模具廠</t>
        </is>
      </c>
    </row>
    <row r="1066">
      <c r="A1066" t="n">
        <v>3293</v>
      </c>
      <c r="B1066" t="inlineStr">
        <is>
          <t>鈊象</t>
        </is>
      </c>
      <c r="C1066" t="n">
        <v>772</v>
      </c>
      <c r="D1066" t="n">
        <v>799</v>
      </c>
      <c r="E1066" s="504" t="n">
        <v>30</v>
      </c>
      <c r="F1066" s="505" t="n">
        <v>3.9</v>
      </c>
      <c r="G1066" t="inlineStr">
        <is>
          <t>43.7億</t>
        </is>
      </c>
      <c r="H1066" t="n">
        <v>5520</v>
      </c>
      <c r="I1066" t="n">
        <v>2811</v>
      </c>
      <c r="J1066" t="n">
        <v>28.18</v>
      </c>
      <c r="K1066" t="n">
        <v>803</v>
      </c>
      <c r="L1066" t="n">
        <v>768</v>
      </c>
      <c r="M1066" s="175" t="n">
        <v>1.96</v>
      </c>
      <c r="N1066" t="inlineStr">
        <is>
          <t>台灣商用遊戲機與網路遊戲大廠</t>
        </is>
      </c>
    </row>
    <row r="1067">
      <c r="A1067" t="n">
        <v>3294</v>
      </c>
      <c r="B1067" t="inlineStr">
        <is>
          <t>英濟</t>
        </is>
      </c>
      <c r="C1067" t="n">
        <v>40.45</v>
      </c>
      <c r="D1067" t="n">
        <v>41.15</v>
      </c>
      <c r="E1067" s="504" t="n">
        <v>0.95</v>
      </c>
      <c r="F1067" s="505" t="n">
        <v>2.36</v>
      </c>
      <c r="G1067" t="inlineStr">
        <is>
          <t>2.34億</t>
        </is>
      </c>
      <c r="H1067" t="n">
        <v>5631</v>
      </c>
      <c r="I1067" t="n">
        <v>2647</v>
      </c>
      <c r="J1067" t="n">
        <v>13.2</v>
      </c>
      <c r="K1067" t="n">
        <v>42.6</v>
      </c>
      <c r="L1067" t="n">
        <v>40.25</v>
      </c>
      <c r="M1067" s="175" t="n">
        <v>4.27</v>
      </c>
      <c r="N1067" t="inlineStr">
        <is>
          <t>專營塑膠零組件射出與模具廠</t>
        </is>
      </c>
    </row>
    <row r="1068">
      <c r="A1068" t="n">
        <v>3296</v>
      </c>
      <c r="B1068" t="inlineStr">
        <is>
          <t>勝德</t>
        </is>
      </c>
      <c r="C1068" t="n">
        <v>22.5</v>
      </c>
      <c r="D1068" t="n">
        <v>21.65</v>
      </c>
      <c r="E1068" s="504" t="n">
        <v>-0.15</v>
      </c>
      <c r="F1068" s="505" t="n">
        <v>-0.6899999999999999</v>
      </c>
      <c r="G1068" t="inlineStr">
        <is>
          <t>727萬</t>
        </is>
      </c>
      <c r="H1068" t="n">
        <v>332</v>
      </c>
      <c r="I1068" t="n">
        <v>181</v>
      </c>
      <c r="J1068" t="n">
        <v>9.67</v>
      </c>
      <c r="K1068" t="n">
        <v>23.2</v>
      </c>
      <c r="L1068" t="n">
        <v>21.5</v>
      </c>
      <c r="M1068" s="175" t="n">
        <v>0.34</v>
      </c>
      <c r="N1068" t="inlineStr">
        <is>
          <t>以PC應用為主的電源保護器廠</t>
        </is>
      </c>
    </row>
    <row r="1069">
      <c r="A1069" t="n">
        <v>3297</v>
      </c>
      <c r="B1069" t="inlineStr">
        <is>
          <t>杭特</t>
        </is>
      </c>
      <c r="C1069" t="n">
        <v>31.1</v>
      </c>
      <c r="D1069" t="n">
        <v>34.2</v>
      </c>
      <c r="E1069" s="504" t="n">
        <v>3.1</v>
      </c>
      <c r="F1069" s="505" t="n">
        <v>9.970000000000001</v>
      </c>
      <c r="G1069" t="inlineStr">
        <is>
          <t>1310萬</t>
        </is>
      </c>
      <c r="H1069" t="n">
        <v>391</v>
      </c>
      <c r="I1069" t="n">
        <v>128</v>
      </c>
      <c r="J1069" t="n">
        <v>3.6</v>
      </c>
      <c r="K1069" t="n">
        <v>34.2</v>
      </c>
      <c r="L1069" t="n">
        <v>30.7</v>
      </c>
      <c r="M1069" s="175" t="n">
        <v>1.08</v>
      </c>
      <c r="N1069" t="inlineStr">
        <is>
          <t>台灣安全監控系統製造商</t>
        </is>
      </c>
    </row>
    <row r="1070">
      <c r="A1070" t="n">
        <v>3303</v>
      </c>
      <c r="B1070" t="inlineStr">
        <is>
          <t>岱稜</t>
        </is>
      </c>
      <c r="C1070" t="n">
        <v>49.2</v>
      </c>
      <c r="D1070" t="n">
        <v>48.9</v>
      </c>
      <c r="E1070" s="504" t="n">
        <v>-0.3</v>
      </c>
      <c r="F1070" s="505" t="n">
        <v>-0.61</v>
      </c>
      <c r="G1070" t="inlineStr">
        <is>
          <t>2694萬</t>
        </is>
      </c>
      <c r="H1070" t="n">
        <v>551</v>
      </c>
      <c r="I1070" t="n">
        <v>366</v>
      </c>
      <c r="J1070" t="n">
        <v>9.41</v>
      </c>
      <c r="K1070" t="n">
        <v>49.4</v>
      </c>
      <c r="L1070" t="n">
        <v>48.7</v>
      </c>
      <c r="M1070" s="175" t="n">
        <v>0.59</v>
      </c>
      <c r="N1070" t="inlineStr">
        <is>
          <t>全球前三大的燙金箔領導商</t>
        </is>
      </c>
    </row>
    <row r="1071">
      <c r="A1071" t="n">
        <v>3305</v>
      </c>
      <c r="B1071" t="inlineStr">
        <is>
          <t>昇貿</t>
        </is>
      </c>
      <c r="C1071" t="n">
        <v>168</v>
      </c>
      <c r="D1071" t="n">
        <v>157.5</v>
      </c>
      <c r="E1071" s="504" t="n">
        <v>-10</v>
      </c>
      <c r="F1071" s="505" t="n">
        <v>-5.97</v>
      </c>
      <c r="G1071" t="inlineStr">
        <is>
          <t>17.1億</t>
        </is>
      </c>
      <c r="H1071" t="n">
        <v>10750</v>
      </c>
      <c r="I1071" t="n">
        <v>12285</v>
      </c>
      <c r="J1071" t="n">
        <v>14.46</v>
      </c>
      <c r="K1071" t="n">
        <v>168</v>
      </c>
      <c r="L1071" t="n">
        <v>155</v>
      </c>
      <c r="M1071" s="175" t="n">
        <v>7.43</v>
      </c>
      <c r="N1071" t="inlineStr">
        <is>
          <t>半導體封裝材料之錫膏、錫球生產商</t>
        </is>
      </c>
    </row>
    <row r="1072">
      <c r="A1072" t="n">
        <v>3306</v>
      </c>
      <c r="B1072" t="inlineStr">
        <is>
          <t>鼎天</t>
        </is>
      </c>
      <c r="C1072" t="n">
        <v>49.5</v>
      </c>
      <c r="D1072" t="n">
        <v>49.4</v>
      </c>
      <c r="E1072" s="504" t="n">
        <v>0.5</v>
      </c>
      <c r="F1072" s="505" t="n">
        <v>1.02</v>
      </c>
      <c r="G1072" t="inlineStr">
        <is>
          <t>2531萬</t>
        </is>
      </c>
      <c r="H1072" t="n">
        <v>516</v>
      </c>
      <c r="I1072" t="n">
        <v>364</v>
      </c>
      <c r="J1072" t="n">
        <v>5.06</v>
      </c>
      <c r="K1072" t="n">
        <v>49.6</v>
      </c>
      <c r="L1072" t="n">
        <v>48.4</v>
      </c>
      <c r="M1072" s="175" t="n">
        <v>1.02</v>
      </c>
      <c r="N1072" t="inlineStr">
        <is>
          <t>廣達旗下GPS接收機大廠</t>
        </is>
      </c>
    </row>
    <row r="1073">
      <c r="A1073" t="n">
        <v>3308</v>
      </c>
      <c r="B1073" t="inlineStr">
        <is>
          <t>聯德</t>
        </is>
      </c>
      <c r="C1073" t="n">
        <v>21.45</v>
      </c>
      <c r="D1073" t="n">
        <v>21.35</v>
      </c>
      <c r="E1073" s="504" t="n">
        <v>0.25</v>
      </c>
      <c r="F1073" s="505" t="n">
        <v>1.18</v>
      </c>
      <c r="G1073" t="inlineStr">
        <is>
          <t>523萬</t>
        </is>
      </c>
      <c r="H1073" t="n">
        <v>250</v>
      </c>
      <c r="I1073" t="n">
        <v>209</v>
      </c>
      <c r="J1073" t="n">
        <v>6</v>
      </c>
      <c r="K1073" t="n">
        <v>21.45</v>
      </c>
      <c r="L1073" t="n">
        <v>20.7</v>
      </c>
      <c r="M1073" s="175" t="n">
        <v>0.42</v>
      </c>
      <c r="N1073" t="inlineStr">
        <is>
          <t>台灣PC電源供應器供應商</t>
        </is>
      </c>
    </row>
    <row r="1074">
      <c r="A1074" t="n">
        <v>3310</v>
      </c>
      <c r="B1074" t="inlineStr">
        <is>
          <t>佳穎</t>
        </is>
      </c>
      <c r="C1074" t="n">
        <v>72.8</v>
      </c>
      <c r="D1074" t="n">
        <v>71.2</v>
      </c>
      <c r="E1074" s="504" t="n">
        <v>-1.6</v>
      </c>
      <c r="F1074" s="505" t="n">
        <v>-2.2</v>
      </c>
      <c r="G1074" t="inlineStr">
        <is>
          <t>7610萬</t>
        </is>
      </c>
      <c r="H1074" t="n">
        <v>1045</v>
      </c>
      <c r="I1074" t="n">
        <v>951</v>
      </c>
      <c r="J1074" t="n">
        <v>7.49</v>
      </c>
      <c r="K1074" t="n">
        <v>73.40000000000001</v>
      </c>
      <c r="L1074" t="n">
        <v>71.2</v>
      </c>
      <c r="M1074" s="175" t="n">
        <v>1.39</v>
      </c>
      <c r="N1074" t="inlineStr">
        <is>
          <t>台灣LED導線架及沖壓零件供應商</t>
        </is>
      </c>
    </row>
    <row r="1075">
      <c r="A1075" t="n">
        <v>3311</v>
      </c>
      <c r="B1075" t="inlineStr">
        <is>
          <t>閎暉</t>
        </is>
      </c>
      <c r="C1075" t="n">
        <v>35.9</v>
      </c>
      <c r="D1075" t="n">
        <v>36.75</v>
      </c>
      <c r="E1075" s="504" t="n">
        <v>0.8</v>
      </c>
      <c r="F1075" s="505" t="n">
        <v>2.23</v>
      </c>
      <c r="G1075" t="inlineStr">
        <is>
          <t>4383萬</t>
        </is>
      </c>
      <c r="H1075" t="n">
        <v>1216</v>
      </c>
      <c r="I1075" t="n">
        <v>2094</v>
      </c>
      <c r="J1075" t="n">
        <v>10</v>
      </c>
      <c r="K1075" t="n">
        <v>37</v>
      </c>
      <c r="L1075" t="n">
        <v>35</v>
      </c>
      <c r="M1075" s="175" t="n">
        <v>1.22</v>
      </c>
      <c r="N1075" t="inlineStr">
        <is>
          <t>聚焦於車用零組件及機構整合元件</t>
        </is>
      </c>
    </row>
    <row r="1076">
      <c r="A1076" t="n">
        <v>3312</v>
      </c>
      <c r="B1076" t="inlineStr">
        <is>
          <t>弘憶股</t>
        </is>
      </c>
      <c r="C1076" t="n">
        <v>60.6</v>
      </c>
      <c r="D1076" t="n">
        <v>60.6</v>
      </c>
      <c r="E1076" s="504" t="n">
        <v>5.5</v>
      </c>
      <c r="F1076" s="505" t="n">
        <v>9.98</v>
      </c>
      <c r="G1076" t="inlineStr">
        <is>
          <t>1.65億</t>
        </is>
      </c>
      <c r="H1076" t="n">
        <v>2717</v>
      </c>
      <c r="I1076" t="n">
        <v>5634</v>
      </c>
      <c r="J1076" t="n">
        <v>18.26</v>
      </c>
      <c r="K1076" t="n">
        <v>60.6</v>
      </c>
      <c r="L1076" t="n">
        <v>60.6</v>
      </c>
      <c r="M1076" s="175" t="n">
        <v>1.49</v>
      </c>
      <c r="N1076" t="inlineStr">
        <is>
          <t>IC通路商，主要代理數位通訊應用方案與元件</t>
        </is>
      </c>
    </row>
    <row r="1077">
      <c r="A1077" t="n">
        <v>3313</v>
      </c>
      <c r="B1077" t="inlineStr">
        <is>
          <t>斐成</t>
        </is>
      </c>
      <c r="C1077" t="n">
        <v>11.15</v>
      </c>
      <c r="D1077" t="n">
        <v>11.2</v>
      </c>
      <c r="E1077" s="504" t="n">
        <v>0.05</v>
      </c>
      <c r="F1077" s="505" t="n">
        <v>0.45</v>
      </c>
      <c r="G1077" t="inlineStr">
        <is>
          <t>210萬</t>
        </is>
      </c>
      <c r="H1077" t="n">
        <v>189</v>
      </c>
      <c r="I1077" t="n">
        <v>938</v>
      </c>
      <c r="J1077" t="n">
        <v>22.11</v>
      </c>
      <c r="K1077" t="n">
        <v>11.4</v>
      </c>
      <c r="L1077" t="n">
        <v>10.9</v>
      </c>
      <c r="M1077" s="175" t="n">
        <v>0.09</v>
      </c>
      <c r="N1077" t="inlineStr">
        <is>
          <t>上曜集團旗下以危老都更為主的建商</t>
        </is>
      </c>
    </row>
    <row r="1078">
      <c r="A1078" t="n">
        <v>3317</v>
      </c>
      <c r="B1078" t="inlineStr">
        <is>
          <t>尼克森</t>
        </is>
      </c>
      <c r="C1078" t="n">
        <v>80.5</v>
      </c>
      <c r="D1078" t="n">
        <v>82.2</v>
      </c>
      <c r="E1078" s="504" t="n">
        <v>2.4</v>
      </c>
      <c r="F1078" s="505" t="n">
        <v>3.01</v>
      </c>
      <c r="G1078" t="inlineStr">
        <is>
          <t>4.53億</t>
        </is>
      </c>
      <c r="H1078" t="n">
        <v>5677</v>
      </c>
      <c r="I1078" t="n">
        <v>7313</v>
      </c>
      <c r="J1078" t="n">
        <v>9</v>
      </c>
      <c r="K1078" t="n">
        <v>82.40000000000001</v>
      </c>
      <c r="L1078" t="n">
        <v>77.5</v>
      </c>
      <c r="M1078" s="175" t="n">
        <v>6.31</v>
      </c>
      <c r="N1078" t="inlineStr">
        <is>
          <t>電源管理功率元件公司</t>
        </is>
      </c>
    </row>
    <row r="1079">
      <c r="A1079" t="n">
        <v>3321</v>
      </c>
      <c r="B1079" t="inlineStr">
        <is>
          <t>同泰</t>
        </is>
      </c>
      <c r="C1079" t="n">
        <v>20.1</v>
      </c>
      <c r="D1079" t="n">
        <v>20.75</v>
      </c>
      <c r="E1079" s="504" t="n">
        <v>0.95</v>
      </c>
      <c r="F1079" s="505" t="n">
        <v>4.8</v>
      </c>
      <c r="G1079" t="inlineStr">
        <is>
          <t>3858萬</t>
        </is>
      </c>
      <c r="H1079" t="n">
        <v>1866</v>
      </c>
      <c r="I1079" t="n">
        <v>1674</v>
      </c>
      <c r="J1079" t="n">
        <v>8.609999999999999</v>
      </c>
      <c r="K1079" t="n">
        <v>21.1</v>
      </c>
      <c r="L1079" t="n">
        <v>20.05</v>
      </c>
      <c r="M1079" s="175" t="n">
        <v>2.17</v>
      </c>
      <c r="N1079" t="inlineStr">
        <is>
          <t>欣興、台表科轉投資的軟板公司</t>
        </is>
      </c>
    </row>
    <row r="1080">
      <c r="A1080" t="n">
        <v>3322</v>
      </c>
      <c r="B1080" t="inlineStr">
        <is>
          <t>建舜電</t>
        </is>
      </c>
      <c r="C1080" t="n">
        <v>13.5</v>
      </c>
      <c r="D1080" t="n">
        <v>14.3</v>
      </c>
      <c r="E1080" s="504" t="n">
        <v>0.8</v>
      </c>
      <c r="F1080" s="505" t="n">
        <v>5.93</v>
      </c>
      <c r="G1080" t="inlineStr">
        <is>
          <t>2755萬</t>
        </is>
      </c>
      <c r="H1080" t="n">
        <v>1988</v>
      </c>
      <c r="I1080" t="n">
        <v>899</v>
      </c>
      <c r="J1080" t="n">
        <v>13.76</v>
      </c>
      <c r="K1080" t="n">
        <v>14.3</v>
      </c>
      <c r="L1080" t="n">
        <v>13.3</v>
      </c>
      <c r="M1080" s="175" t="n">
        <v>1.44</v>
      </c>
      <c r="N1080" t="inlineStr">
        <is>
          <t>台灣連接元件及電子週邊元件廠</t>
        </is>
      </c>
    </row>
    <row r="1081">
      <c r="A1081" t="n">
        <v>3323</v>
      </c>
      <c r="B1081" t="inlineStr">
        <is>
          <t>加百裕</t>
        </is>
      </c>
      <c r="C1081" t="n">
        <v>39.6</v>
      </c>
      <c r="D1081" t="n">
        <v>37.95</v>
      </c>
      <c r="E1081" s="504" t="n">
        <v>-1.65</v>
      </c>
      <c r="F1081" s="505" t="n">
        <v>-4.17</v>
      </c>
      <c r="G1081" t="inlineStr">
        <is>
          <t>1.42億</t>
        </is>
      </c>
      <c r="H1081" t="n">
        <v>3665</v>
      </c>
      <c r="I1081" t="n">
        <v>5065</v>
      </c>
      <c r="J1081" t="n">
        <v>9.949999999999999</v>
      </c>
      <c r="K1081" t="n">
        <v>40.35</v>
      </c>
      <c r="L1081" t="n">
        <v>37.15</v>
      </c>
      <c r="M1081" s="175" t="n">
        <v>3.69</v>
      </c>
      <c r="N1081" t="inlineStr">
        <is>
          <t>台灣三大NB電池模組廠之一</t>
        </is>
      </c>
    </row>
    <row r="1082">
      <c r="A1082" t="n">
        <v>3324</v>
      </c>
      <c r="B1082" t="inlineStr">
        <is>
          <t>雙鴻</t>
        </is>
      </c>
      <c r="C1082" t="n">
        <v>1155</v>
      </c>
      <c r="D1082" t="n">
        <v>1165</v>
      </c>
      <c r="E1082" s="504" t="n">
        <v>20</v>
      </c>
      <c r="F1082" s="505" t="n">
        <v>1.75</v>
      </c>
      <c r="G1082" t="inlineStr">
        <is>
          <t>79.5億</t>
        </is>
      </c>
      <c r="H1082" t="n">
        <v>6767</v>
      </c>
      <c r="I1082" t="n">
        <v>3574</v>
      </c>
      <c r="J1082" t="n">
        <v>9.31</v>
      </c>
      <c r="K1082" t="n">
        <v>1220</v>
      </c>
      <c r="L1082" t="n">
        <v>1135</v>
      </c>
      <c r="M1082" s="175" t="n">
        <v>7.27</v>
      </c>
      <c r="N1082" t="inlineStr">
        <is>
          <t>台灣前二大散熱模組廠商</t>
        </is>
      </c>
    </row>
    <row r="1083">
      <c r="A1083" t="n">
        <v>3325</v>
      </c>
      <c r="B1083" t="inlineStr">
        <is>
          <t>旭品</t>
        </is>
      </c>
      <c r="C1083" t="n">
        <v>12</v>
      </c>
      <c r="D1083" t="n">
        <v>13.3</v>
      </c>
      <c r="E1083" s="504" t="n">
        <v>1.2</v>
      </c>
      <c r="F1083" s="505" t="n">
        <v>9.92</v>
      </c>
      <c r="G1083" t="inlineStr">
        <is>
          <t>1913萬</t>
        </is>
      </c>
      <c r="H1083" t="n">
        <v>1482</v>
      </c>
      <c r="I1083" t="n">
        <v>342</v>
      </c>
      <c r="J1083" t="n">
        <v>11.02</v>
      </c>
      <c r="K1083" t="n">
        <v>13.3</v>
      </c>
      <c r="L1083" t="n">
        <v>11.95</v>
      </c>
      <c r="M1083" s="175" t="n">
        <v>1.35</v>
      </c>
      <c r="N1083" t="inlineStr">
        <is>
          <t>電腦機殼製造商</t>
        </is>
      </c>
    </row>
    <row r="1084">
      <c r="A1084" t="n">
        <v>3332</v>
      </c>
      <c r="B1084" t="inlineStr">
        <is>
          <t>幸康</t>
        </is>
      </c>
      <c r="C1084" t="n">
        <v>65.3</v>
      </c>
      <c r="D1084" t="n">
        <v>65.5</v>
      </c>
      <c r="E1084" s="504" t="n">
        <v>-0.2</v>
      </c>
      <c r="F1084" s="505" t="n">
        <v>-0.3</v>
      </c>
      <c r="G1084" t="inlineStr">
        <is>
          <t>71.8萬</t>
        </is>
      </c>
      <c r="H1084" t="n">
        <v>11</v>
      </c>
      <c r="I1084" t="n">
        <v>40</v>
      </c>
      <c r="J1084" t="n">
        <v>4.81</v>
      </c>
      <c r="K1084" t="n">
        <v>65.59999999999999</v>
      </c>
      <c r="L1084" t="n">
        <v>64.8</v>
      </c>
      <c r="M1084" s="175" t="n">
        <v>0.02</v>
      </c>
      <c r="N1084" t="inlineStr">
        <is>
          <t>台灣專攻工業電源供應器廠，主銷歐美市場</t>
        </is>
      </c>
    </row>
    <row r="1085">
      <c r="A1085" t="n">
        <v>3338</v>
      </c>
      <c r="B1085" t="inlineStr">
        <is>
          <t>泰碩</t>
        </is>
      </c>
      <c r="C1085" t="n">
        <v>88.7</v>
      </c>
      <c r="D1085" t="n">
        <v>88.7</v>
      </c>
      <c r="E1085" s="504" t="n">
        <v>8</v>
      </c>
      <c r="F1085" s="505" t="n">
        <v>9.91</v>
      </c>
      <c r="G1085" t="inlineStr">
        <is>
          <t>5.55億</t>
        </is>
      </c>
      <c r="H1085" t="n">
        <v>6263</v>
      </c>
      <c r="I1085" t="n">
        <v>1728</v>
      </c>
      <c r="J1085" t="n">
        <v>8.789999999999999</v>
      </c>
      <c r="K1085" t="n">
        <v>88.7</v>
      </c>
      <c r="L1085" t="n">
        <v>87.8</v>
      </c>
      <c r="M1085" s="175" t="n">
        <v>7.12</v>
      </c>
      <c r="N1085" t="inlineStr">
        <is>
          <t>台灣生產散熱器及PC用連接器廠</t>
        </is>
      </c>
    </row>
    <row r="1086">
      <c r="A1086" t="n">
        <v>3339</v>
      </c>
      <c r="B1086" t="inlineStr">
        <is>
          <t>泰谷</t>
        </is>
      </c>
      <c r="C1086" t="n">
        <v>44.8</v>
      </c>
      <c r="D1086" t="n">
        <v>48.5</v>
      </c>
      <c r="E1086" s="504" t="n">
        <v>4.4</v>
      </c>
      <c r="F1086" s="505" t="n">
        <v>9.98</v>
      </c>
      <c r="G1086" t="inlineStr">
        <is>
          <t>1.85億</t>
        </is>
      </c>
      <c r="H1086" t="n">
        <v>4032</v>
      </c>
      <c r="I1086" t="n">
        <v>2750</v>
      </c>
      <c r="J1086" t="n">
        <v>6.66</v>
      </c>
      <c r="K1086" t="n">
        <v>48.5</v>
      </c>
      <c r="L1086" t="n">
        <v>43.2</v>
      </c>
      <c r="M1086" s="175" t="n">
        <v>6.06</v>
      </c>
      <c r="N1086" t="inlineStr">
        <is>
          <t>台灣專業生產綠光、藍光、紫外光LED磊晶片及晶粒供應廠</t>
        </is>
      </c>
    </row>
    <row r="1087">
      <c r="A1087" t="n">
        <v>3346</v>
      </c>
      <c r="B1087" t="inlineStr">
        <is>
          <t>麗清</t>
        </is>
      </c>
      <c r="C1087" t="n">
        <v>24.45</v>
      </c>
      <c r="D1087" t="n">
        <v>23</v>
      </c>
      <c r="E1087" s="504" t="n">
        <v>-0.55</v>
      </c>
      <c r="F1087" s="505" t="n">
        <v>-2.34</v>
      </c>
      <c r="G1087" t="inlineStr">
        <is>
          <t>2.28億</t>
        </is>
      </c>
      <c r="H1087" t="n">
        <v>9892</v>
      </c>
      <c r="I1087" t="n">
        <v>960</v>
      </c>
      <c r="J1087" t="n">
        <v>12.12</v>
      </c>
      <c r="K1087" t="n">
        <v>24.45</v>
      </c>
      <c r="L1087" t="n">
        <v>21.8</v>
      </c>
      <c r="M1087" s="175" t="n">
        <v>8.16</v>
      </c>
      <c r="N1087" t="inlineStr">
        <is>
          <t>LED車燈模組製造廠</t>
        </is>
      </c>
    </row>
    <row r="1088">
      <c r="A1088" t="n">
        <v>3349</v>
      </c>
      <c r="B1088" t="inlineStr">
        <is>
          <t>寶德</t>
        </is>
      </c>
      <c r="C1088" t="n">
        <v>17.7</v>
      </c>
      <c r="D1088" t="n">
        <v>17.7</v>
      </c>
      <c r="E1088" s="504" t="n">
        <v>-0.2</v>
      </c>
      <c r="F1088" s="505" t="n">
        <v>-1.12</v>
      </c>
      <c r="G1088" t="inlineStr">
        <is>
          <t>136萬</t>
        </is>
      </c>
      <c r="H1088" t="n">
        <v>77</v>
      </c>
      <c r="I1088" t="n">
        <v>211</v>
      </c>
      <c r="J1088" t="n">
        <v>4.61</v>
      </c>
      <c r="K1088" t="n">
        <v>17.9</v>
      </c>
      <c r="L1088" t="n">
        <v>17.6</v>
      </c>
      <c r="M1088" s="175" t="n">
        <v>0.17</v>
      </c>
      <c r="N1088" t="inlineStr">
        <is>
          <t>電競週邊產品製造商</t>
        </is>
      </c>
    </row>
    <row r="1089">
      <c r="A1089" t="n">
        <v>3354</v>
      </c>
      <c r="B1089" t="inlineStr">
        <is>
          <t>律勝</t>
        </is>
      </c>
      <c r="C1089" t="n">
        <v>35.1</v>
      </c>
      <c r="D1089" t="n">
        <v>33.2</v>
      </c>
      <c r="E1089" s="504" t="n">
        <v>-1.4</v>
      </c>
      <c r="F1089" s="505" t="n">
        <v>-4.05</v>
      </c>
      <c r="G1089" t="inlineStr">
        <is>
          <t>7943萬</t>
        </is>
      </c>
      <c r="H1089" t="n">
        <v>2411</v>
      </c>
      <c r="I1089" t="n">
        <v>1976</v>
      </c>
      <c r="J1089" t="n">
        <v>7.01</v>
      </c>
      <c r="K1089" t="n">
        <v>35.1</v>
      </c>
      <c r="L1089" t="n">
        <v>31.45</v>
      </c>
      <c r="M1089" s="175" t="n">
        <v>3.44</v>
      </c>
      <c r="N1089" t="inlineStr">
        <is>
          <t>台灣軟式印刷電路板基材製造商</t>
        </is>
      </c>
    </row>
    <row r="1090">
      <c r="A1090" t="n">
        <v>3356</v>
      </c>
      <c r="B1090" t="inlineStr">
        <is>
          <t>奇偶</t>
        </is>
      </c>
      <c r="C1090" t="n">
        <v>62.6</v>
      </c>
      <c r="D1090" t="n">
        <v>62.4</v>
      </c>
      <c r="E1090" s="504" t="n">
        <v>0.2</v>
      </c>
      <c r="F1090" s="505" t="n">
        <v>0.32</v>
      </c>
      <c r="G1090" t="inlineStr">
        <is>
          <t>9532萬</t>
        </is>
      </c>
      <c r="H1090" t="n">
        <v>1544</v>
      </c>
      <c r="I1090" t="n">
        <v>1416</v>
      </c>
      <c r="J1090" t="n">
        <v>8.050000000000001</v>
      </c>
      <c r="K1090" t="n">
        <v>62.7</v>
      </c>
      <c r="L1090" t="n">
        <v>61</v>
      </c>
      <c r="M1090" s="175" t="n">
        <v>1.93</v>
      </c>
      <c r="N1090" t="inlineStr">
        <is>
          <t>台灣專業安控廠，擁有自有品牌GeoVision</t>
        </is>
      </c>
    </row>
    <row r="1091">
      <c r="A1091" t="n">
        <v>3357</v>
      </c>
      <c r="B1091" t="inlineStr">
        <is>
          <t>臺慶科</t>
        </is>
      </c>
      <c r="C1091" t="n">
        <v>280</v>
      </c>
      <c r="D1091" t="n">
        <v>289.5</v>
      </c>
      <c r="E1091" s="504" t="n">
        <v>5</v>
      </c>
      <c r="F1091" s="505" t="n">
        <v>1.76</v>
      </c>
      <c r="G1091" t="inlineStr">
        <is>
          <t>15.1億</t>
        </is>
      </c>
      <c r="H1091" t="n">
        <v>5455</v>
      </c>
      <c r="I1091" t="n">
        <v>8749</v>
      </c>
      <c r="J1091" t="n">
        <v>11.62</v>
      </c>
      <c r="K1091" t="n">
        <v>290</v>
      </c>
      <c r="L1091" t="n">
        <v>270</v>
      </c>
      <c r="M1091" s="175" t="n">
        <v>4.75</v>
      </c>
      <c r="N1091" t="inlineStr">
        <is>
          <t>台灣全系列電感元件製造商</t>
        </is>
      </c>
    </row>
    <row r="1092">
      <c r="A1092" t="n">
        <v>3360</v>
      </c>
      <c r="B1092" t="inlineStr">
        <is>
          <t>尚立</t>
        </is>
      </c>
      <c r="C1092" t="n">
        <v>14.15</v>
      </c>
      <c r="D1092" t="n">
        <v>14.4</v>
      </c>
      <c r="E1092" s="504" t="n">
        <v>0.3</v>
      </c>
      <c r="F1092" s="505" t="n">
        <v>2.13</v>
      </c>
      <c r="G1092" t="inlineStr">
        <is>
          <t>625萬</t>
        </is>
      </c>
      <c r="H1092" t="n">
        <v>442</v>
      </c>
      <c r="I1092" t="n">
        <v>454</v>
      </c>
      <c r="J1092" t="n">
        <v>7.64</v>
      </c>
      <c r="K1092" t="n">
        <v>14.4</v>
      </c>
      <c r="L1092" t="n">
        <v>14</v>
      </c>
      <c r="M1092" s="175" t="n">
        <v>0.58</v>
      </c>
      <c r="N1092" t="inlineStr">
        <is>
          <t>代理影像感測元件和專注於網通設備和服務的企業</t>
        </is>
      </c>
    </row>
    <row r="1093">
      <c r="A1093" t="n">
        <v>3362</v>
      </c>
      <c r="B1093" t="inlineStr">
        <is>
          <t>先進光</t>
        </is>
      </c>
      <c r="C1093" t="n">
        <v>127</v>
      </c>
      <c r="D1093" t="n">
        <v>119.5</v>
      </c>
      <c r="E1093" s="504" t="n">
        <v>-1.5</v>
      </c>
      <c r="F1093" s="505" t="n">
        <v>-1.24</v>
      </c>
      <c r="G1093" t="inlineStr">
        <is>
          <t>3.17億</t>
        </is>
      </c>
      <c r="H1093" t="n">
        <v>2647</v>
      </c>
      <c r="I1093" t="n">
        <v>1420</v>
      </c>
      <c r="J1093" t="n">
        <v>14.74</v>
      </c>
      <c r="K1093" t="n">
        <v>127.5</v>
      </c>
      <c r="L1093" t="n">
        <v>117.5</v>
      </c>
      <c r="M1093" s="175" t="n">
        <v>1.8</v>
      </c>
      <c r="N1093" t="inlineStr">
        <is>
          <t>台灣光學鏡頭研發及製造廠商</t>
        </is>
      </c>
    </row>
    <row r="1094">
      <c r="A1094" t="n">
        <v>3363</v>
      </c>
      <c r="B1094" t="inlineStr">
        <is>
          <t>上詮</t>
        </is>
      </c>
      <c r="C1094" t="n">
        <v>829</v>
      </c>
      <c r="D1094" t="n">
        <v>804</v>
      </c>
      <c r="E1094" s="504" t="n">
        <v>-5</v>
      </c>
      <c r="F1094" s="505" t="n">
        <v>-0.62</v>
      </c>
      <c r="G1094" t="inlineStr">
        <is>
          <t>33.0億</t>
        </is>
      </c>
      <c r="H1094" t="n">
        <v>3952</v>
      </c>
      <c r="I1094" t="n">
        <v>3426</v>
      </c>
      <c r="J1094" t="n">
        <v>11.36</v>
      </c>
      <c r="K1094" t="n">
        <v>864</v>
      </c>
      <c r="L1094" t="n">
        <v>804</v>
      </c>
      <c r="M1094" s="175" t="n">
        <v>3.48</v>
      </c>
      <c r="N1094" t="inlineStr">
        <is>
          <t>台灣光纖被動元件大廠</t>
        </is>
      </c>
    </row>
    <row r="1095">
      <c r="A1095" t="n">
        <v>3372</v>
      </c>
      <c r="B1095" t="inlineStr">
        <is>
          <t>典範</t>
        </is>
      </c>
      <c r="C1095" t="n">
        <v>22.05</v>
      </c>
      <c r="D1095" t="n">
        <v>22.25</v>
      </c>
      <c r="E1095" s="504" t="n">
        <v>0.25</v>
      </c>
      <c r="F1095" s="505" t="n">
        <v>1.14</v>
      </c>
      <c r="G1095" t="inlineStr">
        <is>
          <t>4512萬</t>
        </is>
      </c>
      <c r="H1095" t="n">
        <v>2057</v>
      </c>
      <c r="I1095" t="n">
        <v>2095</v>
      </c>
      <c r="J1095" t="n">
        <v>17.53</v>
      </c>
      <c r="K1095" t="n">
        <v>22.4</v>
      </c>
      <c r="L1095" t="n">
        <v>21.2</v>
      </c>
      <c r="M1095" s="175" t="n">
        <v>1.17</v>
      </c>
      <c r="N1095" t="inlineStr">
        <is>
          <t>記憶卡、影像感測元件封裝廠</t>
        </is>
      </c>
    </row>
    <row r="1096">
      <c r="A1096" t="n">
        <v>3373</v>
      </c>
      <c r="B1096" t="inlineStr">
        <is>
          <t>熱映</t>
        </is>
      </c>
      <c r="C1096" t="n">
        <v>16.85</v>
      </c>
      <c r="D1096" t="n">
        <v>16.8</v>
      </c>
      <c r="E1096" s="504" t="n">
        <v>-0.1</v>
      </c>
      <c r="F1096" s="505" t="n">
        <v>-0.59</v>
      </c>
      <c r="G1096" t="inlineStr">
        <is>
          <t>129萬</t>
        </is>
      </c>
      <c r="H1096" t="n">
        <v>77</v>
      </c>
      <c r="I1096" t="n">
        <v>89</v>
      </c>
      <c r="J1096" t="n">
        <v>4.76</v>
      </c>
      <c r="K1096" t="n">
        <v>16.85</v>
      </c>
      <c r="L1096" t="n">
        <v>16.75</v>
      </c>
      <c r="M1096" s="175" t="n">
        <v>0.16</v>
      </c>
      <c r="N1096" t="inlineStr">
        <is>
          <t>主營紅外線精密量測技術產品</t>
        </is>
      </c>
    </row>
    <row r="1097">
      <c r="A1097" t="n">
        <v>3374</v>
      </c>
      <c r="B1097" t="inlineStr">
        <is>
          <t>精材</t>
        </is>
      </c>
      <c r="C1097" t="n">
        <v>261.5</v>
      </c>
      <c r="D1097" t="n">
        <v>254.5</v>
      </c>
      <c r="E1097" s="504" t="n">
        <v>-6</v>
      </c>
      <c r="F1097" s="505" t="n">
        <v>-2.3</v>
      </c>
      <c r="G1097" t="inlineStr">
        <is>
          <t>29.4億</t>
        </is>
      </c>
      <c r="H1097" t="n">
        <v>11559</v>
      </c>
      <c r="I1097" t="n">
        <v>18874</v>
      </c>
      <c r="J1097" t="n">
        <v>27.14</v>
      </c>
      <c r="K1097" t="n">
        <v>262.5</v>
      </c>
      <c r="L1097" t="n">
        <v>246.5</v>
      </c>
      <c r="M1097" s="175" t="n">
        <v>4.26</v>
      </c>
      <c r="N1097" t="inlineStr">
        <is>
          <t>台積電轉投資的封測廠</t>
        </is>
      </c>
    </row>
    <row r="1098">
      <c r="A1098" t="n">
        <v>3376</v>
      </c>
      <c r="B1098" t="inlineStr">
        <is>
          <t>新日興</t>
        </is>
      </c>
      <c r="C1098" t="n">
        <v>215</v>
      </c>
      <c r="D1098" t="n">
        <v>211.5</v>
      </c>
      <c r="E1098" s="504" t="n">
        <v>-3.5</v>
      </c>
      <c r="F1098" s="505" t="n">
        <v>-1.63</v>
      </c>
      <c r="G1098" t="inlineStr">
        <is>
          <t>8.10億</t>
        </is>
      </c>
      <c r="H1098" t="n">
        <v>3835</v>
      </c>
      <c r="I1098" t="n">
        <v>5935</v>
      </c>
      <c r="J1098" t="n">
        <v>19.58</v>
      </c>
      <c r="K1098" t="n">
        <v>217</v>
      </c>
      <c r="L1098" t="n">
        <v>206.5</v>
      </c>
      <c r="M1098" s="175" t="n">
        <v>1.96</v>
      </c>
      <c r="N1098" t="inlineStr">
        <is>
          <t>全球NB樞紐大廠</t>
        </is>
      </c>
    </row>
    <row r="1099">
      <c r="A1099" t="n">
        <v>3379</v>
      </c>
      <c r="B1099" t="inlineStr">
        <is>
          <t>彬台</t>
        </is>
      </c>
      <c r="C1099" t="n">
        <v>41.8</v>
      </c>
      <c r="D1099" t="n">
        <v>40</v>
      </c>
      <c r="E1099" s="504" t="n">
        <v>-1.35</v>
      </c>
      <c r="F1099" s="505" t="n">
        <v>-3.26</v>
      </c>
      <c r="G1099" t="inlineStr">
        <is>
          <t>1417萬</t>
        </is>
      </c>
      <c r="H1099" t="n">
        <v>351</v>
      </c>
      <c r="I1099" t="n">
        <v>604</v>
      </c>
      <c r="J1099" t="n">
        <v>3.8</v>
      </c>
      <c r="K1099" t="n">
        <v>41.8</v>
      </c>
      <c r="L1099" t="n">
        <v>39.55</v>
      </c>
      <c r="M1099" s="175" t="n">
        <v>0.92</v>
      </c>
      <c r="N1099" t="inlineStr">
        <is>
          <t>食品飲料機械設備供應大廠</t>
        </is>
      </c>
    </row>
    <row r="1100">
      <c r="A1100" t="n">
        <v>3380</v>
      </c>
      <c r="B1100" t="inlineStr">
        <is>
          <t>明泰</t>
        </is>
      </c>
      <c r="C1100" t="n">
        <v>38.85</v>
      </c>
      <c r="D1100" t="n">
        <v>40.2</v>
      </c>
      <c r="E1100" s="504" t="n">
        <v>1.4</v>
      </c>
      <c r="F1100" s="505" t="n">
        <v>3.61</v>
      </c>
      <c r="G1100" t="inlineStr">
        <is>
          <t>3.59億</t>
        </is>
      </c>
      <c r="H1100" t="n">
        <v>9117</v>
      </c>
      <c r="I1100" t="n">
        <v>7728</v>
      </c>
      <c r="J1100" t="n">
        <v>54.17</v>
      </c>
      <c r="K1100" t="n">
        <v>40.3</v>
      </c>
      <c r="L1100" t="n">
        <v>38.45</v>
      </c>
      <c r="M1100" s="175" t="n">
        <v>1.68</v>
      </c>
      <c r="N1100" t="inlineStr">
        <is>
          <t>佳世達轉投資的網通設備代工大廠</t>
        </is>
      </c>
    </row>
    <row r="1101">
      <c r="A1101" t="n">
        <v>3388</v>
      </c>
      <c r="B1101" t="inlineStr">
        <is>
          <t>崇越電</t>
        </is>
      </c>
      <c r="C1101" t="n">
        <v>105</v>
      </c>
      <c r="D1101" t="n">
        <v>102</v>
      </c>
      <c r="E1101" s="504" t="n">
        <v>-4</v>
      </c>
      <c r="F1101" s="505" t="n">
        <v>-3.77</v>
      </c>
      <c r="G1101" t="inlineStr">
        <is>
          <t>1.83億</t>
        </is>
      </c>
      <c r="H1101" t="n">
        <v>1809</v>
      </c>
      <c r="I1101" t="n">
        <v>3532</v>
      </c>
      <c r="J1101" t="n">
        <v>7.41</v>
      </c>
      <c r="K1101" t="n">
        <v>105</v>
      </c>
      <c r="L1101" t="n">
        <v>99.8</v>
      </c>
      <c r="M1101" s="175" t="n">
        <v>2.44</v>
      </c>
      <c r="N1101" t="inlineStr">
        <is>
          <t>日本信越的矽利光產品專業代理商</t>
        </is>
      </c>
    </row>
    <row r="1102">
      <c r="A1102" t="n">
        <v>3390</v>
      </c>
      <c r="B1102" t="inlineStr">
        <is>
          <t>旭軟</t>
        </is>
      </c>
      <c r="C1102" t="n">
        <v>29.05</v>
      </c>
      <c r="D1102" t="n">
        <v>28.15</v>
      </c>
      <c r="E1102" s="504" t="n">
        <v>-0.6</v>
      </c>
      <c r="F1102" s="505" t="n">
        <v>-2.09</v>
      </c>
      <c r="G1102" t="inlineStr">
        <is>
          <t>2949萬</t>
        </is>
      </c>
      <c r="H1102" t="n">
        <v>1049</v>
      </c>
      <c r="I1102" t="n">
        <v>2355</v>
      </c>
      <c r="J1102" t="n">
        <v>7.93</v>
      </c>
      <c r="K1102" t="n">
        <v>29.05</v>
      </c>
      <c r="L1102" t="n">
        <v>27.5</v>
      </c>
      <c r="M1102" s="175" t="n">
        <v>1.32</v>
      </c>
      <c r="N1102" t="inlineStr">
        <is>
          <t>專攻LCM模組的軟板廠</t>
        </is>
      </c>
    </row>
    <row r="1103">
      <c r="A1103" t="n">
        <v>3402</v>
      </c>
      <c r="B1103" t="inlineStr">
        <is>
          <t>漢科</t>
        </is>
      </c>
      <c r="C1103" t="n">
        <v>146</v>
      </c>
      <c r="D1103" t="n">
        <v>144</v>
      </c>
      <c r="E1103" s="504" t="n">
        <v>-2</v>
      </c>
      <c r="F1103" s="505" t="n">
        <v>-1.37</v>
      </c>
      <c r="G1103" t="inlineStr">
        <is>
          <t>1.55億</t>
        </is>
      </c>
      <c r="H1103" t="n">
        <v>1073</v>
      </c>
      <c r="I1103" t="n">
        <v>2865</v>
      </c>
      <c r="J1103" t="n">
        <v>7.3</v>
      </c>
      <c r="K1103" t="n">
        <v>147.5</v>
      </c>
      <c r="L1103" t="n">
        <v>141</v>
      </c>
      <c r="M1103" s="175" t="n">
        <v>1.47</v>
      </c>
      <c r="N1103" t="inlineStr">
        <is>
          <t>專注於特殊氣體輸配工程設備廠商</t>
        </is>
      </c>
    </row>
    <row r="1104">
      <c r="A1104" t="n">
        <v>3406</v>
      </c>
      <c r="B1104" t="inlineStr">
        <is>
          <t>玉晶光</t>
        </is>
      </c>
      <c r="C1104" t="n">
        <v>603</v>
      </c>
      <c r="D1104" t="n">
        <v>595</v>
      </c>
      <c r="E1104" s="504" t="n">
        <v>-8</v>
      </c>
      <c r="F1104" s="505" t="n">
        <v>-1.33</v>
      </c>
      <c r="G1104" t="inlineStr">
        <is>
          <t>8.35億</t>
        </is>
      </c>
      <c r="H1104" t="n">
        <v>1412</v>
      </c>
      <c r="I1104" t="n">
        <v>1978</v>
      </c>
      <c r="J1104" t="n">
        <v>11.27</v>
      </c>
      <c r="K1104" t="n">
        <v>609</v>
      </c>
      <c r="L1104" t="n">
        <v>582</v>
      </c>
      <c r="M1104" s="175" t="n">
        <v>1.25</v>
      </c>
      <c r="N1104" t="inlineStr">
        <is>
          <t>台灣光學鏡頭大廠，專注於手機鏡頭與AR/VR透鏡</t>
        </is>
      </c>
    </row>
    <row r="1105">
      <c r="A1105" t="n">
        <v>3413</v>
      </c>
      <c r="B1105" t="inlineStr">
        <is>
          <t>京鼎</t>
        </is>
      </c>
      <c r="C1105" t="n">
        <v>317.5</v>
      </c>
      <c r="D1105" t="n">
        <v>312.5</v>
      </c>
      <c r="E1105" s="504" t="n">
        <v>-4</v>
      </c>
      <c r="F1105" s="505" t="n">
        <v>-1.26</v>
      </c>
      <c r="G1105" t="inlineStr">
        <is>
          <t>9.35億</t>
        </is>
      </c>
      <c r="H1105" t="n">
        <v>2976</v>
      </c>
      <c r="I1105" t="n">
        <v>4979</v>
      </c>
      <c r="J1105" t="n">
        <v>11.08</v>
      </c>
      <c r="K1105" t="n">
        <v>320</v>
      </c>
      <c r="L1105" t="n">
        <v>311</v>
      </c>
      <c r="M1105" s="175" t="n">
        <v>2.69</v>
      </c>
      <c r="N1105" t="inlineStr">
        <is>
          <t>鴻海集團旗下，美商應材的相關供應商</t>
        </is>
      </c>
    </row>
    <row r="1106">
      <c r="A1106" t="n">
        <v>3416</v>
      </c>
      <c r="B1106" t="inlineStr">
        <is>
          <t>融程電</t>
        </is>
      </c>
      <c r="C1106" t="n">
        <v>186</v>
      </c>
      <c r="D1106" t="n">
        <v>182.5</v>
      </c>
      <c r="E1106" s="504" t="n">
        <v>-1.5</v>
      </c>
      <c r="F1106" s="505" t="n">
        <v>-0.82</v>
      </c>
      <c r="G1106" t="inlineStr">
        <is>
          <t>9050萬</t>
        </is>
      </c>
      <c r="H1106" t="n">
        <v>494</v>
      </c>
      <c r="I1106" t="n">
        <v>748</v>
      </c>
      <c r="J1106" t="n">
        <v>8.050000000000001</v>
      </c>
      <c r="K1106" t="n">
        <v>186.5</v>
      </c>
      <c r="L1106" t="n">
        <v>180.5</v>
      </c>
      <c r="M1106" s="175" t="n">
        <v>0.61</v>
      </c>
      <c r="N1106" t="inlineStr">
        <is>
          <t>台灣強固型工業用行動電腦及顯示器廠商</t>
        </is>
      </c>
    </row>
    <row r="1107">
      <c r="A1107" t="n">
        <v>3419</v>
      </c>
      <c r="B1107" t="inlineStr">
        <is>
          <t>譁裕</t>
        </is>
      </c>
      <c r="C1107" t="n">
        <v>14.35</v>
      </c>
      <c r="D1107" t="n">
        <v>14.3</v>
      </c>
      <c r="E1107" s="504" t="n">
        <v>0.05</v>
      </c>
      <c r="F1107" s="505" t="n">
        <v>0.35</v>
      </c>
      <c r="G1107" t="inlineStr">
        <is>
          <t>491萬</t>
        </is>
      </c>
      <c r="H1107" t="n">
        <v>347</v>
      </c>
      <c r="I1107" t="n">
        <v>466</v>
      </c>
      <c r="J1107" t="n">
        <v>12.05</v>
      </c>
      <c r="K1107" t="n">
        <v>14.4</v>
      </c>
      <c r="L1107" t="n">
        <v>13.95</v>
      </c>
      <c r="M1107" s="175" t="n">
        <v>0.29</v>
      </c>
      <c r="N1107" t="inlineStr">
        <is>
          <t>網通天線大廠</t>
        </is>
      </c>
    </row>
    <row r="1108">
      <c r="A1108" t="n">
        <v>3426</v>
      </c>
      <c r="B1108" t="inlineStr">
        <is>
          <t>台興</t>
        </is>
      </c>
      <c r="C1108" t="inlineStr">
        <is>
          <t>--</t>
        </is>
      </c>
      <c r="D1108" t="inlineStr">
        <is>
          <t>--</t>
        </is>
      </c>
      <c r="E1108" s="504" t="inlineStr">
        <is>
          <t>--</t>
        </is>
      </c>
      <c r="F1108" s="505" t="inlineStr">
        <is>
          <t>--</t>
        </is>
      </c>
      <c r="G1108" t="inlineStr">
        <is>
          <t>--</t>
        </is>
      </c>
      <c r="H1108" t="n">
        <v>0</v>
      </c>
      <c r="I1108" t="n">
        <v>6</v>
      </c>
      <c r="J1108" t="n">
        <v>2.64</v>
      </c>
      <c r="K1108" t="inlineStr">
        <is>
          <t>--</t>
        </is>
      </c>
      <c r="L1108" t="inlineStr">
        <is>
          <t>--</t>
        </is>
      </c>
      <c r="M1108" s="175" t="n">
        <v>0</v>
      </c>
      <c r="N1108" t="inlineStr">
        <is>
          <t>台灣專業電磁閥製造商</t>
        </is>
      </c>
    </row>
    <row r="1109">
      <c r="A1109" t="n">
        <v>3430</v>
      </c>
      <c r="B1109" t="inlineStr">
        <is>
          <t>奇鈦科</t>
        </is>
      </c>
      <c r="C1109" t="n">
        <v>164</v>
      </c>
      <c r="D1109" t="n">
        <v>149.5</v>
      </c>
      <c r="E1109" s="504" t="n">
        <v>-14.5</v>
      </c>
      <c r="F1109" s="505" t="n">
        <v>-8.84</v>
      </c>
      <c r="G1109" t="inlineStr">
        <is>
          <t>4.58億</t>
        </is>
      </c>
      <c r="H1109" t="n">
        <v>3034</v>
      </c>
      <c r="I1109" t="n">
        <v>2239</v>
      </c>
      <c r="J1109" t="n">
        <v>3.37</v>
      </c>
      <c r="K1109" t="n">
        <v>165</v>
      </c>
      <c r="L1109" t="n">
        <v>148</v>
      </c>
      <c r="M1109" s="175" t="n">
        <v>9</v>
      </c>
      <c r="N1109" t="inlineStr">
        <is>
          <t>台灣橡塑、UV化學添加劑生產廠</t>
        </is>
      </c>
    </row>
    <row r="1110">
      <c r="A1110" t="n">
        <v>3432</v>
      </c>
      <c r="B1110" t="inlineStr">
        <is>
          <t>台端</t>
        </is>
      </c>
      <c r="C1110" t="n">
        <v>19.15</v>
      </c>
      <c r="D1110" t="n">
        <v>18.8</v>
      </c>
      <c r="E1110" s="504" t="n">
        <v>0</v>
      </c>
      <c r="F1110" s="505" t="n">
        <v>0</v>
      </c>
      <c r="G1110" t="inlineStr">
        <is>
          <t>166萬</t>
        </is>
      </c>
      <c r="H1110" t="n">
        <v>88</v>
      </c>
      <c r="I1110" t="n">
        <v>84</v>
      </c>
      <c r="J1110" t="n">
        <v>4.22</v>
      </c>
      <c r="K1110" t="n">
        <v>19.15</v>
      </c>
      <c r="L1110" t="n">
        <v>18.65</v>
      </c>
      <c r="M1110" s="175" t="n">
        <v>0.24</v>
      </c>
      <c r="N1110" t="inlineStr">
        <is>
          <t>國內連接器製造商，並跨足電動二輪車銷售</t>
        </is>
      </c>
    </row>
    <row r="1111">
      <c r="A1111" t="n">
        <v>3434</v>
      </c>
      <c r="B1111" t="inlineStr">
        <is>
          <t>哲固</t>
        </is>
      </c>
      <c r="C1111" t="n">
        <v>30</v>
      </c>
      <c r="D1111" t="n">
        <v>33.15</v>
      </c>
      <c r="E1111" s="504" t="n">
        <v>3</v>
      </c>
      <c r="F1111" s="505" t="n">
        <v>9.949999999999999</v>
      </c>
      <c r="G1111" t="inlineStr">
        <is>
          <t>2079萬</t>
        </is>
      </c>
      <c r="H1111" t="n">
        <v>638</v>
      </c>
      <c r="I1111" t="n">
        <v>113</v>
      </c>
      <c r="J1111" t="n">
        <v>3.58</v>
      </c>
      <c r="K1111" t="n">
        <v>33.15</v>
      </c>
      <c r="L1111" t="n">
        <v>30</v>
      </c>
      <c r="M1111" s="175" t="n">
        <v>1.78</v>
      </c>
      <c r="N1111" t="inlineStr">
        <is>
          <t>台灣安全監控顯示器廠商</t>
        </is>
      </c>
    </row>
    <row r="1112">
      <c r="A1112" t="n">
        <v>3437</v>
      </c>
      <c r="B1112" t="inlineStr">
        <is>
          <t>榮創</t>
        </is>
      </c>
      <c r="C1112" t="n">
        <v>24.5</v>
      </c>
      <c r="D1112" t="n">
        <v>23.95</v>
      </c>
      <c r="E1112" s="504" t="n">
        <v>-0.4</v>
      </c>
      <c r="F1112" s="505" t="n">
        <v>-1.64</v>
      </c>
      <c r="G1112" t="inlineStr">
        <is>
          <t>3769萬</t>
        </is>
      </c>
      <c r="H1112" t="n">
        <v>1571</v>
      </c>
      <c r="I1112" t="n">
        <v>2135</v>
      </c>
      <c r="J1112" t="n">
        <v>14.45</v>
      </c>
      <c r="K1112" t="n">
        <v>24.9</v>
      </c>
      <c r="L1112" t="n">
        <v>23.6</v>
      </c>
      <c r="M1112" s="175" t="n">
        <v>1.09</v>
      </c>
      <c r="N1112" t="inlineStr">
        <is>
          <t>專注於SMD LED研究、開發和製造</t>
        </is>
      </c>
    </row>
    <row r="1113">
      <c r="A1113" t="n">
        <v>3438</v>
      </c>
      <c r="B1113" t="inlineStr">
        <is>
          <t>類比科</t>
        </is>
      </c>
      <c r="C1113" t="n">
        <v>76.09999999999999</v>
      </c>
      <c r="D1113" t="n">
        <v>79</v>
      </c>
      <c r="E1113" s="504" t="n">
        <v>4.6</v>
      </c>
      <c r="F1113" s="505" t="n">
        <v>6.18</v>
      </c>
      <c r="G1113" t="inlineStr">
        <is>
          <t>1.52億</t>
        </is>
      </c>
      <c r="H1113" t="n">
        <v>1949</v>
      </c>
      <c r="I1113" t="n">
        <v>915</v>
      </c>
      <c r="J1113" t="n">
        <v>4.72</v>
      </c>
      <c r="K1113" t="n">
        <v>80.40000000000001</v>
      </c>
      <c r="L1113" t="n">
        <v>76.09999999999999</v>
      </c>
      <c r="M1113" s="175" t="n">
        <v>4.13</v>
      </c>
      <c r="N1113" t="inlineStr">
        <is>
          <t>台灣面板電源管理IC龍頭</t>
        </is>
      </c>
    </row>
    <row r="1114">
      <c r="A1114" t="n">
        <v>3441</v>
      </c>
      <c r="B1114" t="inlineStr">
        <is>
          <t>聯一光</t>
        </is>
      </c>
      <c r="C1114" t="n">
        <v>56.5</v>
      </c>
      <c r="D1114" t="n">
        <v>54.7</v>
      </c>
      <c r="E1114" s="504" t="n">
        <v>0.5</v>
      </c>
      <c r="F1114" s="505" t="n">
        <v>0.92</v>
      </c>
      <c r="G1114" t="inlineStr">
        <is>
          <t>1.81億</t>
        </is>
      </c>
      <c r="H1114" t="n">
        <v>3310</v>
      </c>
      <c r="I1114" t="n">
        <v>3143</v>
      </c>
      <c r="J1114" t="n">
        <v>4</v>
      </c>
      <c r="K1114" t="n">
        <v>58.5</v>
      </c>
      <c r="L1114" t="n">
        <v>51.7</v>
      </c>
      <c r="M1114" s="175" t="n">
        <v>8.27</v>
      </c>
      <c r="N1114" t="inlineStr">
        <is>
          <t>台灣光學鏡頭上游專業光學毛胚廠</t>
        </is>
      </c>
    </row>
    <row r="1115">
      <c r="A1115" t="n">
        <v>3443</v>
      </c>
      <c r="B1115" t="inlineStr">
        <is>
          <t>創意</t>
        </is>
      </c>
      <c r="C1115" t="n">
        <v>4745</v>
      </c>
      <c r="D1115" t="n">
        <v>4535</v>
      </c>
      <c r="E1115" s="504" t="n">
        <v>-120</v>
      </c>
      <c r="F1115" s="505" t="n">
        <v>-2.58</v>
      </c>
      <c r="G1115" t="inlineStr">
        <is>
          <t>121億</t>
        </is>
      </c>
      <c r="H1115" t="n">
        <v>2656</v>
      </c>
      <c r="I1115" t="n">
        <v>3859</v>
      </c>
      <c r="J1115" t="n">
        <v>13.4</v>
      </c>
      <c r="K1115" t="n">
        <v>4795</v>
      </c>
      <c r="L1115" t="n">
        <v>4420</v>
      </c>
      <c r="M1115" s="175" t="n">
        <v>1.98</v>
      </c>
      <c r="N1115" t="inlineStr">
        <is>
          <t>台積電轉投資之設計IP與客製化ASIC廠</t>
        </is>
      </c>
    </row>
    <row r="1116">
      <c r="A1116" t="n">
        <v>3444</v>
      </c>
      <c r="B1116" t="inlineStr">
        <is>
          <t>利機</t>
        </is>
      </c>
      <c r="C1116" t="n">
        <v>103.5</v>
      </c>
      <c r="D1116" t="n">
        <v>105</v>
      </c>
      <c r="E1116" s="504" t="n">
        <v>0.5</v>
      </c>
      <c r="F1116" s="505" t="n">
        <v>0.48</v>
      </c>
      <c r="G1116" t="inlineStr">
        <is>
          <t>9133萬</t>
        </is>
      </c>
      <c r="H1116" t="n">
        <v>887</v>
      </c>
      <c r="I1116" t="n">
        <v>2569</v>
      </c>
      <c r="J1116" t="n">
        <v>4.5</v>
      </c>
      <c r="K1116" t="n">
        <v>106</v>
      </c>
      <c r="L1116" t="n">
        <v>100</v>
      </c>
      <c r="M1116" s="175" t="n">
        <v>1.97</v>
      </c>
      <c r="N1116" t="inlineStr">
        <is>
          <t>國內半導體封測材料通路商</t>
        </is>
      </c>
    </row>
    <row r="1117">
      <c r="A1117" t="n">
        <v>3447</v>
      </c>
      <c r="B1117" t="inlineStr">
        <is>
          <t>展達</t>
        </is>
      </c>
      <c r="C1117" t="n">
        <v>39.35</v>
      </c>
      <c r="D1117" t="n">
        <v>40.4</v>
      </c>
      <c r="E1117" s="504" t="n">
        <v>1.8</v>
      </c>
      <c r="F1117" s="505" t="n">
        <v>4.66</v>
      </c>
      <c r="G1117" t="inlineStr">
        <is>
          <t>4334萬</t>
        </is>
      </c>
      <c r="H1117" t="n">
        <v>1088</v>
      </c>
      <c r="I1117" t="n">
        <v>292</v>
      </c>
      <c r="J1117" t="n">
        <v>7.74</v>
      </c>
      <c r="K1117" t="n">
        <v>40.8</v>
      </c>
      <c r="L1117" t="n">
        <v>39.15</v>
      </c>
      <c r="M1117" s="175" t="n">
        <v>1.4</v>
      </c>
      <c r="N1117" t="inlineStr">
        <is>
          <t>群光轉投資網通設備廠</t>
        </is>
      </c>
    </row>
    <row r="1118">
      <c r="A1118" t="n">
        <v>3450</v>
      </c>
      <c r="B1118" t="inlineStr">
        <is>
          <t>聯鈞</t>
        </is>
      </c>
      <c r="C1118" t="n">
        <v>555</v>
      </c>
      <c r="D1118" t="n">
        <v>548</v>
      </c>
      <c r="E1118" s="504" t="n">
        <v>9</v>
      </c>
      <c r="F1118" s="505" t="n">
        <v>1.67</v>
      </c>
      <c r="G1118" t="inlineStr">
        <is>
          <t>164億</t>
        </is>
      </c>
      <c r="H1118" t="n">
        <v>28863</v>
      </c>
      <c r="I1118" t="n">
        <v>11452</v>
      </c>
      <c r="J1118" t="n">
        <v>14.57</v>
      </c>
      <c r="K1118" t="n">
        <v>592</v>
      </c>
      <c r="L1118" t="n">
        <v>540</v>
      </c>
      <c r="M1118" s="175" t="n">
        <v>19.81</v>
      </c>
      <c r="N1118" t="inlineStr">
        <is>
          <t>全球前三大雷射二極體封測代工廠</t>
        </is>
      </c>
    </row>
    <row r="1119">
      <c r="A1119" t="n">
        <v>3455</v>
      </c>
      <c r="B1119" t="inlineStr">
        <is>
          <t>由田</t>
        </is>
      </c>
      <c r="C1119" t="n">
        <v>248</v>
      </c>
      <c r="D1119" t="n">
        <v>232.5</v>
      </c>
      <c r="E1119" s="504" t="n">
        <v>-11.5</v>
      </c>
      <c r="F1119" s="505" t="n">
        <v>-4.71</v>
      </c>
      <c r="G1119" t="inlineStr">
        <is>
          <t>4.29億</t>
        </is>
      </c>
      <c r="H1119" t="n">
        <v>1832</v>
      </c>
      <c r="I1119" t="n">
        <v>2647</v>
      </c>
      <c r="J1119" t="n">
        <v>5.99</v>
      </c>
      <c r="K1119" t="n">
        <v>248.5</v>
      </c>
      <c r="L1119" t="n">
        <v>229.5</v>
      </c>
      <c r="M1119" s="175" t="n">
        <v>3.06</v>
      </c>
      <c r="N1119" t="inlineStr">
        <is>
          <t>應用於載板、PCB、面板的AOI檢測設備商</t>
        </is>
      </c>
    </row>
    <row r="1120">
      <c r="A1120" t="n">
        <v>3465</v>
      </c>
      <c r="B1120" t="inlineStr">
        <is>
          <t>進泰電子</t>
        </is>
      </c>
      <c r="C1120" t="n">
        <v>30.5</v>
      </c>
      <c r="D1120" t="n">
        <v>32</v>
      </c>
      <c r="E1120" s="504" t="n">
        <v>2.2</v>
      </c>
      <c r="F1120" s="505" t="n">
        <v>7.38</v>
      </c>
      <c r="G1120" t="inlineStr">
        <is>
          <t>646萬</t>
        </is>
      </c>
      <c r="H1120" t="n">
        <v>201</v>
      </c>
      <c r="I1120" t="n">
        <v>49</v>
      </c>
      <c r="J1120" t="n">
        <v>3.53</v>
      </c>
      <c r="K1120" t="n">
        <v>32.75</v>
      </c>
      <c r="L1120" t="n">
        <v>30.5</v>
      </c>
      <c r="M1120" s="175" t="n">
        <v>0.57</v>
      </c>
      <c r="N1120" t="inlineStr">
        <is>
          <t>專業音響OEM/ODM製造商</t>
        </is>
      </c>
    </row>
    <row r="1121">
      <c r="A1121" t="n">
        <v>3466</v>
      </c>
      <c r="B1121" t="inlineStr">
        <is>
          <t>德晉</t>
        </is>
      </c>
      <c r="C1121" t="n">
        <v>32.65</v>
      </c>
      <c r="D1121" t="n">
        <v>32.65</v>
      </c>
      <c r="E1121" s="504" t="n">
        <v>0.05</v>
      </c>
      <c r="F1121" s="505" t="n">
        <v>0.15</v>
      </c>
      <c r="G1121" t="inlineStr">
        <is>
          <t>908萬</t>
        </is>
      </c>
      <c r="H1121" t="n">
        <v>279</v>
      </c>
      <c r="I1121" t="n">
        <v>689</v>
      </c>
      <c r="J1121" t="n">
        <v>7.79</v>
      </c>
      <c r="K1121" t="n">
        <v>32.95</v>
      </c>
      <c r="L1121" t="n">
        <v>32.45</v>
      </c>
      <c r="M1121" s="175" t="n">
        <v>0.36</v>
      </c>
      <c r="N1121" t="inlineStr">
        <is>
          <t>台灣機上盒製造廠</t>
        </is>
      </c>
    </row>
    <row r="1122">
      <c r="A1122" t="n">
        <v>3467</v>
      </c>
      <c r="B1122" t="inlineStr">
        <is>
          <t>台灣精材</t>
        </is>
      </c>
      <c r="C1122" t="n">
        <v>71.7</v>
      </c>
      <c r="D1122" t="n">
        <v>70.7</v>
      </c>
      <c r="E1122" s="504" t="n">
        <v>-0.9</v>
      </c>
      <c r="F1122" s="505" t="n">
        <v>-1.26</v>
      </c>
      <c r="G1122" t="inlineStr">
        <is>
          <t>1694萬</t>
        </is>
      </c>
      <c r="H1122" t="n">
        <v>240</v>
      </c>
      <c r="I1122" t="n">
        <v>1010</v>
      </c>
      <c r="J1122" t="n">
        <v>3.11</v>
      </c>
      <c r="K1122" t="n">
        <v>71.90000000000001</v>
      </c>
      <c r="L1122" t="n">
        <v>69.59999999999999</v>
      </c>
      <c r="M1122" s="175" t="n">
        <v>0.77</v>
      </c>
      <c r="N1122" t="inlineStr">
        <is>
          <t>半導體設備使用的精密陶瓷零組件耗材廠</t>
        </is>
      </c>
    </row>
    <row r="1123">
      <c r="A1123" t="n">
        <v>3479</v>
      </c>
      <c r="B1123" t="inlineStr">
        <is>
          <t>安勤</t>
        </is>
      </c>
      <c r="C1123" t="n">
        <v>132</v>
      </c>
      <c r="D1123" t="n">
        <v>132</v>
      </c>
      <c r="E1123" s="504" t="n">
        <v>0</v>
      </c>
      <c r="F1123" s="505" t="n">
        <v>0</v>
      </c>
      <c r="G1123" t="inlineStr">
        <is>
          <t>1.54億</t>
        </is>
      </c>
      <c r="H1123" t="n">
        <v>1169</v>
      </c>
      <c r="I1123" t="n">
        <v>3045</v>
      </c>
      <c r="J1123" t="n">
        <v>7.26</v>
      </c>
      <c r="K1123" t="n">
        <v>134</v>
      </c>
      <c r="L1123" t="n">
        <v>130.5</v>
      </c>
      <c r="M1123" s="175" t="n">
        <v>1.61</v>
      </c>
      <c r="N1123" t="inlineStr">
        <is>
          <t>仁寶轉投資工業電腦廠商</t>
        </is>
      </c>
    </row>
    <row r="1124">
      <c r="A1124" t="n">
        <v>3481</v>
      </c>
      <c r="B1124" t="inlineStr">
        <is>
          <t>群創</t>
        </is>
      </c>
      <c r="C1124" t="n">
        <v>58</v>
      </c>
      <c r="D1124" t="n">
        <v>56.2</v>
      </c>
      <c r="E1124" s="504" t="n">
        <v>0.1</v>
      </c>
      <c r="F1124" s="505" t="n">
        <v>0.18</v>
      </c>
      <c r="G1124" t="inlineStr">
        <is>
          <t>644億</t>
        </is>
      </c>
      <c r="H1124" t="n">
        <v>1155361</v>
      </c>
      <c r="I1124" t="n">
        <v>1093754</v>
      </c>
      <c r="J1124" t="n">
        <v>798.92</v>
      </c>
      <c r="K1124" t="n">
        <v>58.8</v>
      </c>
      <c r="L1124" t="n">
        <v>53.6</v>
      </c>
      <c r="M1124" s="175" t="n">
        <v>14.46</v>
      </c>
      <c r="N1124" t="inlineStr">
        <is>
          <t>全球知名面板大廠</t>
        </is>
      </c>
    </row>
    <row r="1125">
      <c r="A1125" t="n">
        <v>3483</v>
      </c>
      <c r="B1125" t="inlineStr">
        <is>
          <t>力致</t>
        </is>
      </c>
      <c r="C1125" t="n">
        <v>103</v>
      </c>
      <c r="D1125" t="n">
        <v>100.5</v>
      </c>
      <c r="E1125" s="504" t="n">
        <v>-2.5</v>
      </c>
      <c r="F1125" s="505" t="n">
        <v>-2.43</v>
      </c>
      <c r="G1125" t="inlineStr">
        <is>
          <t>2.08億</t>
        </is>
      </c>
      <c r="H1125" t="n">
        <v>2087</v>
      </c>
      <c r="I1125" t="n">
        <v>1532</v>
      </c>
      <c r="J1125" t="n">
        <v>9.9</v>
      </c>
      <c r="K1125" t="n">
        <v>103</v>
      </c>
      <c r="L1125" t="n">
        <v>98</v>
      </c>
      <c r="M1125" s="175" t="n">
        <v>2.11</v>
      </c>
      <c r="N1125" t="inlineStr">
        <is>
          <t>具風扇及熱導管自製能力的散熱廠商</t>
        </is>
      </c>
    </row>
    <row r="1126">
      <c r="A1126" t="n">
        <v>3484</v>
      </c>
      <c r="B1126" t="inlineStr">
        <is>
          <t>崧騰</t>
        </is>
      </c>
      <c r="C1126" t="n">
        <v>44.4</v>
      </c>
      <c r="D1126" t="n">
        <v>44.65</v>
      </c>
      <c r="E1126" s="504" t="n">
        <v>0.25</v>
      </c>
      <c r="F1126" s="505" t="n">
        <v>0.5600000000000001</v>
      </c>
      <c r="G1126" t="inlineStr">
        <is>
          <t>2064萬</t>
        </is>
      </c>
      <c r="H1126" t="n">
        <v>462</v>
      </c>
      <c r="I1126" t="n">
        <v>268</v>
      </c>
      <c r="J1126" t="n">
        <v>7.88</v>
      </c>
      <c r="K1126" t="n">
        <v>45.4</v>
      </c>
      <c r="L1126" t="n">
        <v>44.2</v>
      </c>
      <c r="M1126" s="175" t="n">
        <v>0.59</v>
      </c>
      <c r="N1126" t="inlineStr">
        <is>
          <t>全球知名工具機開關領導廠商</t>
        </is>
      </c>
    </row>
    <row r="1127">
      <c r="A1127" t="n">
        <v>3485</v>
      </c>
      <c r="B1127" t="inlineStr">
        <is>
          <t>敘豐</t>
        </is>
      </c>
      <c r="C1127" t="n">
        <v>364</v>
      </c>
      <c r="D1127" t="n">
        <v>359</v>
      </c>
      <c r="E1127" s="504" t="n">
        <v>-8</v>
      </c>
      <c r="F1127" s="505" t="n">
        <v>-2.18</v>
      </c>
      <c r="G1127" t="inlineStr">
        <is>
          <t>2.40億</t>
        </is>
      </c>
      <c r="H1127" t="n">
        <v>675</v>
      </c>
      <c r="I1127" t="n">
        <v>1184</v>
      </c>
      <c r="J1127" t="n">
        <v>3.85</v>
      </c>
      <c r="K1127" t="n">
        <v>364</v>
      </c>
      <c r="L1127" t="n">
        <v>351</v>
      </c>
      <c r="M1127" s="175" t="n">
        <v>1.75</v>
      </c>
      <c r="N1127" t="inlineStr">
        <is>
          <t>高階IC覆晶載板設備供應商</t>
        </is>
      </c>
    </row>
    <row r="1128">
      <c r="A1128" t="n">
        <v>3489</v>
      </c>
      <c r="B1128" t="inlineStr">
        <is>
          <t>森寶</t>
        </is>
      </c>
      <c r="C1128" t="n">
        <v>21.7</v>
      </c>
      <c r="D1128" t="n">
        <v>21.65</v>
      </c>
      <c r="E1128" s="504" t="n">
        <v>-0.05</v>
      </c>
      <c r="F1128" s="505" t="n">
        <v>-0.23</v>
      </c>
      <c r="G1128" t="inlineStr">
        <is>
          <t>418萬</t>
        </is>
      </c>
      <c r="H1128" t="n">
        <v>194</v>
      </c>
      <c r="I1128" t="n">
        <v>177</v>
      </c>
      <c r="J1128" t="n">
        <v>9.050000000000001</v>
      </c>
      <c r="K1128" t="n">
        <v>21.8</v>
      </c>
      <c r="L1128" t="n">
        <v>21.4</v>
      </c>
      <c r="M1128" s="175" t="n">
        <v>0.21</v>
      </c>
      <c r="N1128" t="inlineStr">
        <is>
          <t>森聯旗下，房地產開發商</t>
        </is>
      </c>
    </row>
    <row r="1129">
      <c r="A1129" t="n">
        <v>3490</v>
      </c>
      <c r="B1129" t="inlineStr">
        <is>
          <t>單井</t>
        </is>
      </c>
      <c r="C1129" t="n">
        <v>37.7</v>
      </c>
      <c r="D1129" t="n">
        <v>37.5</v>
      </c>
      <c r="E1129" s="504" t="n">
        <v>-0.5</v>
      </c>
      <c r="F1129" s="505" t="n">
        <v>-1.32</v>
      </c>
      <c r="G1129" t="inlineStr">
        <is>
          <t>7172萬</t>
        </is>
      </c>
      <c r="H1129" t="n">
        <v>1938</v>
      </c>
      <c r="I1129" t="n">
        <v>3004</v>
      </c>
      <c r="J1129" t="n">
        <v>5.5</v>
      </c>
      <c r="K1129" t="n">
        <v>37.95</v>
      </c>
      <c r="L1129" t="n">
        <v>36.2</v>
      </c>
      <c r="M1129" s="175" t="n">
        <v>3.52</v>
      </c>
      <c r="N1129" t="inlineStr">
        <is>
          <t>LED及半導體封裝模具及設備供應商</t>
        </is>
      </c>
    </row>
    <row r="1130">
      <c r="A1130" t="n">
        <v>3491</v>
      </c>
      <c r="B1130" t="inlineStr">
        <is>
          <t>昇達科</t>
        </is>
      </c>
      <c r="C1130" t="n">
        <v>2150</v>
      </c>
      <c r="D1130" t="n">
        <v>2070</v>
      </c>
      <c r="E1130" s="504" t="n">
        <v>-95</v>
      </c>
      <c r="F1130" s="505" t="n">
        <v>-4.39</v>
      </c>
      <c r="G1130" t="inlineStr">
        <is>
          <t>14.5億</t>
        </is>
      </c>
      <c r="H1130" t="n">
        <v>700</v>
      </c>
      <c r="I1130" t="n">
        <v>998</v>
      </c>
      <c r="J1130" t="n">
        <v>6.88</v>
      </c>
      <c r="K1130" t="n">
        <v>2175</v>
      </c>
      <c r="L1130" t="n">
        <v>2000</v>
      </c>
      <c r="M1130" s="175" t="n">
        <v>1.02</v>
      </c>
      <c r="N1130" t="inlineStr">
        <is>
          <t>台灣微波及毫米波元件廠商</t>
        </is>
      </c>
    </row>
    <row r="1131">
      <c r="A1131" t="n">
        <v>3492</v>
      </c>
      <c r="B1131" t="inlineStr">
        <is>
          <t>長盛</t>
        </is>
      </c>
      <c r="C1131" t="n">
        <v>23.4</v>
      </c>
      <c r="D1131" t="n">
        <v>22.7</v>
      </c>
      <c r="E1131" s="504" t="n">
        <v>-0.7</v>
      </c>
      <c r="F1131" s="505" t="n">
        <v>-2.99</v>
      </c>
      <c r="G1131" t="inlineStr">
        <is>
          <t>617萬</t>
        </is>
      </c>
      <c r="H1131" t="n">
        <v>270</v>
      </c>
      <c r="I1131" t="n">
        <v>219</v>
      </c>
      <c r="J1131" t="n">
        <v>3.55</v>
      </c>
      <c r="K1131" t="n">
        <v>23.4</v>
      </c>
      <c r="L1131" t="n">
        <v>22.65</v>
      </c>
      <c r="M1131" s="175" t="n">
        <v>0.76</v>
      </c>
      <c r="N1131" t="inlineStr">
        <is>
          <t>台灣連接器與線組製造商</t>
        </is>
      </c>
    </row>
    <row r="1132">
      <c r="A1132" t="n">
        <v>3494</v>
      </c>
      <c r="B1132" t="inlineStr">
        <is>
          <t>誠研</t>
        </is>
      </c>
      <c r="C1132" t="n">
        <v>8.050000000000001</v>
      </c>
      <c r="D1132" t="n">
        <v>8.039999999999999</v>
      </c>
      <c r="E1132" s="504" t="n">
        <v>-0.01</v>
      </c>
      <c r="F1132" s="505" t="n">
        <v>-0.12</v>
      </c>
      <c r="G1132" t="inlineStr">
        <is>
          <t>84.8萬</t>
        </is>
      </c>
      <c r="H1132" t="n">
        <v>106</v>
      </c>
      <c r="I1132" t="n">
        <v>191</v>
      </c>
      <c r="J1132" t="n">
        <v>9.48</v>
      </c>
      <c r="K1132" t="n">
        <v>8.09</v>
      </c>
      <c r="L1132" t="n">
        <v>7.94</v>
      </c>
      <c r="M1132" s="175" t="n">
        <v>0.16</v>
      </c>
      <c r="N1132" t="inlineStr">
        <is>
          <t>熱昇華式數位相片印表機供應商</t>
        </is>
      </c>
    </row>
    <row r="1133">
      <c r="A1133" t="n">
        <v>3498</v>
      </c>
      <c r="B1133" t="inlineStr">
        <is>
          <t>陽程</t>
        </is>
      </c>
      <c r="C1133" t="n">
        <v>144</v>
      </c>
      <c r="D1133" t="n">
        <v>140.5</v>
      </c>
      <c r="E1133" s="504" t="n">
        <v>-3.5</v>
      </c>
      <c r="F1133" s="505" t="n">
        <v>-2.43</v>
      </c>
      <c r="G1133" t="inlineStr">
        <is>
          <t>5.48億</t>
        </is>
      </c>
      <c r="H1133" t="n">
        <v>3870</v>
      </c>
      <c r="I1133" t="n">
        <v>1043</v>
      </c>
      <c r="J1133" t="n">
        <v>6.13</v>
      </c>
      <c r="K1133" t="n">
        <v>149.5</v>
      </c>
      <c r="L1133" t="n">
        <v>136</v>
      </c>
      <c r="M1133" s="175" t="n">
        <v>6.32</v>
      </c>
      <c r="N1133" t="inlineStr">
        <is>
          <t>台灣PCB暨CCL、環境工程及物流等自動化設備廠</t>
        </is>
      </c>
    </row>
    <row r="1134">
      <c r="A1134" t="n">
        <v>3499</v>
      </c>
      <c r="B1134" t="inlineStr">
        <is>
          <t>環天科</t>
        </is>
      </c>
      <c r="C1134" t="n">
        <v>14.8</v>
      </c>
      <c r="D1134" t="n">
        <v>14.55</v>
      </c>
      <c r="E1134" s="504" t="n">
        <v>-0.2</v>
      </c>
      <c r="F1134" s="505" t="n">
        <v>-1.36</v>
      </c>
      <c r="G1134" t="inlineStr">
        <is>
          <t>402萬</t>
        </is>
      </c>
      <c r="H1134" t="n">
        <v>280</v>
      </c>
      <c r="I1134" t="n">
        <v>130</v>
      </c>
      <c r="J1134" t="n">
        <v>5.5</v>
      </c>
      <c r="K1134" t="n">
        <v>14.8</v>
      </c>
      <c r="L1134" t="n">
        <v>14.1</v>
      </c>
      <c r="M1134" s="175" t="n">
        <v>0.51</v>
      </c>
      <c r="N1134" t="inlineStr">
        <is>
          <t>台灣GPS相關應用製造業者</t>
        </is>
      </c>
    </row>
    <row r="1135">
      <c r="A1135" t="n">
        <v>3501</v>
      </c>
      <c r="B1135" t="inlineStr">
        <is>
          <t>維熹</t>
        </is>
      </c>
      <c r="C1135" t="n">
        <v>41.55</v>
      </c>
      <c r="D1135" t="n">
        <v>41.6</v>
      </c>
      <c r="E1135" s="504" t="n">
        <v>0.3</v>
      </c>
      <c r="F1135" s="505" t="n">
        <v>0.73</v>
      </c>
      <c r="G1135" t="inlineStr">
        <is>
          <t>1403萬</t>
        </is>
      </c>
      <c r="H1135" t="n">
        <v>339</v>
      </c>
      <c r="I1135" t="n">
        <v>427</v>
      </c>
      <c r="J1135" t="n">
        <v>11.83</v>
      </c>
      <c r="K1135" t="n">
        <v>41.65</v>
      </c>
      <c r="L1135" t="n">
        <v>40.9</v>
      </c>
      <c r="M1135" s="175" t="n">
        <v>0.29</v>
      </c>
      <c r="N1135" t="inlineStr">
        <is>
          <t>正崴集團之連接線廠</t>
        </is>
      </c>
    </row>
    <row r="1136">
      <c r="A1136" t="n">
        <v>3504</v>
      </c>
      <c r="B1136" t="inlineStr">
        <is>
          <t>揚明光</t>
        </is>
      </c>
      <c r="C1136" t="n">
        <v>78.8</v>
      </c>
      <c r="D1136" t="n">
        <v>79.40000000000001</v>
      </c>
      <c r="E1136" s="504" t="n">
        <v>1</v>
      </c>
      <c r="F1136" s="505" t="n">
        <v>1.28</v>
      </c>
      <c r="G1136" t="inlineStr">
        <is>
          <t>1.31億</t>
        </is>
      </c>
      <c r="H1136" t="n">
        <v>1668</v>
      </c>
      <c r="I1136" t="n">
        <v>1659</v>
      </c>
      <c r="J1136" t="n">
        <v>11.41</v>
      </c>
      <c r="K1136" t="n">
        <v>79.90000000000001</v>
      </c>
      <c r="L1136" t="n">
        <v>76.2</v>
      </c>
      <c r="M1136" s="175" t="n">
        <v>1.46</v>
      </c>
      <c r="N1136" t="inlineStr">
        <is>
          <t>中光電旗下微投光機及光學元件生產廠商</t>
        </is>
      </c>
    </row>
    <row r="1137">
      <c r="A1137" t="n">
        <v>3508</v>
      </c>
      <c r="B1137" t="inlineStr">
        <is>
          <t>位速</t>
        </is>
      </c>
      <c r="C1137" t="n">
        <v>19.9</v>
      </c>
      <c r="D1137" t="n">
        <v>20.4</v>
      </c>
      <c r="E1137" s="504" t="n">
        <v>0.5</v>
      </c>
      <c r="F1137" s="505" t="n">
        <v>2.51</v>
      </c>
      <c r="G1137" t="inlineStr">
        <is>
          <t>566萬</t>
        </is>
      </c>
      <c r="H1137" t="n">
        <v>282</v>
      </c>
      <c r="I1137" t="n">
        <v>410</v>
      </c>
      <c r="J1137" t="n">
        <v>10.43</v>
      </c>
      <c r="K1137" t="n">
        <v>20.4</v>
      </c>
      <c r="L1137" t="n">
        <v>19.85</v>
      </c>
      <c r="M1137" s="175" t="n">
        <v>0.27</v>
      </c>
      <c r="N1137" t="inlineStr">
        <is>
          <t>手機外殼電鍍、濺鍍與塗裝之表面處理專業廠</t>
        </is>
      </c>
    </row>
    <row r="1138">
      <c r="A1138" t="n">
        <v>3511</v>
      </c>
      <c r="B1138" t="inlineStr">
        <is>
          <t>矽瑪</t>
        </is>
      </c>
      <c r="C1138" t="n">
        <v>24</v>
      </c>
      <c r="D1138" t="n">
        <v>24</v>
      </c>
      <c r="E1138" s="504" t="n">
        <v>2.15</v>
      </c>
      <c r="F1138" s="505" t="n">
        <v>9.84</v>
      </c>
      <c r="G1138" t="inlineStr">
        <is>
          <t>1788萬</t>
        </is>
      </c>
      <c r="H1138" t="n">
        <v>745</v>
      </c>
      <c r="I1138" t="n">
        <v>410</v>
      </c>
      <c r="J1138" t="n">
        <v>8</v>
      </c>
      <c r="K1138" t="n">
        <v>24</v>
      </c>
      <c r="L1138" t="n">
        <v>24</v>
      </c>
      <c r="M1138" s="175" t="n">
        <v>0.93</v>
      </c>
      <c r="N1138" t="inlineStr">
        <is>
          <t>佳世達旗下連接器廠</t>
        </is>
      </c>
    </row>
    <row r="1139">
      <c r="A1139" t="n">
        <v>3512</v>
      </c>
      <c r="B1139" t="inlineStr">
        <is>
          <t>皇龍</t>
        </is>
      </c>
      <c r="C1139" t="n">
        <v>20.7</v>
      </c>
      <c r="D1139" t="n">
        <v>20.35</v>
      </c>
      <c r="E1139" s="504" t="n">
        <v>-0.25</v>
      </c>
      <c r="F1139" s="505" t="n">
        <v>-1.21</v>
      </c>
      <c r="G1139" t="inlineStr">
        <is>
          <t>211萬</t>
        </is>
      </c>
      <c r="H1139" t="n">
        <v>104</v>
      </c>
      <c r="I1139" t="n">
        <v>82</v>
      </c>
      <c r="J1139" t="n">
        <v>11.31</v>
      </c>
      <c r="K1139" t="n">
        <v>20.7</v>
      </c>
      <c r="L1139" t="n">
        <v>20.05</v>
      </c>
      <c r="M1139" s="175" t="n">
        <v>0.09</v>
      </c>
      <c r="N1139" t="inlineStr">
        <is>
          <t>從事營建事業及散熱片設計製造</t>
        </is>
      </c>
    </row>
    <row r="1140">
      <c r="A1140" t="n">
        <v>3515</v>
      </c>
      <c r="B1140" t="inlineStr">
        <is>
          <t>華擎</t>
        </is>
      </c>
      <c r="C1140" t="n">
        <v>255</v>
      </c>
      <c r="D1140" t="n">
        <v>273.5</v>
      </c>
      <c r="E1140" s="504" t="n">
        <v>20</v>
      </c>
      <c r="F1140" s="505" t="n">
        <v>7.89</v>
      </c>
      <c r="G1140" t="inlineStr">
        <is>
          <t>10.4億</t>
        </is>
      </c>
      <c r="H1140" t="n">
        <v>3984</v>
      </c>
      <c r="I1140" t="n">
        <v>1275</v>
      </c>
      <c r="J1140" t="n">
        <v>12.35</v>
      </c>
      <c r="K1140" t="n">
        <v>273.5</v>
      </c>
      <c r="L1140" t="n">
        <v>252</v>
      </c>
      <c r="M1140" s="175" t="n">
        <v>3.22</v>
      </c>
      <c r="N1140" t="inlineStr">
        <is>
          <t>全球前四大主機板廠商之一</t>
        </is>
      </c>
    </row>
    <row r="1141">
      <c r="A1141" t="n">
        <v>3516</v>
      </c>
      <c r="B1141" t="inlineStr">
        <is>
          <t>亞帝歐</t>
        </is>
      </c>
      <c r="C1141" t="n">
        <v>23.2</v>
      </c>
      <c r="D1141" t="n">
        <v>23.15</v>
      </c>
      <c r="E1141" s="504" t="n">
        <v>-0.1</v>
      </c>
      <c r="F1141" s="505" t="n">
        <v>-0.43</v>
      </c>
      <c r="G1141" t="inlineStr">
        <is>
          <t>292萬</t>
        </is>
      </c>
      <c r="H1141" t="n">
        <v>126</v>
      </c>
      <c r="I1141" t="n">
        <v>153</v>
      </c>
      <c r="J1141" t="n">
        <v>5.96</v>
      </c>
      <c r="K1141" t="n">
        <v>23.35</v>
      </c>
      <c r="L1141" t="n">
        <v>22.95</v>
      </c>
      <c r="M1141" s="175" t="n">
        <v>0.21</v>
      </c>
      <c r="N1141" t="inlineStr">
        <is>
          <t>台灣連接線材及LED照明廠商</t>
        </is>
      </c>
    </row>
    <row r="1142">
      <c r="A1142" t="n">
        <v>3518</v>
      </c>
      <c r="B1142" t="inlineStr">
        <is>
          <t>柏騰</t>
        </is>
      </c>
      <c r="C1142" t="n">
        <v>32.05</v>
      </c>
      <c r="D1142" t="n">
        <v>33.75</v>
      </c>
      <c r="E1142" s="504" t="n">
        <v>1.85</v>
      </c>
      <c r="F1142" s="505" t="n">
        <v>5.8</v>
      </c>
      <c r="G1142" t="inlineStr">
        <is>
          <t>6037萬</t>
        </is>
      </c>
      <c r="H1142" t="n">
        <v>1861</v>
      </c>
      <c r="I1142" t="n">
        <v>1967</v>
      </c>
      <c r="J1142" t="n">
        <v>10.25</v>
      </c>
      <c r="K1142" t="n">
        <v>33.8</v>
      </c>
      <c r="L1142" t="n">
        <v>31.5</v>
      </c>
      <c r="M1142" s="175" t="n">
        <v>1.91</v>
      </c>
      <c r="N1142" t="inlineStr">
        <is>
          <t>為台灣第一家具備低溫真空濺鍍之專業廠商</t>
        </is>
      </c>
    </row>
    <row r="1143">
      <c r="A1143" t="n">
        <v>3520</v>
      </c>
      <c r="B1143" t="inlineStr">
        <is>
          <t>華盈</t>
        </is>
      </c>
      <c r="C1143" t="n">
        <v>14.6</v>
      </c>
      <c r="D1143" t="n">
        <v>14.45</v>
      </c>
      <c r="E1143" s="504" t="n">
        <v>0</v>
      </c>
      <c r="F1143" s="505" t="n">
        <v>0</v>
      </c>
      <c r="G1143" t="inlineStr">
        <is>
          <t>280萬</t>
        </is>
      </c>
      <c r="H1143" t="n">
        <v>194</v>
      </c>
      <c r="I1143" t="n">
        <v>264</v>
      </c>
      <c r="J1143" t="n">
        <v>6.88</v>
      </c>
      <c r="K1143" t="n">
        <v>14.65</v>
      </c>
      <c r="L1143" t="n">
        <v>14.35</v>
      </c>
      <c r="M1143" s="175" t="n">
        <v>0.28</v>
      </c>
      <c r="N1143" t="inlineStr">
        <is>
          <t>台灣各種應用連接線材供應商</t>
        </is>
      </c>
    </row>
    <row r="1144">
      <c r="A1144" t="n">
        <v>3521</v>
      </c>
      <c r="B1144" t="inlineStr">
        <is>
          <t>台鋼建設</t>
        </is>
      </c>
      <c r="C1144" t="n">
        <v>11.95</v>
      </c>
      <c r="D1144" t="n">
        <v>11.8</v>
      </c>
      <c r="E1144" s="504" t="n">
        <v>-0.15</v>
      </c>
      <c r="F1144" s="505" t="n">
        <v>-1.26</v>
      </c>
      <c r="G1144" t="inlineStr">
        <is>
          <t>202萬</t>
        </is>
      </c>
      <c r="H1144" t="n">
        <v>170</v>
      </c>
      <c r="I1144" t="n">
        <v>125</v>
      </c>
      <c r="J1144" t="n">
        <v>18.58</v>
      </c>
      <c r="K1144" t="n">
        <v>12</v>
      </c>
      <c r="L1144" t="n">
        <v>11.8</v>
      </c>
      <c r="M1144" s="175" t="n">
        <v>0.12</v>
      </c>
      <c r="N1144" t="inlineStr">
        <is>
          <t>從事營建及POS機系統業務</t>
        </is>
      </c>
    </row>
    <row r="1145">
      <c r="A1145" t="n">
        <v>3522</v>
      </c>
      <c r="B1145" t="inlineStr">
        <is>
          <t>御嵿</t>
        </is>
      </c>
      <c r="C1145" t="n">
        <v>11.85</v>
      </c>
      <c r="D1145" t="n">
        <v>11.4</v>
      </c>
      <c r="E1145" s="504" t="n">
        <v>-0.1</v>
      </c>
      <c r="F1145" s="505" t="n">
        <v>-0.87</v>
      </c>
      <c r="G1145" t="inlineStr">
        <is>
          <t>116萬</t>
        </is>
      </c>
      <c r="H1145" t="n">
        <v>102</v>
      </c>
      <c r="I1145" t="n">
        <v>174</v>
      </c>
      <c r="J1145" t="n">
        <v>10.41</v>
      </c>
      <c r="K1145" t="n">
        <v>11.85</v>
      </c>
      <c r="L1145" t="n">
        <v>11.2</v>
      </c>
      <c r="M1145" s="175" t="n">
        <v>0.1</v>
      </c>
      <c r="N1145" t="inlineStr">
        <is>
          <t>連鎖餐飲事業，擁有頂鮮餐廳及晶宴會館</t>
        </is>
      </c>
    </row>
    <row r="1146">
      <c r="A1146" t="n">
        <v>3523</v>
      </c>
      <c r="B1146" t="inlineStr">
        <is>
          <t>迎輝</t>
        </is>
      </c>
      <c r="C1146" t="n">
        <v>19.25</v>
      </c>
      <c r="D1146" t="n">
        <v>19.25</v>
      </c>
      <c r="E1146" s="504" t="n">
        <v>1.75</v>
      </c>
      <c r="F1146" s="505" t="n">
        <v>10</v>
      </c>
      <c r="G1146" t="inlineStr">
        <is>
          <t>150萬</t>
        </is>
      </c>
      <c r="H1146" t="n">
        <v>78</v>
      </c>
      <c r="I1146" t="n">
        <v>200</v>
      </c>
      <c r="J1146" t="n">
        <v>6.43</v>
      </c>
      <c r="K1146" t="n">
        <v>19.25</v>
      </c>
      <c r="L1146" t="n">
        <v>19.25</v>
      </c>
      <c r="M1146" s="175" t="n">
        <v>0.12</v>
      </c>
      <c r="N1146" t="inlineStr">
        <is>
          <t>各式光學與光電膜產品製造商</t>
        </is>
      </c>
    </row>
    <row r="1147">
      <c r="A1147" t="n">
        <v>3526</v>
      </c>
      <c r="B1147" t="inlineStr">
        <is>
          <t>凡甲</t>
        </is>
      </c>
      <c r="C1147" t="n">
        <v>364.5</v>
      </c>
      <c r="D1147" t="n">
        <v>370.5</v>
      </c>
      <c r="E1147" s="504" t="n">
        <v>6.5</v>
      </c>
      <c r="F1147" s="505" t="n">
        <v>1.79</v>
      </c>
      <c r="G1147" t="inlineStr">
        <is>
          <t>3.12億</t>
        </is>
      </c>
      <c r="H1147" t="n">
        <v>853</v>
      </c>
      <c r="I1147" t="n">
        <v>1056</v>
      </c>
      <c r="J1147" t="n">
        <v>6.58</v>
      </c>
      <c r="K1147" t="n">
        <v>372</v>
      </c>
      <c r="L1147" t="n">
        <v>360</v>
      </c>
      <c r="M1147" s="175" t="n">
        <v>1.3</v>
      </c>
      <c r="N1147" t="inlineStr">
        <is>
          <t>強茂轉投資之連接器廠</t>
        </is>
      </c>
    </row>
    <row r="1148">
      <c r="A1148" t="n">
        <v>3527</v>
      </c>
      <c r="B1148" t="inlineStr">
        <is>
          <t>聚積</t>
        </is>
      </c>
      <c r="C1148" t="n">
        <v>57.2</v>
      </c>
      <c r="D1148" t="n">
        <v>58.6</v>
      </c>
      <c r="E1148" s="504" t="n">
        <v>1.9</v>
      </c>
      <c r="F1148" s="505" t="n">
        <v>3.35</v>
      </c>
      <c r="G1148" t="inlineStr">
        <is>
          <t>2182萬</t>
        </is>
      </c>
      <c r="H1148" t="n">
        <v>381</v>
      </c>
      <c r="I1148" t="n">
        <v>242</v>
      </c>
      <c r="J1148" t="n">
        <v>4.44</v>
      </c>
      <c r="K1148" t="n">
        <v>58.6</v>
      </c>
      <c r="L1148" t="n">
        <v>56.2</v>
      </c>
      <c r="M1148" s="175" t="n">
        <v>0.86</v>
      </c>
      <c r="N1148" t="inlineStr">
        <is>
          <t>全球LED顯示屏驅動IC設計龍頭廠</t>
        </is>
      </c>
    </row>
    <row r="1149">
      <c r="A1149" t="n">
        <v>3528</v>
      </c>
      <c r="B1149" t="inlineStr">
        <is>
          <t>安馳</t>
        </is>
      </c>
      <c r="C1149" t="n">
        <v>128.5</v>
      </c>
      <c r="D1149" t="n">
        <v>127</v>
      </c>
      <c r="E1149" s="504" t="n">
        <v>-2</v>
      </c>
      <c r="F1149" s="505" t="n">
        <v>-1.55</v>
      </c>
      <c r="G1149" t="inlineStr">
        <is>
          <t>1.77億</t>
        </is>
      </c>
      <c r="H1149" t="n">
        <v>1433</v>
      </c>
      <c r="I1149" t="n">
        <v>2509</v>
      </c>
      <c r="J1149" t="n">
        <v>6.66</v>
      </c>
      <c r="K1149" t="n">
        <v>128.5</v>
      </c>
      <c r="L1149" t="n">
        <v>120</v>
      </c>
      <c r="M1149" s="175" t="n">
        <v>2.15</v>
      </c>
      <c r="N1149" t="inlineStr">
        <is>
          <t>台灣前5大IC通路商</t>
        </is>
      </c>
    </row>
    <row r="1150">
      <c r="A1150" t="n">
        <v>3529</v>
      </c>
      <c r="B1150" t="inlineStr">
        <is>
          <t>力旺</t>
        </is>
      </c>
      <c r="C1150" t="n">
        <v>3345</v>
      </c>
      <c r="D1150" t="n">
        <v>3530</v>
      </c>
      <c r="E1150" s="504" t="n">
        <v>250</v>
      </c>
      <c r="F1150" s="505" t="n">
        <v>7.62</v>
      </c>
      <c r="G1150" t="inlineStr">
        <is>
          <t>32.9億</t>
        </is>
      </c>
      <c r="H1150" t="n">
        <v>949</v>
      </c>
      <c r="I1150" t="n">
        <v>1141</v>
      </c>
      <c r="J1150" t="n">
        <v>7.47</v>
      </c>
      <c r="K1150" t="n">
        <v>3530</v>
      </c>
      <c r="L1150" t="n">
        <v>3345</v>
      </c>
      <c r="M1150" s="175" t="n">
        <v>1.27</v>
      </c>
      <c r="N1150" t="inlineStr">
        <is>
          <t>全球嵌入式非揮發性記憶體矽智財(eNVM IP)領導廠</t>
        </is>
      </c>
    </row>
    <row r="1151">
      <c r="A1151" t="n">
        <v>3530</v>
      </c>
      <c r="B1151" t="inlineStr">
        <is>
          <t>晶相光</t>
        </is>
      </c>
      <c r="C1151" t="n">
        <v>68.5</v>
      </c>
      <c r="D1151" t="n">
        <v>68.3</v>
      </c>
      <c r="E1151" s="504" t="n">
        <v>0.3</v>
      </c>
      <c r="F1151" s="505" t="n">
        <v>0.44</v>
      </c>
      <c r="G1151" t="inlineStr">
        <is>
          <t>2192萬</t>
        </is>
      </c>
      <c r="H1151" t="n">
        <v>327</v>
      </c>
      <c r="I1151" t="n">
        <v>347</v>
      </c>
      <c r="J1151" t="n">
        <v>7.75</v>
      </c>
      <c r="K1151" t="n">
        <v>69</v>
      </c>
      <c r="L1151" t="n">
        <v>66.8</v>
      </c>
      <c r="M1151" s="175" t="n">
        <v>0.42</v>
      </c>
      <c r="N1151" t="inlineStr">
        <is>
          <t>神盾旗下CMOS晶片廠</t>
        </is>
      </c>
    </row>
    <row r="1152">
      <c r="A1152" t="n">
        <v>3531</v>
      </c>
      <c r="B1152" t="inlineStr">
        <is>
          <t>先益</t>
        </is>
      </c>
      <c r="C1152" t="n">
        <v>22.85</v>
      </c>
      <c r="D1152" t="n">
        <v>23.4</v>
      </c>
      <c r="E1152" s="504" t="n">
        <v>-0.3</v>
      </c>
      <c r="F1152" s="505" t="n">
        <v>-1.27</v>
      </c>
      <c r="G1152" t="inlineStr">
        <is>
          <t>23.1萬</t>
        </is>
      </c>
      <c r="H1152" t="n">
        <v>10</v>
      </c>
      <c r="I1152" t="n">
        <v>15</v>
      </c>
      <c r="J1152" t="n">
        <v>6.12</v>
      </c>
      <c r="K1152" t="n">
        <v>23.4</v>
      </c>
      <c r="L1152" t="n">
        <v>22.85</v>
      </c>
      <c r="M1152" s="175" t="n">
        <v>0.02</v>
      </c>
      <c r="N1152" t="inlineStr">
        <is>
          <t>LED中小尺寸背光模組專業製造廠</t>
        </is>
      </c>
    </row>
    <row r="1153">
      <c r="A1153" t="n">
        <v>3532</v>
      </c>
      <c r="B1153" t="inlineStr">
        <is>
          <t>台勝科</t>
        </is>
      </c>
      <c r="C1153" t="n">
        <v>324.5</v>
      </c>
      <c r="D1153" t="n">
        <v>315.5</v>
      </c>
      <c r="E1153" s="504" t="n">
        <v>-35</v>
      </c>
      <c r="F1153" s="505" t="n">
        <v>-9.99</v>
      </c>
      <c r="G1153" t="inlineStr">
        <is>
          <t>4.64億</t>
        </is>
      </c>
      <c r="H1153" t="n">
        <v>1448</v>
      </c>
      <c r="I1153" t="n">
        <v>5577</v>
      </c>
      <c r="J1153" t="n">
        <v>38.78</v>
      </c>
      <c r="K1153" t="n">
        <v>328.5</v>
      </c>
      <c r="L1153" t="n">
        <v>315.5</v>
      </c>
      <c r="M1153" s="175" t="n">
        <v>0.37</v>
      </c>
      <c r="N1153" t="inlineStr">
        <is>
          <t>台塑與Sumco合資成立的矽晶圓製造商</t>
        </is>
      </c>
    </row>
    <row r="1154">
      <c r="A1154" t="n">
        <v>3533</v>
      </c>
      <c r="B1154" t="inlineStr">
        <is>
          <t>嘉澤</t>
        </is>
      </c>
      <c r="C1154" t="n">
        <v>2655</v>
      </c>
      <c r="D1154" t="n">
        <v>2615</v>
      </c>
      <c r="E1154" s="504" t="n">
        <v>-60</v>
      </c>
      <c r="F1154" s="505" t="n">
        <v>-2.24</v>
      </c>
      <c r="G1154" t="inlineStr">
        <is>
          <t>23.5億</t>
        </is>
      </c>
      <c r="H1154" t="n">
        <v>908</v>
      </c>
      <c r="I1154" t="n">
        <v>1136</v>
      </c>
      <c r="J1154" t="n">
        <v>11.25</v>
      </c>
      <c r="K1154" t="n">
        <v>2655</v>
      </c>
      <c r="L1154" t="n">
        <v>2505</v>
      </c>
      <c r="M1154" s="175" t="n">
        <v>0.8100000000000001</v>
      </c>
      <c r="N1154" t="inlineStr">
        <is>
          <t>全球前三大CPU Socket製造商</t>
        </is>
      </c>
    </row>
    <row r="1155">
      <c r="A1155" t="n">
        <v>3535</v>
      </c>
      <c r="B1155" t="inlineStr">
        <is>
          <t>晶彩科</t>
        </is>
      </c>
      <c r="C1155" t="n">
        <v>135</v>
      </c>
      <c r="D1155" t="n">
        <v>137.5</v>
      </c>
      <c r="E1155" s="504" t="n">
        <v>3</v>
      </c>
      <c r="F1155" s="505" t="n">
        <v>2.23</v>
      </c>
      <c r="G1155" t="inlineStr">
        <is>
          <t>25.2億</t>
        </is>
      </c>
      <c r="H1155" t="n">
        <v>18459</v>
      </c>
      <c r="I1155" t="n">
        <v>3572</v>
      </c>
      <c r="J1155" t="n">
        <v>7.91</v>
      </c>
      <c r="K1155" t="n">
        <v>140</v>
      </c>
      <c r="L1155" t="n">
        <v>132.5</v>
      </c>
      <c r="M1155" s="175" t="n">
        <v>23.35</v>
      </c>
      <c r="N1155" t="inlineStr">
        <is>
          <t>國內面板前段自動光學檢測設備大廠</t>
        </is>
      </c>
    </row>
    <row r="1156">
      <c r="A1156" t="n">
        <v>3537</v>
      </c>
      <c r="B1156" t="inlineStr">
        <is>
          <t>堡達</t>
        </is>
      </c>
      <c r="C1156" t="n">
        <v>80</v>
      </c>
      <c r="D1156" t="n">
        <v>78.5</v>
      </c>
      <c r="E1156" s="504" t="n">
        <v>-0.6</v>
      </c>
      <c r="F1156" s="505" t="n">
        <v>-0.76</v>
      </c>
      <c r="G1156" t="inlineStr">
        <is>
          <t>3.94億</t>
        </is>
      </c>
      <c r="H1156" t="n">
        <v>5164</v>
      </c>
      <c r="I1156" t="n">
        <v>7851</v>
      </c>
      <c r="J1156" t="n">
        <v>5.62</v>
      </c>
      <c r="K1156" t="n">
        <v>80.40000000000001</v>
      </c>
      <c r="L1156" t="n">
        <v>73.5</v>
      </c>
      <c r="M1156" s="175" t="n">
        <v>9.18</v>
      </c>
      <c r="N1156" t="inlineStr">
        <is>
          <t>為日商松下被動元件的代理商</t>
        </is>
      </c>
    </row>
    <row r="1157">
      <c r="A1157" t="n">
        <v>3540</v>
      </c>
      <c r="B1157" t="inlineStr">
        <is>
          <t>曜越</t>
        </is>
      </c>
      <c r="C1157" t="n">
        <v>27.5</v>
      </c>
      <c r="D1157" t="n">
        <v>27.75</v>
      </c>
      <c r="E1157" s="504" t="n">
        <v>0.25</v>
      </c>
      <c r="F1157" s="505" t="n">
        <v>0.91</v>
      </c>
      <c r="G1157" t="inlineStr">
        <is>
          <t>987萬</t>
        </is>
      </c>
      <c r="H1157" t="n">
        <v>365</v>
      </c>
      <c r="I1157" t="n">
        <v>405</v>
      </c>
      <c r="J1157" t="n">
        <v>7.25</v>
      </c>
      <c r="K1157" t="n">
        <v>27.9</v>
      </c>
      <c r="L1157" t="n">
        <v>26.9</v>
      </c>
      <c r="M1157" s="175" t="n">
        <v>0.5</v>
      </c>
      <c r="N1157" t="inlineStr">
        <is>
          <t>電競品牌廠</t>
        </is>
      </c>
    </row>
    <row r="1158">
      <c r="A1158" t="n">
        <v>3541</v>
      </c>
      <c r="B1158" t="inlineStr">
        <is>
          <t>西柏</t>
        </is>
      </c>
      <c r="C1158" t="n">
        <v>21.6</v>
      </c>
      <c r="D1158" t="n">
        <v>21.3</v>
      </c>
      <c r="E1158" s="504" t="n">
        <v>-0.6</v>
      </c>
      <c r="F1158" s="505" t="n">
        <v>-2.74</v>
      </c>
      <c r="G1158" t="inlineStr">
        <is>
          <t>709萬</t>
        </is>
      </c>
      <c r="H1158" t="n">
        <v>336</v>
      </c>
      <c r="I1158" t="n">
        <v>101</v>
      </c>
      <c r="J1158" t="n">
        <v>5.63</v>
      </c>
      <c r="K1158" t="n">
        <v>21.65</v>
      </c>
      <c r="L1158" t="n">
        <v>21.05</v>
      </c>
      <c r="M1158" s="175" t="n">
        <v>0.6</v>
      </c>
      <c r="N1158" t="inlineStr">
        <is>
          <t>台灣專業智慧型影音訊號產品製造商</t>
        </is>
      </c>
    </row>
    <row r="1159">
      <c r="A1159" t="n">
        <v>3543</v>
      </c>
      <c r="B1159" t="inlineStr">
        <is>
          <t>州巧</t>
        </is>
      </c>
      <c r="C1159" t="n">
        <v>36.3</v>
      </c>
      <c r="D1159" t="n">
        <v>35.85</v>
      </c>
      <c r="E1159" s="504" t="n">
        <v>-0.15</v>
      </c>
      <c r="F1159" s="505" t="n">
        <v>-0.42</v>
      </c>
      <c r="G1159" t="inlineStr">
        <is>
          <t>2169萬</t>
        </is>
      </c>
      <c r="H1159" t="n">
        <v>609</v>
      </c>
      <c r="I1159" t="n">
        <v>824</v>
      </c>
      <c r="J1159" t="n">
        <v>11.03</v>
      </c>
      <c r="K1159" t="n">
        <v>36.3</v>
      </c>
      <c r="L1159" t="n">
        <v>35.2</v>
      </c>
      <c r="M1159" s="175" t="n">
        <v>0.55</v>
      </c>
      <c r="N1159" t="inlineStr">
        <is>
          <t>專注LCD TV面板沖壓件製造商</t>
        </is>
      </c>
    </row>
    <row r="1160">
      <c r="A1160" t="n">
        <v>3545</v>
      </c>
      <c r="B1160" t="inlineStr">
        <is>
          <t>敦泰</t>
        </is>
      </c>
      <c r="C1160" t="n">
        <v>59.6</v>
      </c>
      <c r="D1160" t="n">
        <v>59.5</v>
      </c>
      <c r="E1160" s="504" t="n">
        <v>-0.1</v>
      </c>
      <c r="F1160" s="505" t="n">
        <v>-0.17</v>
      </c>
      <c r="G1160" t="inlineStr">
        <is>
          <t>1.50億</t>
        </is>
      </c>
      <c r="H1160" t="n">
        <v>2542</v>
      </c>
      <c r="I1160" t="n">
        <v>2658</v>
      </c>
      <c r="J1160" t="n">
        <v>22.11</v>
      </c>
      <c r="K1160" t="n">
        <v>60.7</v>
      </c>
      <c r="L1160" t="n">
        <v>57.8</v>
      </c>
      <c r="M1160" s="175" t="n">
        <v>1.15</v>
      </c>
      <c r="N1160" t="inlineStr">
        <is>
          <t>台灣中小尺寸LCD驅動IC廠</t>
        </is>
      </c>
    </row>
    <row r="1161">
      <c r="A1161" t="n">
        <v>3546</v>
      </c>
      <c r="B1161" t="inlineStr">
        <is>
          <t>宇峻</t>
        </is>
      </c>
      <c r="C1161" t="n">
        <v>82</v>
      </c>
      <c r="D1161" t="n">
        <v>83.8</v>
      </c>
      <c r="E1161" s="504" t="n">
        <v>2.1</v>
      </c>
      <c r="F1161" s="505" t="n">
        <v>2.57</v>
      </c>
      <c r="G1161" t="inlineStr">
        <is>
          <t>5018萬</t>
        </is>
      </c>
      <c r="H1161" t="n">
        <v>612</v>
      </c>
      <c r="I1161" t="n">
        <v>433</v>
      </c>
      <c r="J1161" t="n">
        <v>5.84</v>
      </c>
      <c r="K1161" t="n">
        <v>84</v>
      </c>
      <c r="L1161" t="n">
        <v>81.09999999999999</v>
      </c>
      <c r="M1161" s="175" t="n">
        <v>1.05</v>
      </c>
      <c r="N1161" t="inlineStr">
        <is>
          <t>台灣知名線上遊戲開發商</t>
        </is>
      </c>
    </row>
    <row r="1162">
      <c r="A1162" t="n">
        <v>3548</v>
      </c>
      <c r="B1162" t="inlineStr">
        <is>
          <t>兆利</t>
        </is>
      </c>
      <c r="C1162" t="n">
        <v>96.90000000000001</v>
      </c>
      <c r="D1162" t="n">
        <v>96</v>
      </c>
      <c r="E1162" s="504" t="n">
        <v>-0.5</v>
      </c>
      <c r="F1162" s="505" t="n">
        <v>-0.52</v>
      </c>
      <c r="G1162" t="inlineStr">
        <is>
          <t>3960萬</t>
        </is>
      </c>
      <c r="H1162" t="n">
        <v>415</v>
      </c>
      <c r="I1162" t="n">
        <v>604</v>
      </c>
      <c r="J1162" t="n">
        <v>6.77</v>
      </c>
      <c r="K1162" t="n">
        <v>97</v>
      </c>
      <c r="L1162" t="n">
        <v>93.59999999999999</v>
      </c>
      <c r="M1162" s="175" t="n">
        <v>0.61</v>
      </c>
      <c r="N1162" t="inlineStr">
        <is>
          <t>全球前三大NB樞紐生產商</t>
        </is>
      </c>
    </row>
    <row r="1163">
      <c r="A1163" t="n">
        <v>3550</v>
      </c>
      <c r="B1163" t="inlineStr">
        <is>
          <t>聯穎</t>
        </is>
      </c>
      <c r="C1163" t="n">
        <v>21.8</v>
      </c>
      <c r="D1163" t="n">
        <v>21</v>
      </c>
      <c r="E1163" s="504" t="n">
        <v>-0.45</v>
      </c>
      <c r="F1163" s="505" t="n">
        <v>-2.1</v>
      </c>
      <c r="G1163" t="inlineStr">
        <is>
          <t>5414萬</t>
        </is>
      </c>
      <c r="H1163" t="n">
        <v>2589</v>
      </c>
      <c r="I1163" t="n">
        <v>2518</v>
      </c>
      <c r="J1163" t="n">
        <v>10.76</v>
      </c>
      <c r="K1163" t="n">
        <v>21.8</v>
      </c>
      <c r="L1163" t="n">
        <v>20.45</v>
      </c>
      <c r="M1163" s="175" t="n">
        <v>2.41</v>
      </c>
      <c r="N1163" t="inlineStr">
        <is>
          <t>3C影音傳輸線材專業供應商</t>
        </is>
      </c>
    </row>
    <row r="1164">
      <c r="A1164" t="n">
        <v>3551</v>
      </c>
      <c r="B1164" t="inlineStr">
        <is>
          <t>世禾</t>
        </is>
      </c>
      <c r="C1164" t="n">
        <v>219</v>
      </c>
      <c r="D1164" t="n">
        <v>214.5</v>
      </c>
      <c r="E1164" s="504" t="n">
        <v>-4</v>
      </c>
      <c r="F1164" s="505" t="n">
        <v>-1.83</v>
      </c>
      <c r="G1164" t="inlineStr">
        <is>
          <t>3.53億</t>
        </is>
      </c>
      <c r="H1164" t="n">
        <v>1655</v>
      </c>
      <c r="I1164" t="n">
        <v>3372</v>
      </c>
      <c r="J1164" t="n">
        <v>6.23</v>
      </c>
      <c r="K1164" t="n">
        <v>219</v>
      </c>
      <c r="L1164" t="n">
        <v>210.5</v>
      </c>
      <c r="M1164" s="175" t="n">
        <v>2.66</v>
      </c>
      <c r="N1164" t="inlineStr">
        <is>
          <t>精密洗淨及再生處理加工的龍頭廠商</t>
        </is>
      </c>
    </row>
    <row r="1165">
      <c r="A1165" t="n">
        <v>3552</v>
      </c>
      <c r="B1165" t="inlineStr">
        <is>
          <t>同致</t>
        </is>
      </c>
      <c r="C1165" t="n">
        <v>54.2</v>
      </c>
      <c r="D1165" t="n">
        <v>53.8</v>
      </c>
      <c r="E1165" s="504" t="n">
        <v>-0.7</v>
      </c>
      <c r="F1165" s="505" t="n">
        <v>-1.28</v>
      </c>
      <c r="G1165" t="inlineStr">
        <is>
          <t>1463萬</t>
        </is>
      </c>
      <c r="H1165" t="n">
        <v>273</v>
      </c>
      <c r="I1165" t="n">
        <v>629</v>
      </c>
      <c r="J1165" t="n">
        <v>9.789999999999999</v>
      </c>
      <c r="K1165" t="n">
        <v>54.2</v>
      </c>
      <c r="L1165" t="n">
        <v>53.5</v>
      </c>
      <c r="M1165" s="175" t="n">
        <v>0.28</v>
      </c>
      <c r="N1165" t="inlineStr">
        <is>
          <t>全球知名倒車雷達大廠</t>
        </is>
      </c>
    </row>
    <row r="1166">
      <c r="A1166" t="n">
        <v>3555</v>
      </c>
      <c r="B1166" t="inlineStr">
        <is>
          <t>博士旺</t>
        </is>
      </c>
      <c r="C1166" t="n">
        <v>217</v>
      </c>
      <c r="D1166" t="n">
        <v>211.5</v>
      </c>
      <c r="E1166" s="504" t="n">
        <v>0.5</v>
      </c>
      <c r="F1166" s="505" t="n">
        <v>0.24</v>
      </c>
      <c r="G1166" t="inlineStr">
        <is>
          <t>3225萬</t>
        </is>
      </c>
      <c r="H1166" t="n">
        <v>152</v>
      </c>
      <c r="I1166" t="n">
        <v>272</v>
      </c>
      <c r="J1166" t="n">
        <v>4</v>
      </c>
      <c r="K1166" t="n">
        <v>218</v>
      </c>
      <c r="L1166" t="n">
        <v>208.5</v>
      </c>
      <c r="M1166" s="175" t="n">
        <v>0.38</v>
      </c>
      <c r="N1166" t="inlineStr">
        <is>
          <t>區塊鏈金融科技解決方案應用開發與相關專案委託開發</t>
        </is>
      </c>
    </row>
    <row r="1167">
      <c r="A1167" t="n">
        <v>3556</v>
      </c>
      <c r="B1167" t="inlineStr">
        <is>
          <t>禾瑞亞</t>
        </is>
      </c>
      <c r="C1167" t="n">
        <v>81</v>
      </c>
      <c r="D1167" t="n">
        <v>80.40000000000001</v>
      </c>
      <c r="E1167" s="504" t="n">
        <v>6.5</v>
      </c>
      <c r="F1167" s="505" t="n">
        <v>8.800000000000001</v>
      </c>
      <c r="G1167" t="inlineStr">
        <is>
          <t>8.47億</t>
        </is>
      </c>
      <c r="H1167" t="n">
        <v>10747</v>
      </c>
      <c r="I1167" t="n">
        <v>1481</v>
      </c>
      <c r="J1167" t="n">
        <v>6.37</v>
      </c>
      <c r="K1167" t="n">
        <v>81</v>
      </c>
      <c r="L1167" t="n">
        <v>75</v>
      </c>
      <c r="M1167" s="175" t="n">
        <v>16.87</v>
      </c>
      <c r="N1167" t="inlineStr">
        <is>
          <t>禾伸堂轉投資的觸控IC設計公司</t>
        </is>
      </c>
    </row>
    <row r="1168">
      <c r="A1168" t="n">
        <v>3557</v>
      </c>
      <c r="B1168" t="inlineStr">
        <is>
          <t>嘉威</t>
        </is>
      </c>
      <c r="C1168" t="n">
        <v>24</v>
      </c>
      <c r="D1168" t="n">
        <v>24.4</v>
      </c>
      <c r="E1168" s="504" t="n">
        <v>0.5</v>
      </c>
      <c r="F1168" s="505" t="n">
        <v>2.09</v>
      </c>
      <c r="G1168" t="inlineStr">
        <is>
          <t>178萬</t>
        </is>
      </c>
      <c r="H1168" t="n">
        <v>74</v>
      </c>
      <c r="I1168" t="n">
        <v>207</v>
      </c>
      <c r="J1168" t="n">
        <v>8.43</v>
      </c>
      <c r="K1168" t="n">
        <v>24.4</v>
      </c>
      <c r="L1168" t="n">
        <v>23.9</v>
      </c>
      <c r="M1168" s="175" t="n">
        <v>0.09</v>
      </c>
      <c r="N1168" t="inlineStr">
        <is>
          <t>家居餐飲用品生產及銷售商</t>
        </is>
      </c>
    </row>
    <row r="1169">
      <c r="A1169" t="n">
        <v>3558</v>
      </c>
      <c r="B1169" t="inlineStr">
        <is>
          <t>神準</t>
        </is>
      </c>
      <c r="C1169" t="n">
        <v>140.5</v>
      </c>
      <c r="D1169" t="n">
        <v>140</v>
      </c>
      <c r="E1169" s="504" t="n">
        <v>-0.5</v>
      </c>
      <c r="F1169" s="505" t="n">
        <v>-0.36</v>
      </c>
      <c r="G1169" t="inlineStr">
        <is>
          <t>5079萬</t>
        </is>
      </c>
      <c r="H1169" t="n">
        <v>368</v>
      </c>
      <c r="I1169" t="n">
        <v>1255</v>
      </c>
      <c r="J1169" t="n">
        <v>5.91</v>
      </c>
      <c r="K1169" t="n">
        <v>141</v>
      </c>
      <c r="L1169" t="n">
        <v>138</v>
      </c>
      <c r="M1169" s="175" t="n">
        <v>0.62</v>
      </c>
      <c r="N1169" t="inlineStr">
        <is>
          <t>神腦轉投資的網路通訊及網路安全設備廠</t>
        </is>
      </c>
    </row>
    <row r="1170">
      <c r="A1170" t="n">
        <v>3563</v>
      </c>
      <c r="B1170" t="inlineStr">
        <is>
          <t>牧德</t>
        </is>
      </c>
      <c r="C1170" t="n">
        <v>828</v>
      </c>
      <c r="D1170" t="n">
        <v>807</v>
      </c>
      <c r="E1170" s="504" t="n">
        <v>-18</v>
      </c>
      <c r="F1170" s="505" t="n">
        <v>-2.18</v>
      </c>
      <c r="G1170" t="inlineStr">
        <is>
          <t>7.19億</t>
        </is>
      </c>
      <c r="H1170" t="n">
        <v>890</v>
      </c>
      <c r="I1170" t="n">
        <v>1531</v>
      </c>
      <c r="J1170" t="n">
        <v>6.4</v>
      </c>
      <c r="K1170" t="n">
        <v>828</v>
      </c>
      <c r="L1170" t="n">
        <v>793</v>
      </c>
      <c r="M1170" s="175" t="n">
        <v>1.39</v>
      </c>
      <c r="N1170" t="inlineStr">
        <is>
          <t>台灣最大的PCB光學檢測設備供應商</t>
        </is>
      </c>
    </row>
    <row r="1171">
      <c r="A1171" t="n">
        <v>3564</v>
      </c>
      <c r="B1171" t="inlineStr">
        <is>
          <t>其陽</t>
        </is>
      </c>
      <c r="C1171" t="n">
        <v>55</v>
      </c>
      <c r="D1171" t="n">
        <v>57.6</v>
      </c>
      <c r="E1171" s="504" t="n">
        <v>5.2</v>
      </c>
      <c r="F1171" s="505" t="n">
        <v>9.92</v>
      </c>
      <c r="G1171" t="inlineStr">
        <is>
          <t>1.31億</t>
        </is>
      </c>
      <c r="H1171" t="n">
        <v>2306</v>
      </c>
      <c r="I1171" t="n">
        <v>664</v>
      </c>
      <c r="J1171" t="n">
        <v>5.91</v>
      </c>
      <c r="K1171" t="n">
        <v>57.6</v>
      </c>
      <c r="L1171" t="n">
        <v>54</v>
      </c>
      <c r="M1171" s="175" t="n">
        <v>3.9</v>
      </c>
      <c r="N1171" t="inlineStr">
        <is>
          <t>友通轉投資的網路安全設備廠</t>
        </is>
      </c>
    </row>
    <row r="1172">
      <c r="A1172" t="n">
        <v>3567</v>
      </c>
      <c r="B1172" t="inlineStr">
        <is>
          <t>逸昌</t>
        </is>
      </c>
      <c r="C1172" t="n">
        <v>29.35</v>
      </c>
      <c r="D1172" t="n">
        <v>29.25</v>
      </c>
      <c r="E1172" s="504" t="n">
        <v>-0.05</v>
      </c>
      <c r="F1172" s="505" t="n">
        <v>-0.17</v>
      </c>
      <c r="G1172" t="inlineStr">
        <is>
          <t>765萬</t>
        </is>
      </c>
      <c r="H1172" t="n">
        <v>264</v>
      </c>
      <c r="I1172" t="n">
        <v>192</v>
      </c>
      <c r="J1172" t="n">
        <v>3.4</v>
      </c>
      <c r="K1172" t="n">
        <v>29.35</v>
      </c>
      <c r="L1172" t="n">
        <v>28.5</v>
      </c>
      <c r="M1172" s="175" t="n">
        <v>0.78</v>
      </c>
      <c r="N1172" t="inlineStr">
        <is>
          <t>專注類比與混合訊號IC測試廠</t>
        </is>
      </c>
    </row>
    <row r="1173">
      <c r="A1173" t="n">
        <v>3570</v>
      </c>
      <c r="B1173" t="inlineStr">
        <is>
          <t>大塚</t>
        </is>
      </c>
      <c r="C1173" t="n">
        <v>181.5</v>
      </c>
      <c r="D1173" t="n">
        <v>182.5</v>
      </c>
      <c r="E1173" s="504" t="n">
        <v>3</v>
      </c>
      <c r="F1173" s="505" t="n">
        <v>1.67</v>
      </c>
      <c r="G1173" t="inlineStr">
        <is>
          <t>2609萬</t>
        </is>
      </c>
      <c r="H1173" t="n">
        <v>144</v>
      </c>
      <c r="I1173" t="n">
        <v>86</v>
      </c>
      <c r="J1173" t="n">
        <v>1.71</v>
      </c>
      <c r="K1173" t="n">
        <v>183</v>
      </c>
      <c r="L1173" t="n">
        <v>179.5</v>
      </c>
      <c r="M1173" s="175" t="n">
        <v>0.84</v>
      </c>
      <c r="N1173" t="inlineStr">
        <is>
          <t>工程繪圖CAD/CAM/CAE/CAID軟體代理商</t>
        </is>
      </c>
    </row>
    <row r="1174">
      <c r="A1174" t="n">
        <v>3576</v>
      </c>
      <c r="B1174" t="inlineStr">
        <is>
          <t>聯合再生</t>
        </is>
      </c>
      <c r="C1174" t="n">
        <v>18.5</v>
      </c>
      <c r="D1174" t="n">
        <v>18.2</v>
      </c>
      <c r="E1174" s="504" t="n">
        <v>-0.3</v>
      </c>
      <c r="F1174" s="505" t="n">
        <v>-1.62</v>
      </c>
      <c r="G1174" t="inlineStr">
        <is>
          <t>4.64億</t>
        </is>
      </c>
      <c r="H1174" t="n">
        <v>25805</v>
      </c>
      <c r="I1174" t="n">
        <v>27863</v>
      </c>
      <c r="J1174" t="n">
        <v>162.78</v>
      </c>
      <c r="K1174" t="n">
        <v>18.5</v>
      </c>
      <c r="L1174" t="n">
        <v>17.5</v>
      </c>
      <c r="M1174" s="175" t="n">
        <v>1.59</v>
      </c>
      <c r="N1174" t="inlineStr">
        <is>
          <t>台灣太陽能電池模組龍頭</t>
        </is>
      </c>
    </row>
    <row r="1175">
      <c r="A1175" t="n">
        <v>3577</v>
      </c>
      <c r="B1175" t="inlineStr">
        <is>
          <t>泓格</t>
        </is>
      </c>
      <c r="C1175" t="n">
        <v>152.5</v>
      </c>
      <c r="D1175" t="n">
        <v>145</v>
      </c>
      <c r="E1175" s="504" t="n">
        <v>-8</v>
      </c>
      <c r="F1175" s="505" t="n">
        <v>-5.23</v>
      </c>
      <c r="G1175" t="inlineStr">
        <is>
          <t>1.32億</t>
        </is>
      </c>
      <c r="H1175" t="n">
        <v>906</v>
      </c>
      <c r="I1175" t="n">
        <v>1862</v>
      </c>
      <c r="J1175" t="n">
        <v>6.4</v>
      </c>
      <c r="K1175" t="n">
        <v>152.5</v>
      </c>
      <c r="L1175" t="n">
        <v>142</v>
      </c>
      <c r="M1175" s="175" t="n">
        <v>1.42</v>
      </c>
      <c r="N1175" t="inlineStr">
        <is>
          <t>專攻PAC遠端控制器的IPC廠</t>
        </is>
      </c>
    </row>
    <row r="1176">
      <c r="A1176" t="n">
        <v>3580</v>
      </c>
      <c r="B1176" t="inlineStr">
        <is>
          <t>友威科</t>
        </is>
      </c>
      <c r="C1176" t="n">
        <v>113</v>
      </c>
      <c r="D1176" t="n">
        <v>108.5</v>
      </c>
      <c r="E1176" s="504" t="n">
        <v>-4.5</v>
      </c>
      <c r="F1176" s="505" t="n">
        <v>-3.98</v>
      </c>
      <c r="G1176" t="inlineStr">
        <is>
          <t>4.41億</t>
        </is>
      </c>
      <c r="H1176" t="n">
        <v>3965</v>
      </c>
      <c r="I1176" t="n">
        <v>3260</v>
      </c>
      <c r="J1176" t="n">
        <v>3.95</v>
      </c>
      <c r="K1176" t="n">
        <v>118</v>
      </c>
      <c r="L1176" t="n">
        <v>108</v>
      </c>
      <c r="M1176" s="175" t="n">
        <v>10.05</v>
      </c>
      <c r="N1176" t="inlineStr">
        <is>
          <t>台灣真空設備與真空濺鍍供應商</t>
        </is>
      </c>
    </row>
    <row r="1177">
      <c r="A1177" t="n">
        <v>3581</v>
      </c>
      <c r="B1177" t="inlineStr">
        <is>
          <t>博磊</t>
        </is>
      </c>
      <c r="C1177" t="n">
        <v>240</v>
      </c>
      <c r="D1177" t="n">
        <v>221.5</v>
      </c>
      <c r="E1177" s="504" t="n">
        <v>-22.5</v>
      </c>
      <c r="F1177" s="505" t="n">
        <v>-9.220000000000001</v>
      </c>
      <c r="G1177" t="inlineStr">
        <is>
          <t>3.60億</t>
        </is>
      </c>
      <c r="H1177" t="n">
        <v>1571</v>
      </c>
      <c r="I1177" t="n">
        <v>2306</v>
      </c>
      <c r="J1177" t="n">
        <v>5.1</v>
      </c>
      <c r="K1177" t="n">
        <v>250</v>
      </c>
      <c r="L1177" t="n">
        <v>220</v>
      </c>
      <c r="M1177" s="175" t="n">
        <v>3.08</v>
      </c>
      <c r="N1177" t="inlineStr">
        <is>
          <t>國內提供封裝測試設備及治具之專業製造商</t>
        </is>
      </c>
    </row>
    <row r="1178">
      <c r="A1178" t="n">
        <v>3583</v>
      </c>
      <c r="B1178" t="inlineStr">
        <is>
          <t>辛耘</t>
        </is>
      </c>
      <c r="C1178" t="n">
        <v>874</v>
      </c>
      <c r="D1178" t="n">
        <v>845</v>
      </c>
      <c r="E1178" s="504" t="n">
        <v>-22</v>
      </c>
      <c r="F1178" s="505" t="n">
        <v>-2.54</v>
      </c>
      <c r="G1178" t="inlineStr">
        <is>
          <t>14.7億</t>
        </is>
      </c>
      <c r="H1178" t="n">
        <v>1723</v>
      </c>
      <c r="I1178" t="n">
        <v>3031</v>
      </c>
      <c r="J1178" t="n">
        <v>8.029999999999999</v>
      </c>
      <c r="K1178" t="n">
        <v>882</v>
      </c>
      <c r="L1178" t="n">
        <v>835</v>
      </c>
      <c r="M1178" s="175" t="n">
        <v>2.14</v>
      </c>
      <c r="N1178" t="inlineStr">
        <is>
          <t>再生晶圓暨半導體設備廠</t>
        </is>
      </c>
    </row>
    <row r="1179">
      <c r="A1179" t="n">
        <v>3587</v>
      </c>
      <c r="B1179" t="inlineStr">
        <is>
          <t>閎康</t>
        </is>
      </c>
      <c r="C1179" t="n">
        <v>328</v>
      </c>
      <c r="D1179" t="n">
        <v>317</v>
      </c>
      <c r="E1179" s="504" t="n">
        <v>-6.5</v>
      </c>
      <c r="F1179" s="505" t="n">
        <v>-2.01</v>
      </c>
      <c r="G1179" t="inlineStr">
        <is>
          <t>4.14億</t>
        </is>
      </c>
      <c r="H1179" t="n">
        <v>1299</v>
      </c>
      <c r="I1179" t="n">
        <v>1410</v>
      </c>
      <c r="J1179" t="n">
        <v>7.12</v>
      </c>
      <c r="K1179" t="n">
        <v>330</v>
      </c>
      <c r="L1179" t="n">
        <v>311</v>
      </c>
      <c r="M1179" s="175" t="n">
        <v>1.87</v>
      </c>
      <c r="N1179" t="inlineStr">
        <is>
          <t>以材料分析為主之專業獨立實驗室</t>
        </is>
      </c>
    </row>
    <row r="1180">
      <c r="A1180" t="n">
        <v>3588</v>
      </c>
      <c r="B1180" t="inlineStr">
        <is>
          <t>通嘉</t>
        </is>
      </c>
      <c r="C1180" t="n">
        <v>64</v>
      </c>
      <c r="D1180" t="n">
        <v>63.9</v>
      </c>
      <c r="E1180" s="504" t="n">
        <v>0.3</v>
      </c>
      <c r="F1180" s="505" t="n">
        <v>0.47</v>
      </c>
      <c r="G1180" t="inlineStr">
        <is>
          <t>8408萬</t>
        </is>
      </c>
      <c r="H1180" t="n">
        <v>1302</v>
      </c>
      <c r="I1180" t="n">
        <v>880</v>
      </c>
      <c r="J1180" t="n">
        <v>6.2</v>
      </c>
      <c r="K1180" t="n">
        <v>68</v>
      </c>
      <c r="L1180" t="n">
        <v>61.8</v>
      </c>
      <c r="M1180" s="175" t="n">
        <v>2.1</v>
      </c>
      <c r="N1180" t="inlineStr">
        <is>
          <t>台灣少數跨AC/DC及DC/DC的電源管理IC設計廠商</t>
        </is>
      </c>
    </row>
    <row r="1181">
      <c r="A1181" t="n">
        <v>3591</v>
      </c>
      <c r="B1181" t="inlineStr">
        <is>
          <t>艾笛森</t>
        </is>
      </c>
      <c r="C1181" t="n">
        <v>25.9</v>
      </c>
      <c r="D1181" t="n">
        <v>24.9</v>
      </c>
      <c r="E1181" s="504" t="n">
        <v>-0.95</v>
      </c>
      <c r="F1181" s="505" t="n">
        <v>-3.68</v>
      </c>
      <c r="G1181" t="inlineStr">
        <is>
          <t>6455萬</t>
        </is>
      </c>
      <c r="H1181" t="n">
        <v>2612</v>
      </c>
      <c r="I1181" t="n">
        <v>1908</v>
      </c>
      <c r="J1181" t="n">
        <v>14.54</v>
      </c>
      <c r="K1181" t="n">
        <v>25.9</v>
      </c>
      <c r="L1181" t="n">
        <v>23.85</v>
      </c>
      <c r="M1181" s="175" t="n">
        <v>1.8</v>
      </c>
      <c r="N1181" t="inlineStr">
        <is>
          <t>台灣最大高功率LED產品設計製造廠商</t>
        </is>
      </c>
    </row>
    <row r="1182">
      <c r="A1182" t="n">
        <v>3592</v>
      </c>
      <c r="B1182" t="inlineStr">
        <is>
          <t>瑞鼎</t>
        </is>
      </c>
      <c r="C1182" t="n">
        <v>283</v>
      </c>
      <c r="D1182" t="n">
        <v>281.5</v>
      </c>
      <c r="E1182" s="504" t="n">
        <v>-3.5</v>
      </c>
      <c r="F1182" s="505" t="n">
        <v>-1.23</v>
      </c>
      <c r="G1182" t="inlineStr">
        <is>
          <t>1.93億</t>
        </is>
      </c>
      <c r="H1182" t="n">
        <v>686</v>
      </c>
      <c r="I1182" t="n">
        <v>1299</v>
      </c>
      <c r="J1182" t="n">
        <v>7.59</v>
      </c>
      <c r="K1182" t="n">
        <v>283</v>
      </c>
      <c r="L1182" t="n">
        <v>278</v>
      </c>
      <c r="M1182" s="175" t="n">
        <v>0.9</v>
      </c>
      <c r="N1182" t="inlineStr">
        <is>
          <t>友達集團旗下驅動IC設計公司</t>
        </is>
      </c>
    </row>
    <row r="1183">
      <c r="A1183" t="n">
        <v>3593</v>
      </c>
      <c r="B1183" t="inlineStr">
        <is>
          <t>力銘</t>
        </is>
      </c>
      <c r="C1183" t="n">
        <v>16.7</v>
      </c>
      <c r="D1183" t="n">
        <v>16.7</v>
      </c>
      <c r="E1183" s="504" t="n">
        <v>-0.15</v>
      </c>
      <c r="F1183" s="505" t="n">
        <v>-0.89</v>
      </c>
      <c r="G1183" t="inlineStr">
        <is>
          <t>37.9萬</t>
        </is>
      </c>
      <c r="H1183" t="n">
        <v>23</v>
      </c>
      <c r="I1183" t="n">
        <v>43</v>
      </c>
      <c r="J1183" t="n">
        <v>6.08</v>
      </c>
      <c r="K1183" t="n">
        <v>16.7</v>
      </c>
      <c r="L1183" t="n">
        <v>16.1</v>
      </c>
      <c r="M1183" s="175" t="n">
        <v>0.04</v>
      </c>
      <c r="N1183" t="inlineStr">
        <is>
          <t>台灣塑膠射出成型零組件廠</t>
        </is>
      </c>
    </row>
    <row r="1184">
      <c r="A1184" t="n">
        <v>3594</v>
      </c>
      <c r="B1184" t="inlineStr">
        <is>
          <t>磐儀</t>
        </is>
      </c>
      <c r="C1184" t="n">
        <v>51.9</v>
      </c>
      <c r="D1184" t="n">
        <v>49.95</v>
      </c>
      <c r="E1184" s="504" t="n">
        <v>-1.15</v>
      </c>
      <c r="F1184" s="505" t="n">
        <v>-2.25</v>
      </c>
      <c r="G1184" t="inlineStr">
        <is>
          <t>2518萬</t>
        </is>
      </c>
      <c r="H1184" t="n">
        <v>504</v>
      </c>
      <c r="I1184" t="n">
        <v>544</v>
      </c>
      <c r="J1184" t="n">
        <v>9.59</v>
      </c>
      <c r="K1184" t="n">
        <v>52</v>
      </c>
      <c r="L1184" t="n">
        <v>48.75</v>
      </c>
      <c r="M1184" s="175" t="n">
        <v>0.53</v>
      </c>
      <c r="N1184" t="inlineStr">
        <is>
          <t>專攻系統產品的工業電腦廠</t>
        </is>
      </c>
    </row>
    <row r="1185">
      <c r="A1185" t="n">
        <v>3596</v>
      </c>
      <c r="B1185" t="inlineStr">
        <is>
          <t>智易</t>
        </is>
      </c>
      <c r="C1185" t="n">
        <v>195</v>
      </c>
      <c r="D1185" t="n">
        <v>191.5</v>
      </c>
      <c r="E1185" s="504" t="n">
        <v>-2</v>
      </c>
      <c r="F1185" s="505" t="n">
        <v>-1.03</v>
      </c>
      <c r="G1185" t="inlineStr">
        <is>
          <t>3.40億</t>
        </is>
      </c>
      <c r="H1185" t="n">
        <v>1783</v>
      </c>
      <c r="I1185" t="n">
        <v>1942</v>
      </c>
      <c r="J1185" t="n">
        <v>22.04</v>
      </c>
      <c r="K1185" t="n">
        <v>195</v>
      </c>
      <c r="L1185" t="n">
        <v>189</v>
      </c>
      <c r="M1185" s="175" t="n">
        <v>0.8100000000000001</v>
      </c>
      <c r="N1185" t="inlineStr">
        <is>
          <t>仁寶集團旗下網通廠</t>
        </is>
      </c>
    </row>
    <row r="1186">
      <c r="A1186" t="n">
        <v>3597</v>
      </c>
      <c r="B1186" t="inlineStr">
        <is>
          <t>映興</t>
        </is>
      </c>
      <c r="C1186" t="n">
        <v>27.35</v>
      </c>
      <c r="D1186" t="n">
        <v>27.55</v>
      </c>
      <c r="E1186" s="504" t="n">
        <v>0.05</v>
      </c>
      <c r="F1186" s="505" t="n">
        <v>0.18</v>
      </c>
      <c r="G1186" t="inlineStr">
        <is>
          <t>335萬</t>
        </is>
      </c>
      <c r="H1186" t="n">
        <v>123</v>
      </c>
      <c r="I1186" t="n">
        <v>176</v>
      </c>
      <c r="J1186" t="n">
        <v>3.92</v>
      </c>
      <c r="K1186" t="n">
        <v>27.55</v>
      </c>
      <c r="L1186" t="n">
        <v>27.05</v>
      </c>
      <c r="M1186" s="175" t="n">
        <v>0.31</v>
      </c>
      <c r="N1186" t="inlineStr">
        <is>
          <t>台灣連接元件廠商</t>
        </is>
      </c>
    </row>
    <row r="1187">
      <c r="A1187" t="n">
        <v>3605</v>
      </c>
      <c r="B1187" t="inlineStr">
        <is>
          <t>宏致</t>
        </is>
      </c>
      <c r="C1187" t="n">
        <v>79.90000000000001</v>
      </c>
      <c r="D1187" t="n">
        <v>77.5</v>
      </c>
      <c r="E1187" s="504" t="n">
        <v>-1.7</v>
      </c>
      <c r="F1187" s="505" t="n">
        <v>-2.15</v>
      </c>
      <c r="G1187" t="inlineStr">
        <is>
          <t>2.29億</t>
        </is>
      </c>
      <c r="H1187" t="n">
        <v>2962</v>
      </c>
      <c r="I1187" t="n">
        <v>4155</v>
      </c>
      <c r="J1187" t="n">
        <v>17.47</v>
      </c>
      <c r="K1187" t="n">
        <v>79.90000000000001</v>
      </c>
      <c r="L1187" t="n">
        <v>76.09999999999999</v>
      </c>
      <c r="M1187" s="175" t="n">
        <v>1.69</v>
      </c>
      <c r="N1187" t="inlineStr">
        <is>
          <t>國內連接器及連接線組、配件製造商</t>
        </is>
      </c>
    </row>
    <row r="1188">
      <c r="A1188" t="n">
        <v>3607</v>
      </c>
      <c r="B1188" t="inlineStr">
        <is>
          <t>谷崧</t>
        </is>
      </c>
      <c r="C1188" t="n">
        <v>16.9</v>
      </c>
      <c r="D1188" t="n">
        <v>17.8</v>
      </c>
      <c r="E1188" s="504" t="n">
        <v>1.6</v>
      </c>
      <c r="F1188" s="505" t="n">
        <v>9.880000000000001</v>
      </c>
      <c r="G1188" t="inlineStr">
        <is>
          <t>3596萬</t>
        </is>
      </c>
      <c r="H1188" t="n">
        <v>2040</v>
      </c>
      <c r="I1188" t="n">
        <v>849</v>
      </c>
      <c r="J1188" t="n">
        <v>12.17</v>
      </c>
      <c r="K1188" t="n">
        <v>17.8</v>
      </c>
      <c r="L1188" t="n">
        <v>16.75</v>
      </c>
      <c r="M1188" s="175" t="n">
        <v>1.68</v>
      </c>
      <c r="N1188" t="inlineStr">
        <is>
          <t>為3C塑膠零組件製造廠</t>
        </is>
      </c>
    </row>
    <row r="1189">
      <c r="A1189" t="n">
        <v>3609</v>
      </c>
      <c r="B1189" t="inlineStr">
        <is>
          <t>三一東林</t>
        </is>
      </c>
      <c r="C1189" t="n">
        <v>29.5</v>
      </c>
      <c r="D1189" t="n">
        <v>28.75</v>
      </c>
      <c r="E1189" s="504" t="n">
        <v>-0.75</v>
      </c>
      <c r="F1189" s="505" t="n">
        <v>-2.54</v>
      </c>
      <c r="G1189" t="inlineStr">
        <is>
          <t>399萬</t>
        </is>
      </c>
      <c r="H1189" t="n">
        <v>138</v>
      </c>
      <c r="I1189" t="n">
        <v>439</v>
      </c>
      <c r="J1189" t="n">
        <v>3.84</v>
      </c>
      <c r="K1189" t="n">
        <v>29.5</v>
      </c>
      <c r="L1189" t="n">
        <v>28.6</v>
      </c>
      <c r="M1189" s="175" t="n">
        <v>0.36</v>
      </c>
      <c r="N1189" t="inlineStr">
        <is>
          <t>從事電光源驅動元件製造及汽車改裝銷售業務</t>
        </is>
      </c>
    </row>
    <row r="1190">
      <c r="A1190" t="n">
        <v>3611</v>
      </c>
      <c r="B1190" t="inlineStr">
        <is>
          <t>鼎翰</t>
        </is>
      </c>
      <c r="C1190" t="n">
        <v>192</v>
      </c>
      <c r="D1190" t="n">
        <v>191.5</v>
      </c>
      <c r="E1190" s="504" t="n">
        <v>-0.5</v>
      </c>
      <c r="F1190" s="505" t="n">
        <v>-0.26</v>
      </c>
      <c r="G1190" t="inlineStr">
        <is>
          <t>1302萬</t>
        </is>
      </c>
      <c r="H1190" t="n">
        <v>68</v>
      </c>
      <c r="I1190" t="n">
        <v>59</v>
      </c>
      <c r="J1190" t="n">
        <v>4.76</v>
      </c>
      <c r="K1190" t="n">
        <v>193</v>
      </c>
      <c r="L1190" t="n">
        <v>190</v>
      </c>
      <c r="M1190" s="175" t="n">
        <v>0.14</v>
      </c>
      <c r="N1190" t="inlineStr">
        <is>
          <t>台半轉投資的條碼印表機製造廠</t>
        </is>
      </c>
    </row>
    <row r="1191">
      <c r="A1191" t="n">
        <v>3615</v>
      </c>
      <c r="B1191" t="inlineStr">
        <is>
          <t>安可</t>
        </is>
      </c>
      <c r="C1191" t="n">
        <v>50.5</v>
      </c>
      <c r="D1191" t="n">
        <v>50.3</v>
      </c>
      <c r="E1191" s="504" t="n">
        <v>-0.4</v>
      </c>
      <c r="F1191" s="505" t="n">
        <v>-0.79</v>
      </c>
      <c r="G1191" t="inlineStr">
        <is>
          <t>3.29億</t>
        </is>
      </c>
      <c r="H1191" t="n">
        <v>6700</v>
      </c>
      <c r="I1191" t="n">
        <v>11212</v>
      </c>
      <c r="J1191" t="n">
        <v>6.85</v>
      </c>
      <c r="K1191" t="n">
        <v>51.4</v>
      </c>
      <c r="L1191" t="n">
        <v>46.35</v>
      </c>
      <c r="M1191" s="175" t="n">
        <v>9.789999999999999</v>
      </c>
      <c r="N1191" t="inlineStr">
        <is>
          <t>錸德轉投資的ITO導電玻璃專業鍍膜廠</t>
        </is>
      </c>
    </row>
    <row r="1192">
      <c r="A1192" t="n">
        <v>3617</v>
      </c>
      <c r="B1192" t="inlineStr">
        <is>
          <t>碩天</t>
        </is>
      </c>
      <c r="C1192" t="n">
        <v>214.5</v>
      </c>
      <c r="D1192" t="n">
        <v>212.5</v>
      </c>
      <c r="E1192" s="504" t="n">
        <v>0.5</v>
      </c>
      <c r="F1192" s="505" t="n">
        <v>0.24</v>
      </c>
      <c r="G1192" t="inlineStr">
        <is>
          <t>8482萬</t>
        </is>
      </c>
      <c r="H1192" t="n">
        <v>399</v>
      </c>
      <c r="I1192" t="n">
        <v>582</v>
      </c>
      <c r="J1192" t="n">
        <v>9.48</v>
      </c>
      <c r="K1192" t="n">
        <v>216</v>
      </c>
      <c r="L1192" t="n">
        <v>209</v>
      </c>
      <c r="M1192" s="175" t="n">
        <v>0.42</v>
      </c>
      <c r="N1192" t="inlineStr">
        <is>
          <t>北美地區UPS市場前三大品牌之一</t>
        </is>
      </c>
    </row>
    <row r="1193">
      <c r="A1193" t="n">
        <v>3622</v>
      </c>
      <c r="B1193" t="inlineStr">
        <is>
          <t>洋華</t>
        </is>
      </c>
      <c r="C1193" t="n">
        <v>58.8</v>
      </c>
      <c r="D1193" t="n">
        <v>58.4</v>
      </c>
      <c r="E1193" s="504" t="n">
        <v>0</v>
      </c>
      <c r="F1193" s="505" t="n">
        <v>0</v>
      </c>
      <c r="G1193" t="inlineStr">
        <is>
          <t>2747萬</t>
        </is>
      </c>
      <c r="H1193" t="n">
        <v>473</v>
      </c>
      <c r="I1193" t="n">
        <v>701</v>
      </c>
      <c r="J1193" t="n">
        <v>15.13</v>
      </c>
      <c r="K1193" t="n">
        <v>59</v>
      </c>
      <c r="L1193" t="n">
        <v>57</v>
      </c>
      <c r="M1193" s="175" t="n">
        <v>0.31</v>
      </c>
      <c r="N1193" t="inlineStr">
        <is>
          <t>台灣中小尺寸觸控面板廠</t>
        </is>
      </c>
    </row>
    <row r="1194">
      <c r="A1194" t="n">
        <v>3623</v>
      </c>
      <c r="B1194" t="inlineStr">
        <is>
          <t>富晶通</t>
        </is>
      </c>
      <c r="C1194" t="n">
        <v>23.8</v>
      </c>
      <c r="D1194" t="n">
        <v>24.25</v>
      </c>
      <c r="E1194" s="504" t="n">
        <v>1</v>
      </c>
      <c r="F1194" s="505" t="n">
        <v>4.3</v>
      </c>
      <c r="G1194" t="inlineStr">
        <is>
          <t>2619萬</t>
        </is>
      </c>
      <c r="H1194" t="n">
        <v>1045</v>
      </c>
      <c r="I1194" t="n">
        <v>78</v>
      </c>
      <c r="J1194" t="n">
        <v>2.92</v>
      </c>
      <c r="K1194" t="n">
        <v>25.55</v>
      </c>
      <c r="L1194" t="n">
        <v>23.7</v>
      </c>
      <c r="M1194" s="175" t="n">
        <v>3.58</v>
      </c>
      <c r="N1194" t="inlineStr">
        <is>
          <t>中環與富士通合資之觸控面板廠</t>
        </is>
      </c>
    </row>
    <row r="1195">
      <c r="A1195" t="n">
        <v>3624</v>
      </c>
      <c r="B1195" t="inlineStr">
        <is>
          <t>光頡</t>
        </is>
      </c>
      <c r="C1195" t="n">
        <v>107</v>
      </c>
      <c r="D1195" t="n">
        <v>122</v>
      </c>
      <c r="E1195" s="504" t="n">
        <v>9</v>
      </c>
      <c r="F1195" s="505" t="n">
        <v>7.96</v>
      </c>
      <c r="G1195" t="inlineStr">
        <is>
          <t>5.75億</t>
        </is>
      </c>
      <c r="H1195" t="n">
        <v>5330</v>
      </c>
      <c r="I1195" t="n">
        <v>6028</v>
      </c>
      <c r="J1195" t="n">
        <v>11.73</v>
      </c>
      <c r="K1195" t="n">
        <v>122</v>
      </c>
      <c r="L1195" t="n">
        <v>102</v>
      </c>
      <c r="M1195" s="175" t="n">
        <v>4.54</v>
      </c>
      <c r="N1195" t="inlineStr">
        <is>
          <t>利基型薄膜電阻廠</t>
        </is>
      </c>
    </row>
    <row r="1196">
      <c r="A1196" t="n">
        <v>3625</v>
      </c>
      <c r="B1196" t="inlineStr">
        <is>
          <t>西勝</t>
        </is>
      </c>
      <c r="C1196" t="n">
        <v>15.65</v>
      </c>
      <c r="D1196" t="n">
        <v>15.5</v>
      </c>
      <c r="E1196" s="504" t="n">
        <v>0</v>
      </c>
      <c r="F1196" s="505" t="n">
        <v>0</v>
      </c>
      <c r="G1196" t="inlineStr">
        <is>
          <t>758萬</t>
        </is>
      </c>
      <c r="H1196" t="n">
        <v>491</v>
      </c>
      <c r="I1196" t="n">
        <v>652</v>
      </c>
      <c r="J1196" t="n">
        <v>11.42</v>
      </c>
      <c r="K1196" t="n">
        <v>15.85</v>
      </c>
      <c r="L1196" t="n">
        <v>15.3</v>
      </c>
      <c r="M1196" s="175" t="n">
        <v>0.43</v>
      </c>
      <c r="N1196" t="inlineStr">
        <is>
          <t>筆電電池模組及充電器供應商</t>
        </is>
      </c>
    </row>
    <row r="1197">
      <c r="A1197" t="n">
        <v>3628</v>
      </c>
      <c r="B1197" t="inlineStr">
        <is>
          <t>盈正</t>
        </is>
      </c>
      <c r="C1197" t="n">
        <v>69.2</v>
      </c>
      <c r="D1197" t="n">
        <v>68.90000000000001</v>
      </c>
      <c r="E1197" s="504" t="n">
        <v>-0.3</v>
      </c>
      <c r="F1197" s="505" t="n">
        <v>-0.43</v>
      </c>
      <c r="G1197" t="inlineStr">
        <is>
          <t>1286萬</t>
        </is>
      </c>
      <c r="H1197" t="n">
        <v>187</v>
      </c>
      <c r="I1197" t="n">
        <v>165</v>
      </c>
      <c r="J1197" t="n">
        <v>4.5</v>
      </c>
      <c r="K1197" t="n">
        <v>70</v>
      </c>
      <c r="L1197" t="n">
        <v>68.09999999999999</v>
      </c>
      <c r="M1197" s="175" t="n">
        <v>0.42</v>
      </c>
      <c r="N1197" t="inlineStr">
        <is>
          <t>UPS設備製造商兼專案工程商</t>
        </is>
      </c>
    </row>
    <row r="1198">
      <c r="A1198" t="n">
        <v>3629</v>
      </c>
      <c r="B1198" t="inlineStr">
        <is>
          <t>地心引力</t>
        </is>
      </c>
      <c r="C1198" t="n">
        <v>15.9</v>
      </c>
      <c r="D1198" t="n">
        <v>16.4</v>
      </c>
      <c r="E1198" s="504" t="n">
        <v>-0.05</v>
      </c>
      <c r="F1198" s="505" t="n">
        <v>-0.3</v>
      </c>
      <c r="G1198" t="inlineStr">
        <is>
          <t>19.1萬</t>
        </is>
      </c>
      <c r="H1198" t="n">
        <v>12</v>
      </c>
      <c r="I1198" t="n">
        <v>13</v>
      </c>
      <c r="J1198" t="n">
        <v>3.3</v>
      </c>
      <c r="K1198" t="n">
        <v>16.4</v>
      </c>
      <c r="L1198" t="n">
        <v>15.7</v>
      </c>
      <c r="M1198" s="175" t="n">
        <v>0.04</v>
      </c>
      <c r="N1198" t="inlineStr">
        <is>
          <t>主要從事整合行銷公關服務</t>
        </is>
      </c>
    </row>
    <row r="1199">
      <c r="A1199" t="n">
        <v>3630</v>
      </c>
      <c r="B1199" t="inlineStr">
        <is>
          <t>新鉅科</t>
        </is>
      </c>
      <c r="C1199" t="n">
        <v>26.8</v>
      </c>
      <c r="D1199" t="n">
        <v>27.05</v>
      </c>
      <c r="E1199" s="504" t="n">
        <v>0.55</v>
      </c>
      <c r="F1199" s="505" t="n">
        <v>2.08</v>
      </c>
      <c r="G1199" t="inlineStr">
        <is>
          <t>2536萬</t>
        </is>
      </c>
      <c r="H1199" t="n">
        <v>949</v>
      </c>
      <c r="I1199" t="n">
        <v>712</v>
      </c>
      <c r="J1199" t="n">
        <v>20.42</v>
      </c>
      <c r="K1199" t="n">
        <v>27.2</v>
      </c>
      <c r="L1199" t="n">
        <v>26.2</v>
      </c>
      <c r="M1199" s="175" t="n">
        <v>0.46</v>
      </c>
      <c r="N1199" t="inlineStr">
        <is>
          <t>台灣感測鏡頭供應商</t>
        </is>
      </c>
    </row>
    <row r="1200">
      <c r="A1200" t="n">
        <v>3631</v>
      </c>
      <c r="B1200" t="inlineStr">
        <is>
          <t>晟楠</t>
        </is>
      </c>
      <c r="C1200" t="n">
        <v>36.3</v>
      </c>
      <c r="D1200" t="n">
        <v>34.9</v>
      </c>
      <c r="E1200" s="504" t="n">
        <v>-1.5</v>
      </c>
      <c r="F1200" s="505" t="n">
        <v>-4.12</v>
      </c>
      <c r="G1200" t="inlineStr">
        <is>
          <t>846萬</t>
        </is>
      </c>
      <c r="H1200" t="n">
        <v>240</v>
      </c>
      <c r="I1200" t="n">
        <v>202</v>
      </c>
      <c r="J1200" t="n">
        <v>8.18</v>
      </c>
      <c r="K1200" t="n">
        <v>36.4</v>
      </c>
      <c r="L1200" t="n">
        <v>34.35</v>
      </c>
      <c r="M1200" s="175" t="n">
        <v>0.29</v>
      </c>
      <c r="N1200" t="inlineStr">
        <is>
          <t>錫條、錫絲、錫膏及鉛助焊劑供應商</t>
        </is>
      </c>
    </row>
    <row r="1201">
      <c r="A1201" t="n">
        <v>3632</v>
      </c>
      <c r="B1201" t="inlineStr">
        <is>
          <t>研勤</t>
        </is>
      </c>
      <c r="C1201" t="n">
        <v>8.58</v>
      </c>
      <c r="D1201" t="n">
        <v>8.4</v>
      </c>
      <c r="E1201" s="504" t="n">
        <v>0.46</v>
      </c>
      <c r="F1201" s="505" t="n">
        <v>5.79</v>
      </c>
      <c r="G1201" t="inlineStr">
        <is>
          <t>12.4萬</t>
        </is>
      </c>
      <c r="H1201" t="n">
        <v>15</v>
      </c>
      <c r="I1201" t="n">
        <v>96</v>
      </c>
      <c r="J1201" t="n">
        <v>4.09</v>
      </c>
      <c r="K1201" t="n">
        <v>8.58</v>
      </c>
      <c r="L1201" t="n">
        <v>7.95</v>
      </c>
      <c r="M1201" s="175" t="n">
        <v>0.04</v>
      </c>
      <c r="N1201" t="inlineStr">
        <is>
          <t>以PAPAGO為品牌之行車紀錄器及導航軟體廠商</t>
        </is>
      </c>
    </row>
    <row r="1202">
      <c r="A1202" t="n">
        <v>3645</v>
      </c>
      <c r="B1202" t="inlineStr">
        <is>
          <t>達邁</t>
        </is>
      </c>
      <c r="C1202" t="n">
        <v>108</v>
      </c>
      <c r="D1202" t="n">
        <v>101.5</v>
      </c>
      <c r="E1202" s="504" t="n">
        <v>-5.5</v>
      </c>
      <c r="F1202" s="505" t="n">
        <v>-5.14</v>
      </c>
      <c r="G1202" t="inlineStr">
        <is>
          <t>5.40億</t>
        </is>
      </c>
      <c r="H1202" t="n">
        <v>5308</v>
      </c>
      <c r="I1202" t="n">
        <v>9556</v>
      </c>
      <c r="J1202" t="n">
        <v>13.68</v>
      </c>
      <c r="K1202" t="n">
        <v>108</v>
      </c>
      <c r="L1202" t="n">
        <v>99.3</v>
      </c>
      <c r="M1202" s="175" t="n">
        <v>3.88</v>
      </c>
      <c r="N1202" t="inlineStr">
        <is>
          <t>全球第四大聚醯亞胺薄膜生產廠商</t>
        </is>
      </c>
    </row>
    <row r="1203">
      <c r="A1203" t="n">
        <v>3646</v>
      </c>
      <c r="B1203" t="inlineStr">
        <is>
          <t>艾恩特</t>
        </is>
      </c>
      <c r="C1203" t="n">
        <v>23.5</v>
      </c>
      <c r="D1203" t="n">
        <v>23.6</v>
      </c>
      <c r="E1203" s="504" t="n">
        <v>0</v>
      </c>
      <c r="F1203" s="505" t="n">
        <v>0</v>
      </c>
      <c r="G1203" t="inlineStr">
        <is>
          <t>129萬</t>
        </is>
      </c>
      <c r="H1203" t="n">
        <v>55</v>
      </c>
      <c r="I1203" t="n">
        <v>36</v>
      </c>
      <c r="J1203" t="n">
        <v>3.93</v>
      </c>
      <c r="K1203" t="n">
        <v>23.6</v>
      </c>
      <c r="L1203" t="n">
        <v>23.4</v>
      </c>
      <c r="M1203" s="175" t="n">
        <v>0.14</v>
      </c>
      <c r="N1203" t="inlineStr">
        <is>
          <t>台灣工業及汽車用連接器製造廠</t>
        </is>
      </c>
    </row>
    <row r="1204">
      <c r="A1204" t="n">
        <v>3652</v>
      </c>
      <c r="B1204" t="inlineStr">
        <is>
          <t>精聯</t>
        </is>
      </c>
      <c r="C1204" t="n">
        <v>36.5</v>
      </c>
      <c r="D1204" t="n">
        <v>35.5</v>
      </c>
      <c r="E1204" s="504" t="n">
        <v>-0.9</v>
      </c>
      <c r="F1204" s="505" t="n">
        <v>-2.47</v>
      </c>
      <c r="G1204" t="inlineStr">
        <is>
          <t>1112萬</t>
        </is>
      </c>
      <c r="H1204" t="n">
        <v>314</v>
      </c>
      <c r="I1204" t="n">
        <v>569</v>
      </c>
      <c r="J1204" t="n">
        <v>7.51</v>
      </c>
      <c r="K1204" t="n">
        <v>36.5</v>
      </c>
      <c r="L1204" t="n">
        <v>34.9</v>
      </c>
      <c r="M1204" s="175" t="n">
        <v>0.42</v>
      </c>
      <c r="N1204" t="inlineStr">
        <is>
          <t>台灣條碼識別與自動資料收集設備(AIDC)領導品牌</t>
        </is>
      </c>
    </row>
    <row r="1205">
      <c r="A1205" t="n">
        <v>3653</v>
      </c>
      <c r="B1205" t="inlineStr">
        <is>
          <t>健策</t>
        </is>
      </c>
      <c r="C1205" t="n">
        <v>3995</v>
      </c>
      <c r="D1205" t="n">
        <v>3990</v>
      </c>
      <c r="E1205" s="504" t="n">
        <v>150</v>
      </c>
      <c r="F1205" s="505" t="n">
        <v>3.91</v>
      </c>
      <c r="G1205" t="inlineStr">
        <is>
          <t>110億</t>
        </is>
      </c>
      <c r="H1205" t="n">
        <v>2735</v>
      </c>
      <c r="I1205" t="n">
        <v>2158</v>
      </c>
      <c r="J1205" t="n">
        <v>14.67</v>
      </c>
      <c r="K1205" t="n">
        <v>4165</v>
      </c>
      <c r="L1205" t="n">
        <v>3880</v>
      </c>
      <c r="M1205" s="175" t="n">
        <v>1.86</v>
      </c>
      <c r="N1205" t="inlineStr">
        <is>
          <t>台灣均熱片兼LED導線架供應商</t>
        </is>
      </c>
    </row>
    <row r="1206">
      <c r="A1206" t="n">
        <v>3661</v>
      </c>
      <c r="B1206" t="inlineStr">
        <is>
          <t>世芯-KY</t>
        </is>
      </c>
      <c r="C1206" t="n">
        <v>4870</v>
      </c>
      <c r="D1206" t="n">
        <v>4575</v>
      </c>
      <c r="E1206" s="504" t="n">
        <v>-280</v>
      </c>
      <c r="F1206" s="505" t="n">
        <v>-5.77</v>
      </c>
      <c r="G1206" t="inlineStr">
        <is>
          <t>86.2億</t>
        </is>
      </c>
      <c r="H1206" t="n">
        <v>1859</v>
      </c>
      <c r="I1206" t="n">
        <v>2298</v>
      </c>
      <c r="J1206" t="n">
        <v>8.210000000000001</v>
      </c>
      <c r="K1206" t="n">
        <v>4870</v>
      </c>
      <c r="L1206" t="n">
        <v>4500</v>
      </c>
      <c r="M1206" s="175" t="n">
        <v>2.34</v>
      </c>
      <c r="N1206" t="inlineStr">
        <is>
          <t>全球ASIC及設計IP業者</t>
        </is>
      </c>
    </row>
    <row r="1207">
      <c r="A1207" t="n">
        <v>3663</v>
      </c>
      <c r="B1207" t="inlineStr">
        <is>
          <t>鑫科</t>
        </is>
      </c>
      <c r="C1207" t="n">
        <v>90.09999999999999</v>
      </c>
      <c r="D1207" t="n">
        <v>86.3</v>
      </c>
      <c r="E1207" s="504" t="n">
        <v>-3.2</v>
      </c>
      <c r="F1207" s="505" t="n">
        <v>-3.58</v>
      </c>
      <c r="G1207" t="inlineStr">
        <is>
          <t>4.00億</t>
        </is>
      </c>
      <c r="H1207" t="n">
        <v>4611</v>
      </c>
      <c r="I1207" t="n">
        <v>6173</v>
      </c>
      <c r="J1207" t="n">
        <v>10.85</v>
      </c>
      <c r="K1207" t="n">
        <v>91.40000000000001</v>
      </c>
      <c r="L1207" t="n">
        <v>84.40000000000001</v>
      </c>
      <c r="M1207" s="175" t="n">
        <v>4.25</v>
      </c>
      <c r="N1207" t="inlineStr">
        <is>
          <t>屬中鋼集團之台灣前兩大濺鍍靶材廠</t>
        </is>
      </c>
    </row>
    <row r="1208">
      <c r="A1208" t="n">
        <v>3664</v>
      </c>
      <c r="B1208" t="inlineStr">
        <is>
          <t>安瑞-KY</t>
        </is>
      </c>
      <c r="C1208" t="n">
        <v>8.300000000000001</v>
      </c>
      <c r="D1208" t="n">
        <v>7.75</v>
      </c>
      <c r="E1208" s="504" t="n">
        <v>-0.05</v>
      </c>
      <c r="F1208" s="505" t="n">
        <v>-0.64</v>
      </c>
      <c r="G1208" t="inlineStr">
        <is>
          <t>28.8萬</t>
        </is>
      </c>
      <c r="H1208" t="n">
        <v>37</v>
      </c>
      <c r="I1208" t="n">
        <v>34</v>
      </c>
      <c r="J1208" t="n">
        <v>7.19</v>
      </c>
      <c r="K1208" t="n">
        <v>8.300000000000001</v>
      </c>
      <c r="L1208" t="n">
        <v>7.75</v>
      </c>
      <c r="M1208" s="175" t="n">
        <v>0.05</v>
      </c>
      <c r="N1208" t="inlineStr">
        <is>
          <t>光聚晶電旗下雲端ADC設備廠</t>
        </is>
      </c>
    </row>
    <row r="1209">
      <c r="A1209" t="n">
        <v>3665</v>
      </c>
      <c r="B1209" t="inlineStr">
        <is>
          <t>貿聯-KY</t>
        </is>
      </c>
      <c r="C1209" t="n">
        <v>2110</v>
      </c>
      <c r="D1209" t="n">
        <v>2195</v>
      </c>
      <c r="E1209" s="504" t="n">
        <v>75</v>
      </c>
      <c r="F1209" s="505" t="n">
        <v>3.54</v>
      </c>
      <c r="G1209" t="inlineStr">
        <is>
          <t>37.7億</t>
        </is>
      </c>
      <c r="H1209" t="n">
        <v>1770</v>
      </c>
      <c r="I1209" t="n">
        <v>2247</v>
      </c>
      <c r="J1209" t="n">
        <v>19.51</v>
      </c>
      <c r="K1209" t="n">
        <v>2200</v>
      </c>
      <c r="L1209" t="n">
        <v>2095</v>
      </c>
      <c r="M1209" s="175" t="n">
        <v>0.91</v>
      </c>
      <c r="N1209" t="inlineStr">
        <is>
          <t>Tesla電池線束主力供應商</t>
        </is>
      </c>
    </row>
    <row r="1210">
      <c r="A1210" t="n">
        <v>3666</v>
      </c>
      <c r="B1210" t="inlineStr">
        <is>
          <t>光耀</t>
        </is>
      </c>
      <c r="C1210" t="n">
        <v>27.5</v>
      </c>
      <c r="D1210" t="n">
        <v>27.3</v>
      </c>
      <c r="E1210" s="504" t="n">
        <v>0.1</v>
      </c>
      <c r="F1210" s="505" t="n">
        <v>0.37</v>
      </c>
      <c r="G1210" t="inlineStr">
        <is>
          <t>210萬</t>
        </is>
      </c>
      <c r="H1210" t="n">
        <v>77</v>
      </c>
      <c r="I1210" t="n">
        <v>215</v>
      </c>
      <c r="J1210" t="n">
        <v>13.89</v>
      </c>
      <c r="K1210" t="n">
        <v>27.5</v>
      </c>
      <c r="L1210" t="n">
        <v>27.1</v>
      </c>
      <c r="M1210" s="175" t="n">
        <v>0.06</v>
      </c>
      <c r="N1210" t="inlineStr">
        <is>
          <t>為光群雷轉投資之聚光片廠</t>
        </is>
      </c>
    </row>
    <row r="1211">
      <c r="A1211" t="n">
        <v>3669</v>
      </c>
      <c r="B1211" t="inlineStr">
        <is>
          <t>圓展</t>
        </is>
      </c>
      <c r="C1211" t="n">
        <v>41.6</v>
      </c>
      <c r="D1211" t="n">
        <v>41.7</v>
      </c>
      <c r="E1211" s="504" t="n">
        <v>0.1</v>
      </c>
      <c r="F1211" s="505" t="n">
        <v>0.24</v>
      </c>
      <c r="G1211" t="inlineStr">
        <is>
          <t>3703萬</t>
        </is>
      </c>
      <c r="H1211" t="n">
        <v>885</v>
      </c>
      <c r="I1211" t="n">
        <v>354</v>
      </c>
      <c r="J1211" t="n">
        <v>9.289999999999999</v>
      </c>
      <c r="K1211" t="n">
        <v>42.9</v>
      </c>
      <c r="L1211" t="n">
        <v>40.5</v>
      </c>
      <c r="M1211" s="175" t="n">
        <v>0.95</v>
      </c>
      <c r="N1211" t="inlineStr">
        <is>
          <t>圓剛轉投資之視訊會議與教學簡報系統供應商</t>
        </is>
      </c>
    </row>
    <row r="1212">
      <c r="A1212" t="n">
        <v>3672</v>
      </c>
      <c r="B1212" t="inlineStr">
        <is>
          <t>康聯訊</t>
        </is>
      </c>
      <c r="C1212" t="n">
        <v>11</v>
      </c>
      <c r="D1212" t="n">
        <v>11.2</v>
      </c>
      <c r="E1212" s="504" t="n">
        <v>0</v>
      </c>
      <c r="F1212" s="505" t="n">
        <v>0</v>
      </c>
      <c r="G1212" t="inlineStr">
        <is>
          <t>3.34萬</t>
        </is>
      </c>
      <c r="H1212" t="n">
        <v>3</v>
      </c>
      <c r="I1212" t="n">
        <v>57</v>
      </c>
      <c r="J1212" t="n">
        <v>4.08</v>
      </c>
      <c r="K1212" t="n">
        <v>11.2</v>
      </c>
      <c r="L1212" t="n">
        <v>11</v>
      </c>
      <c r="M1212" s="175" t="n">
        <v>0.01</v>
      </c>
      <c r="N1212" t="inlineStr">
        <is>
          <t>台灣光纖網路設備製造商</t>
        </is>
      </c>
    </row>
    <row r="1213">
      <c r="A1213" t="n">
        <v>3673</v>
      </c>
      <c r="B1213" t="inlineStr">
        <is>
          <t>TPK-KY</t>
        </is>
      </c>
      <c r="C1213" t="n">
        <v>88</v>
      </c>
      <c r="D1213" t="n">
        <v>92</v>
      </c>
      <c r="E1213" s="504" t="n">
        <v>2.5</v>
      </c>
      <c r="F1213" s="505" t="n">
        <v>2.79</v>
      </c>
      <c r="G1213" t="inlineStr">
        <is>
          <t>43.7億</t>
        </is>
      </c>
      <c r="H1213" t="n">
        <v>49578</v>
      </c>
      <c r="I1213" t="n">
        <v>44364</v>
      </c>
      <c r="J1213" t="n">
        <v>40.67</v>
      </c>
      <c r="K1213" t="n">
        <v>92.40000000000001</v>
      </c>
      <c r="L1213" t="n">
        <v>83.3</v>
      </c>
      <c r="M1213" s="175" t="n">
        <v>12.19</v>
      </c>
      <c r="N1213" t="inlineStr">
        <is>
          <t>全球最大玻璃投射電容觸控模組廠</t>
        </is>
      </c>
    </row>
    <row r="1214">
      <c r="A1214" t="n">
        <v>3675</v>
      </c>
      <c r="B1214" t="inlineStr">
        <is>
          <t>德微</t>
        </is>
      </c>
      <c r="C1214" t="n">
        <v>365</v>
      </c>
      <c r="D1214" t="n">
        <v>370.5</v>
      </c>
      <c r="E1214" s="504" t="n">
        <v>-1.5</v>
      </c>
      <c r="F1214" s="505" t="n">
        <v>-0.4</v>
      </c>
      <c r="G1214" t="inlineStr">
        <is>
          <t>4.49億</t>
        </is>
      </c>
      <c r="H1214" t="n">
        <v>1269</v>
      </c>
      <c r="I1214" t="n">
        <v>1487</v>
      </c>
      <c r="J1214" t="n">
        <v>5.31</v>
      </c>
      <c r="K1214" t="n">
        <v>370.5</v>
      </c>
      <c r="L1214" t="n">
        <v>338</v>
      </c>
      <c r="M1214" s="175" t="n">
        <v>2.39</v>
      </c>
      <c r="N1214" t="inlineStr">
        <is>
          <t>台灣整流二極體供應商</t>
        </is>
      </c>
    </row>
    <row r="1215">
      <c r="A1215" t="n">
        <v>3679</v>
      </c>
      <c r="B1215" t="inlineStr">
        <is>
          <t>新至陞</t>
        </is>
      </c>
      <c r="C1215" t="n">
        <v>124</v>
      </c>
      <c r="D1215" t="n">
        <v>125</v>
      </c>
      <c r="E1215" s="504" t="n">
        <v>0.5</v>
      </c>
      <c r="F1215" s="505" t="n">
        <v>0.4</v>
      </c>
      <c r="G1215" t="inlineStr">
        <is>
          <t>2829萬</t>
        </is>
      </c>
      <c r="H1215" t="n">
        <v>226</v>
      </c>
      <c r="I1215" t="n">
        <v>101</v>
      </c>
      <c r="J1215" t="n">
        <v>6.3</v>
      </c>
      <c r="K1215" t="n">
        <v>126.5</v>
      </c>
      <c r="L1215" t="n">
        <v>123</v>
      </c>
      <c r="M1215" s="175" t="n">
        <v>0.36</v>
      </c>
      <c r="N1215" t="inlineStr">
        <is>
          <t>為塑膠模具設計及射出廠商</t>
        </is>
      </c>
    </row>
    <row r="1216">
      <c r="A1216" t="n">
        <v>3680</v>
      </c>
      <c r="B1216" t="inlineStr">
        <is>
          <t>家登</t>
        </is>
      </c>
      <c r="C1216" t="n">
        <v>543</v>
      </c>
      <c r="D1216" t="n">
        <v>527</v>
      </c>
      <c r="E1216" s="504" t="n">
        <v>-9</v>
      </c>
      <c r="F1216" s="505" t="n">
        <v>-1.68</v>
      </c>
      <c r="G1216" t="inlineStr">
        <is>
          <t>10.1億</t>
        </is>
      </c>
      <c r="H1216" t="n">
        <v>1911</v>
      </c>
      <c r="I1216" t="n">
        <v>2489</v>
      </c>
      <c r="J1216" t="n">
        <v>9.6</v>
      </c>
      <c r="K1216" t="n">
        <v>544</v>
      </c>
      <c r="L1216" t="n">
        <v>515</v>
      </c>
      <c r="M1216" s="175" t="n">
        <v>1.99</v>
      </c>
      <c r="N1216" t="inlineStr">
        <is>
          <t>全球第一大半導體光罩載具廠</t>
        </is>
      </c>
    </row>
    <row r="1217">
      <c r="A1217" t="n">
        <v>3684</v>
      </c>
      <c r="B1217" t="inlineStr">
        <is>
          <t>榮昌</t>
        </is>
      </c>
      <c r="C1217" t="n">
        <v>59.3</v>
      </c>
      <c r="D1217" t="n">
        <v>59.1</v>
      </c>
      <c r="E1217" s="504" t="n">
        <v>-0.6</v>
      </c>
      <c r="F1217" s="505" t="n">
        <v>-1.01</v>
      </c>
      <c r="G1217" t="inlineStr">
        <is>
          <t>212萬</t>
        </is>
      </c>
      <c r="H1217" t="n">
        <v>36</v>
      </c>
      <c r="I1217" t="n">
        <v>115</v>
      </c>
      <c r="J1217" t="n">
        <v>3.03</v>
      </c>
      <c r="K1217" t="n">
        <v>59.6</v>
      </c>
      <c r="L1217" t="n">
        <v>58.7</v>
      </c>
      <c r="M1217" s="175" t="n">
        <v>0.12</v>
      </c>
      <c r="N1217" t="inlineStr">
        <is>
          <t>高頻連接線及無線通訊整合次系統廠商</t>
        </is>
      </c>
    </row>
    <row r="1218">
      <c r="A1218" t="n">
        <v>3685</v>
      </c>
      <c r="B1218" t="inlineStr">
        <is>
          <t>元創精密</t>
        </is>
      </c>
      <c r="C1218" t="n">
        <v>27.8</v>
      </c>
      <c r="D1218" t="n">
        <v>26.7</v>
      </c>
      <c r="E1218" s="504" t="n">
        <v>-1.1</v>
      </c>
      <c r="F1218" s="505" t="n">
        <v>-3.96</v>
      </c>
      <c r="G1218" t="inlineStr">
        <is>
          <t>1079萬</t>
        </is>
      </c>
      <c r="H1218" t="n">
        <v>401</v>
      </c>
      <c r="I1218" t="n">
        <v>363</v>
      </c>
      <c r="J1218" t="n">
        <v>7.96</v>
      </c>
      <c r="K1218" t="n">
        <v>27.8</v>
      </c>
      <c r="L1218" t="n">
        <v>26.55</v>
      </c>
      <c r="M1218" s="175" t="n">
        <v>0.5</v>
      </c>
      <c r="N1218" t="inlineStr">
        <is>
          <t>車用導光板及沖焊零件供應商</t>
        </is>
      </c>
    </row>
    <row r="1219">
      <c r="A1219" t="n">
        <v>3686</v>
      </c>
      <c r="B1219" t="inlineStr">
        <is>
          <t>達能</t>
        </is>
      </c>
      <c r="C1219" t="n">
        <v>17.7</v>
      </c>
      <c r="D1219" t="n">
        <v>17.25</v>
      </c>
      <c r="E1219" s="504" t="n">
        <v>-0.35</v>
      </c>
      <c r="F1219" s="505" t="n">
        <v>-1.99</v>
      </c>
      <c r="G1219" t="inlineStr">
        <is>
          <t>1357萬</t>
        </is>
      </c>
      <c r="H1219" t="n">
        <v>800</v>
      </c>
      <c r="I1219" t="n">
        <v>328</v>
      </c>
      <c r="J1219" t="n">
        <v>7.65</v>
      </c>
      <c r="K1219" t="n">
        <v>17.7</v>
      </c>
      <c r="L1219" t="n">
        <v>16.7</v>
      </c>
      <c r="M1219" s="175" t="n">
        <v>1.05</v>
      </c>
      <c r="N1219" t="inlineStr">
        <is>
          <t>轉型發展太陽能EPC業務、記憶體通路</t>
        </is>
      </c>
    </row>
    <row r="1220">
      <c r="A1220" t="n">
        <v>3687</v>
      </c>
      <c r="B1220" t="inlineStr">
        <is>
          <t>歐買尬</t>
        </is>
      </c>
      <c r="C1220" t="n">
        <v>75.90000000000001</v>
      </c>
      <c r="D1220" t="n">
        <v>74.59999999999999</v>
      </c>
      <c r="E1220" s="504" t="n">
        <v>-1.8</v>
      </c>
      <c r="F1220" s="505" t="n">
        <v>-2.36</v>
      </c>
      <c r="G1220" t="inlineStr">
        <is>
          <t>2214萬</t>
        </is>
      </c>
      <c r="H1220" t="n">
        <v>297</v>
      </c>
      <c r="I1220" t="n">
        <v>488</v>
      </c>
      <c r="J1220" t="n">
        <v>3.01</v>
      </c>
      <c r="K1220" t="n">
        <v>75.90000000000001</v>
      </c>
      <c r="L1220" t="n">
        <v>73.90000000000001</v>
      </c>
      <c r="M1220" s="175" t="n">
        <v>0.99</v>
      </c>
      <c r="N1220" t="inlineStr">
        <is>
          <t>第三方金流服務及遊戲代理商</t>
        </is>
      </c>
    </row>
    <row r="1221">
      <c r="A1221" t="n">
        <v>3689</v>
      </c>
      <c r="B1221" t="inlineStr">
        <is>
          <t>湧德</t>
        </is>
      </c>
      <c r="C1221" t="n">
        <v>138</v>
      </c>
      <c r="D1221" t="n">
        <v>136</v>
      </c>
      <c r="E1221" s="504" t="n">
        <v>-1.5</v>
      </c>
      <c r="F1221" s="505" t="n">
        <v>-1.09</v>
      </c>
      <c r="G1221" t="inlineStr">
        <is>
          <t>5.16億</t>
        </is>
      </c>
      <c r="H1221" t="n">
        <v>3815</v>
      </c>
      <c r="I1221" t="n">
        <v>6980</v>
      </c>
      <c r="J1221" t="n">
        <v>8.94</v>
      </c>
      <c r="K1221" t="n">
        <v>138.5</v>
      </c>
      <c r="L1221" t="n">
        <v>133</v>
      </c>
      <c r="M1221" s="175" t="n">
        <v>4.27</v>
      </c>
      <c r="N1221" t="inlineStr">
        <is>
          <t>主要生產DT、網通及消費電子用連接器</t>
        </is>
      </c>
    </row>
    <row r="1222">
      <c r="A1222" t="n">
        <v>3691</v>
      </c>
      <c r="B1222" t="inlineStr">
        <is>
          <t>碩禾</t>
        </is>
      </c>
      <c r="C1222" t="n">
        <v>173</v>
      </c>
      <c r="D1222" t="n">
        <v>159</v>
      </c>
      <c r="E1222" s="504" t="n">
        <v>-10.5</v>
      </c>
      <c r="F1222" s="505" t="n">
        <v>-6.19</v>
      </c>
      <c r="G1222" t="inlineStr">
        <is>
          <t>8.89億</t>
        </is>
      </c>
      <c r="H1222" t="n">
        <v>5446</v>
      </c>
      <c r="I1222" t="n">
        <v>5056</v>
      </c>
      <c r="J1222" t="n">
        <v>9.19</v>
      </c>
      <c r="K1222" t="n">
        <v>173</v>
      </c>
      <c r="L1222" t="n">
        <v>155</v>
      </c>
      <c r="M1222" s="175" t="n">
        <v>5.93</v>
      </c>
      <c r="N1222" t="inlineStr">
        <is>
          <t>國碩轉投資太陽能導電漿大廠</t>
        </is>
      </c>
    </row>
    <row r="1223">
      <c r="A1223" t="n">
        <v>3693</v>
      </c>
      <c r="B1223" t="inlineStr">
        <is>
          <t>營邦</t>
        </is>
      </c>
      <c r="C1223" t="n">
        <v>655</v>
      </c>
      <c r="D1223" t="n">
        <v>598</v>
      </c>
      <c r="E1223" s="504" t="n">
        <v>-34</v>
      </c>
      <c r="F1223" s="505" t="n">
        <v>-5.38</v>
      </c>
      <c r="G1223" t="inlineStr">
        <is>
          <t>19.7億</t>
        </is>
      </c>
      <c r="H1223" t="n">
        <v>3160</v>
      </c>
      <c r="I1223" t="n">
        <v>1516</v>
      </c>
      <c r="J1223" t="n">
        <v>4.3</v>
      </c>
      <c r="K1223" t="n">
        <v>656</v>
      </c>
      <c r="L1223" t="n">
        <v>593</v>
      </c>
      <c r="M1223" s="175" t="n">
        <v>7.35</v>
      </c>
      <c r="N1223" t="inlineStr">
        <is>
          <t>台灣伺服器機箱兼系統平台服務商</t>
        </is>
      </c>
    </row>
    <row r="1224">
      <c r="A1224" t="n">
        <v>3694</v>
      </c>
      <c r="B1224" t="inlineStr">
        <is>
          <t>海華</t>
        </is>
      </c>
      <c r="C1224" t="n">
        <v>68.90000000000001</v>
      </c>
      <c r="D1224" t="n">
        <v>69.09999999999999</v>
      </c>
      <c r="E1224" s="504" t="n">
        <v>0.2</v>
      </c>
      <c r="F1224" s="505" t="n">
        <v>0.29</v>
      </c>
      <c r="G1224" t="inlineStr">
        <is>
          <t>1.38億</t>
        </is>
      </c>
      <c r="H1224" t="n">
        <v>2025</v>
      </c>
      <c r="I1224" t="n">
        <v>2790</v>
      </c>
      <c r="J1224" t="n">
        <v>15.49</v>
      </c>
      <c r="K1224" t="n">
        <v>69.8</v>
      </c>
      <c r="L1224" t="n">
        <v>66.90000000000001</v>
      </c>
      <c r="M1224" s="175" t="n">
        <v>1.31</v>
      </c>
      <c r="N1224" t="inlineStr">
        <is>
          <t>和碩旗下無線通訊模組廠</t>
        </is>
      </c>
    </row>
    <row r="1225">
      <c r="A1225" t="n">
        <v>3701</v>
      </c>
      <c r="B1225" t="inlineStr">
        <is>
          <t>大眾控</t>
        </is>
      </c>
      <c r="C1225" t="n">
        <v>56.3</v>
      </c>
      <c r="D1225" t="n">
        <v>56.6</v>
      </c>
      <c r="E1225" s="504" t="n">
        <v>0.9</v>
      </c>
      <c r="F1225" s="505" t="n">
        <v>1.62</v>
      </c>
      <c r="G1225" t="inlineStr">
        <is>
          <t>1.01億</t>
        </is>
      </c>
      <c r="H1225" t="n">
        <v>1817</v>
      </c>
      <c r="I1225" t="n">
        <v>1921</v>
      </c>
      <c r="J1225" t="n">
        <v>23.67</v>
      </c>
      <c r="K1225" t="n">
        <v>56.9</v>
      </c>
      <c r="L1225" t="n">
        <v>53.9</v>
      </c>
      <c r="M1225" s="175" t="n">
        <v>0.77</v>
      </c>
      <c r="N1225" t="inlineStr">
        <is>
          <t>轉投資製造工程、設計製造及系統整合等產業</t>
        </is>
      </c>
    </row>
    <row r="1226">
      <c r="A1226" t="n">
        <v>3702</v>
      </c>
      <c r="B1226" t="inlineStr">
        <is>
          <t>大聯大</t>
        </is>
      </c>
      <c r="C1226" t="n">
        <v>118.5</v>
      </c>
      <c r="D1226" t="n">
        <v>119</v>
      </c>
      <c r="E1226" s="504" t="n">
        <v>0.5</v>
      </c>
      <c r="F1226" s="505" t="n">
        <v>0.42</v>
      </c>
      <c r="G1226" t="inlineStr">
        <is>
          <t>18.4億</t>
        </is>
      </c>
      <c r="H1226" t="n">
        <v>15594</v>
      </c>
      <c r="I1226" t="n">
        <v>10047</v>
      </c>
      <c r="J1226" t="n">
        <v>168.23</v>
      </c>
      <c r="K1226" t="n">
        <v>119.5</v>
      </c>
      <c r="L1226" t="n">
        <v>115.5</v>
      </c>
      <c r="M1226" s="175" t="n">
        <v>0.93</v>
      </c>
      <c r="N1226" t="inlineStr">
        <is>
          <t>全球暨亞太區第一大的半導體零組件通路商</t>
        </is>
      </c>
    </row>
    <row r="1227">
      <c r="A1227" t="n">
        <v>3703</v>
      </c>
      <c r="B1227" t="inlineStr">
        <is>
          <t>欣陸</t>
        </is>
      </c>
      <c r="C1227" t="n">
        <v>20.45</v>
      </c>
      <c r="D1227" t="n">
        <v>20.7</v>
      </c>
      <c r="E1227" s="504" t="n">
        <v>0.3</v>
      </c>
      <c r="F1227" s="505" t="n">
        <v>1.47</v>
      </c>
      <c r="G1227" t="inlineStr">
        <is>
          <t>1906萬</t>
        </is>
      </c>
      <c r="H1227" t="n">
        <v>924</v>
      </c>
      <c r="I1227" t="n">
        <v>1967</v>
      </c>
      <c r="J1227" t="n">
        <v>82.31999999999999</v>
      </c>
      <c r="K1227" t="n">
        <v>20.85</v>
      </c>
      <c r="L1227" t="n">
        <v>20.35</v>
      </c>
      <c r="M1227" s="175" t="n">
        <v>0.11</v>
      </c>
      <c r="N1227" t="inlineStr">
        <is>
          <t>由大陸建設換股成立之建設、營造控股公司</t>
        </is>
      </c>
    </row>
    <row r="1228">
      <c r="A1228" t="n">
        <v>3704</v>
      </c>
      <c r="B1228" t="inlineStr">
        <is>
          <t>合勤控</t>
        </is>
      </c>
      <c r="C1228" t="n">
        <v>47</v>
      </c>
      <c r="D1228" t="n">
        <v>48</v>
      </c>
      <c r="E1228" s="504" t="n">
        <v>1.2</v>
      </c>
      <c r="F1228" s="505" t="n">
        <v>2.56</v>
      </c>
      <c r="G1228" t="inlineStr">
        <is>
          <t>3.46億</t>
        </is>
      </c>
      <c r="H1228" t="n">
        <v>7299</v>
      </c>
      <c r="I1228" t="n">
        <v>7607</v>
      </c>
      <c r="J1228" t="n">
        <v>41.54</v>
      </c>
      <c r="K1228" t="n">
        <v>48.3</v>
      </c>
      <c r="L1228" t="n">
        <v>46.6</v>
      </c>
      <c r="M1228" s="175" t="n">
        <v>1.76</v>
      </c>
      <c r="N1228" t="inlineStr">
        <is>
          <t>兼營品牌「ZyXEL」與代工業務之網通設備廠</t>
        </is>
      </c>
    </row>
    <row r="1229">
      <c r="A1229" t="n">
        <v>3705</v>
      </c>
      <c r="B1229" t="inlineStr">
        <is>
          <t>永信</t>
        </is>
      </c>
      <c r="C1229" t="n">
        <v>55.9</v>
      </c>
      <c r="D1229" t="n">
        <v>56.3</v>
      </c>
      <c r="E1229" s="504" t="n">
        <v>0.3</v>
      </c>
      <c r="F1229" s="505" t="n">
        <v>0.54</v>
      </c>
      <c r="G1229" t="inlineStr">
        <is>
          <t>763萬</t>
        </is>
      </c>
      <c r="H1229" t="n">
        <v>136</v>
      </c>
      <c r="I1229" t="n">
        <v>223</v>
      </c>
      <c r="J1229" t="n">
        <v>26.64</v>
      </c>
      <c r="K1229" t="n">
        <v>56.4</v>
      </c>
      <c r="L1229" t="n">
        <v>55.8</v>
      </c>
      <c r="M1229" s="175" t="n">
        <v>0.05</v>
      </c>
      <c r="N1229" t="inlineStr">
        <is>
          <t>台灣人用學名藥與動物用藥之龍頭企業</t>
        </is>
      </c>
    </row>
    <row r="1230">
      <c r="A1230" t="n">
        <v>3706</v>
      </c>
      <c r="B1230" t="inlineStr">
        <is>
          <t>神達</t>
        </is>
      </c>
      <c r="C1230" t="n">
        <v>94.5</v>
      </c>
      <c r="D1230" t="n">
        <v>95.2</v>
      </c>
      <c r="E1230" s="504" t="n">
        <v>1.7</v>
      </c>
      <c r="F1230" s="505" t="n">
        <v>1.82</v>
      </c>
      <c r="G1230" t="inlineStr">
        <is>
          <t>64.2億</t>
        </is>
      </c>
      <c r="H1230" t="n">
        <v>68063</v>
      </c>
      <c r="I1230" t="n">
        <v>35980</v>
      </c>
      <c r="J1230" t="n">
        <v>132.72</v>
      </c>
      <c r="K1230" t="n">
        <v>97.3</v>
      </c>
      <c r="L1230" t="n">
        <v>91.59999999999999</v>
      </c>
      <c r="M1230" s="175" t="n">
        <v>5.13</v>
      </c>
      <c r="N1230" t="inlineStr">
        <is>
          <t>控股子公司從事伺服器、車用電子、工業電腦等業務</t>
        </is>
      </c>
    </row>
    <row r="1231">
      <c r="A1231" t="n">
        <v>3707</v>
      </c>
      <c r="B1231" t="inlineStr">
        <is>
          <t>漢磊</t>
        </is>
      </c>
      <c r="C1231" t="n">
        <v>83.2</v>
      </c>
      <c r="D1231" t="n">
        <v>81.90000000000001</v>
      </c>
      <c r="E1231" s="504" t="n">
        <v>-1.4</v>
      </c>
      <c r="F1231" s="505" t="n">
        <v>-1.68</v>
      </c>
      <c r="G1231" t="inlineStr">
        <is>
          <t>10.1億</t>
        </is>
      </c>
      <c r="H1231" t="n">
        <v>12424</v>
      </c>
      <c r="I1231" t="n">
        <v>34441</v>
      </c>
      <c r="J1231" t="n">
        <v>39.66</v>
      </c>
      <c r="K1231" t="n">
        <v>84.8</v>
      </c>
      <c r="L1231" t="n">
        <v>80</v>
      </c>
      <c r="M1231" s="175" t="n">
        <v>3.13</v>
      </c>
      <c r="N1231" t="inlineStr">
        <is>
          <t>中小型晶圓代工與磊晶供應商</t>
        </is>
      </c>
    </row>
    <row r="1232">
      <c r="A1232" t="n">
        <v>3708</v>
      </c>
      <c r="B1232" t="inlineStr">
        <is>
          <t>上緯投控</t>
        </is>
      </c>
      <c r="C1232" t="n">
        <v>120</v>
      </c>
      <c r="D1232" t="n">
        <v>119.5</v>
      </c>
      <c r="E1232" s="504" t="n">
        <v>0.5</v>
      </c>
      <c r="F1232" s="505" t="n">
        <v>0.42</v>
      </c>
      <c r="G1232" t="inlineStr">
        <is>
          <t>1.61億</t>
        </is>
      </c>
      <c r="H1232" t="n">
        <v>1365</v>
      </c>
      <c r="I1232" t="n">
        <v>2849</v>
      </c>
      <c r="J1232" t="n">
        <v>9.210000000000001</v>
      </c>
      <c r="K1232" t="n">
        <v>120.5</v>
      </c>
      <c r="L1232" t="n">
        <v>116</v>
      </c>
      <c r="M1232" s="175" t="n">
        <v>1.48</v>
      </c>
      <c r="N1232" t="inlineStr">
        <is>
          <t>全球第二、亞洲最大環保耐蝕樹脂商</t>
        </is>
      </c>
    </row>
    <row r="1233">
      <c r="A1233" t="n">
        <v>3709</v>
      </c>
      <c r="B1233" t="inlineStr">
        <is>
          <t>鑫聯大投控</t>
        </is>
      </c>
      <c r="C1233" t="n">
        <v>87</v>
      </c>
      <c r="D1233" t="n">
        <v>88.40000000000001</v>
      </c>
      <c r="E1233" s="504" t="n">
        <v>1.7</v>
      </c>
      <c r="F1233" s="505" t="n">
        <v>1.96</v>
      </c>
      <c r="G1233" t="inlineStr">
        <is>
          <t>2.12億</t>
        </is>
      </c>
      <c r="H1233" t="n">
        <v>2423</v>
      </c>
      <c r="I1233" t="n">
        <v>2272</v>
      </c>
      <c r="J1233" t="n">
        <v>14.56</v>
      </c>
      <c r="K1233" t="n">
        <v>89.09999999999999</v>
      </c>
      <c r="L1233" t="n">
        <v>86.09999999999999</v>
      </c>
      <c r="M1233" s="175" t="n">
        <v>1.66</v>
      </c>
      <c r="N1233" t="inlineStr">
        <is>
          <t>大聯大旗下，經營3C通路及室內樂園</t>
        </is>
      </c>
    </row>
    <row r="1234">
      <c r="A1234" t="n">
        <v>3710</v>
      </c>
      <c r="B1234" t="inlineStr">
        <is>
          <t>連展投控</t>
        </is>
      </c>
      <c r="C1234" t="n">
        <v>6.28</v>
      </c>
      <c r="D1234" t="n">
        <v>6.87</v>
      </c>
      <c r="E1234" s="504" t="n">
        <v>0.62</v>
      </c>
      <c r="F1234" s="505" t="n">
        <v>9.92</v>
      </c>
      <c r="G1234" t="inlineStr">
        <is>
          <t>824萬</t>
        </is>
      </c>
      <c r="H1234" t="n">
        <v>1242</v>
      </c>
      <c r="I1234" t="n">
        <v>496</v>
      </c>
      <c r="J1234" t="n">
        <v>28.73</v>
      </c>
      <c r="K1234" t="n">
        <v>6.87</v>
      </c>
      <c r="L1234" t="n">
        <v>6.24</v>
      </c>
      <c r="M1234" s="175" t="n">
        <v>0.43</v>
      </c>
      <c r="N1234" t="inlineStr">
        <is>
          <t>控股公司，運營連接器及通訊零件等業務</t>
        </is>
      </c>
    </row>
    <row r="1235">
      <c r="A1235" t="n">
        <v>3711</v>
      </c>
      <c r="B1235" t="inlineStr">
        <is>
          <t>日月光投控</t>
        </is>
      </c>
      <c r="C1235" t="n">
        <v>600</v>
      </c>
      <c r="D1235" t="n">
        <v>590</v>
      </c>
      <c r="E1235" s="504" t="n">
        <v>-11</v>
      </c>
      <c r="F1235" s="505" t="n">
        <v>-1.83</v>
      </c>
      <c r="G1235" t="inlineStr">
        <is>
          <t>149億</t>
        </is>
      </c>
      <c r="H1235" t="n">
        <v>25323</v>
      </c>
      <c r="I1235" t="n">
        <v>34901</v>
      </c>
      <c r="J1235" t="n">
        <v>447.06</v>
      </c>
      <c r="K1235" t="n">
        <v>608</v>
      </c>
      <c r="L1235" t="n">
        <v>577</v>
      </c>
      <c r="M1235" s="175" t="n">
        <v>0.57</v>
      </c>
      <c r="N1235" t="inlineStr">
        <is>
          <t>全球封測龍頭</t>
        </is>
      </c>
    </row>
    <row r="1236">
      <c r="A1236" t="n">
        <v>3712</v>
      </c>
      <c r="B1236" t="inlineStr">
        <is>
          <t>永崴投控</t>
        </is>
      </c>
      <c r="C1236" t="n">
        <v>19.85</v>
      </c>
      <c r="D1236" t="n">
        <v>19.1</v>
      </c>
      <c r="E1236" s="504" t="n">
        <v>-0.8</v>
      </c>
      <c r="F1236" s="505" t="n">
        <v>-4.02</v>
      </c>
      <c r="G1236" t="inlineStr">
        <is>
          <t>2827萬</t>
        </is>
      </c>
      <c r="H1236" t="n">
        <v>1487</v>
      </c>
      <c r="I1236" t="n">
        <v>1738</v>
      </c>
      <c r="J1236" t="n">
        <v>24.62</v>
      </c>
      <c r="K1236" t="n">
        <v>19.85</v>
      </c>
      <c r="L1236" t="n">
        <v>18.6</v>
      </c>
      <c r="M1236" s="175" t="n">
        <v>0.6</v>
      </c>
      <c r="N1236" t="inlineStr">
        <is>
          <t>轉投資業務包含能源服務、影像掃描器、3C零售等</t>
        </is>
      </c>
    </row>
    <row r="1237">
      <c r="A1237" t="n">
        <v>3713</v>
      </c>
      <c r="B1237" t="inlineStr">
        <is>
          <t>新晶投控</t>
        </is>
      </c>
      <c r="C1237" t="n">
        <v>16.05</v>
      </c>
      <c r="D1237" t="n">
        <v>17.1</v>
      </c>
      <c r="E1237" s="504" t="n">
        <v>1.05</v>
      </c>
      <c r="F1237" s="505" t="n">
        <v>6.54</v>
      </c>
      <c r="G1237" t="inlineStr">
        <is>
          <t>708萬</t>
        </is>
      </c>
      <c r="H1237" t="n">
        <v>428</v>
      </c>
      <c r="I1237" t="n">
        <v>433</v>
      </c>
      <c r="J1237" t="n">
        <v>8.81</v>
      </c>
      <c r="K1237" t="n">
        <v>17.65</v>
      </c>
      <c r="L1237" t="n">
        <v>15.8</v>
      </c>
      <c r="M1237" s="175" t="n">
        <v>0.49</v>
      </c>
      <c r="N1237" t="inlineStr">
        <is>
          <t>太陽能統包工程廠，從事太陽能電廠之投資開發、建置及維運</t>
        </is>
      </c>
    </row>
    <row r="1238">
      <c r="A1238" t="n">
        <v>3714</v>
      </c>
      <c r="B1238" t="inlineStr">
        <is>
          <t>富采</t>
        </is>
      </c>
      <c r="C1238" t="n">
        <v>71.8</v>
      </c>
      <c r="D1238" t="n">
        <v>69.2</v>
      </c>
      <c r="E1238" s="504" t="n">
        <v>-2.4</v>
      </c>
      <c r="F1238" s="505" t="n">
        <v>-3.35</v>
      </c>
      <c r="G1238" t="inlineStr">
        <is>
          <t>15.5億</t>
        </is>
      </c>
      <c r="H1238" t="n">
        <v>22364</v>
      </c>
      <c r="I1238" t="n">
        <v>31790</v>
      </c>
      <c r="J1238" t="n">
        <v>73.79000000000001</v>
      </c>
      <c r="K1238" t="n">
        <v>72.5</v>
      </c>
      <c r="L1238" t="n">
        <v>68.09999999999999</v>
      </c>
      <c r="M1238" s="175" t="n">
        <v>3.35</v>
      </c>
      <c r="N1238" t="inlineStr">
        <is>
          <t>全球前五大LED一條龍廠</t>
        </is>
      </c>
    </row>
    <row r="1239">
      <c r="A1239" t="n">
        <v>3715</v>
      </c>
      <c r="B1239" t="inlineStr">
        <is>
          <t>定穎投控</t>
        </is>
      </c>
      <c r="C1239" t="n">
        <v>185</v>
      </c>
      <c r="D1239" t="n">
        <v>173.5</v>
      </c>
      <c r="E1239" s="504" t="n">
        <v>-8.5</v>
      </c>
      <c r="F1239" s="505" t="n">
        <v>-4.67</v>
      </c>
      <c r="G1239" t="inlineStr">
        <is>
          <t>22.1億</t>
        </is>
      </c>
      <c r="H1239" t="n">
        <v>12548</v>
      </c>
      <c r="I1239" t="n">
        <v>14391</v>
      </c>
      <c r="J1239" t="n">
        <v>28.36</v>
      </c>
      <c r="K1239" t="n">
        <v>185.5</v>
      </c>
      <c r="L1239" t="n">
        <v>172</v>
      </c>
      <c r="M1239" s="175" t="n">
        <v>4.42</v>
      </c>
      <c r="N1239" t="inlineStr">
        <is>
          <t>台灣專業多層印刷電路板製造廠</t>
        </is>
      </c>
    </row>
    <row r="1240">
      <c r="A1240" t="n">
        <v>3716</v>
      </c>
      <c r="B1240" t="inlineStr">
        <is>
          <t>中化控股</t>
        </is>
      </c>
      <c r="C1240" t="n">
        <v>34.6</v>
      </c>
      <c r="D1240" t="n">
        <v>34.7</v>
      </c>
      <c r="E1240" s="504" t="n">
        <v>0.3</v>
      </c>
      <c r="F1240" s="505" t="n">
        <v>0.87</v>
      </c>
      <c r="G1240" t="inlineStr">
        <is>
          <t>768萬</t>
        </is>
      </c>
      <c r="H1240" t="n">
        <v>222</v>
      </c>
      <c r="I1240" t="n">
        <v>260</v>
      </c>
      <c r="J1240" t="n">
        <v>14.98</v>
      </c>
      <c r="K1240" t="n">
        <v>34.85</v>
      </c>
      <c r="L1240" t="n">
        <v>34.4</v>
      </c>
      <c r="M1240" s="175" t="n">
        <v>0.15</v>
      </c>
      <c r="N1240" t="inlineStr">
        <is>
          <t>台灣前三大學名藥廠</t>
        </is>
      </c>
    </row>
    <row r="1241">
      <c r="A1241" t="n">
        <v>3717</v>
      </c>
      <c r="B1241" t="inlineStr">
        <is>
          <t>聯嘉投控</t>
        </is>
      </c>
      <c r="C1241" t="n">
        <v>22.45</v>
      </c>
      <c r="D1241" t="n">
        <v>22.4</v>
      </c>
      <c r="E1241" s="504" t="n">
        <v>0</v>
      </c>
      <c r="F1241" s="505" t="n">
        <v>0</v>
      </c>
      <c r="G1241" t="inlineStr">
        <is>
          <t>3669萬</t>
        </is>
      </c>
      <c r="H1241" t="n">
        <v>1652</v>
      </c>
      <c r="I1241" t="n">
        <v>2368</v>
      </c>
      <c r="J1241" t="n">
        <v>24.98</v>
      </c>
      <c r="K1241" t="n">
        <v>22.65</v>
      </c>
      <c r="L1241" t="n">
        <v>21.9</v>
      </c>
      <c r="M1241" s="175" t="n">
        <v>0.67</v>
      </c>
      <c r="N1241" t="inlineStr">
        <is>
          <t>車用LED模組及元件廠</t>
        </is>
      </c>
    </row>
    <row r="1242">
      <c r="A1242" t="n">
        <v>4102</v>
      </c>
      <c r="B1242" t="inlineStr">
        <is>
          <t>永日</t>
        </is>
      </c>
      <c r="C1242" t="n">
        <v>16.8</v>
      </c>
      <c r="D1242" t="n">
        <v>16.8</v>
      </c>
      <c r="E1242" s="504" t="n">
        <v>0.05</v>
      </c>
      <c r="F1242" s="505" t="n">
        <v>0.3</v>
      </c>
      <c r="G1242" t="inlineStr">
        <is>
          <t>68.7萬</t>
        </is>
      </c>
      <c r="H1242" t="n">
        <v>41</v>
      </c>
      <c r="I1242" t="n">
        <v>82</v>
      </c>
      <c r="J1242" t="n">
        <v>4.24</v>
      </c>
      <c r="K1242" t="n">
        <v>16.9</v>
      </c>
      <c r="L1242" t="n">
        <v>16.65</v>
      </c>
      <c r="M1242" s="175" t="n">
        <v>0.1</v>
      </c>
      <c r="N1242" t="inlineStr">
        <is>
          <t>永信集團旗下原料藥廠</t>
        </is>
      </c>
    </row>
    <row r="1243">
      <c r="A1243" t="n">
        <v>4104</v>
      </c>
      <c r="B1243" t="inlineStr">
        <is>
          <t>佳醫</t>
        </is>
      </c>
      <c r="C1243" t="n">
        <v>70.09999999999999</v>
      </c>
      <c r="D1243" t="n">
        <v>70.40000000000001</v>
      </c>
      <c r="E1243" s="504" t="n">
        <v>0.3</v>
      </c>
      <c r="F1243" s="505" t="n">
        <v>0.43</v>
      </c>
      <c r="G1243" t="inlineStr">
        <is>
          <t>2648萬</t>
        </is>
      </c>
      <c r="H1243" t="n">
        <v>378</v>
      </c>
      <c r="I1243" t="n">
        <v>345</v>
      </c>
      <c r="J1243" t="n">
        <v>18.84</v>
      </c>
      <c r="K1243" t="n">
        <v>70.40000000000001</v>
      </c>
      <c r="L1243" t="n">
        <v>69.5</v>
      </c>
      <c r="M1243" s="175" t="n">
        <v>0.2</v>
      </c>
      <c r="N1243" t="inlineStr">
        <is>
          <t>台灣最大洗腎相關儀器及耗材代理商</t>
        </is>
      </c>
    </row>
    <row r="1244">
      <c r="A1244" t="n">
        <v>4105</v>
      </c>
      <c r="B1244" t="inlineStr">
        <is>
          <t>東洋</t>
        </is>
      </c>
      <c r="C1244" t="n">
        <v>73.59999999999999</v>
      </c>
      <c r="D1244" t="n">
        <v>74.5</v>
      </c>
      <c r="E1244" s="504" t="n">
        <v>0.8</v>
      </c>
      <c r="F1244" s="505" t="n">
        <v>1.09</v>
      </c>
      <c r="G1244" t="inlineStr">
        <is>
          <t>1.88億</t>
        </is>
      </c>
      <c r="H1244" t="n">
        <v>2547</v>
      </c>
      <c r="I1244" t="n">
        <v>807</v>
      </c>
      <c r="J1244" t="n">
        <v>24.87</v>
      </c>
      <c r="K1244" t="n">
        <v>74.59999999999999</v>
      </c>
      <c r="L1244" t="n">
        <v>73.2</v>
      </c>
      <c r="M1244" s="175" t="n">
        <v>1.02</v>
      </c>
      <c r="N1244" t="inlineStr">
        <is>
          <t>專注研發微脂體、微球注射劑困難學名藥廠</t>
        </is>
      </c>
    </row>
    <row r="1245">
      <c r="A1245" t="n">
        <v>4106</v>
      </c>
      <c r="B1245" t="inlineStr">
        <is>
          <t>雃博</t>
        </is>
      </c>
      <c r="C1245" t="n">
        <v>24.2</v>
      </c>
      <c r="D1245" t="n">
        <v>24.05</v>
      </c>
      <c r="E1245" s="504" t="n">
        <v>-0.35</v>
      </c>
      <c r="F1245" s="505" t="n">
        <v>-1.43</v>
      </c>
      <c r="G1245" t="inlineStr">
        <is>
          <t>772萬</t>
        </is>
      </c>
      <c r="H1245" t="n">
        <v>321</v>
      </c>
      <c r="I1245" t="n">
        <v>297</v>
      </c>
      <c r="J1245" t="n">
        <v>10.09</v>
      </c>
      <c r="K1245" t="n">
        <v>24.25</v>
      </c>
      <c r="L1245" t="n">
        <v>23.9</v>
      </c>
      <c r="M1245" s="175" t="n">
        <v>0.32</v>
      </c>
      <c r="N1245" t="inlineStr">
        <is>
          <t>亞洲最大防褥瘡氣墊床廠</t>
        </is>
      </c>
    </row>
    <row r="1246">
      <c r="A1246" t="n">
        <v>4107</v>
      </c>
      <c r="B1246" t="inlineStr">
        <is>
          <t>邦特</t>
        </is>
      </c>
      <c r="C1246" t="n">
        <v>114</v>
      </c>
      <c r="D1246" t="n">
        <v>114</v>
      </c>
      <c r="E1246" s="504" t="n">
        <v>0</v>
      </c>
      <c r="F1246" s="505" t="n">
        <v>0</v>
      </c>
      <c r="G1246" t="inlineStr">
        <is>
          <t>1603萬</t>
        </is>
      </c>
      <c r="H1246" t="n">
        <v>141</v>
      </c>
      <c r="I1246" t="n">
        <v>160</v>
      </c>
      <c r="J1246" t="n">
        <v>6.93</v>
      </c>
      <c r="K1246" t="n">
        <v>114</v>
      </c>
      <c r="L1246" t="n">
        <v>113.5</v>
      </c>
      <c r="M1246" s="175" t="n">
        <v>0.2</v>
      </c>
      <c r="N1246" t="inlineStr">
        <is>
          <t>台灣血液迴路管、穿刺針等血液透析耗材龍頭廠</t>
        </is>
      </c>
    </row>
    <row r="1247">
      <c r="A1247" t="n">
        <v>4108</v>
      </c>
      <c r="B1247" t="inlineStr">
        <is>
          <t>懷特</t>
        </is>
      </c>
      <c r="C1247" t="n">
        <v>12.1</v>
      </c>
      <c r="D1247" t="n">
        <v>12.15</v>
      </c>
      <c r="E1247" s="504" t="n">
        <v>0</v>
      </c>
      <c r="F1247" s="505" t="n">
        <v>0</v>
      </c>
      <c r="G1247" t="inlineStr">
        <is>
          <t>352萬</t>
        </is>
      </c>
      <c r="H1247" t="n">
        <v>292</v>
      </c>
      <c r="I1247" t="n">
        <v>291</v>
      </c>
      <c r="J1247" t="n">
        <v>19.86</v>
      </c>
      <c r="K1247" t="n">
        <v>12.15</v>
      </c>
      <c r="L1247" t="n">
        <v>12</v>
      </c>
      <c r="M1247" s="175" t="n">
        <v>0.15</v>
      </c>
      <c r="N1247" t="inlineStr">
        <is>
          <t>美吾華旗下植物新藥研發公司</t>
        </is>
      </c>
    </row>
    <row r="1248">
      <c r="A1248" t="n">
        <v>4109</v>
      </c>
      <c r="B1248" t="inlineStr">
        <is>
          <t>加捷生醫</t>
        </is>
      </c>
      <c r="C1248" t="n">
        <v>11.5</v>
      </c>
      <c r="D1248" t="n">
        <v>11.3</v>
      </c>
      <c r="E1248" s="504" t="n">
        <v>-0.2</v>
      </c>
      <c r="F1248" s="505" t="n">
        <v>-1.74</v>
      </c>
      <c r="G1248" t="inlineStr">
        <is>
          <t>218萬</t>
        </is>
      </c>
      <c r="H1248" t="n">
        <v>192</v>
      </c>
      <c r="I1248" t="n">
        <v>258</v>
      </c>
      <c r="J1248" t="n">
        <v>11.87</v>
      </c>
      <c r="K1248" t="n">
        <v>11.5</v>
      </c>
      <c r="L1248" t="n">
        <v>11.25</v>
      </c>
      <c r="M1248" s="175" t="n">
        <v>0.16</v>
      </c>
      <c r="N1248" t="inlineStr">
        <is>
          <t>台灣最大甲魚相關保健食品廠</t>
        </is>
      </c>
    </row>
    <row r="1249">
      <c r="A1249" t="n">
        <v>4111</v>
      </c>
      <c r="B1249" t="inlineStr">
        <is>
          <t>濟生</t>
        </is>
      </c>
      <c r="C1249" t="n">
        <v>30.05</v>
      </c>
      <c r="D1249" t="n">
        <v>30.05</v>
      </c>
      <c r="E1249" s="504" t="n">
        <v>0</v>
      </c>
      <c r="F1249" s="505" t="n">
        <v>0</v>
      </c>
      <c r="G1249" t="inlineStr">
        <is>
          <t>481萬</t>
        </is>
      </c>
      <c r="H1249" t="n">
        <v>161</v>
      </c>
      <c r="I1249" t="n">
        <v>74</v>
      </c>
      <c r="J1249" t="n">
        <v>5.98</v>
      </c>
      <c r="K1249" t="n">
        <v>30.05</v>
      </c>
      <c r="L1249" t="n">
        <v>29.65</v>
      </c>
      <c r="M1249" s="175" t="n">
        <v>0.27</v>
      </c>
      <c r="N1249" t="inlineStr">
        <is>
          <t>台灣洗腎血液透析粉液龍頭企業</t>
        </is>
      </c>
    </row>
    <row r="1250">
      <c r="A1250" t="n">
        <v>4113</v>
      </c>
      <c r="B1250" t="inlineStr">
        <is>
          <t>聯上</t>
        </is>
      </c>
      <c r="C1250" t="n">
        <v>14.45</v>
      </c>
      <c r="D1250" t="n">
        <v>14.4</v>
      </c>
      <c r="E1250" s="504" t="n">
        <v>-0.05</v>
      </c>
      <c r="F1250" s="505" t="n">
        <v>-0.35</v>
      </c>
      <c r="G1250" t="inlineStr">
        <is>
          <t>169萬</t>
        </is>
      </c>
      <c r="H1250" t="n">
        <v>118</v>
      </c>
      <c r="I1250" t="n">
        <v>325</v>
      </c>
      <c r="J1250" t="n">
        <v>23.11</v>
      </c>
      <c r="K1250" t="n">
        <v>14.45</v>
      </c>
      <c r="L1250" t="n">
        <v>14.2</v>
      </c>
      <c r="M1250" s="175" t="n">
        <v>0.05</v>
      </c>
      <c r="N1250" t="inlineStr">
        <is>
          <t>聯上集團旗下負責南部推案的建商</t>
        </is>
      </c>
    </row>
    <row r="1251">
      <c r="A1251" t="n">
        <v>4114</v>
      </c>
      <c r="B1251" t="inlineStr">
        <is>
          <t>健喬</t>
        </is>
      </c>
      <c r="C1251" t="n">
        <v>30.1</v>
      </c>
      <c r="D1251" t="n">
        <v>30.2</v>
      </c>
      <c r="E1251" s="504" t="n">
        <v>0.1</v>
      </c>
      <c r="F1251" s="505" t="n">
        <v>0.33</v>
      </c>
      <c r="G1251" t="inlineStr">
        <is>
          <t>3672萬</t>
        </is>
      </c>
      <c r="H1251" t="n">
        <v>1216</v>
      </c>
      <c r="I1251" t="n">
        <v>1493</v>
      </c>
      <c r="J1251" t="n">
        <v>51.02</v>
      </c>
      <c r="K1251" t="n">
        <v>30.4</v>
      </c>
      <c r="L1251" t="n">
        <v>30.05</v>
      </c>
      <c r="M1251" s="175" t="n">
        <v>0.24</v>
      </c>
      <c r="N1251" t="inlineStr">
        <is>
          <t>台灣主要學名藥產銷及代理商</t>
        </is>
      </c>
    </row>
    <row r="1252">
      <c r="A1252" t="n">
        <v>4116</v>
      </c>
      <c r="B1252" t="inlineStr">
        <is>
          <t>明基醫</t>
        </is>
      </c>
      <c r="C1252" t="n">
        <v>37.35</v>
      </c>
      <c r="D1252" t="n">
        <v>37.15</v>
      </c>
      <c r="E1252" s="504" t="n">
        <v>-0.2</v>
      </c>
      <c r="F1252" s="505" t="n">
        <v>-0.54</v>
      </c>
      <c r="G1252" t="inlineStr">
        <is>
          <t>364萬</t>
        </is>
      </c>
      <c r="H1252" t="n">
        <v>98</v>
      </c>
      <c r="I1252" t="n">
        <v>61</v>
      </c>
      <c r="J1252" t="n">
        <v>4.46</v>
      </c>
      <c r="K1252" t="n">
        <v>37.35</v>
      </c>
      <c r="L1252" t="n">
        <v>37</v>
      </c>
      <c r="M1252" s="175" t="n">
        <v>0.22</v>
      </c>
      <c r="N1252" t="inlineStr">
        <is>
          <t>明基友達集團旗下醫療設備、醫用耗材、醫療服務公司</t>
        </is>
      </c>
    </row>
    <row r="1253">
      <c r="A1253" t="n">
        <v>4119</v>
      </c>
      <c r="B1253" t="inlineStr">
        <is>
          <t>旭富</t>
        </is>
      </c>
      <c r="C1253" t="n">
        <v>40.7</v>
      </c>
      <c r="D1253" t="n">
        <v>41</v>
      </c>
      <c r="E1253" s="504" t="n">
        <v>-0.9</v>
      </c>
      <c r="F1253" s="505" t="n">
        <v>-2.15</v>
      </c>
      <c r="G1253" t="inlineStr">
        <is>
          <t>692萬</t>
        </is>
      </c>
      <c r="H1253" t="n">
        <v>169</v>
      </c>
      <c r="I1253" t="n">
        <v>244</v>
      </c>
      <c r="J1253" t="n">
        <v>11.95</v>
      </c>
      <c r="K1253" t="n">
        <v>41.35</v>
      </c>
      <c r="L1253" t="n">
        <v>40.7</v>
      </c>
      <c r="M1253" s="175" t="n">
        <v>0.14</v>
      </c>
      <c r="N1253" t="inlineStr">
        <is>
          <t>全球最大之丙戊酸一系列癲癇藥物生產者</t>
        </is>
      </c>
    </row>
    <row r="1254">
      <c r="A1254" t="n">
        <v>4120</v>
      </c>
      <c r="B1254" t="inlineStr">
        <is>
          <t>友華</t>
        </is>
      </c>
      <c r="C1254" t="n">
        <v>44</v>
      </c>
      <c r="D1254" t="n">
        <v>44.2</v>
      </c>
      <c r="E1254" s="504" t="n">
        <v>0.1</v>
      </c>
      <c r="F1254" s="505" t="n">
        <v>0.23</v>
      </c>
      <c r="G1254" t="inlineStr">
        <is>
          <t>167萬</t>
        </is>
      </c>
      <c r="H1254" t="n">
        <v>38</v>
      </c>
      <c r="I1254" t="n">
        <v>66</v>
      </c>
      <c r="J1254" t="n">
        <v>8.67</v>
      </c>
      <c r="K1254" t="n">
        <v>44.2</v>
      </c>
      <c r="L1254" t="n">
        <v>43.6</v>
      </c>
      <c r="M1254" s="175" t="n">
        <v>0.04</v>
      </c>
      <c r="N1254" t="inlineStr">
        <is>
          <t>台灣代理國際藥品與醫美玻尿酸通路商</t>
        </is>
      </c>
    </row>
    <row r="1255">
      <c r="A1255" t="n">
        <v>4121</v>
      </c>
      <c r="B1255" t="inlineStr">
        <is>
          <t>優盛</t>
        </is>
      </c>
      <c r="C1255" t="n">
        <v>14.05</v>
      </c>
      <c r="D1255" t="n">
        <v>14</v>
      </c>
      <c r="E1255" s="504" t="n">
        <v>-0.2</v>
      </c>
      <c r="F1255" s="505" t="n">
        <v>-1.41</v>
      </c>
      <c r="G1255" t="inlineStr">
        <is>
          <t>195萬</t>
        </is>
      </c>
      <c r="H1255" t="n">
        <v>139</v>
      </c>
      <c r="I1255" t="n">
        <v>230</v>
      </c>
      <c r="J1255" t="n">
        <v>8.31</v>
      </c>
      <c r="K1255" t="n">
        <v>14.3</v>
      </c>
      <c r="L1255" t="n">
        <v>13.95</v>
      </c>
      <c r="M1255" s="175" t="n">
        <v>0.17</v>
      </c>
      <c r="N1255" t="inlineStr">
        <is>
          <t>全球前三大電子式血壓計製造商</t>
        </is>
      </c>
    </row>
    <row r="1256">
      <c r="A1256" t="n">
        <v>4123</v>
      </c>
      <c r="B1256" t="inlineStr">
        <is>
          <t>晟德</t>
        </is>
      </c>
      <c r="C1256" t="n">
        <v>38.35</v>
      </c>
      <c r="D1256" t="n">
        <v>38.35</v>
      </c>
      <c r="E1256" s="504" t="n">
        <v>-0.05</v>
      </c>
      <c r="F1256" s="505" t="n">
        <v>-0.13</v>
      </c>
      <c r="G1256" t="inlineStr">
        <is>
          <t>5194萬</t>
        </is>
      </c>
      <c r="H1256" t="n">
        <v>1362</v>
      </c>
      <c r="I1256" t="n">
        <v>2263</v>
      </c>
      <c r="J1256" t="n">
        <v>76.90000000000001</v>
      </c>
      <c r="K1256" t="n">
        <v>38.35</v>
      </c>
      <c r="L1256" t="n">
        <v>38.05</v>
      </c>
      <c r="M1256" s="175" t="n">
        <v>0.18</v>
      </c>
      <c r="N1256" t="inlineStr">
        <is>
          <t>台灣最大內服液劑、水劑之製藥廠</t>
        </is>
      </c>
    </row>
    <row r="1257">
      <c r="A1257" t="n">
        <v>4126</v>
      </c>
      <c r="B1257" t="inlineStr">
        <is>
          <t>太醫</t>
        </is>
      </c>
      <c r="C1257" t="n">
        <v>79.2</v>
      </c>
      <c r="D1257" t="n">
        <v>79.90000000000001</v>
      </c>
      <c r="E1257" s="504" t="n">
        <v>0.7</v>
      </c>
      <c r="F1257" s="505" t="n">
        <v>0.88</v>
      </c>
      <c r="G1257" t="inlineStr">
        <is>
          <t>325萬</t>
        </is>
      </c>
      <c r="H1257" t="n">
        <v>41</v>
      </c>
      <c r="I1257" t="n">
        <v>32</v>
      </c>
      <c r="J1257" t="n">
        <v>7.26</v>
      </c>
      <c r="K1257" t="n">
        <v>80</v>
      </c>
      <c r="L1257" t="n">
        <v>79</v>
      </c>
      <c r="M1257" s="175" t="n">
        <v>0.06</v>
      </c>
      <c r="N1257" t="inlineStr">
        <is>
          <t>台灣最大醫療耗材製造商</t>
        </is>
      </c>
    </row>
    <row r="1258">
      <c r="A1258" t="n">
        <v>4127</v>
      </c>
      <c r="B1258" t="inlineStr">
        <is>
          <t>天良</t>
        </is>
      </c>
      <c r="C1258" t="n">
        <v>64</v>
      </c>
      <c r="D1258" t="n">
        <v>68.5</v>
      </c>
      <c r="E1258" s="504" t="n">
        <v>-0.2</v>
      </c>
      <c r="F1258" s="505" t="n">
        <v>-0.29</v>
      </c>
      <c r="G1258" t="inlineStr">
        <is>
          <t>2756萬</t>
        </is>
      </c>
      <c r="H1258" t="n">
        <v>410</v>
      </c>
      <c r="I1258" t="n">
        <v>582</v>
      </c>
      <c r="J1258" t="n">
        <v>4.58</v>
      </c>
      <c r="K1258" t="n">
        <v>69.5</v>
      </c>
      <c r="L1258" t="n">
        <v>64</v>
      </c>
      <c r="M1258" s="175" t="n">
        <v>0.9</v>
      </c>
      <c r="N1258" t="inlineStr">
        <is>
          <t>以天良牌、鐵獅牌銷售保健品及代理諾得膠囊廠商</t>
        </is>
      </c>
    </row>
    <row r="1259">
      <c r="A1259" t="n">
        <v>4128</v>
      </c>
      <c r="B1259" t="inlineStr">
        <is>
          <t>中天</t>
        </is>
      </c>
      <c r="C1259" t="n">
        <v>14.65</v>
      </c>
      <c r="D1259" t="n">
        <v>14.7</v>
      </c>
      <c r="E1259" s="504" t="n">
        <v>0.15</v>
      </c>
      <c r="F1259" s="505" t="n">
        <v>1.03</v>
      </c>
      <c r="G1259" t="inlineStr">
        <is>
          <t>1689萬</t>
        </is>
      </c>
      <c r="H1259" t="n">
        <v>1162</v>
      </c>
      <c r="I1259" t="n">
        <v>1678</v>
      </c>
      <c r="J1259" t="n">
        <v>58.82</v>
      </c>
      <c r="K1259" t="n">
        <v>14.75</v>
      </c>
      <c r="L1259" t="n">
        <v>14.4</v>
      </c>
      <c r="M1259" s="175" t="n">
        <v>0.2</v>
      </c>
      <c r="N1259" t="inlineStr">
        <is>
          <t>台灣首家符合GMP之發酵中藥廠，並經營棉花田有機食品通路</t>
        </is>
      </c>
    </row>
    <row r="1260">
      <c r="A1260" t="n">
        <v>4129</v>
      </c>
      <c r="B1260" t="inlineStr">
        <is>
          <t>聯合</t>
        </is>
      </c>
      <c r="C1260" t="n">
        <v>88.09999999999999</v>
      </c>
      <c r="D1260" t="n">
        <v>88</v>
      </c>
      <c r="E1260" s="504" t="n">
        <v>-0.8</v>
      </c>
      <c r="F1260" s="505" t="n">
        <v>-0.9</v>
      </c>
      <c r="G1260" t="inlineStr">
        <is>
          <t>3535萬</t>
        </is>
      </c>
      <c r="H1260" t="n">
        <v>401</v>
      </c>
      <c r="I1260" t="n">
        <v>345</v>
      </c>
      <c r="J1260" t="n">
        <v>9.640000000000001</v>
      </c>
      <c r="K1260" t="n">
        <v>88.8</v>
      </c>
      <c r="L1260" t="n">
        <v>87.59999999999999</v>
      </c>
      <c r="M1260" s="175" t="n">
        <v>0.42</v>
      </c>
      <c r="N1260" t="inlineStr">
        <is>
          <t>台灣骨科植入物及器材龍頭廠</t>
        </is>
      </c>
    </row>
    <row r="1261">
      <c r="A1261" t="n">
        <v>4130</v>
      </c>
      <c r="B1261" t="inlineStr">
        <is>
          <t>健亞</t>
        </is>
      </c>
      <c r="C1261" t="n">
        <v>26.1</v>
      </c>
      <c r="D1261" t="n">
        <v>25.95</v>
      </c>
      <c r="E1261" s="504" t="n">
        <v>-0.25</v>
      </c>
      <c r="F1261" s="505" t="n">
        <v>-0.95</v>
      </c>
      <c r="G1261" t="inlineStr">
        <is>
          <t>533萬</t>
        </is>
      </c>
      <c r="H1261" t="n">
        <v>205</v>
      </c>
      <c r="I1261" t="n">
        <v>238</v>
      </c>
      <c r="J1261" t="n">
        <v>13.79</v>
      </c>
      <c r="K1261" t="n">
        <v>26.55</v>
      </c>
      <c r="L1261" t="n">
        <v>25.9</v>
      </c>
      <c r="M1261" s="175" t="n">
        <v>0.15</v>
      </c>
      <c r="N1261" t="inlineStr">
        <is>
          <t>學名藥代工及新藥研發廠</t>
        </is>
      </c>
    </row>
    <row r="1262">
      <c r="A1262" t="n">
        <v>4131</v>
      </c>
      <c r="B1262" t="inlineStr">
        <is>
          <t>浩泰</t>
        </is>
      </c>
      <c r="C1262" t="n">
        <v>33.05</v>
      </c>
      <c r="D1262" t="n">
        <v>33.35</v>
      </c>
      <c r="E1262" s="504" t="n">
        <v>0.3</v>
      </c>
      <c r="F1262" s="505" t="n">
        <v>0.91</v>
      </c>
      <c r="G1262" t="inlineStr">
        <is>
          <t>72.6萬</t>
        </is>
      </c>
      <c r="H1262" t="n">
        <v>22</v>
      </c>
      <c r="I1262" t="n">
        <v>69</v>
      </c>
      <c r="J1262" t="n">
        <v>3.99</v>
      </c>
      <c r="K1262" t="n">
        <v>33.9</v>
      </c>
      <c r="L1262" t="n">
        <v>32.6</v>
      </c>
      <c r="M1262" s="175" t="n">
        <v>0.06</v>
      </c>
      <c r="N1262" t="inlineStr">
        <is>
          <t>高分子生物檢驗晶片廠</t>
        </is>
      </c>
    </row>
    <row r="1263">
      <c r="A1263" t="n">
        <v>4133</v>
      </c>
      <c r="B1263" t="inlineStr">
        <is>
          <t>亞諾法</t>
        </is>
      </c>
      <c r="C1263" t="n">
        <v>21</v>
      </c>
      <c r="D1263" t="n">
        <v>20.85</v>
      </c>
      <c r="E1263" s="504" t="n">
        <v>-0.15</v>
      </c>
      <c r="F1263" s="505" t="n">
        <v>-0.71</v>
      </c>
      <c r="G1263" t="inlineStr">
        <is>
          <t>177萬</t>
        </is>
      </c>
      <c r="H1263" t="n">
        <v>85</v>
      </c>
      <c r="I1263" t="n">
        <v>175</v>
      </c>
      <c r="J1263" t="n">
        <v>6.06</v>
      </c>
      <c r="K1263" t="n">
        <v>21</v>
      </c>
      <c r="L1263" t="n">
        <v>20.75</v>
      </c>
      <c r="M1263" s="175" t="n">
        <v>0.14</v>
      </c>
      <c r="N1263" t="inlineStr">
        <is>
          <t>全球抗體與重組蛋白製造龍頭</t>
        </is>
      </c>
    </row>
    <row r="1264">
      <c r="A1264" t="n">
        <v>4137</v>
      </c>
      <c r="B1264" t="inlineStr">
        <is>
          <t>麗豐-KY</t>
        </is>
      </c>
      <c r="C1264" t="n">
        <v>106.5</v>
      </c>
      <c r="D1264" t="n">
        <v>106</v>
      </c>
      <c r="E1264" s="504" t="n">
        <v>-0.5</v>
      </c>
      <c r="F1264" s="505" t="n">
        <v>-0.47</v>
      </c>
      <c r="G1264" t="inlineStr">
        <is>
          <t>2410萬</t>
        </is>
      </c>
      <c r="H1264" t="n">
        <v>226</v>
      </c>
      <c r="I1264" t="n">
        <v>292</v>
      </c>
      <c r="J1264" t="n">
        <v>8.25</v>
      </c>
      <c r="K1264" t="n">
        <v>107.5</v>
      </c>
      <c r="L1264" t="n">
        <v>105.5</v>
      </c>
      <c r="M1264" s="175" t="n">
        <v>0.27</v>
      </c>
      <c r="N1264" t="inlineStr">
        <is>
          <t>克麗緹娜品牌之美容護膚產品通路商</t>
        </is>
      </c>
    </row>
    <row r="1265">
      <c r="A1265" t="n">
        <v>4138</v>
      </c>
      <c r="B1265" t="inlineStr">
        <is>
          <t>曜亞</t>
        </is>
      </c>
      <c r="C1265" t="n">
        <v>50.7</v>
      </c>
      <c r="D1265" t="n">
        <v>50.6</v>
      </c>
      <c r="E1265" s="504" t="n">
        <v>-0.1</v>
      </c>
      <c r="F1265" s="505" t="n">
        <v>-0.2</v>
      </c>
      <c r="G1265" t="inlineStr">
        <is>
          <t>132萬</t>
        </is>
      </c>
      <c r="H1265" t="n">
        <v>26</v>
      </c>
      <c r="I1265" t="n">
        <v>35</v>
      </c>
      <c r="J1265" t="n">
        <v>3.99</v>
      </c>
      <c r="K1265" t="n">
        <v>51</v>
      </c>
      <c r="L1265" t="n">
        <v>50.5</v>
      </c>
      <c r="M1265" s="175" t="n">
        <v>0.07000000000000001</v>
      </c>
      <c r="N1265" t="inlineStr">
        <is>
          <t>佳醫旗下台灣最大醫學美容器材代理商</t>
        </is>
      </c>
    </row>
    <row r="1266">
      <c r="A1266" t="n">
        <v>4139</v>
      </c>
      <c r="B1266" t="inlineStr">
        <is>
          <t>馬光-KY</t>
        </is>
      </c>
      <c r="C1266" t="n">
        <v>21.55</v>
      </c>
      <c r="D1266" t="n">
        <v>21.85</v>
      </c>
      <c r="E1266" s="504" t="n">
        <v>-0.9</v>
      </c>
      <c r="F1266" s="505" t="n">
        <v>-3.96</v>
      </c>
      <c r="G1266" t="inlineStr">
        <is>
          <t>60.5萬</t>
        </is>
      </c>
      <c r="H1266" t="n">
        <v>28</v>
      </c>
      <c r="I1266" t="n">
        <v>15</v>
      </c>
      <c r="J1266" t="n">
        <v>4.5</v>
      </c>
      <c r="K1266" t="n">
        <v>21.9</v>
      </c>
      <c r="L1266" t="n">
        <v>21.55</v>
      </c>
      <c r="M1266" s="175" t="n">
        <v>0.06</v>
      </c>
      <c r="N1266" t="inlineStr">
        <is>
          <t>新加坡中醫醫療連鎖機構龍頭</t>
        </is>
      </c>
    </row>
    <row r="1267">
      <c r="A1267" t="n">
        <v>4142</v>
      </c>
      <c r="B1267" t="inlineStr">
        <is>
          <t>國光生</t>
        </is>
      </c>
      <c r="C1267" t="n">
        <v>17.2</v>
      </c>
      <c r="D1267" t="n">
        <v>17.2</v>
      </c>
      <c r="E1267" s="504" t="n">
        <v>0</v>
      </c>
      <c r="F1267" s="505" t="n">
        <v>0</v>
      </c>
      <c r="G1267" t="inlineStr">
        <is>
          <t>1709萬</t>
        </is>
      </c>
      <c r="H1267" t="n">
        <v>1002</v>
      </c>
      <c r="I1267" t="n">
        <v>1301</v>
      </c>
      <c r="J1267" t="n">
        <v>42.95</v>
      </c>
      <c r="K1267" t="n">
        <v>17.25</v>
      </c>
      <c r="L1267" t="n">
        <v>17</v>
      </c>
      <c r="M1267" s="175" t="n">
        <v>0.23</v>
      </c>
      <c r="N1267" t="inlineStr">
        <is>
          <t>台灣流感疫苗龍頭企業</t>
        </is>
      </c>
    </row>
    <row r="1268">
      <c r="A1268" t="n">
        <v>4147</v>
      </c>
      <c r="B1268" t="inlineStr">
        <is>
          <t>中裕</t>
        </is>
      </c>
      <c r="C1268" t="n">
        <v>52.9</v>
      </c>
      <c r="D1268" t="n">
        <v>52.7</v>
      </c>
      <c r="E1268" s="504" t="n">
        <v>-0.5</v>
      </c>
      <c r="F1268" s="505" t="n">
        <v>-0.9399999999999999</v>
      </c>
      <c r="G1268" t="inlineStr">
        <is>
          <t>1.12億</t>
        </is>
      </c>
      <c r="H1268" t="n">
        <v>2102</v>
      </c>
      <c r="I1268" t="n">
        <v>2792</v>
      </c>
      <c r="J1268" t="n">
        <v>27.32</v>
      </c>
      <c r="K1268" t="n">
        <v>55.2</v>
      </c>
      <c r="L1268" t="n">
        <v>51.9</v>
      </c>
      <c r="M1268" s="175" t="n">
        <v>0.77</v>
      </c>
      <c r="N1268" t="inlineStr">
        <is>
          <t>專注於愛滋新藥研發</t>
        </is>
      </c>
    </row>
    <row r="1269">
      <c r="A1269" t="n">
        <v>4148</v>
      </c>
      <c r="B1269" t="inlineStr">
        <is>
          <t>全宇生技-KY</t>
        </is>
      </c>
      <c r="C1269" t="n">
        <v>30.5</v>
      </c>
      <c r="D1269" t="n">
        <v>31</v>
      </c>
      <c r="E1269" s="504" t="n">
        <v>0.6</v>
      </c>
      <c r="F1269" s="505" t="n">
        <v>1.97</v>
      </c>
      <c r="G1269" t="inlineStr">
        <is>
          <t>83.0萬</t>
        </is>
      </c>
      <c r="H1269" t="n">
        <v>27</v>
      </c>
      <c r="I1269" t="n">
        <v>64</v>
      </c>
      <c r="J1269" t="n">
        <v>6.72</v>
      </c>
      <c r="K1269" t="n">
        <v>31.1</v>
      </c>
      <c r="L1269" t="n">
        <v>30.45</v>
      </c>
      <c r="M1269" s="175" t="n">
        <v>0.04</v>
      </c>
      <c r="N1269" t="inlineStr">
        <is>
          <t>馬來西亞生化複合肥料龍頭廠商</t>
        </is>
      </c>
    </row>
    <row r="1270">
      <c r="A1270" t="n">
        <v>4153</v>
      </c>
      <c r="B1270" t="inlineStr">
        <is>
          <t>鈺緯</t>
        </is>
      </c>
      <c r="C1270" t="n">
        <v>31.85</v>
      </c>
      <c r="D1270" t="n">
        <v>31.4</v>
      </c>
      <c r="E1270" s="504" t="n">
        <v>-0.45</v>
      </c>
      <c r="F1270" s="505" t="n">
        <v>-1.41</v>
      </c>
      <c r="G1270" t="inlineStr">
        <is>
          <t>110萬</t>
        </is>
      </c>
      <c r="H1270" t="n">
        <v>35</v>
      </c>
      <c r="I1270" t="n">
        <v>44</v>
      </c>
      <c r="J1270" t="n">
        <v>5.87</v>
      </c>
      <c r="K1270" t="n">
        <v>32</v>
      </c>
      <c r="L1270" t="n">
        <v>31.3</v>
      </c>
      <c r="M1270" s="175" t="n">
        <v>0.06</v>
      </c>
      <c r="N1270" t="inlineStr">
        <is>
          <t>佳世達旗下醫療顯示器廠</t>
        </is>
      </c>
    </row>
    <row r="1271">
      <c r="A1271" t="n">
        <v>4154</v>
      </c>
      <c r="B1271" t="inlineStr">
        <is>
          <t>樂威科-KY</t>
        </is>
      </c>
      <c r="C1271" t="inlineStr">
        <is>
          <t>--</t>
        </is>
      </c>
      <c r="D1271" t="inlineStr">
        <is>
          <t>--</t>
        </is>
      </c>
      <c r="E1271" s="504" t="inlineStr">
        <is>
          <t>--</t>
        </is>
      </c>
      <c r="F1271" s="505" t="inlineStr">
        <is>
          <t>--</t>
        </is>
      </c>
      <c r="G1271" t="inlineStr">
        <is>
          <t>--</t>
        </is>
      </c>
      <c r="H1271" t="n">
        <v>0</v>
      </c>
      <c r="I1271" t="n">
        <v>34</v>
      </c>
      <c r="J1271" t="n">
        <v>3.84</v>
      </c>
      <c r="K1271" t="inlineStr">
        <is>
          <t>--</t>
        </is>
      </c>
      <c r="L1271" t="inlineStr">
        <is>
          <t>--</t>
        </is>
      </c>
      <c r="M1271" s="175" t="n">
        <v>0</v>
      </c>
      <c r="N1271" t="inlineStr">
        <is>
          <t>精品皮件之金屬配件製造商</t>
        </is>
      </c>
    </row>
    <row r="1272">
      <c r="A1272" t="n">
        <v>4155</v>
      </c>
      <c r="B1272" t="inlineStr">
        <is>
          <t>訊映</t>
        </is>
      </c>
      <c r="C1272" t="n">
        <v>14.65</v>
      </c>
      <c r="D1272" t="n">
        <v>14.35</v>
      </c>
      <c r="E1272" s="504" t="n">
        <v>-0.3</v>
      </c>
      <c r="F1272" s="505" t="n">
        <v>-2.05</v>
      </c>
      <c r="G1272" t="inlineStr">
        <is>
          <t>904萬</t>
        </is>
      </c>
      <c r="H1272" t="n">
        <v>623</v>
      </c>
      <c r="I1272" t="n">
        <v>521</v>
      </c>
      <c r="J1272" t="n">
        <v>14.47</v>
      </c>
      <c r="K1272" t="n">
        <v>14.85</v>
      </c>
      <c r="L1272" t="n">
        <v>14.3</v>
      </c>
      <c r="M1272" s="175" t="n">
        <v>0.43</v>
      </c>
      <c r="N1272" t="inlineStr">
        <is>
          <t>血糖儀、血糖試片、居家醫療器材廠商</t>
        </is>
      </c>
    </row>
    <row r="1273">
      <c r="A1273" t="n">
        <v>4157</v>
      </c>
      <c r="B1273" t="inlineStr">
        <is>
          <t>太景*-KY</t>
        </is>
      </c>
      <c r="C1273" t="n">
        <v>9.06</v>
      </c>
      <c r="D1273" t="n">
        <v>9.06</v>
      </c>
      <c r="E1273" s="504" t="n">
        <v>0</v>
      </c>
      <c r="F1273" s="505" t="n">
        <v>0</v>
      </c>
      <c r="G1273" t="inlineStr">
        <is>
          <t>2001萬</t>
        </is>
      </c>
      <c r="H1273" t="n">
        <v>2221</v>
      </c>
      <c r="I1273" t="n">
        <v>1589</v>
      </c>
      <c r="J1273" t="n">
        <v>0.01</v>
      </c>
      <c r="K1273" t="n">
        <v>9.09</v>
      </c>
      <c r="L1273" t="n">
        <v>8.94</v>
      </c>
      <c r="M1273" s="175" t="n">
        <v>0.31</v>
      </c>
      <c r="N1273" t="inlineStr">
        <is>
          <t>小分子創新化合物新藥研發廠</t>
        </is>
      </c>
    </row>
    <row r="1274">
      <c r="A1274" t="n">
        <v>4160</v>
      </c>
      <c r="B1274" t="inlineStr">
        <is>
          <t>訊聯基因</t>
        </is>
      </c>
      <c r="C1274" t="n">
        <v>39.7</v>
      </c>
      <c r="D1274" t="n">
        <v>40</v>
      </c>
      <c r="E1274" s="504" t="n">
        <v>0.3</v>
      </c>
      <c r="F1274" s="505" t="n">
        <v>0.76</v>
      </c>
      <c r="G1274" t="inlineStr">
        <is>
          <t>609萬</t>
        </is>
      </c>
      <c r="H1274" t="n">
        <v>152</v>
      </c>
      <c r="I1274" t="n">
        <v>108</v>
      </c>
      <c r="J1274" t="n">
        <v>2.67</v>
      </c>
      <c r="K1274" t="n">
        <v>40.65</v>
      </c>
      <c r="L1274" t="n">
        <v>39.25</v>
      </c>
      <c r="M1274" s="175" t="n">
        <v>0.57</v>
      </c>
      <c r="N1274" t="inlineStr">
        <is>
          <t>台灣專攻基因醫學與數位生技的公司</t>
        </is>
      </c>
    </row>
    <row r="1275">
      <c r="A1275" t="n">
        <v>4161</v>
      </c>
      <c r="B1275" t="inlineStr">
        <is>
          <t>聿新科</t>
        </is>
      </c>
      <c r="C1275" t="n">
        <v>23</v>
      </c>
      <c r="D1275" t="n">
        <v>22.8</v>
      </c>
      <c r="E1275" s="504" t="n">
        <v>-0.2</v>
      </c>
      <c r="F1275" s="505" t="n">
        <v>-0.87</v>
      </c>
      <c r="G1275" t="inlineStr">
        <is>
          <t>139萬</t>
        </is>
      </c>
      <c r="H1275" t="n">
        <v>61</v>
      </c>
      <c r="I1275" t="n">
        <v>82</v>
      </c>
      <c r="J1275" t="n">
        <v>5.98</v>
      </c>
      <c r="K1275" t="n">
        <v>23.15</v>
      </c>
      <c r="L1275" t="n">
        <v>22.65</v>
      </c>
      <c r="M1275" s="175" t="n">
        <v>0.1</v>
      </c>
      <c r="N1275" t="inlineStr">
        <is>
          <t>血糖檢測設備與天然蝦紅素保健品廠</t>
        </is>
      </c>
    </row>
    <row r="1276">
      <c r="A1276" t="n">
        <v>4162</v>
      </c>
      <c r="B1276" t="inlineStr">
        <is>
          <t>智擎</t>
        </is>
      </c>
      <c r="C1276" t="n">
        <v>54.5</v>
      </c>
      <c r="D1276" t="n">
        <v>54.9</v>
      </c>
      <c r="E1276" s="504" t="n">
        <v>0.6</v>
      </c>
      <c r="F1276" s="505" t="n">
        <v>1.1</v>
      </c>
      <c r="G1276" t="inlineStr">
        <is>
          <t>2031萬</t>
        </is>
      </c>
      <c r="H1276" t="n">
        <v>373</v>
      </c>
      <c r="I1276" t="n">
        <v>539</v>
      </c>
      <c r="J1276" t="n">
        <v>14.57</v>
      </c>
      <c r="K1276" t="n">
        <v>55</v>
      </c>
      <c r="L1276" t="n">
        <v>54.1</v>
      </c>
      <c r="M1276" s="175" t="n">
        <v>0.26</v>
      </c>
      <c r="N1276" t="inlineStr">
        <is>
          <t>東洋集團旗下新藥研發公司</t>
        </is>
      </c>
    </row>
    <row r="1277">
      <c r="A1277" t="n">
        <v>4163</v>
      </c>
      <c r="B1277" t="inlineStr">
        <is>
          <t>鐿鈦</t>
        </is>
      </c>
      <c r="C1277" t="n">
        <v>133</v>
      </c>
      <c r="D1277" t="n">
        <v>133</v>
      </c>
      <c r="E1277" s="504" t="n">
        <v>12</v>
      </c>
      <c r="F1277" s="505" t="n">
        <v>9.92</v>
      </c>
      <c r="G1277" t="inlineStr">
        <is>
          <t>9543萬</t>
        </is>
      </c>
      <c r="H1277" t="n">
        <v>720</v>
      </c>
      <c r="I1277" t="n">
        <v>219</v>
      </c>
      <c r="J1277" t="n">
        <v>5.07</v>
      </c>
      <c r="K1277" t="n">
        <v>133</v>
      </c>
      <c r="L1277" t="n">
        <v>129</v>
      </c>
      <c r="M1277" s="175" t="n">
        <v>1.42</v>
      </c>
      <c r="N1277" t="inlineStr">
        <is>
          <t>醫療器材用精密金屬零件製造商</t>
        </is>
      </c>
    </row>
    <row r="1278">
      <c r="A1278" t="n">
        <v>4164</v>
      </c>
      <c r="B1278" t="inlineStr">
        <is>
          <t>承業醫</t>
        </is>
      </c>
      <c r="C1278" t="n">
        <v>28.55</v>
      </c>
      <c r="D1278" t="n">
        <v>28.75</v>
      </c>
      <c r="E1278" s="504" t="n">
        <v>0.2</v>
      </c>
      <c r="F1278" s="505" t="n">
        <v>0.7</v>
      </c>
      <c r="G1278" t="inlineStr">
        <is>
          <t>2031萬</t>
        </is>
      </c>
      <c r="H1278" t="n">
        <v>715</v>
      </c>
      <c r="I1278" t="n">
        <v>656</v>
      </c>
      <c r="J1278" t="n">
        <v>19.53</v>
      </c>
      <c r="K1278" t="n">
        <v>28.75</v>
      </c>
      <c r="L1278" t="n">
        <v>28.2</v>
      </c>
      <c r="M1278" s="175" t="n">
        <v>0.38</v>
      </c>
      <c r="N1278" t="inlineStr">
        <is>
          <t>台灣最大腫瘤醫學設備代理商</t>
        </is>
      </c>
    </row>
    <row r="1279">
      <c r="A1279" t="n">
        <v>4166</v>
      </c>
      <c r="B1279" t="inlineStr">
        <is>
          <t>友霖</t>
        </is>
      </c>
      <c r="C1279" t="n">
        <v>23.5</v>
      </c>
      <c r="D1279" t="n">
        <v>23.4</v>
      </c>
      <c r="E1279" s="504" t="n">
        <v>-0.1</v>
      </c>
      <c r="F1279" s="505" t="n">
        <v>-0.43</v>
      </c>
      <c r="G1279" t="inlineStr">
        <is>
          <t>532萬</t>
        </is>
      </c>
      <c r="H1279" t="n">
        <v>229</v>
      </c>
      <c r="I1279" t="n">
        <v>422</v>
      </c>
      <c r="J1279" t="n">
        <v>24.3</v>
      </c>
      <c r="K1279" t="n">
        <v>23.5</v>
      </c>
      <c r="L1279" t="n">
        <v>23.15</v>
      </c>
      <c r="M1279" s="175" t="n">
        <v>0.09</v>
      </c>
      <c r="N1279" t="inlineStr">
        <is>
          <t>友華旗下的新藥研發生產商</t>
        </is>
      </c>
    </row>
    <row r="1280">
      <c r="A1280" t="n">
        <v>4167</v>
      </c>
      <c r="B1280" t="inlineStr">
        <is>
          <t>松瑞藥</t>
        </is>
      </c>
      <c r="C1280" t="n">
        <v>20.05</v>
      </c>
      <c r="D1280" t="n">
        <v>20.25</v>
      </c>
      <c r="E1280" s="504" t="n">
        <v>0.2</v>
      </c>
      <c r="F1280" s="505" t="n">
        <v>1</v>
      </c>
      <c r="G1280" t="inlineStr">
        <is>
          <t>2675萬</t>
        </is>
      </c>
      <c r="H1280" t="n">
        <v>1331</v>
      </c>
      <c r="I1280" t="n">
        <v>1309</v>
      </c>
      <c r="J1280" t="n">
        <v>31.04</v>
      </c>
      <c r="K1280" t="n">
        <v>20.3</v>
      </c>
      <c r="L1280" t="n">
        <v>19.85</v>
      </c>
      <c r="M1280" s="175" t="n">
        <v>0.43</v>
      </c>
      <c r="N1280" t="inlineStr">
        <is>
          <t>全球前三大培南類抗生素原料藥供應商</t>
        </is>
      </c>
    </row>
    <row r="1281">
      <c r="A1281" t="n">
        <v>4168</v>
      </c>
      <c r="B1281" t="inlineStr">
        <is>
          <t>醣聯</t>
        </is>
      </c>
      <c r="C1281" t="n">
        <v>25.5</v>
      </c>
      <c r="D1281" t="n">
        <v>26.2</v>
      </c>
      <c r="E1281" s="504" t="n">
        <v>0.05</v>
      </c>
      <c r="F1281" s="505" t="n">
        <v>0.19</v>
      </c>
      <c r="G1281" t="inlineStr">
        <is>
          <t>808萬</t>
        </is>
      </c>
      <c r="H1281" t="n">
        <v>312</v>
      </c>
      <c r="I1281" t="n">
        <v>695</v>
      </c>
      <c r="J1281" t="n">
        <v>11.25</v>
      </c>
      <c r="K1281" t="n">
        <v>26.2</v>
      </c>
      <c r="L1281" t="n">
        <v>25.5</v>
      </c>
      <c r="M1281" s="175" t="n">
        <v>0.28</v>
      </c>
      <c r="N1281" t="inlineStr">
        <is>
          <t>醣質抗體與蛋白質藥物研發廠</t>
        </is>
      </c>
    </row>
    <row r="1282">
      <c r="A1282" t="n">
        <v>4169</v>
      </c>
      <c r="B1282" t="inlineStr">
        <is>
          <t>泰宗</t>
        </is>
      </c>
      <c r="C1282" t="n">
        <v>156</v>
      </c>
      <c r="D1282" t="n">
        <v>160</v>
      </c>
      <c r="E1282" s="504" t="n">
        <v>1.5</v>
      </c>
      <c r="F1282" s="505" t="n">
        <v>0.95</v>
      </c>
      <c r="G1282" t="inlineStr">
        <is>
          <t>2950萬</t>
        </is>
      </c>
      <c r="H1282" t="n">
        <v>187</v>
      </c>
      <c r="I1282" t="n">
        <v>128</v>
      </c>
      <c r="J1282" t="n">
        <v>6.64</v>
      </c>
      <c r="K1282" t="n">
        <v>162</v>
      </c>
      <c r="L1282" t="n">
        <v>154</v>
      </c>
      <c r="M1282" s="175" t="n">
        <v>0.28</v>
      </c>
      <c r="N1282" t="inlineStr">
        <is>
          <t>專注肝癌檢測與泌尿道新藥研發廠商</t>
        </is>
      </c>
    </row>
    <row r="1283">
      <c r="A1283" t="n">
        <v>4171</v>
      </c>
      <c r="B1283" t="inlineStr">
        <is>
          <t>瑞基</t>
        </is>
      </c>
      <c r="C1283" t="n">
        <v>17.85</v>
      </c>
      <c r="D1283" t="n">
        <v>18.1</v>
      </c>
      <c r="E1283" s="504" t="n">
        <v>0.25</v>
      </c>
      <c r="F1283" s="505" t="n">
        <v>1.4</v>
      </c>
      <c r="G1283" t="inlineStr">
        <is>
          <t>224萬</t>
        </is>
      </c>
      <c r="H1283" t="n">
        <v>125</v>
      </c>
      <c r="I1283" t="n">
        <v>156</v>
      </c>
      <c r="J1283" t="n">
        <v>5.81</v>
      </c>
      <c r="K1283" t="n">
        <v>18.3</v>
      </c>
      <c r="L1283" t="n">
        <v>17.7</v>
      </c>
      <c r="M1283" s="175" t="n">
        <v>0.22</v>
      </c>
      <c r="N1283" t="inlineStr">
        <is>
          <t>全球最大蝦類白點病毒檢測試劑廠</t>
        </is>
      </c>
    </row>
    <row r="1284">
      <c r="A1284" t="n">
        <v>4173</v>
      </c>
      <c r="B1284" t="inlineStr">
        <is>
          <t>久裕</t>
        </is>
      </c>
      <c r="C1284" t="n">
        <v>18</v>
      </c>
      <c r="D1284" t="n">
        <v>18.05</v>
      </c>
      <c r="E1284" s="504" t="n">
        <v>0.05</v>
      </c>
      <c r="F1284" s="505" t="n">
        <v>0.28</v>
      </c>
      <c r="G1284" t="inlineStr">
        <is>
          <t>137萬</t>
        </is>
      </c>
      <c r="H1284" t="n">
        <v>76</v>
      </c>
      <c r="I1284" t="n">
        <v>126</v>
      </c>
      <c r="J1284" t="n">
        <v>7.46</v>
      </c>
      <c r="K1284" t="n">
        <v>18.1</v>
      </c>
      <c r="L1284" t="n">
        <v>18</v>
      </c>
      <c r="M1284" s="175" t="n">
        <v>0.1</v>
      </c>
      <c r="N1284" t="inlineStr">
        <is>
          <t>佳醫旗下藥品經銷物流商</t>
        </is>
      </c>
    </row>
    <row r="1285">
      <c r="A1285" t="n">
        <v>4174</v>
      </c>
      <c r="B1285" t="inlineStr">
        <is>
          <t>浩鼎</t>
        </is>
      </c>
      <c r="C1285" t="n">
        <v>28.5</v>
      </c>
      <c r="D1285" t="n">
        <v>28.35</v>
      </c>
      <c r="E1285" s="504" t="n">
        <v>-0.2</v>
      </c>
      <c r="F1285" s="505" t="n">
        <v>-0.7</v>
      </c>
      <c r="G1285" t="inlineStr">
        <is>
          <t>1963萬</t>
        </is>
      </c>
      <c r="H1285" t="n">
        <v>697</v>
      </c>
      <c r="I1285" t="n">
        <v>547</v>
      </c>
      <c r="J1285" t="n">
        <v>13.16</v>
      </c>
      <c r="K1285" t="n">
        <v>28.7</v>
      </c>
      <c r="L1285" t="n">
        <v>27.75</v>
      </c>
      <c r="M1285" s="175" t="n">
        <v>0.53</v>
      </c>
      <c r="N1285" t="inlineStr">
        <is>
          <t>潤泰集團旗下抗癌新藥研發公司</t>
        </is>
      </c>
    </row>
    <row r="1286">
      <c r="A1286" t="n">
        <v>4175</v>
      </c>
      <c r="B1286" t="inlineStr">
        <is>
          <t>杏一</t>
        </is>
      </c>
      <c r="C1286" t="n">
        <v>54</v>
      </c>
      <c r="D1286" t="n">
        <v>53.6</v>
      </c>
      <c r="E1286" s="504" t="n">
        <v>0</v>
      </c>
      <c r="F1286" s="505" t="n">
        <v>0</v>
      </c>
      <c r="G1286" t="inlineStr">
        <is>
          <t>151萬</t>
        </is>
      </c>
      <c r="H1286" t="n">
        <v>28</v>
      </c>
      <c r="I1286" t="n">
        <v>43</v>
      </c>
      <c r="J1286" t="n">
        <v>4.23</v>
      </c>
      <c r="K1286" t="n">
        <v>54</v>
      </c>
      <c r="L1286" t="n">
        <v>53.4</v>
      </c>
      <c r="M1286" s="175" t="n">
        <v>0.07000000000000001</v>
      </c>
      <c r="N1286" t="inlineStr">
        <is>
          <t>台灣醫療用品連鎖通路龍頭</t>
        </is>
      </c>
    </row>
    <row r="1287">
      <c r="A1287" t="n">
        <v>4178</v>
      </c>
      <c r="B1287" t="inlineStr">
        <is>
          <t>永笙-KY</t>
        </is>
      </c>
      <c r="C1287" t="n">
        <v>18.95</v>
      </c>
      <c r="D1287" t="n">
        <v>18.6</v>
      </c>
      <c r="E1287" s="504" t="n">
        <v>-0.3</v>
      </c>
      <c r="F1287" s="505" t="n">
        <v>-1.59</v>
      </c>
      <c r="G1287" t="inlineStr">
        <is>
          <t>690萬</t>
        </is>
      </c>
      <c r="H1287" t="n">
        <v>370</v>
      </c>
      <c r="I1287" t="n">
        <v>505</v>
      </c>
      <c r="J1287" t="n">
        <v>21.59</v>
      </c>
      <c r="K1287" t="n">
        <v>18.95</v>
      </c>
      <c r="L1287" t="n">
        <v>18.55</v>
      </c>
      <c r="M1287" s="175" t="n">
        <v>0.17</v>
      </c>
      <c r="N1287" t="inlineStr">
        <is>
          <t>中天生技集團旗下細胞治療新藥公司</t>
        </is>
      </c>
    </row>
    <row r="1288">
      <c r="A1288" t="n">
        <v>4183</v>
      </c>
      <c r="B1288" t="inlineStr">
        <is>
          <t>福永生技</t>
        </is>
      </c>
      <c r="C1288" t="n">
        <v>12.95</v>
      </c>
      <c r="D1288" t="n">
        <v>13</v>
      </c>
      <c r="E1288" s="504" t="n">
        <v>0</v>
      </c>
      <c r="F1288" s="505" t="n">
        <v>0</v>
      </c>
      <c r="G1288" t="inlineStr">
        <is>
          <t>6.50萬</t>
        </is>
      </c>
      <c r="H1288" t="n">
        <v>5</v>
      </c>
      <c r="I1288" t="n">
        <v>13</v>
      </c>
      <c r="J1288" t="n">
        <v>2.38</v>
      </c>
      <c r="K1288" t="n">
        <v>13</v>
      </c>
      <c r="L1288" t="n">
        <v>12.95</v>
      </c>
      <c r="M1288" s="175" t="n">
        <v>0.02</v>
      </c>
      <c r="N1288" t="inlineStr">
        <is>
          <t>台灣血糖測試設備商</t>
        </is>
      </c>
    </row>
    <row r="1289">
      <c r="A1289" t="n">
        <v>4188</v>
      </c>
      <c r="B1289" t="inlineStr">
        <is>
          <t>安克</t>
        </is>
      </c>
      <c r="C1289" t="n">
        <v>11.05</v>
      </c>
      <c r="D1289" t="n">
        <v>10.95</v>
      </c>
      <c r="E1289" s="504" t="n">
        <v>-0.1</v>
      </c>
      <c r="F1289" s="505" t="n">
        <v>-0.9</v>
      </c>
      <c r="G1289" t="inlineStr">
        <is>
          <t>97.9萬</t>
        </is>
      </c>
      <c r="H1289" t="n">
        <v>90</v>
      </c>
      <c r="I1289" t="n">
        <v>69</v>
      </c>
      <c r="J1289" t="n">
        <v>6.33</v>
      </c>
      <c r="K1289" t="n">
        <v>11.05</v>
      </c>
      <c r="L1289" t="n">
        <v>10.8</v>
      </c>
      <c r="M1289" s="175" t="n">
        <v>0.14</v>
      </c>
      <c r="N1289" t="inlineStr">
        <is>
          <t>全球首個FDA核准之超音波電腦輔助診斷(CAD)醫材公司</t>
        </is>
      </c>
    </row>
    <row r="1290">
      <c r="A1290" t="n">
        <v>4190</v>
      </c>
      <c r="B1290" t="inlineStr">
        <is>
          <t>佐登-KY</t>
        </is>
      </c>
      <c r="C1290" t="n">
        <v>24.4</v>
      </c>
      <c r="D1290" t="n">
        <v>24.35</v>
      </c>
      <c r="E1290" s="504" t="n">
        <v>0.05</v>
      </c>
      <c r="F1290" s="505" t="n">
        <v>0.21</v>
      </c>
      <c r="G1290" t="inlineStr">
        <is>
          <t>144萬</t>
        </is>
      </c>
      <c r="H1290" t="n">
        <v>59</v>
      </c>
      <c r="I1290" t="n">
        <v>51</v>
      </c>
      <c r="J1290" t="n">
        <v>6.14</v>
      </c>
      <c r="K1290" t="n">
        <v>24.7</v>
      </c>
      <c r="L1290" t="n">
        <v>24.1</v>
      </c>
      <c r="M1290" s="175" t="n">
        <v>0.1</v>
      </c>
      <c r="N1290" t="inlineStr">
        <is>
          <t>專注研發生產、銷售保養品及課程服務領域</t>
        </is>
      </c>
    </row>
    <row r="1291">
      <c r="A1291" t="n">
        <v>4192</v>
      </c>
      <c r="B1291" t="inlineStr">
        <is>
          <t>杏國</t>
        </is>
      </c>
      <c r="C1291" t="n">
        <v>20.5</v>
      </c>
      <c r="D1291" t="n">
        <v>20.5</v>
      </c>
      <c r="E1291" s="504" t="n">
        <v>0.7</v>
      </c>
      <c r="F1291" s="505" t="n">
        <v>3.54</v>
      </c>
      <c r="G1291" t="inlineStr">
        <is>
          <t>40.5萬</t>
        </is>
      </c>
      <c r="H1291" t="n">
        <v>20</v>
      </c>
      <c r="I1291" t="n">
        <v>17</v>
      </c>
      <c r="J1291" t="n">
        <v>3.52</v>
      </c>
      <c r="K1291" t="n">
        <v>20.5</v>
      </c>
      <c r="L1291" t="n">
        <v>20</v>
      </c>
      <c r="M1291" s="175" t="n">
        <v>0.06</v>
      </c>
      <c r="N1291" t="inlineStr">
        <is>
          <t>杏輝旗下植物新藥研發廠</t>
        </is>
      </c>
    </row>
    <row r="1292">
      <c r="A1292" t="n">
        <v>4198</v>
      </c>
      <c r="B1292" t="inlineStr">
        <is>
          <t>欣大健康</t>
        </is>
      </c>
      <c r="C1292" t="n">
        <v>38.8</v>
      </c>
      <c r="D1292" t="n">
        <v>38.75</v>
      </c>
      <c r="E1292" s="504" t="n">
        <v>0.1</v>
      </c>
      <c r="F1292" s="505" t="n">
        <v>0.26</v>
      </c>
      <c r="G1292" t="inlineStr">
        <is>
          <t>69.0萬</t>
        </is>
      </c>
      <c r="H1292" t="n">
        <v>18</v>
      </c>
      <c r="I1292" t="n">
        <v>23</v>
      </c>
      <c r="J1292" t="n">
        <v>2.41</v>
      </c>
      <c r="K1292" t="n">
        <v>39.2</v>
      </c>
      <c r="L1292" t="n">
        <v>37.45</v>
      </c>
      <c r="M1292" s="175" t="n">
        <v>0.07000000000000001</v>
      </c>
      <c r="N1292" t="inlineStr">
        <is>
          <t>高階數位X光機及骨質密度檢測設備廠</t>
        </is>
      </c>
    </row>
    <row r="1293">
      <c r="A1293" t="n">
        <v>4205</v>
      </c>
      <c r="B1293" t="inlineStr">
        <is>
          <t>中華食</t>
        </is>
      </c>
      <c r="C1293" t="n">
        <v>72.2</v>
      </c>
      <c r="D1293" t="n">
        <v>72.5</v>
      </c>
      <c r="E1293" s="504" t="n">
        <v>0.3</v>
      </c>
      <c r="F1293" s="505" t="n">
        <v>0.42</v>
      </c>
      <c r="G1293" t="inlineStr">
        <is>
          <t>296萬</t>
        </is>
      </c>
      <c r="H1293" t="n">
        <v>41</v>
      </c>
      <c r="I1293" t="n">
        <v>59</v>
      </c>
      <c r="J1293" t="n">
        <v>9.76</v>
      </c>
      <c r="K1293" t="n">
        <v>72.5</v>
      </c>
      <c r="L1293" t="n">
        <v>72.09999999999999</v>
      </c>
      <c r="M1293" s="175" t="n">
        <v>0.04</v>
      </c>
      <c r="N1293" t="inlineStr">
        <is>
          <t>中華豆腐及豆花製造廠</t>
        </is>
      </c>
    </row>
    <row r="1294">
      <c r="A1294" t="n">
        <v>4207</v>
      </c>
      <c r="B1294" t="inlineStr">
        <is>
          <t>環泰</t>
        </is>
      </c>
      <c r="C1294" t="n">
        <v>19.65</v>
      </c>
      <c r="D1294" t="n">
        <v>19.55</v>
      </c>
      <c r="E1294" s="504" t="n">
        <v>-0.1</v>
      </c>
      <c r="F1294" s="505" t="n">
        <v>-0.51</v>
      </c>
      <c r="G1294" t="inlineStr">
        <is>
          <t>158萬</t>
        </is>
      </c>
      <c r="H1294" t="n">
        <v>231</v>
      </c>
      <c r="I1294" t="n">
        <v>288</v>
      </c>
      <c r="J1294" t="n">
        <v>19.85</v>
      </c>
      <c r="K1294" t="n">
        <v>19.7</v>
      </c>
      <c r="L1294" t="n">
        <v>19.45</v>
      </c>
      <c r="M1294" s="175" t="n">
        <v>0.12</v>
      </c>
      <c r="N1294" t="inlineStr">
        <is>
          <t>台灣三大果糖廠之一</t>
        </is>
      </c>
    </row>
    <row r="1295">
      <c r="A1295" t="n">
        <v>4303</v>
      </c>
      <c r="B1295" t="inlineStr">
        <is>
          <t>信立</t>
        </is>
      </c>
      <c r="C1295" t="n">
        <v>48.8</v>
      </c>
      <c r="D1295" t="n">
        <v>47.7</v>
      </c>
      <c r="E1295" s="504" t="n">
        <v>-0.6</v>
      </c>
      <c r="F1295" s="505" t="n">
        <v>-1.24</v>
      </c>
      <c r="G1295" t="inlineStr">
        <is>
          <t>3031萬</t>
        </is>
      </c>
      <c r="H1295" t="n">
        <v>636</v>
      </c>
      <c r="I1295" t="n">
        <v>776</v>
      </c>
      <c r="J1295" t="n">
        <v>9.460000000000001</v>
      </c>
      <c r="K1295" t="n">
        <v>48.8</v>
      </c>
      <c r="L1295" t="n">
        <v>47.35</v>
      </c>
      <c r="M1295" s="175" t="n">
        <v>0.67</v>
      </c>
      <c r="N1295" t="inlineStr">
        <is>
          <t>台灣知名PU合成皮及PVC皮廠商</t>
        </is>
      </c>
    </row>
    <row r="1296">
      <c r="A1296" t="n">
        <v>4304</v>
      </c>
      <c r="B1296" t="inlineStr">
        <is>
          <t>勝昱</t>
        </is>
      </c>
      <c r="C1296" t="n">
        <v>26.6</v>
      </c>
      <c r="D1296" t="n">
        <v>26.95</v>
      </c>
      <c r="E1296" s="504" t="n">
        <v>-0.05</v>
      </c>
      <c r="F1296" s="505" t="n">
        <v>-0.19</v>
      </c>
      <c r="G1296" t="inlineStr">
        <is>
          <t>47.8萬</t>
        </is>
      </c>
      <c r="H1296" t="n">
        <v>18</v>
      </c>
      <c r="I1296" t="n">
        <v>26</v>
      </c>
      <c r="J1296" t="n">
        <v>6.1</v>
      </c>
      <c r="K1296" t="n">
        <v>26.95</v>
      </c>
      <c r="L1296" t="n">
        <v>26.5</v>
      </c>
      <c r="M1296" s="175" t="n">
        <v>0.03</v>
      </c>
      <c r="N1296" t="inlineStr">
        <is>
          <t>台灣EMI電磁波屏隔材料第一大廠</t>
        </is>
      </c>
    </row>
    <row r="1297">
      <c r="A1297" t="n">
        <v>4305</v>
      </c>
      <c r="B1297" t="inlineStr">
        <is>
          <t>世坤</t>
        </is>
      </c>
      <c r="C1297" t="inlineStr">
        <is>
          <t>--</t>
        </is>
      </c>
      <c r="D1297" t="inlineStr">
        <is>
          <t>--</t>
        </is>
      </c>
      <c r="E1297" s="504" t="inlineStr">
        <is>
          <t>--</t>
        </is>
      </c>
      <c r="F1297" s="505" t="inlineStr">
        <is>
          <t>--</t>
        </is>
      </c>
      <c r="G1297" t="inlineStr">
        <is>
          <t>--</t>
        </is>
      </c>
      <c r="H1297" t="n">
        <v>0</v>
      </c>
      <c r="I1297" t="n">
        <v>9</v>
      </c>
      <c r="J1297" t="n">
        <v>5.5</v>
      </c>
      <c r="K1297" t="inlineStr">
        <is>
          <t>--</t>
        </is>
      </c>
      <c r="L1297" t="inlineStr">
        <is>
          <t>--</t>
        </is>
      </c>
      <c r="M1297" s="175" t="n">
        <v>0</v>
      </c>
      <c r="N1297" t="inlineStr">
        <is>
          <t>專業PVC軟質膠布廠</t>
        </is>
      </c>
    </row>
    <row r="1298">
      <c r="A1298" t="n">
        <v>4306</v>
      </c>
      <c r="B1298" t="inlineStr">
        <is>
          <t>炎洲</t>
        </is>
      </c>
      <c r="C1298" t="n">
        <v>14.3</v>
      </c>
      <c r="D1298" t="n">
        <v>14.45</v>
      </c>
      <c r="E1298" s="504" t="n">
        <v>0.2</v>
      </c>
      <c r="F1298" s="505" t="n">
        <v>1.4</v>
      </c>
      <c r="G1298" t="inlineStr">
        <is>
          <t>3436萬</t>
        </is>
      </c>
      <c r="H1298" t="n">
        <v>2386</v>
      </c>
      <c r="I1298" t="n">
        <v>1827</v>
      </c>
      <c r="J1298" t="n">
        <v>67.68000000000001</v>
      </c>
      <c r="K1298" t="n">
        <v>14.55</v>
      </c>
      <c r="L1298" t="n">
        <v>14.2</v>
      </c>
      <c r="M1298" s="175" t="n">
        <v>0.35</v>
      </c>
      <c r="N1298" t="inlineStr">
        <is>
          <t>台灣膠帶龍頭公司</t>
        </is>
      </c>
    </row>
    <row r="1299">
      <c r="A1299" t="n">
        <v>4401</v>
      </c>
      <c r="B1299" t="inlineStr">
        <is>
          <t>東隆興</t>
        </is>
      </c>
      <c r="C1299" t="n">
        <v>13.7</v>
      </c>
      <c r="D1299" t="n">
        <v>13.7</v>
      </c>
      <c r="E1299" s="504" t="n">
        <v>0.1</v>
      </c>
      <c r="F1299" s="505" t="n">
        <v>0.74</v>
      </c>
      <c r="G1299" t="inlineStr">
        <is>
          <t>208萬</t>
        </is>
      </c>
      <c r="H1299" t="n">
        <v>152</v>
      </c>
      <c r="I1299" t="n">
        <v>111</v>
      </c>
      <c r="J1299" t="n">
        <v>12.27</v>
      </c>
      <c r="K1299" t="n">
        <v>13.8</v>
      </c>
      <c r="L1299" t="n">
        <v>13.6</v>
      </c>
      <c r="M1299" s="175" t="n">
        <v>0.12</v>
      </c>
      <c r="N1299" t="inlineStr">
        <is>
          <t>亞洲最大的尼龍66線紗供應商</t>
        </is>
      </c>
    </row>
    <row r="1300">
      <c r="A1300" t="n">
        <v>4402</v>
      </c>
      <c r="B1300" t="inlineStr">
        <is>
          <t>郡都開發</t>
        </is>
      </c>
      <c r="C1300" t="n">
        <v>12.1</v>
      </c>
      <c r="D1300" t="n">
        <v>12</v>
      </c>
      <c r="E1300" s="504" t="n">
        <v>-0.1</v>
      </c>
      <c r="F1300" s="505" t="n">
        <v>-0.83</v>
      </c>
      <c r="G1300" t="inlineStr">
        <is>
          <t>147萬</t>
        </is>
      </c>
      <c r="H1300" t="n">
        <v>122</v>
      </c>
      <c r="I1300" t="n">
        <v>89</v>
      </c>
      <c r="J1300" t="n">
        <v>6.8</v>
      </c>
      <c r="K1300" t="n">
        <v>12.15</v>
      </c>
      <c r="L1300" t="n">
        <v>11.95</v>
      </c>
      <c r="M1300" s="175" t="n">
        <v>0.18</v>
      </c>
      <c r="N1300" t="inlineStr">
        <is>
          <t>經營紡織及太陽能電站業務</t>
        </is>
      </c>
    </row>
    <row r="1301">
      <c r="A1301" t="n">
        <v>4406</v>
      </c>
      <c r="B1301" t="inlineStr">
        <is>
          <t>新昕纖</t>
        </is>
      </c>
      <c r="C1301" t="n">
        <v>9.800000000000001</v>
      </c>
      <c r="D1301" t="n">
        <v>9.9</v>
      </c>
      <c r="E1301" s="504" t="n">
        <v>0.1</v>
      </c>
      <c r="F1301" s="505" t="n">
        <v>1.02</v>
      </c>
      <c r="G1301" t="inlineStr">
        <is>
          <t>4.94萬</t>
        </is>
      </c>
      <c r="H1301" t="n">
        <v>5</v>
      </c>
      <c r="I1301" t="n">
        <v>74</v>
      </c>
      <c r="J1301" t="n">
        <v>5.19</v>
      </c>
      <c r="K1301" t="n">
        <v>9.91</v>
      </c>
      <c r="L1301" t="n">
        <v>9.800000000000001</v>
      </c>
      <c r="M1301" s="175" t="n">
        <v>0.01</v>
      </c>
      <c r="N1301" t="inlineStr">
        <is>
          <t>為特殊規格加工絲的中小型假撚廠</t>
        </is>
      </c>
    </row>
    <row r="1302">
      <c r="A1302" t="n">
        <v>4413</v>
      </c>
      <c r="B1302" t="inlineStr">
        <is>
          <t>飛寶企業</t>
        </is>
      </c>
      <c r="C1302" t="inlineStr">
        <is>
          <t>--</t>
        </is>
      </c>
      <c r="D1302" t="inlineStr">
        <is>
          <t>--</t>
        </is>
      </c>
      <c r="E1302" s="504" t="inlineStr">
        <is>
          <t>--</t>
        </is>
      </c>
      <c r="F1302" s="505" t="inlineStr">
        <is>
          <t>--</t>
        </is>
      </c>
      <c r="G1302" t="inlineStr">
        <is>
          <t>--</t>
        </is>
      </c>
      <c r="H1302" t="n">
        <v>0</v>
      </c>
      <c r="I1302" t="n">
        <v>12</v>
      </c>
      <c r="J1302" t="n">
        <v>3.13</v>
      </c>
      <c r="K1302" t="inlineStr">
        <is>
          <t>--</t>
        </is>
      </c>
      <c r="L1302" t="inlineStr">
        <is>
          <t>--</t>
        </is>
      </c>
      <c r="M1302" s="175" t="n">
        <v>0</v>
      </c>
      <c r="N1302" t="inlineStr">
        <is>
          <t>主要經營長纖布業務</t>
        </is>
      </c>
    </row>
    <row r="1303">
      <c r="A1303" t="n">
        <v>4414</v>
      </c>
      <c r="B1303" t="inlineStr">
        <is>
          <t>如興</t>
        </is>
      </c>
      <c r="C1303" t="n">
        <v>8.01</v>
      </c>
      <c r="D1303" t="n">
        <v>8.06</v>
      </c>
      <c r="E1303" s="504" t="n">
        <v>0.2</v>
      </c>
      <c r="F1303" s="505" t="n">
        <v>2.54</v>
      </c>
      <c r="G1303" t="inlineStr">
        <is>
          <t>678萬</t>
        </is>
      </c>
      <c r="H1303" t="n">
        <v>848</v>
      </c>
      <c r="I1303" t="n">
        <v>557</v>
      </c>
      <c r="J1303" t="n">
        <v>26.38</v>
      </c>
      <c r="K1303" t="n">
        <v>8.16</v>
      </c>
      <c r="L1303" t="n">
        <v>7.86</v>
      </c>
      <c r="M1303" s="175" t="n">
        <v>0.32</v>
      </c>
      <c r="N1303" t="inlineStr">
        <is>
          <t>國內知名成衣代工製造商</t>
        </is>
      </c>
    </row>
    <row r="1304">
      <c r="A1304" t="n">
        <v>4416</v>
      </c>
      <c r="B1304" t="inlineStr">
        <is>
          <t>三圓</t>
        </is>
      </c>
      <c r="C1304" t="n">
        <v>11.4</v>
      </c>
      <c r="D1304" t="n">
        <v>12.1</v>
      </c>
      <c r="E1304" s="504" t="n">
        <v>0.65</v>
      </c>
      <c r="F1304" s="505" t="n">
        <v>5.68</v>
      </c>
      <c r="G1304" t="inlineStr">
        <is>
          <t>419萬</t>
        </is>
      </c>
      <c r="H1304" t="n">
        <v>354</v>
      </c>
      <c r="I1304" t="n">
        <v>932</v>
      </c>
      <c r="J1304" t="n">
        <v>7.36</v>
      </c>
      <c r="K1304" t="n">
        <v>12.4</v>
      </c>
      <c r="L1304" t="n">
        <v>11.4</v>
      </c>
      <c r="M1304" s="175" t="n">
        <v>0.48</v>
      </c>
      <c r="N1304" t="inlineStr">
        <is>
          <t>從事國民住宅興建及出租出售業務</t>
        </is>
      </c>
    </row>
    <row r="1305">
      <c r="A1305" t="n">
        <v>4417</v>
      </c>
      <c r="B1305" t="inlineStr">
        <is>
          <t>金洲</t>
        </is>
      </c>
      <c r="C1305" t="n">
        <v>45.65</v>
      </c>
      <c r="D1305" t="n">
        <v>45.65</v>
      </c>
      <c r="E1305" s="504" t="n">
        <v>0</v>
      </c>
      <c r="F1305" s="505" t="n">
        <v>0</v>
      </c>
      <c r="G1305" t="inlineStr">
        <is>
          <t>615萬</t>
        </is>
      </c>
      <c r="H1305" t="n">
        <v>135</v>
      </c>
      <c r="I1305" t="n">
        <v>183</v>
      </c>
      <c r="J1305" t="n">
        <v>8.4</v>
      </c>
      <c r="K1305" t="n">
        <v>45.7</v>
      </c>
      <c r="L1305" t="n">
        <v>45.4</v>
      </c>
      <c r="M1305" s="175" t="n">
        <v>0.16</v>
      </c>
      <c r="N1305" t="inlineStr">
        <is>
          <t>全球第一大漁網生產商</t>
        </is>
      </c>
    </row>
    <row r="1306">
      <c r="A1306" t="n">
        <v>4419</v>
      </c>
      <c r="B1306" t="inlineStr">
        <is>
          <t>皇家美食</t>
        </is>
      </c>
      <c r="C1306" t="n">
        <v>46.55</v>
      </c>
      <c r="D1306" t="n">
        <v>46.5</v>
      </c>
      <c r="E1306" s="504" t="n">
        <v>-0.3</v>
      </c>
      <c r="F1306" s="505" t="n">
        <v>-0.64</v>
      </c>
      <c r="G1306" t="inlineStr">
        <is>
          <t>65.2萬</t>
        </is>
      </c>
      <c r="H1306" t="n">
        <v>14</v>
      </c>
      <c r="I1306" t="n">
        <v>24</v>
      </c>
      <c r="J1306" t="n">
        <v>16.92</v>
      </c>
      <c r="K1306" t="n">
        <v>46.8</v>
      </c>
      <c r="L1306" t="n">
        <v>46.35</v>
      </c>
      <c r="M1306" s="175" t="n">
        <v>0.01</v>
      </c>
      <c r="N1306" t="inlineStr">
        <is>
          <t>經營漢堡王、潮港城二大餐飲品牌</t>
        </is>
      </c>
    </row>
    <row r="1307">
      <c r="A1307" t="n">
        <v>4420</v>
      </c>
      <c r="B1307" t="inlineStr">
        <is>
          <t>光明</t>
        </is>
      </c>
      <c r="C1307" t="n">
        <v>38.2</v>
      </c>
      <c r="D1307" t="n">
        <v>38.55</v>
      </c>
      <c r="E1307" s="504" t="n">
        <v>0.35</v>
      </c>
      <c r="F1307" s="505" t="n">
        <v>0.92</v>
      </c>
      <c r="G1307" t="inlineStr">
        <is>
          <t>211萬</t>
        </is>
      </c>
      <c r="H1307" t="n">
        <v>55</v>
      </c>
      <c r="I1307" t="n">
        <v>85</v>
      </c>
      <c r="J1307" t="n">
        <v>4.05</v>
      </c>
      <c r="K1307" t="n">
        <v>38.6</v>
      </c>
      <c r="L1307" t="n">
        <v>38.2</v>
      </c>
      <c r="M1307" s="175" t="n">
        <v>0.14</v>
      </c>
      <c r="N1307" t="inlineStr">
        <is>
          <t>宜進入主，經營功能性加工絲與環保訴求加工絲為主</t>
        </is>
      </c>
    </row>
    <row r="1308">
      <c r="A1308" t="n">
        <v>4426</v>
      </c>
      <c r="B1308" t="inlineStr">
        <is>
          <t>利勤</t>
        </is>
      </c>
      <c r="C1308" t="n">
        <v>7.76</v>
      </c>
      <c r="D1308" t="n">
        <v>7.98</v>
      </c>
      <c r="E1308" s="504" t="n">
        <v>0.22</v>
      </c>
      <c r="F1308" s="505" t="n">
        <v>2.84</v>
      </c>
      <c r="G1308" t="inlineStr">
        <is>
          <t>256萬</t>
        </is>
      </c>
      <c r="H1308" t="n">
        <v>329</v>
      </c>
      <c r="I1308" t="n">
        <v>270</v>
      </c>
      <c r="J1308" t="n">
        <v>17.27</v>
      </c>
      <c r="K1308" t="n">
        <v>8</v>
      </c>
      <c r="L1308" t="n">
        <v>7.74</v>
      </c>
      <c r="M1308" s="175" t="n">
        <v>0.19</v>
      </c>
      <c r="N1308" t="inlineStr">
        <is>
          <t>3D立體織物之專業生產商</t>
        </is>
      </c>
    </row>
    <row r="1309">
      <c r="A1309" t="n">
        <v>4430</v>
      </c>
      <c r="B1309" t="inlineStr">
        <is>
          <t>耀億</t>
        </is>
      </c>
      <c r="C1309" t="n">
        <v>16.9</v>
      </c>
      <c r="D1309" t="n">
        <v>17.15</v>
      </c>
      <c r="E1309" s="504" t="n">
        <v>0.25</v>
      </c>
      <c r="F1309" s="505" t="n">
        <v>1.48</v>
      </c>
      <c r="G1309" t="inlineStr">
        <is>
          <t>62.5萬</t>
        </is>
      </c>
      <c r="H1309" t="n">
        <v>37</v>
      </c>
      <c r="I1309" t="n">
        <v>88</v>
      </c>
      <c r="J1309" t="n">
        <v>5.63</v>
      </c>
      <c r="K1309" t="n">
        <v>17.15</v>
      </c>
      <c r="L1309" t="n">
        <v>16.8</v>
      </c>
      <c r="M1309" s="175" t="n">
        <v>0.07000000000000001</v>
      </c>
      <c r="N1309" t="inlineStr">
        <is>
          <t>全球第一大之網球拍線製造商</t>
        </is>
      </c>
    </row>
    <row r="1310">
      <c r="A1310" t="n">
        <v>4432</v>
      </c>
      <c r="B1310" t="inlineStr">
        <is>
          <t>銘旺實</t>
        </is>
      </c>
      <c r="C1310" t="n">
        <v>17.65</v>
      </c>
      <c r="D1310" t="n">
        <v>17.25</v>
      </c>
      <c r="E1310" s="504" t="n">
        <v>-0.1</v>
      </c>
      <c r="F1310" s="505" t="n">
        <v>-0.58</v>
      </c>
      <c r="G1310" t="inlineStr">
        <is>
          <t>257萬</t>
        </is>
      </c>
      <c r="H1310" t="n">
        <v>149</v>
      </c>
      <c r="I1310" t="n">
        <v>77</v>
      </c>
      <c r="J1310" t="n">
        <v>5.06</v>
      </c>
      <c r="K1310" t="n">
        <v>17.65</v>
      </c>
      <c r="L1310" t="n">
        <v>17</v>
      </c>
      <c r="M1310" s="175" t="n">
        <v>0.29</v>
      </c>
      <c r="N1310" t="inlineStr">
        <is>
          <t>主要客戶為Adidas、Reebok等運動服大廠</t>
        </is>
      </c>
    </row>
    <row r="1311">
      <c r="A1311" t="n">
        <v>4433</v>
      </c>
      <c r="B1311" t="inlineStr">
        <is>
          <t>興采</t>
        </is>
      </c>
      <c r="C1311" t="n">
        <v>20.75</v>
      </c>
      <c r="D1311" t="n">
        <v>20.75</v>
      </c>
      <c r="E1311" s="504" t="n">
        <v>-0.35</v>
      </c>
      <c r="F1311" s="505" t="n">
        <v>-1.66</v>
      </c>
      <c r="G1311" t="inlineStr">
        <is>
          <t>89.1萬</t>
        </is>
      </c>
      <c r="H1311" t="n">
        <v>43</v>
      </c>
      <c r="I1311" t="n">
        <v>75</v>
      </c>
      <c r="J1311" t="n">
        <v>6.13</v>
      </c>
      <c r="K1311" t="n">
        <v>20.8</v>
      </c>
      <c r="L1311" t="n">
        <v>20.65</v>
      </c>
      <c r="M1311" s="175" t="n">
        <v>0.07000000000000001</v>
      </c>
      <c r="N1311" t="inlineStr">
        <is>
          <t>首創環保咖啡紗的功能性布料領導商</t>
        </is>
      </c>
    </row>
    <row r="1312">
      <c r="A1312" t="n">
        <v>4438</v>
      </c>
      <c r="B1312" t="inlineStr">
        <is>
          <t>廣越</t>
        </is>
      </c>
      <c r="C1312" t="n">
        <v>60.9</v>
      </c>
      <c r="D1312" t="n">
        <v>62.4</v>
      </c>
      <c r="E1312" s="504" t="n">
        <v>1.3</v>
      </c>
      <c r="F1312" s="505" t="n">
        <v>2.13</v>
      </c>
      <c r="G1312" t="inlineStr">
        <is>
          <t>629萬</t>
        </is>
      </c>
      <c r="H1312" t="n">
        <v>102</v>
      </c>
      <c r="I1312" t="n">
        <v>103</v>
      </c>
      <c r="J1312" t="n">
        <v>11.34</v>
      </c>
      <c r="K1312" t="n">
        <v>62.6</v>
      </c>
      <c r="L1312" t="n">
        <v>60.4</v>
      </c>
      <c r="M1312" s="175" t="n">
        <v>0.09</v>
      </c>
      <c r="N1312" t="inlineStr">
        <is>
          <t>為國際知名運動品牌之羽絨服製造商</t>
        </is>
      </c>
    </row>
    <row r="1313">
      <c r="A1313" t="n">
        <v>4439</v>
      </c>
      <c r="B1313" t="inlineStr">
        <is>
          <t>冠星-KY</t>
        </is>
      </c>
      <c r="C1313" t="n">
        <v>91.7</v>
      </c>
      <c r="D1313" t="n">
        <v>91.5</v>
      </c>
      <c r="E1313" s="504" t="n">
        <v>-0.3</v>
      </c>
      <c r="F1313" s="505" t="n">
        <v>-0.33</v>
      </c>
      <c r="G1313" t="inlineStr">
        <is>
          <t>45.8萬</t>
        </is>
      </c>
      <c r="H1313" t="n">
        <v>5</v>
      </c>
      <c r="I1313" t="n">
        <v>11</v>
      </c>
      <c r="J1313" t="n">
        <v>3.81</v>
      </c>
      <c r="K1313" t="n">
        <v>91.90000000000001</v>
      </c>
      <c r="L1313" t="n">
        <v>91.5</v>
      </c>
      <c r="M1313" s="175" t="n">
        <v>0.01</v>
      </c>
      <c r="N1313" t="inlineStr">
        <is>
          <t>adidas運動服飾品牌最大的短纖布料供應商</t>
        </is>
      </c>
    </row>
    <row r="1314">
      <c r="A1314" t="n">
        <v>4440</v>
      </c>
      <c r="B1314" t="inlineStr">
        <is>
          <t>宜新實業</t>
        </is>
      </c>
      <c r="C1314" t="n">
        <v>17.75</v>
      </c>
      <c r="D1314" t="n">
        <v>17.85</v>
      </c>
      <c r="E1314" s="504" t="n">
        <v>0.1</v>
      </c>
      <c r="F1314" s="505" t="n">
        <v>0.5600000000000001</v>
      </c>
      <c r="G1314" t="inlineStr">
        <is>
          <t>170萬</t>
        </is>
      </c>
      <c r="H1314" t="n">
        <v>96</v>
      </c>
      <c r="I1314" t="n">
        <v>86</v>
      </c>
      <c r="J1314" t="n">
        <v>6.76</v>
      </c>
      <c r="K1314" t="n">
        <v>17.85</v>
      </c>
      <c r="L1314" t="n">
        <v>17.6</v>
      </c>
      <c r="M1314" s="175" t="n">
        <v>0.14</v>
      </c>
      <c r="N1314" t="inlineStr">
        <is>
          <t>國內市占第一的彈性包覆紗廠商</t>
        </is>
      </c>
    </row>
    <row r="1315">
      <c r="A1315" t="n">
        <v>4441</v>
      </c>
      <c r="B1315" t="inlineStr">
        <is>
          <t>振大環球</t>
        </is>
      </c>
      <c r="C1315" t="n">
        <v>211</v>
      </c>
      <c r="D1315" t="n">
        <v>209</v>
      </c>
      <c r="E1315" s="504" t="n">
        <v>-1.5</v>
      </c>
      <c r="F1315" s="505" t="n">
        <v>-0.71</v>
      </c>
      <c r="G1315" t="inlineStr">
        <is>
          <t>2843萬</t>
        </is>
      </c>
      <c r="H1315" t="n">
        <v>134</v>
      </c>
      <c r="I1315" t="n">
        <v>125</v>
      </c>
      <c r="J1315" t="n">
        <v>6.82</v>
      </c>
      <c r="K1315" t="n">
        <v>219</v>
      </c>
      <c r="L1315" t="n">
        <v>208</v>
      </c>
      <c r="M1315" s="175" t="n">
        <v>0.2</v>
      </c>
      <c r="N1315" t="inlineStr">
        <is>
          <t>主要為美系客戶代工生產成衣的廠商</t>
        </is>
      </c>
    </row>
    <row r="1316">
      <c r="A1316" t="n">
        <v>4442</v>
      </c>
      <c r="B1316" t="inlineStr">
        <is>
          <t>竣邦-KY</t>
        </is>
      </c>
      <c r="C1316" t="n">
        <v>50.6</v>
      </c>
      <c r="D1316" t="n">
        <v>50.9</v>
      </c>
      <c r="E1316" s="504" t="n">
        <v>0.3</v>
      </c>
      <c r="F1316" s="505" t="n">
        <v>0.59</v>
      </c>
      <c r="G1316" t="inlineStr">
        <is>
          <t>45.5萬</t>
        </is>
      </c>
      <c r="H1316" t="n">
        <v>9</v>
      </c>
      <c r="I1316" t="n">
        <v>87</v>
      </c>
      <c r="J1316" t="n">
        <v>3.23</v>
      </c>
      <c r="K1316" t="n">
        <v>50.9</v>
      </c>
      <c r="L1316" t="n">
        <v>50.3</v>
      </c>
      <c r="M1316" s="175" t="n">
        <v>0.03</v>
      </c>
      <c r="N1316" t="inlineStr">
        <is>
          <t>亞洲知名布料供應商</t>
        </is>
      </c>
    </row>
    <row r="1317">
      <c r="A1317" t="n">
        <v>4502</v>
      </c>
      <c r="B1317" t="inlineStr">
        <is>
          <t>健信</t>
        </is>
      </c>
      <c r="C1317" t="n">
        <v>15.7</v>
      </c>
      <c r="D1317" t="n">
        <v>15.8</v>
      </c>
      <c r="E1317" s="504" t="n">
        <v>0.1</v>
      </c>
      <c r="F1317" s="505" t="n">
        <v>0.64</v>
      </c>
      <c r="G1317" t="inlineStr">
        <is>
          <t>22.0萬</t>
        </is>
      </c>
      <c r="H1317" t="n">
        <v>14</v>
      </c>
      <c r="I1317" t="n">
        <v>54</v>
      </c>
      <c r="J1317" t="n">
        <v>5.75</v>
      </c>
      <c r="K1317" t="n">
        <v>15.8</v>
      </c>
      <c r="L1317" t="n">
        <v>15.65</v>
      </c>
      <c r="M1317" s="175" t="n">
        <v>0.02</v>
      </c>
      <c r="N1317" t="inlineStr">
        <is>
          <t>台灣主要汽車鋼圈及鋁圈廠</t>
        </is>
      </c>
    </row>
    <row r="1318">
      <c r="A1318" t="n">
        <v>4503</v>
      </c>
      <c r="B1318" t="inlineStr">
        <is>
          <t>金雨</t>
        </is>
      </c>
      <c r="C1318" t="n">
        <v>39.1</v>
      </c>
      <c r="D1318" t="n">
        <v>38.6</v>
      </c>
      <c r="E1318" s="504" t="n">
        <v>-0.5</v>
      </c>
      <c r="F1318" s="505" t="n">
        <v>-1.28</v>
      </c>
      <c r="G1318" t="inlineStr">
        <is>
          <t>933萬</t>
        </is>
      </c>
      <c r="H1318" t="n">
        <v>243</v>
      </c>
      <c r="I1318" t="n">
        <v>311</v>
      </c>
      <c r="J1318" t="n">
        <v>7.83</v>
      </c>
      <c r="K1318" t="n">
        <v>39.1</v>
      </c>
      <c r="L1318" t="n">
        <v>38.05</v>
      </c>
      <c r="M1318" s="175" t="n">
        <v>0.31</v>
      </c>
      <c r="N1318" t="inlineStr">
        <is>
          <t>台灣最大自動販賣機製造廠</t>
        </is>
      </c>
    </row>
    <row r="1319">
      <c r="A1319" t="n">
        <v>4506</v>
      </c>
      <c r="B1319" t="inlineStr">
        <is>
          <t>崇友</t>
        </is>
      </c>
      <c r="C1319" t="n">
        <v>117</v>
      </c>
      <c r="D1319" t="n">
        <v>117.5</v>
      </c>
      <c r="E1319" s="504" t="n">
        <v>0.5</v>
      </c>
      <c r="F1319" s="505" t="n">
        <v>0.43</v>
      </c>
      <c r="G1319" t="inlineStr">
        <is>
          <t>1086萬</t>
        </is>
      </c>
      <c r="H1319" t="n">
        <v>93</v>
      </c>
      <c r="I1319" t="n">
        <v>148</v>
      </c>
      <c r="J1319" t="n">
        <v>17.7</v>
      </c>
      <c r="K1319" t="n">
        <v>117.5</v>
      </c>
      <c r="L1319" t="n">
        <v>116.5</v>
      </c>
      <c r="M1319" s="175" t="n">
        <v>0.05</v>
      </c>
      <c r="N1319" t="inlineStr">
        <is>
          <t>台灣前三大電梯製造商</t>
        </is>
      </c>
    </row>
    <row r="1320">
      <c r="A1320" t="n">
        <v>4510</v>
      </c>
      <c r="B1320" t="inlineStr">
        <is>
          <t>高鋒</t>
        </is>
      </c>
      <c r="C1320" t="n">
        <v>55.9</v>
      </c>
      <c r="D1320" t="n">
        <v>53.6</v>
      </c>
      <c r="E1320" s="504" t="n">
        <v>-0.7</v>
      </c>
      <c r="F1320" s="505" t="n">
        <v>-1.29</v>
      </c>
      <c r="G1320" t="inlineStr">
        <is>
          <t>7.72億</t>
        </is>
      </c>
      <c r="H1320" t="n">
        <v>14307</v>
      </c>
      <c r="I1320" t="n">
        <v>7955</v>
      </c>
      <c r="J1320" t="n">
        <v>10.9</v>
      </c>
      <c r="K1320" t="n">
        <v>56.5</v>
      </c>
      <c r="L1320" t="n">
        <v>51.7</v>
      </c>
      <c r="M1320" s="175" t="n">
        <v>13.13</v>
      </c>
      <c r="N1320" t="inlineStr">
        <is>
          <t>台灣從事生產切削機及龍門機廠商</t>
        </is>
      </c>
    </row>
    <row r="1321">
      <c r="A1321" t="n">
        <v>4513</v>
      </c>
      <c r="B1321" t="inlineStr">
        <is>
          <t>福裕</t>
        </is>
      </c>
      <c r="C1321" t="n">
        <v>14.8</v>
      </c>
      <c r="D1321" t="n">
        <v>15</v>
      </c>
      <c r="E1321" s="504" t="n">
        <v>0.2</v>
      </c>
      <c r="F1321" s="505" t="n">
        <v>1.35</v>
      </c>
      <c r="G1321" t="inlineStr">
        <is>
          <t>768萬</t>
        </is>
      </c>
      <c r="H1321" t="n">
        <v>522</v>
      </c>
      <c r="I1321" t="n">
        <v>444</v>
      </c>
      <c r="J1321" t="n">
        <v>14.38</v>
      </c>
      <c r="K1321" t="n">
        <v>15</v>
      </c>
      <c r="L1321" t="n">
        <v>14.65</v>
      </c>
      <c r="M1321" s="175" t="n">
        <v>0.46</v>
      </c>
      <c r="N1321" t="inlineStr">
        <is>
          <t>台灣最大磨床廠商</t>
        </is>
      </c>
    </row>
    <row r="1322">
      <c r="A1322" t="n">
        <v>4523</v>
      </c>
      <c r="B1322" t="inlineStr">
        <is>
          <t>永彰</t>
        </is>
      </c>
      <c r="C1322" t="n">
        <v>30.2</v>
      </c>
      <c r="D1322" t="n">
        <v>29.9</v>
      </c>
      <c r="E1322" s="504" t="n">
        <v>-0.3</v>
      </c>
      <c r="F1322" s="505" t="n">
        <v>-0.99</v>
      </c>
      <c r="G1322" t="inlineStr">
        <is>
          <t>687萬</t>
        </is>
      </c>
      <c r="H1322" t="n">
        <v>231</v>
      </c>
      <c r="I1322" t="n">
        <v>259</v>
      </c>
      <c r="J1322" t="n">
        <v>6.49</v>
      </c>
      <c r="K1322" t="n">
        <v>30.3</v>
      </c>
      <c r="L1322" t="n">
        <v>29.4</v>
      </c>
      <c r="M1322" s="175" t="n">
        <v>0.36</v>
      </c>
      <c r="N1322" t="inlineStr">
        <is>
          <t>汽車空調OEM廠商</t>
        </is>
      </c>
    </row>
    <row r="1323">
      <c r="A1323" t="n">
        <v>4526</v>
      </c>
      <c r="B1323" t="inlineStr">
        <is>
          <t>東台</t>
        </is>
      </c>
      <c r="C1323" t="n">
        <v>44.5</v>
      </c>
      <c r="D1323" t="n">
        <v>42.15</v>
      </c>
      <c r="E1323" s="504" t="n">
        <v>-0.65</v>
      </c>
      <c r="F1323" s="505" t="n">
        <v>-1.52</v>
      </c>
      <c r="G1323" t="inlineStr">
        <is>
          <t>10.8億</t>
        </is>
      </c>
      <c r="H1323" t="n">
        <v>25030</v>
      </c>
      <c r="I1323" t="n">
        <v>17706</v>
      </c>
      <c r="J1323" t="n">
        <v>25.48</v>
      </c>
      <c r="K1323" t="n">
        <v>45.85</v>
      </c>
      <c r="L1323" t="n">
        <v>40.95</v>
      </c>
      <c r="M1323" s="175" t="n">
        <v>9.82</v>
      </c>
      <c r="N1323" t="inlineStr">
        <is>
          <t>全球PCB鑽孔機的領導者</t>
        </is>
      </c>
    </row>
    <row r="1324">
      <c r="A1324" t="n">
        <v>4527</v>
      </c>
      <c r="B1324" t="inlineStr">
        <is>
          <t>方土霖</t>
        </is>
      </c>
      <c r="C1324" t="n">
        <v>42.15</v>
      </c>
      <c r="D1324" t="n">
        <v>42.1</v>
      </c>
      <c r="E1324" s="504" t="n">
        <v>-0.4</v>
      </c>
      <c r="F1324" s="505" t="n">
        <v>-0.9399999999999999</v>
      </c>
      <c r="G1324" t="inlineStr">
        <is>
          <t>443萬</t>
        </is>
      </c>
      <c r="H1324" t="n">
        <v>107</v>
      </c>
      <c r="I1324" t="n">
        <v>162</v>
      </c>
      <c r="J1324" t="n">
        <v>7.62</v>
      </c>
      <c r="K1324" t="n">
        <v>42.85</v>
      </c>
      <c r="L1324" t="n">
        <v>42.1</v>
      </c>
      <c r="M1324" s="175" t="n">
        <v>0.14</v>
      </c>
      <c r="N1324" t="inlineStr">
        <is>
          <t>台灣專業的中央空調系統冰水機組銷售商</t>
        </is>
      </c>
    </row>
    <row r="1325">
      <c r="A1325" t="n">
        <v>4528</v>
      </c>
      <c r="B1325" t="inlineStr">
        <is>
          <t>江興鍛</t>
        </is>
      </c>
      <c r="C1325" t="n">
        <v>15.35</v>
      </c>
      <c r="D1325" t="n">
        <v>15.6</v>
      </c>
      <c r="E1325" s="504" t="n">
        <v>0.15</v>
      </c>
      <c r="F1325" s="505" t="n">
        <v>0.97</v>
      </c>
      <c r="G1325" t="inlineStr">
        <is>
          <t>130萬</t>
        </is>
      </c>
      <c r="H1325" t="n">
        <v>84</v>
      </c>
      <c r="I1325" t="n">
        <v>79</v>
      </c>
      <c r="J1325" t="n">
        <v>8.42</v>
      </c>
      <c r="K1325" t="n">
        <v>15.7</v>
      </c>
      <c r="L1325" t="n">
        <v>15.35</v>
      </c>
      <c r="M1325" s="175" t="n">
        <v>0.1</v>
      </c>
      <c r="N1325" t="inlineStr">
        <is>
          <t>台灣汽車傳動系統零件鍛造廠</t>
        </is>
      </c>
    </row>
    <row r="1326">
      <c r="A1326" t="n">
        <v>4529</v>
      </c>
      <c r="B1326" t="inlineStr">
        <is>
          <t>淳紳</t>
        </is>
      </c>
      <c r="C1326" t="n">
        <v>4.6</v>
      </c>
      <c r="D1326" t="n">
        <v>4.94</v>
      </c>
      <c r="E1326" s="504" t="n">
        <v>0.23</v>
      </c>
      <c r="F1326" s="505" t="n">
        <v>4.88</v>
      </c>
      <c r="G1326" t="inlineStr">
        <is>
          <t>53.5萬</t>
        </is>
      </c>
      <c r="H1326" t="n">
        <v>116</v>
      </c>
      <c r="I1326" t="n">
        <v>124</v>
      </c>
      <c r="J1326" t="n">
        <v>8.449999999999999</v>
      </c>
      <c r="K1326" t="n">
        <v>4.97</v>
      </c>
      <c r="L1326" t="n">
        <v>4.42</v>
      </c>
      <c r="M1326" s="175" t="n">
        <v>0.14</v>
      </c>
      <c r="N1326" t="inlineStr">
        <is>
          <t>電動車代工製造商</t>
        </is>
      </c>
    </row>
    <row r="1327">
      <c r="A1327" t="n">
        <v>4530</v>
      </c>
      <c r="B1327" t="inlineStr">
        <is>
          <t>宏易</t>
        </is>
      </c>
      <c r="C1327" t="n">
        <v>25</v>
      </c>
      <c r="D1327" t="n">
        <v>26.5</v>
      </c>
      <c r="E1327" s="504" t="n">
        <v>2</v>
      </c>
      <c r="F1327" s="505" t="n">
        <v>8.16</v>
      </c>
      <c r="G1327" t="inlineStr">
        <is>
          <t>496萬</t>
        </is>
      </c>
      <c r="H1327" t="n">
        <v>186</v>
      </c>
      <c r="I1327" t="n">
        <v>10</v>
      </c>
      <c r="J1327" t="n">
        <v>3.58</v>
      </c>
      <c r="K1327" t="n">
        <v>26.95</v>
      </c>
      <c r="L1327" t="n">
        <v>25</v>
      </c>
      <c r="M1327" s="175" t="n">
        <v>0.52</v>
      </c>
      <c r="N1327" t="inlineStr">
        <is>
          <t>主要經營餐飲燒烤餐館品牌</t>
        </is>
      </c>
    </row>
    <row r="1328">
      <c r="A1328" t="n">
        <v>4532</v>
      </c>
      <c r="B1328" t="inlineStr">
        <is>
          <t>瑞智</t>
        </is>
      </c>
      <c r="C1328" t="n">
        <v>24.45</v>
      </c>
      <c r="D1328" t="n">
        <v>24.1</v>
      </c>
      <c r="E1328" s="504" t="n">
        <v>-0.2</v>
      </c>
      <c r="F1328" s="505" t="n">
        <v>-0.82</v>
      </c>
      <c r="G1328" t="inlineStr">
        <is>
          <t>3300萬</t>
        </is>
      </c>
      <c r="H1328" t="n">
        <v>1366</v>
      </c>
      <c r="I1328" t="n">
        <v>1404</v>
      </c>
      <c r="J1328" t="n">
        <v>49.49</v>
      </c>
      <c r="K1328" t="n">
        <v>24.45</v>
      </c>
      <c r="L1328" t="n">
        <v>24</v>
      </c>
      <c r="M1328" s="175" t="n">
        <v>0.28</v>
      </c>
      <c r="N1328" t="inlineStr">
        <is>
          <t>聲寶旗下，全球知名壓縮機廠</t>
        </is>
      </c>
    </row>
    <row r="1329">
      <c r="A1329" t="n">
        <v>4533</v>
      </c>
      <c r="B1329" t="inlineStr">
        <is>
          <t>協易機</t>
        </is>
      </c>
      <c r="C1329" t="n">
        <v>33.05</v>
      </c>
      <c r="D1329" t="n">
        <v>31.4</v>
      </c>
      <c r="E1329" s="504" t="n">
        <v>-1.3</v>
      </c>
      <c r="F1329" s="505" t="n">
        <v>-3.98</v>
      </c>
      <c r="G1329" t="inlineStr">
        <is>
          <t>1.17億</t>
        </is>
      </c>
      <c r="H1329" t="n">
        <v>3731</v>
      </c>
      <c r="I1329" t="n">
        <v>4428</v>
      </c>
      <c r="J1329" t="n">
        <v>15.84</v>
      </c>
      <c r="K1329" t="n">
        <v>33.05</v>
      </c>
      <c r="L1329" t="n">
        <v>30.5</v>
      </c>
      <c r="M1329" s="175" t="n">
        <v>2.35</v>
      </c>
      <c r="N1329" t="inlineStr">
        <is>
          <t>台灣沖床大廠</t>
        </is>
      </c>
    </row>
    <row r="1330">
      <c r="A1330" t="n">
        <v>4534</v>
      </c>
      <c r="B1330" t="inlineStr">
        <is>
          <t>慶騰</t>
        </is>
      </c>
      <c r="C1330" t="n">
        <v>27.35</v>
      </c>
      <c r="D1330" t="n">
        <v>27</v>
      </c>
      <c r="E1330" s="504" t="n">
        <v>-0.45</v>
      </c>
      <c r="F1330" s="505" t="n">
        <v>-1.64</v>
      </c>
      <c r="G1330" t="inlineStr">
        <is>
          <t>3885萬</t>
        </is>
      </c>
      <c r="H1330" t="n">
        <v>1444</v>
      </c>
      <c r="I1330" t="n">
        <v>2575</v>
      </c>
      <c r="J1330" t="n">
        <v>8.68</v>
      </c>
      <c r="K1330" t="n">
        <v>27.45</v>
      </c>
      <c r="L1330" t="n">
        <v>26.5</v>
      </c>
      <c r="M1330" s="175" t="n">
        <v>1.66</v>
      </c>
      <c r="N1330" t="inlineStr">
        <is>
          <t>台灣粉末冶金及齒輪箱設計開發知名廠商</t>
        </is>
      </c>
    </row>
    <row r="1331">
      <c r="A1331" t="n">
        <v>4535</v>
      </c>
      <c r="B1331" t="inlineStr">
        <is>
          <t>至興</t>
        </is>
      </c>
      <c r="C1331" t="n">
        <v>27.35</v>
      </c>
      <c r="D1331" t="n">
        <v>27.2</v>
      </c>
      <c r="E1331" s="504" t="n">
        <v>-0.1</v>
      </c>
      <c r="F1331" s="505" t="n">
        <v>-0.37</v>
      </c>
      <c r="G1331" t="inlineStr">
        <is>
          <t>137萬</t>
        </is>
      </c>
      <c r="H1331" t="n">
        <v>50</v>
      </c>
      <c r="I1331" t="n">
        <v>21</v>
      </c>
      <c r="J1331" t="n">
        <v>7.57</v>
      </c>
      <c r="K1331" t="n">
        <v>28</v>
      </c>
      <c r="L1331" t="n">
        <v>27.2</v>
      </c>
      <c r="M1331" s="175" t="n">
        <v>0.07000000000000001</v>
      </c>
      <c r="N1331" t="inlineStr">
        <is>
          <t>台灣最大汽機車精密沖壓零件廠</t>
        </is>
      </c>
    </row>
    <row r="1332">
      <c r="A1332" t="n">
        <v>4536</v>
      </c>
      <c r="B1332" t="inlineStr">
        <is>
          <t>拓凱</t>
        </is>
      </c>
      <c r="C1332" t="n">
        <v>161.5</v>
      </c>
      <c r="D1332" t="n">
        <v>160.5</v>
      </c>
      <c r="E1332" s="504" t="n">
        <v>-1.5</v>
      </c>
      <c r="F1332" s="505" t="n">
        <v>-0.93</v>
      </c>
      <c r="G1332" t="inlineStr">
        <is>
          <t>3528萬</t>
        </is>
      </c>
      <c r="H1332" t="n">
        <v>220</v>
      </c>
      <c r="I1332" t="n">
        <v>279</v>
      </c>
      <c r="J1332" t="n">
        <v>9.08</v>
      </c>
      <c r="K1332" t="n">
        <v>162</v>
      </c>
      <c r="L1332" t="n">
        <v>159.5</v>
      </c>
      <c r="M1332" s="175" t="n">
        <v>0.24</v>
      </c>
      <c r="N1332" t="inlineStr">
        <is>
          <t>全球知名碳纖維網球拍生產商</t>
        </is>
      </c>
    </row>
    <row r="1333">
      <c r="A1333" t="n">
        <v>4538</v>
      </c>
      <c r="B1333" t="inlineStr">
        <is>
          <t>大詠城</t>
        </is>
      </c>
      <c r="C1333" t="n">
        <v>17.85</v>
      </c>
      <c r="D1333" t="n">
        <v>17.7</v>
      </c>
      <c r="E1333" s="504" t="n">
        <v>0.1</v>
      </c>
      <c r="F1333" s="505" t="n">
        <v>0.57</v>
      </c>
      <c r="G1333" t="inlineStr">
        <is>
          <t>54.8萬</t>
        </is>
      </c>
      <c r="H1333" t="n">
        <v>31</v>
      </c>
      <c r="I1333" t="n">
        <v>71</v>
      </c>
      <c r="J1333" t="n">
        <v>5.95</v>
      </c>
      <c r="K1333" t="n">
        <v>17.85</v>
      </c>
      <c r="L1333" t="n">
        <v>17.6</v>
      </c>
      <c r="M1333" s="175" t="n">
        <v>0.05</v>
      </c>
      <c r="N1333" t="inlineStr">
        <is>
          <t>台灣工具機鑄件廠</t>
        </is>
      </c>
    </row>
    <row r="1334">
      <c r="A1334" t="n">
        <v>4540</v>
      </c>
      <c r="B1334" t="inlineStr">
        <is>
          <t>全球傳動</t>
        </is>
      </c>
      <c r="C1334" t="n">
        <v>80</v>
      </c>
      <c r="D1334" t="n">
        <v>77.3</v>
      </c>
      <c r="E1334" s="504" t="n">
        <v>1.9</v>
      </c>
      <c r="F1334" s="505" t="n">
        <v>2.52</v>
      </c>
      <c r="G1334" t="inlineStr">
        <is>
          <t>21.2億</t>
        </is>
      </c>
      <c r="H1334" t="n">
        <v>27585</v>
      </c>
      <c r="I1334" t="n">
        <v>10319</v>
      </c>
      <c r="J1334" t="n">
        <v>11.52</v>
      </c>
      <c r="K1334" t="n">
        <v>81.90000000000001</v>
      </c>
      <c r="L1334" t="n">
        <v>74.40000000000001</v>
      </c>
      <c r="M1334" s="175" t="n">
        <v>23.95</v>
      </c>
      <c r="N1334" t="inlineStr">
        <is>
          <t>台灣知名的精密滾珠螺桿廠</t>
        </is>
      </c>
    </row>
    <row r="1335">
      <c r="A1335" t="n">
        <v>4541</v>
      </c>
      <c r="B1335" t="inlineStr">
        <is>
          <t>晟田</t>
        </is>
      </c>
      <c r="C1335" t="n">
        <v>46.7</v>
      </c>
      <c r="D1335" t="n">
        <v>45.85</v>
      </c>
      <c r="E1335" s="504" t="n">
        <v>-0.85</v>
      </c>
      <c r="F1335" s="505" t="n">
        <v>-1.82</v>
      </c>
      <c r="G1335" t="inlineStr">
        <is>
          <t>5572萬</t>
        </is>
      </c>
      <c r="H1335" t="n">
        <v>1224</v>
      </c>
      <c r="I1335" t="n">
        <v>1455</v>
      </c>
      <c r="J1335" t="n">
        <v>6.76</v>
      </c>
      <c r="K1335" t="n">
        <v>46.7</v>
      </c>
      <c r="L1335" t="n">
        <v>44.85</v>
      </c>
      <c r="M1335" s="175" t="n">
        <v>1.81</v>
      </c>
      <c r="N1335" t="inlineStr">
        <is>
          <t>台灣唯一生產飛機起落架零組件廠商</t>
        </is>
      </c>
    </row>
    <row r="1336">
      <c r="A1336" t="n">
        <v>4542</v>
      </c>
      <c r="B1336" t="inlineStr">
        <is>
          <t>科嶠</t>
        </is>
      </c>
      <c r="C1336" t="n">
        <v>262</v>
      </c>
      <c r="D1336" t="n">
        <v>236.5</v>
      </c>
      <c r="E1336" s="504" t="n">
        <v>-25.5</v>
      </c>
      <c r="F1336" s="505" t="n">
        <v>-9.73</v>
      </c>
      <c r="G1336" t="inlineStr">
        <is>
          <t>2.98億</t>
        </is>
      </c>
      <c r="H1336" t="n">
        <v>1216</v>
      </c>
      <c r="I1336" t="n">
        <v>1140</v>
      </c>
      <c r="J1336" t="n">
        <v>3.46</v>
      </c>
      <c r="K1336" t="n">
        <v>262</v>
      </c>
      <c r="L1336" t="n">
        <v>236</v>
      </c>
      <c r="M1336" s="175" t="n">
        <v>3.52</v>
      </c>
      <c r="N1336" t="inlineStr">
        <is>
          <t>PCB用自動化乾燥設備製造大廠</t>
        </is>
      </c>
    </row>
    <row r="1337">
      <c r="A1337" t="n">
        <v>4543</v>
      </c>
      <c r="B1337" t="inlineStr">
        <is>
          <t>萬在</t>
        </is>
      </c>
      <c r="C1337" t="n">
        <v>42.1</v>
      </c>
      <c r="D1337" t="n">
        <v>46.35</v>
      </c>
      <c r="E1337" s="504" t="n">
        <v>4.2</v>
      </c>
      <c r="F1337" s="505" t="n">
        <v>9.960000000000001</v>
      </c>
      <c r="G1337" t="inlineStr">
        <is>
          <t>7989萬</t>
        </is>
      </c>
      <c r="H1337" t="n">
        <v>1756</v>
      </c>
      <c r="I1337" t="n">
        <v>688</v>
      </c>
      <c r="J1337" t="n">
        <v>5.98</v>
      </c>
      <c r="K1337" t="n">
        <v>46.35</v>
      </c>
      <c r="L1337" t="n">
        <v>40.8</v>
      </c>
      <c r="M1337" s="175" t="n">
        <v>2.94</v>
      </c>
      <c r="N1337" t="inlineStr">
        <is>
          <t>專供AM市場汽車空調與引擎冷卻系統零件製造廠</t>
        </is>
      </c>
    </row>
    <row r="1338">
      <c r="A1338" t="n">
        <v>4545</v>
      </c>
      <c r="B1338" t="inlineStr">
        <is>
          <t>銘鈺</t>
        </is>
      </c>
      <c r="C1338" t="n">
        <v>41.65</v>
      </c>
      <c r="D1338" t="n">
        <v>42.4</v>
      </c>
      <c r="E1338" s="504" t="n">
        <v>0.35</v>
      </c>
      <c r="F1338" s="505" t="n">
        <v>0.83</v>
      </c>
      <c r="G1338" t="inlineStr">
        <is>
          <t>5930萬</t>
        </is>
      </c>
      <c r="H1338" t="n">
        <v>1364</v>
      </c>
      <c r="I1338" t="n">
        <v>897</v>
      </c>
      <c r="J1338" t="n">
        <v>7.7</v>
      </c>
      <c r="K1338" t="n">
        <v>46</v>
      </c>
      <c r="L1338" t="n">
        <v>41</v>
      </c>
      <c r="M1338" s="175" t="n">
        <v>1.77</v>
      </c>
      <c r="N1338" t="inlineStr">
        <is>
          <t>銘異轉投資沖壓件廠</t>
        </is>
      </c>
    </row>
    <row r="1339">
      <c r="A1339" t="n">
        <v>4549</v>
      </c>
      <c r="B1339" t="inlineStr">
        <is>
          <t>桓達</t>
        </is>
      </c>
      <c r="C1339" t="n">
        <v>139</v>
      </c>
      <c r="D1339" t="n">
        <v>130</v>
      </c>
      <c r="E1339" s="504" t="n">
        <v>-6.5</v>
      </c>
      <c r="F1339" s="505" t="n">
        <v>-4.76</v>
      </c>
      <c r="G1339" t="inlineStr">
        <is>
          <t>3.31億</t>
        </is>
      </c>
      <c r="H1339" t="n">
        <v>2482</v>
      </c>
      <c r="I1339" t="n">
        <v>1394</v>
      </c>
      <c r="J1339" t="n">
        <v>5.7</v>
      </c>
      <c r="K1339" t="n">
        <v>140</v>
      </c>
      <c r="L1339" t="n">
        <v>126</v>
      </c>
      <c r="M1339" s="175" t="n">
        <v>4.35</v>
      </c>
      <c r="N1339" t="inlineStr">
        <is>
          <t>台灣最大製程自動化感測器廠</t>
        </is>
      </c>
    </row>
    <row r="1340">
      <c r="A1340" t="n">
        <v>4550</v>
      </c>
      <c r="B1340" t="inlineStr">
        <is>
          <t>長佳</t>
        </is>
      </c>
      <c r="C1340" t="n">
        <v>24.9</v>
      </c>
      <c r="D1340" t="n">
        <v>24.85</v>
      </c>
      <c r="E1340" s="504" t="n">
        <v>-0.05</v>
      </c>
      <c r="F1340" s="505" t="n">
        <v>-0.2</v>
      </c>
      <c r="G1340" t="inlineStr">
        <is>
          <t>102萬</t>
        </is>
      </c>
      <c r="H1340" t="n">
        <v>41</v>
      </c>
      <c r="I1340" t="n">
        <v>43</v>
      </c>
      <c r="J1340" t="n">
        <v>3.78</v>
      </c>
      <c r="K1340" t="n">
        <v>24.9</v>
      </c>
      <c r="L1340" t="n">
        <v>24.75</v>
      </c>
      <c r="M1340" s="175" t="n">
        <v>0.11</v>
      </c>
      <c r="N1340" t="inlineStr">
        <is>
          <t>專業的機電工程整合公司</t>
        </is>
      </c>
    </row>
    <row r="1341">
      <c r="A1341" t="n">
        <v>4551</v>
      </c>
      <c r="B1341" t="inlineStr">
        <is>
          <t>智伸科</t>
        </is>
      </c>
      <c r="C1341" t="n">
        <v>154</v>
      </c>
      <c r="D1341" t="n">
        <v>152.5</v>
      </c>
      <c r="E1341" s="504" t="n">
        <v>-1</v>
      </c>
      <c r="F1341" s="505" t="n">
        <v>-0.65</v>
      </c>
      <c r="G1341" t="inlineStr">
        <is>
          <t>1.42億</t>
        </is>
      </c>
      <c r="H1341" t="n">
        <v>933</v>
      </c>
      <c r="I1341" t="n">
        <v>1046</v>
      </c>
      <c r="J1341" t="n">
        <v>11.52</v>
      </c>
      <c r="K1341" t="n">
        <v>155.5</v>
      </c>
      <c r="L1341" t="n">
        <v>150.5</v>
      </c>
      <c r="M1341" s="175" t="n">
        <v>0.8100000000000001</v>
      </c>
      <c r="N1341" t="inlineStr">
        <is>
          <t>汽車動力及安全零組件大廠商</t>
        </is>
      </c>
    </row>
    <row r="1342">
      <c r="A1342" t="n">
        <v>4552</v>
      </c>
      <c r="B1342" t="inlineStr">
        <is>
          <t>力達-KY</t>
        </is>
      </c>
      <c r="C1342" t="n">
        <v>20.55</v>
      </c>
      <c r="D1342" t="n">
        <v>20.7</v>
      </c>
      <c r="E1342" s="504" t="n">
        <v>0.15</v>
      </c>
      <c r="F1342" s="505" t="n">
        <v>0.73</v>
      </c>
      <c r="G1342" t="inlineStr">
        <is>
          <t>307萬</t>
        </is>
      </c>
      <c r="H1342" t="n">
        <v>150</v>
      </c>
      <c r="I1342" t="n">
        <v>168</v>
      </c>
      <c r="J1342" t="n">
        <v>11.6</v>
      </c>
      <c r="K1342" t="n">
        <v>20.7</v>
      </c>
      <c r="L1342" t="n">
        <v>20.2</v>
      </c>
      <c r="M1342" s="175" t="n">
        <v>0.13</v>
      </c>
      <c r="N1342" t="inlineStr">
        <is>
          <t>大陸通用型空氣壓縮機品牌領導廠商</t>
        </is>
      </c>
    </row>
    <row r="1343">
      <c r="A1343" t="n">
        <v>4554</v>
      </c>
      <c r="B1343" t="inlineStr">
        <is>
          <t>橙的</t>
        </is>
      </c>
      <c r="C1343" t="n">
        <v>30.7</v>
      </c>
      <c r="D1343" t="n">
        <v>30.05</v>
      </c>
      <c r="E1343" s="504" t="n">
        <v>-0.2</v>
      </c>
      <c r="F1343" s="505" t="n">
        <v>-0.66</v>
      </c>
      <c r="G1343" t="inlineStr">
        <is>
          <t>250萬</t>
        </is>
      </c>
      <c r="H1343" t="n">
        <v>83</v>
      </c>
      <c r="I1343" t="n">
        <v>60</v>
      </c>
      <c r="J1343" t="n">
        <v>2.63</v>
      </c>
      <c r="K1343" t="n">
        <v>30.7</v>
      </c>
      <c r="L1343" t="n">
        <v>30</v>
      </c>
      <c r="M1343" s="175" t="n">
        <v>0.32</v>
      </c>
      <c r="N1343" t="inlineStr">
        <is>
          <t>胎壓偵測器在北美市佔率達7%以上</t>
        </is>
      </c>
    </row>
    <row r="1344">
      <c r="A1344" t="n">
        <v>4555</v>
      </c>
      <c r="B1344" t="inlineStr">
        <is>
          <t>氣立</t>
        </is>
      </c>
      <c r="C1344" t="n">
        <v>56.5</v>
      </c>
      <c r="D1344" t="n">
        <v>53.9</v>
      </c>
      <c r="E1344" s="504" t="n">
        <v>-2.7</v>
      </c>
      <c r="F1344" s="505" t="n">
        <v>-4.77</v>
      </c>
      <c r="G1344" t="inlineStr">
        <is>
          <t>8872萬</t>
        </is>
      </c>
      <c r="H1344" t="n">
        <v>1662</v>
      </c>
      <c r="I1344" t="n">
        <v>2846</v>
      </c>
      <c r="J1344" t="n">
        <v>7</v>
      </c>
      <c r="K1344" t="n">
        <v>56.7</v>
      </c>
      <c r="L1344" t="n">
        <v>52</v>
      </c>
      <c r="M1344" s="175" t="n">
        <v>2.37</v>
      </c>
      <c r="N1344" t="inlineStr">
        <is>
          <t>台灣氣壓自動化零組件廠商</t>
        </is>
      </c>
    </row>
    <row r="1345">
      <c r="A1345" t="n">
        <v>4556</v>
      </c>
      <c r="B1345" t="inlineStr">
        <is>
          <t>旭然</t>
        </is>
      </c>
      <c r="C1345" t="n">
        <v>40.8</v>
      </c>
      <c r="D1345" t="n">
        <v>39.05</v>
      </c>
      <c r="E1345" s="504" t="n">
        <v>-0.9</v>
      </c>
      <c r="F1345" s="505" t="n">
        <v>-2.25</v>
      </c>
      <c r="G1345" t="inlineStr">
        <is>
          <t>808萬</t>
        </is>
      </c>
      <c r="H1345" t="n">
        <v>209</v>
      </c>
      <c r="I1345" t="n">
        <v>344</v>
      </c>
      <c r="J1345" t="n">
        <v>4.23</v>
      </c>
      <c r="K1345" t="n">
        <v>40.8</v>
      </c>
      <c r="L1345" t="n">
        <v>38.5</v>
      </c>
      <c r="M1345" s="175" t="n">
        <v>0.49</v>
      </c>
      <c r="N1345" t="inlineStr">
        <is>
          <t>台灣最大的工業過濾設備製造商</t>
        </is>
      </c>
    </row>
    <row r="1346">
      <c r="A1346" t="n">
        <v>4557</v>
      </c>
      <c r="B1346" t="inlineStr">
        <is>
          <t>永新-KY</t>
        </is>
      </c>
      <c r="C1346" t="n">
        <v>42.85</v>
      </c>
      <c r="D1346" t="n">
        <v>43.7</v>
      </c>
      <c r="E1346" s="504" t="n">
        <v>1.05</v>
      </c>
      <c r="F1346" s="505" t="n">
        <v>2.46</v>
      </c>
      <c r="G1346" t="inlineStr">
        <is>
          <t>649萬</t>
        </is>
      </c>
      <c r="H1346" t="n">
        <v>151</v>
      </c>
      <c r="I1346" t="n">
        <v>211</v>
      </c>
      <c r="J1346" t="n">
        <v>4.8</v>
      </c>
      <c r="K1346" t="n">
        <v>43.8</v>
      </c>
      <c r="L1346" t="n">
        <v>42.4</v>
      </c>
      <c r="M1346" s="175" t="n">
        <v>0.31</v>
      </c>
      <c r="N1346" t="inlineStr">
        <is>
          <t>北美最大AM汽車剎車總分泵之零件供應商</t>
        </is>
      </c>
    </row>
    <row r="1347">
      <c r="A1347" t="n">
        <v>4558</v>
      </c>
      <c r="B1347" t="inlineStr">
        <is>
          <t>寶緯</t>
        </is>
      </c>
      <c r="C1347" t="n">
        <v>19.2</v>
      </c>
      <c r="D1347" t="n">
        <v>19.75</v>
      </c>
      <c r="E1347" s="504" t="n">
        <v>0.55</v>
      </c>
      <c r="F1347" s="505" t="n">
        <v>2.86</v>
      </c>
      <c r="G1347" t="inlineStr">
        <is>
          <t>249萬</t>
        </is>
      </c>
      <c r="H1347" t="n">
        <v>128</v>
      </c>
      <c r="I1347" t="n">
        <v>76</v>
      </c>
      <c r="J1347" t="n">
        <v>5</v>
      </c>
      <c r="K1347" t="n">
        <v>19.95</v>
      </c>
      <c r="L1347" t="n">
        <v>18.8</v>
      </c>
      <c r="M1347" s="175" t="n">
        <v>0.26</v>
      </c>
      <c r="N1347" t="inlineStr">
        <is>
          <t>台灣加工鋁擠型及鋁窗生產廠</t>
        </is>
      </c>
    </row>
    <row r="1348">
      <c r="A1348" t="n">
        <v>4560</v>
      </c>
      <c r="B1348" t="inlineStr">
        <is>
          <t>強信-KY</t>
        </is>
      </c>
      <c r="C1348" t="n">
        <v>32.35</v>
      </c>
      <c r="D1348" t="n">
        <v>32.1</v>
      </c>
      <c r="E1348" s="504" t="n">
        <v>-0.25</v>
      </c>
      <c r="F1348" s="505" t="n">
        <v>-0.77</v>
      </c>
      <c r="G1348" t="inlineStr">
        <is>
          <t>959萬</t>
        </is>
      </c>
      <c r="H1348" t="n">
        <v>296</v>
      </c>
      <c r="I1348" t="n">
        <v>174</v>
      </c>
      <c r="J1348" t="n">
        <v>6.81</v>
      </c>
      <c r="K1348" t="n">
        <v>33</v>
      </c>
      <c r="L1348" t="n">
        <v>32</v>
      </c>
      <c r="M1348" s="175" t="n">
        <v>0.43</v>
      </c>
      <c r="N1348" t="inlineStr">
        <is>
          <t>全球工業縫紉機零配件大廠</t>
        </is>
      </c>
    </row>
    <row r="1349">
      <c r="A1349" t="n">
        <v>4561</v>
      </c>
      <c r="B1349" t="inlineStr">
        <is>
          <t>健椿</t>
        </is>
      </c>
      <c r="C1349" t="n">
        <v>59.8</v>
      </c>
      <c r="D1349" t="n">
        <v>54.2</v>
      </c>
      <c r="E1349" s="504" t="n">
        <v>-2.6</v>
      </c>
      <c r="F1349" s="505" t="n">
        <v>-4.58</v>
      </c>
      <c r="G1349" t="inlineStr">
        <is>
          <t>1.79億</t>
        </is>
      </c>
      <c r="H1349" t="n">
        <v>3235</v>
      </c>
      <c r="I1349" t="n">
        <v>1826</v>
      </c>
      <c r="J1349" t="n">
        <v>5.85</v>
      </c>
      <c r="K1349" t="n">
        <v>59.8</v>
      </c>
      <c r="L1349" t="n">
        <v>52.9</v>
      </c>
      <c r="M1349" s="175" t="n">
        <v>5.53</v>
      </c>
      <c r="N1349" t="inlineStr">
        <is>
          <t>台灣知名的工具機精密主軸製造廠</t>
        </is>
      </c>
    </row>
    <row r="1350">
      <c r="A1350" t="n">
        <v>4562</v>
      </c>
      <c r="B1350" t="inlineStr">
        <is>
          <t>穎漢</t>
        </is>
      </c>
      <c r="C1350" t="n">
        <v>45.55</v>
      </c>
      <c r="D1350" t="n">
        <v>41.7</v>
      </c>
      <c r="E1350" s="504" t="n">
        <v>-3.85</v>
      </c>
      <c r="F1350" s="505" t="n">
        <v>-8.449999999999999</v>
      </c>
      <c r="G1350" t="inlineStr">
        <is>
          <t>1.82億</t>
        </is>
      </c>
      <c r="H1350" t="n">
        <v>4258</v>
      </c>
      <c r="I1350" t="n">
        <v>2442</v>
      </c>
      <c r="J1350" t="n">
        <v>8.75</v>
      </c>
      <c r="K1350" t="n">
        <v>45.55</v>
      </c>
      <c r="L1350" t="n">
        <v>41.3</v>
      </c>
      <c r="M1350" s="175" t="n">
        <v>4.86</v>
      </c>
      <c r="N1350" t="inlineStr">
        <is>
          <t>全球第一大金屬彎管機製造商</t>
        </is>
      </c>
    </row>
    <row r="1351">
      <c r="A1351" t="n">
        <v>4563</v>
      </c>
      <c r="B1351" t="inlineStr">
        <is>
          <t>百德</t>
        </is>
      </c>
      <c r="C1351" t="n">
        <v>51</v>
      </c>
      <c r="D1351" t="n">
        <v>50.1</v>
      </c>
      <c r="E1351" s="504" t="n">
        <v>-0.1</v>
      </c>
      <c r="F1351" s="505" t="n">
        <v>-0.2</v>
      </c>
      <c r="G1351" t="inlineStr">
        <is>
          <t>1571萬</t>
        </is>
      </c>
      <c r="H1351" t="n">
        <v>316</v>
      </c>
      <c r="I1351" t="n">
        <v>316</v>
      </c>
      <c r="J1351" t="n">
        <v>5.5</v>
      </c>
      <c r="K1351" t="n">
        <v>51</v>
      </c>
      <c r="L1351" t="n">
        <v>48.75</v>
      </c>
      <c r="M1351" s="175" t="n">
        <v>0.58</v>
      </c>
      <c r="N1351" t="inlineStr">
        <is>
          <t>為台灣老字號的綜合加工機製造廠商</t>
        </is>
      </c>
    </row>
    <row r="1352">
      <c r="A1352" t="n">
        <v>4564</v>
      </c>
      <c r="B1352" t="inlineStr">
        <is>
          <t>元翎</t>
        </is>
      </c>
      <c r="C1352" t="n">
        <v>15.75</v>
      </c>
      <c r="D1352" t="n">
        <v>15.9</v>
      </c>
      <c r="E1352" s="504" t="n">
        <v>0.25</v>
      </c>
      <c r="F1352" s="505" t="n">
        <v>1.6</v>
      </c>
      <c r="G1352" t="inlineStr">
        <is>
          <t>1000萬</t>
        </is>
      </c>
      <c r="H1352" t="n">
        <v>642</v>
      </c>
      <c r="I1352" t="n">
        <v>1006</v>
      </c>
      <c r="J1352" t="n">
        <v>23.28</v>
      </c>
      <c r="K1352" t="n">
        <v>16</v>
      </c>
      <c r="L1352" t="n">
        <v>15.45</v>
      </c>
      <c r="M1352" s="175" t="n">
        <v>0.28</v>
      </c>
      <c r="N1352" t="inlineStr">
        <is>
          <t>全球前二大迷你高壓氣體鋼瓶製造廠</t>
        </is>
      </c>
    </row>
    <row r="1353">
      <c r="A1353" t="n">
        <v>4566</v>
      </c>
      <c r="B1353" t="inlineStr">
        <is>
          <t>時碩工業</t>
        </is>
      </c>
      <c r="C1353" t="n">
        <v>72</v>
      </c>
      <c r="D1353" t="n">
        <v>69.5</v>
      </c>
      <c r="E1353" s="504" t="n">
        <v>-2.1</v>
      </c>
      <c r="F1353" s="505" t="n">
        <v>-2.93</v>
      </c>
      <c r="G1353" t="inlineStr">
        <is>
          <t>1.54億</t>
        </is>
      </c>
      <c r="H1353" t="n">
        <v>2225</v>
      </c>
      <c r="I1353" t="n">
        <v>3900</v>
      </c>
      <c r="J1353" t="n">
        <v>11</v>
      </c>
      <c r="K1353" t="n">
        <v>72</v>
      </c>
      <c r="L1353" t="n">
        <v>68</v>
      </c>
      <c r="M1353" s="175" t="n">
        <v>2.02</v>
      </c>
      <c r="N1353" t="inlineStr">
        <is>
          <t>台灣精密金屬零件加工廠商</t>
        </is>
      </c>
    </row>
    <row r="1354">
      <c r="A1354" t="n">
        <v>4568</v>
      </c>
      <c r="B1354" t="inlineStr">
        <is>
          <t>科際精密</t>
        </is>
      </c>
      <c r="C1354" t="n">
        <v>40.9</v>
      </c>
      <c r="D1354" t="n">
        <v>42</v>
      </c>
      <c r="E1354" s="504" t="n">
        <v>1</v>
      </c>
      <c r="F1354" s="505" t="n">
        <v>2.44</v>
      </c>
      <c r="G1354" t="inlineStr">
        <is>
          <t>81.4萬</t>
        </is>
      </c>
      <c r="H1354" t="n">
        <v>20</v>
      </c>
      <c r="I1354" t="n">
        <v>8</v>
      </c>
      <c r="J1354" t="n">
        <v>3.17</v>
      </c>
      <c r="K1354" t="n">
        <v>42</v>
      </c>
      <c r="L1354" t="n">
        <v>40</v>
      </c>
      <c r="M1354" s="175" t="n">
        <v>0.06</v>
      </c>
      <c r="N1354" t="inlineStr">
        <is>
          <t>台灣微型泵浦大廠</t>
        </is>
      </c>
    </row>
    <row r="1355">
      <c r="A1355" t="n">
        <v>4569</v>
      </c>
      <c r="B1355" t="inlineStr">
        <is>
          <t>六方科-KY</t>
        </is>
      </c>
      <c r="C1355" t="n">
        <v>172</v>
      </c>
      <c r="D1355" t="n">
        <v>170.5</v>
      </c>
      <c r="E1355" s="504" t="n">
        <v>0</v>
      </c>
      <c r="F1355" s="505" t="n">
        <v>0</v>
      </c>
      <c r="G1355" t="inlineStr">
        <is>
          <t>3114萬</t>
        </is>
      </c>
      <c r="H1355" t="n">
        <v>185</v>
      </c>
      <c r="I1355" t="n">
        <v>165</v>
      </c>
      <c r="J1355" t="n">
        <v>3.06</v>
      </c>
      <c r="K1355" t="n">
        <v>172.5</v>
      </c>
      <c r="L1355" t="n">
        <v>165</v>
      </c>
      <c r="M1355" s="175" t="n">
        <v>0.6</v>
      </c>
      <c r="N1355" t="inlineStr">
        <is>
          <t>泰國精密金屬零組件加工生產商</t>
        </is>
      </c>
    </row>
    <row r="1356">
      <c r="A1356" t="n">
        <v>4571</v>
      </c>
      <c r="B1356" t="inlineStr">
        <is>
          <t>鈞興-KY</t>
        </is>
      </c>
      <c r="C1356" t="n">
        <v>218</v>
      </c>
      <c r="D1356" t="n">
        <v>198</v>
      </c>
      <c r="E1356" s="504" t="n">
        <v>-19.5</v>
      </c>
      <c r="F1356" s="505" t="n">
        <v>-8.970000000000001</v>
      </c>
      <c r="G1356" t="inlineStr">
        <is>
          <t>4.32億</t>
        </is>
      </c>
      <c r="H1356" t="n">
        <v>2157</v>
      </c>
      <c r="I1356" t="n">
        <v>1205</v>
      </c>
      <c r="J1356" t="n">
        <v>5.3</v>
      </c>
      <c r="K1356" t="n">
        <v>218.5</v>
      </c>
      <c r="L1356" t="n">
        <v>196</v>
      </c>
      <c r="M1356" s="175" t="n">
        <v>4.07</v>
      </c>
      <c r="N1356" t="inlineStr">
        <is>
          <t>專業生產客製化齒輪廠商</t>
        </is>
      </c>
    </row>
    <row r="1357">
      <c r="A1357" t="n">
        <v>4572</v>
      </c>
      <c r="B1357" t="inlineStr">
        <is>
          <t>駐龍</t>
        </is>
      </c>
      <c r="C1357" t="n">
        <v>148</v>
      </c>
      <c r="D1357" t="n">
        <v>147.5</v>
      </c>
      <c r="E1357" s="504" t="n">
        <v>-1.5</v>
      </c>
      <c r="F1357" s="505" t="n">
        <v>-1.01</v>
      </c>
      <c r="G1357" t="inlineStr">
        <is>
          <t>761萬</t>
        </is>
      </c>
      <c r="H1357" t="n">
        <v>52</v>
      </c>
      <c r="I1357" t="n">
        <v>79</v>
      </c>
      <c r="J1357" t="n">
        <v>4</v>
      </c>
      <c r="K1357" t="n">
        <v>148</v>
      </c>
      <c r="L1357" t="n">
        <v>143</v>
      </c>
      <c r="M1357" s="175" t="n">
        <v>0.13</v>
      </c>
      <c r="N1357" t="inlineStr">
        <is>
          <t>飛機機身結構件研製及銷售商</t>
        </is>
      </c>
    </row>
    <row r="1358">
      <c r="A1358" t="n">
        <v>4576</v>
      </c>
      <c r="B1358" t="inlineStr">
        <is>
          <t>大銀微系統</t>
        </is>
      </c>
      <c r="C1358" t="n">
        <v>264</v>
      </c>
      <c r="D1358" t="n">
        <v>238</v>
      </c>
      <c r="E1358" s="504" t="n">
        <v>-25</v>
      </c>
      <c r="F1358" s="505" t="n">
        <v>-9.51</v>
      </c>
      <c r="G1358" t="inlineStr">
        <is>
          <t>12.9億</t>
        </is>
      </c>
      <c r="H1358" t="n">
        <v>5276</v>
      </c>
      <c r="I1358" t="n">
        <v>4949</v>
      </c>
      <c r="J1358" t="n">
        <v>11.98</v>
      </c>
      <c r="K1358" t="n">
        <v>265</v>
      </c>
      <c r="L1358" t="n">
        <v>237</v>
      </c>
      <c r="M1358" s="175" t="n">
        <v>4.4</v>
      </c>
      <c r="N1358" t="inlineStr">
        <is>
          <t>全球最大之半導體奈米級精密定位系統製造商</t>
        </is>
      </c>
    </row>
    <row r="1359">
      <c r="A1359" t="n">
        <v>4577</v>
      </c>
      <c r="B1359" t="inlineStr">
        <is>
          <t>達航科技</t>
        </is>
      </c>
      <c r="C1359" t="n">
        <v>110.5</v>
      </c>
      <c r="D1359" t="n">
        <v>104</v>
      </c>
      <c r="E1359" s="504" t="n">
        <v>-6</v>
      </c>
      <c r="F1359" s="505" t="n">
        <v>-5.45</v>
      </c>
      <c r="G1359" t="inlineStr">
        <is>
          <t>1.23億</t>
        </is>
      </c>
      <c r="H1359" t="n">
        <v>1171</v>
      </c>
      <c r="I1359" t="n">
        <v>1607</v>
      </c>
      <c r="J1359" t="n">
        <v>4.91</v>
      </c>
      <c r="K1359" t="n">
        <v>110.5</v>
      </c>
      <c r="L1359" t="n">
        <v>102</v>
      </c>
      <c r="M1359" s="175" t="n">
        <v>2.38</v>
      </c>
      <c r="N1359" t="inlineStr">
        <is>
          <t>台灣PCB鑽孔代工和設備廠商</t>
        </is>
      </c>
    </row>
    <row r="1360">
      <c r="A1360" t="n">
        <v>4580</v>
      </c>
      <c r="B1360" t="inlineStr">
        <is>
          <t>捷流閥業</t>
        </is>
      </c>
      <c r="C1360" t="n">
        <v>84.5</v>
      </c>
      <c r="D1360" t="n">
        <v>82.8</v>
      </c>
      <c r="E1360" s="504" t="n">
        <v>-0.9</v>
      </c>
      <c r="F1360" s="505" t="n">
        <v>-1.08</v>
      </c>
      <c r="G1360" t="inlineStr">
        <is>
          <t>1696萬</t>
        </is>
      </c>
      <c r="H1360" t="n">
        <v>204</v>
      </c>
      <c r="I1360" t="n">
        <v>86</v>
      </c>
      <c r="J1360" t="n">
        <v>4.68</v>
      </c>
      <c r="K1360" t="n">
        <v>84.5</v>
      </c>
      <c r="L1360" t="n">
        <v>82.5</v>
      </c>
      <c r="M1360" s="175" t="n">
        <v>0.44</v>
      </c>
      <c r="N1360" t="inlineStr">
        <is>
          <t>專業閥門製造商</t>
        </is>
      </c>
    </row>
    <row r="1361">
      <c r="A1361" t="n">
        <v>4581</v>
      </c>
      <c r="B1361" t="inlineStr">
        <is>
          <t>光隆精密-KY</t>
        </is>
      </c>
      <c r="C1361" t="n">
        <v>49.8</v>
      </c>
      <c r="D1361" t="n">
        <v>49.8</v>
      </c>
      <c r="E1361" s="504" t="n">
        <v>0</v>
      </c>
      <c r="F1361" s="505" t="n">
        <v>0</v>
      </c>
      <c r="G1361" t="inlineStr">
        <is>
          <t>9.96萬</t>
        </is>
      </c>
      <c r="H1361" t="n">
        <v>2</v>
      </c>
      <c r="I1361" t="n">
        <v>32</v>
      </c>
      <c r="J1361" t="n">
        <v>3.39</v>
      </c>
      <c r="K1361" t="n">
        <v>49.8</v>
      </c>
      <c r="L1361" t="n">
        <v>49.8</v>
      </c>
      <c r="M1361" s="175" t="n">
        <v>0.01</v>
      </c>
      <c r="N1361" t="inlineStr">
        <is>
          <t>台灣商用車零組件鑄件公司</t>
        </is>
      </c>
    </row>
    <row r="1362">
      <c r="A1362" t="n">
        <v>4583</v>
      </c>
      <c r="B1362" t="inlineStr">
        <is>
          <t>台灣精銳</t>
        </is>
      </c>
      <c r="C1362" t="n">
        <v>714</v>
      </c>
      <c r="D1362" t="n">
        <v>689</v>
      </c>
      <c r="E1362" s="504" t="n">
        <v>-26</v>
      </c>
      <c r="F1362" s="505" t="n">
        <v>-3.64</v>
      </c>
      <c r="G1362" t="inlineStr">
        <is>
          <t>1.40億</t>
        </is>
      </c>
      <c r="H1362" t="n">
        <v>204</v>
      </c>
      <c r="I1362" t="n">
        <v>202</v>
      </c>
      <c r="J1362" t="n">
        <v>8.02</v>
      </c>
      <c r="K1362" t="n">
        <v>715</v>
      </c>
      <c r="L1362" t="n">
        <v>679</v>
      </c>
      <c r="M1362" s="175" t="n">
        <v>0.25</v>
      </c>
      <c r="N1362" t="inlineStr">
        <is>
          <t>高精密度之伺服用行星式齒輪減速機提供商</t>
        </is>
      </c>
    </row>
    <row r="1363">
      <c r="A1363" t="n">
        <v>4584</v>
      </c>
      <c r="B1363" t="inlineStr">
        <is>
          <t>君帆</t>
        </is>
      </c>
      <c r="C1363" t="n">
        <v>43.05</v>
      </c>
      <c r="D1363" t="n">
        <v>42</v>
      </c>
      <c r="E1363" s="504" t="n">
        <v>-1</v>
      </c>
      <c r="F1363" s="505" t="n">
        <v>-2.33</v>
      </c>
      <c r="G1363" t="inlineStr">
        <is>
          <t>29.9萬</t>
        </is>
      </c>
      <c r="H1363" t="n">
        <v>7</v>
      </c>
      <c r="I1363" t="n">
        <v>14</v>
      </c>
      <c r="J1363" t="n">
        <v>3</v>
      </c>
      <c r="K1363" t="n">
        <v>43.05</v>
      </c>
      <c r="L1363" t="n">
        <v>42</v>
      </c>
      <c r="M1363" s="175" t="n">
        <v>0.02</v>
      </c>
      <c r="N1363" t="inlineStr">
        <is>
          <t>大中華地區前三大油壓缸供應商</t>
        </is>
      </c>
    </row>
    <row r="1364">
      <c r="A1364" t="n">
        <v>4585</v>
      </c>
      <c r="B1364" t="inlineStr">
        <is>
          <t>達明</t>
        </is>
      </c>
      <c r="C1364" t="n">
        <v>378</v>
      </c>
      <c r="D1364" t="n">
        <v>351</v>
      </c>
      <c r="E1364" s="504" t="n">
        <v>-20.5</v>
      </c>
      <c r="F1364" s="505" t="n">
        <v>-5.52</v>
      </c>
      <c r="G1364" t="inlineStr">
        <is>
          <t>3.97億</t>
        </is>
      </c>
      <c r="H1364" t="n">
        <v>1113</v>
      </c>
      <c r="I1364" t="n">
        <v>908</v>
      </c>
      <c r="J1364" t="n">
        <v>10.46</v>
      </c>
      <c r="K1364" t="n">
        <v>378</v>
      </c>
      <c r="L1364" t="n">
        <v>345</v>
      </c>
      <c r="M1364" s="175" t="n">
        <v>1.06</v>
      </c>
      <c r="N1364" t="inlineStr">
        <is>
          <t>全球第二大協作型機器人製造商</t>
        </is>
      </c>
    </row>
    <row r="1365">
      <c r="A1365" t="n">
        <v>4588</v>
      </c>
      <c r="B1365" t="inlineStr">
        <is>
          <t>玖鼎電力</t>
        </is>
      </c>
      <c r="C1365" t="n">
        <v>58.2</v>
      </c>
      <c r="D1365" t="n">
        <v>57.9</v>
      </c>
      <c r="E1365" s="504" t="n">
        <v>-0.1</v>
      </c>
      <c r="F1365" s="505" t="n">
        <v>-0.17</v>
      </c>
      <c r="G1365" t="inlineStr">
        <is>
          <t>759萬</t>
        </is>
      </c>
      <c r="H1365" t="n">
        <v>132</v>
      </c>
      <c r="I1365" t="n">
        <v>195</v>
      </c>
      <c r="J1365" t="n">
        <v>4.3</v>
      </c>
      <c r="K1365" t="n">
        <v>58.5</v>
      </c>
      <c r="L1365" t="n">
        <v>56.7</v>
      </c>
      <c r="M1365" s="175" t="n">
        <v>0.31</v>
      </c>
      <c r="N1365" t="inlineStr">
        <is>
          <t>國內智慧電表大廠</t>
        </is>
      </c>
    </row>
    <row r="1366">
      <c r="A1366" t="n">
        <v>4609</v>
      </c>
      <c r="B1366" t="inlineStr">
        <is>
          <t>唐鋒</t>
        </is>
      </c>
      <c r="C1366" t="n">
        <v>5.5</v>
      </c>
      <c r="D1366" t="n">
        <v>5.61</v>
      </c>
      <c r="E1366" s="504" t="n">
        <v>0.1</v>
      </c>
      <c r="F1366" s="505" t="n">
        <v>1.81</v>
      </c>
      <c r="G1366" t="inlineStr">
        <is>
          <t>4.44萬</t>
        </is>
      </c>
      <c r="H1366" t="n">
        <v>8</v>
      </c>
      <c r="I1366" t="n">
        <v>36</v>
      </c>
      <c r="J1366" t="n">
        <v>4.79</v>
      </c>
      <c r="K1366" t="n">
        <v>5.65</v>
      </c>
      <c r="L1366" t="n">
        <v>5.5</v>
      </c>
      <c r="M1366" s="175" t="n">
        <v>0.02</v>
      </c>
      <c r="N1366" t="inlineStr">
        <is>
          <t>以外銷小家電產品為主的廠商</t>
        </is>
      </c>
    </row>
    <row r="1367">
      <c r="A1367" t="n">
        <v>4702</v>
      </c>
      <c r="B1367" t="inlineStr">
        <is>
          <t>中美實</t>
        </is>
      </c>
      <c r="C1367" t="n">
        <v>9.779999999999999</v>
      </c>
      <c r="D1367" t="n">
        <v>9.800000000000001</v>
      </c>
      <c r="E1367" s="504" t="n">
        <v>0.03</v>
      </c>
      <c r="F1367" s="505" t="n">
        <v>0.31</v>
      </c>
      <c r="G1367" t="inlineStr">
        <is>
          <t>469萬</t>
        </is>
      </c>
      <c r="H1367" t="n">
        <v>479</v>
      </c>
      <c r="I1367" t="n">
        <v>117</v>
      </c>
      <c r="J1367" t="n">
        <v>7.23</v>
      </c>
      <c r="K1367" t="n">
        <v>9.869999999999999</v>
      </c>
      <c r="L1367" t="n">
        <v>9.710000000000001</v>
      </c>
      <c r="M1367" s="175" t="n">
        <v>0.66</v>
      </c>
      <c r="N1367" t="inlineStr">
        <is>
          <t>台灣分散性化學染料商並跨足汽車貿易業</t>
        </is>
      </c>
    </row>
    <row r="1368">
      <c r="A1368" t="n">
        <v>4706</v>
      </c>
      <c r="B1368" t="inlineStr">
        <is>
          <t>大恭</t>
        </is>
      </c>
      <c r="C1368" t="n">
        <v>31.5</v>
      </c>
      <c r="D1368" t="n">
        <v>31.6</v>
      </c>
      <c r="E1368" s="504" t="n">
        <v>0.1</v>
      </c>
      <c r="F1368" s="505" t="n">
        <v>0.32</v>
      </c>
      <c r="G1368" t="inlineStr">
        <is>
          <t>70.0萬</t>
        </is>
      </c>
      <c r="H1368" t="n">
        <v>22</v>
      </c>
      <c r="I1368" t="n">
        <v>21</v>
      </c>
      <c r="J1368" t="n">
        <v>7.9</v>
      </c>
      <c r="K1368" t="n">
        <v>32.4</v>
      </c>
      <c r="L1368" t="n">
        <v>31.5</v>
      </c>
      <c r="M1368" s="175" t="n">
        <v>0.03</v>
      </c>
      <c r="N1368" t="inlineStr">
        <is>
          <t>台灣最大合成顏料製造商</t>
        </is>
      </c>
    </row>
    <row r="1369">
      <c r="A1369" t="n">
        <v>4707</v>
      </c>
      <c r="B1369" t="inlineStr">
        <is>
          <t>磐亞</t>
        </is>
      </c>
      <c r="C1369" t="n">
        <v>19.65</v>
      </c>
      <c r="D1369" t="n">
        <v>19.65</v>
      </c>
      <c r="E1369" s="504" t="n">
        <v>1.75</v>
      </c>
      <c r="F1369" s="505" t="n">
        <v>9.779999999999999</v>
      </c>
      <c r="G1369" t="inlineStr">
        <is>
          <t>8117萬</t>
        </is>
      </c>
      <c r="H1369" t="n">
        <v>4132</v>
      </c>
      <c r="I1369" t="n">
        <v>2872</v>
      </c>
      <c r="J1369" t="n">
        <v>40.37</v>
      </c>
      <c r="K1369" t="n">
        <v>19.65</v>
      </c>
      <c r="L1369" t="n">
        <v>19.65</v>
      </c>
      <c r="M1369" s="175" t="n">
        <v>1.02</v>
      </c>
      <c r="N1369" t="inlineStr">
        <is>
          <t>台灣主要從事生產界面活性劑廠商</t>
        </is>
      </c>
    </row>
    <row r="1370">
      <c r="A1370" t="n">
        <v>4711</v>
      </c>
      <c r="B1370" t="inlineStr">
        <is>
          <t>永純</t>
        </is>
      </c>
      <c r="C1370" t="n">
        <v>16.85</v>
      </c>
      <c r="D1370" t="n">
        <v>18.25</v>
      </c>
      <c r="E1370" s="504" t="n">
        <v>1.65</v>
      </c>
      <c r="F1370" s="505" t="n">
        <v>9.94</v>
      </c>
      <c r="G1370" t="inlineStr">
        <is>
          <t>2433萬</t>
        </is>
      </c>
      <c r="H1370" t="n">
        <v>1364</v>
      </c>
      <c r="I1370" t="n">
        <v>434</v>
      </c>
      <c r="J1370" t="n">
        <v>6.11</v>
      </c>
      <c r="K1370" t="n">
        <v>18.25</v>
      </c>
      <c r="L1370" t="n">
        <v>16.55</v>
      </c>
      <c r="M1370" s="175" t="n">
        <v>2.23</v>
      </c>
      <c r="N1370" t="inlineStr">
        <is>
          <t>台灣生產酸醇樹脂製造廠商</t>
        </is>
      </c>
    </row>
    <row r="1371">
      <c r="A1371" t="n">
        <v>4714</v>
      </c>
      <c r="B1371" t="inlineStr">
        <is>
          <t>永捷</t>
        </is>
      </c>
      <c r="C1371" t="n">
        <v>13.7</v>
      </c>
      <c r="D1371" t="n">
        <v>13.6</v>
      </c>
      <c r="E1371" s="504" t="n">
        <v>0.1</v>
      </c>
      <c r="F1371" s="505" t="n">
        <v>0.74</v>
      </c>
      <c r="G1371" t="inlineStr">
        <is>
          <t>1583萬</t>
        </is>
      </c>
      <c r="H1371" t="n">
        <v>1176</v>
      </c>
      <c r="I1371" t="n">
        <v>1927</v>
      </c>
      <c r="J1371" t="n">
        <v>17.81</v>
      </c>
      <c r="K1371" t="n">
        <v>13.75</v>
      </c>
      <c r="L1371" t="n">
        <v>13.3</v>
      </c>
      <c r="M1371" s="175" t="n">
        <v>0.66</v>
      </c>
      <c r="N1371" t="inlineStr">
        <is>
          <t>台灣PU樹脂大廠</t>
        </is>
      </c>
    </row>
    <row r="1372">
      <c r="A1372" t="n">
        <v>4716</v>
      </c>
      <c r="B1372" t="inlineStr">
        <is>
          <t>大立</t>
        </is>
      </c>
      <c r="C1372" t="n">
        <v>15.1</v>
      </c>
      <c r="D1372" t="n">
        <v>16.55</v>
      </c>
      <c r="E1372" s="504" t="n">
        <v>1.5</v>
      </c>
      <c r="F1372" s="505" t="n">
        <v>9.970000000000001</v>
      </c>
      <c r="G1372" t="inlineStr">
        <is>
          <t>3373萬</t>
        </is>
      </c>
      <c r="H1372" t="n">
        <v>2094</v>
      </c>
      <c r="I1372" t="n">
        <v>503</v>
      </c>
      <c r="J1372" t="n">
        <v>9.44</v>
      </c>
      <c r="K1372" t="n">
        <v>16.55</v>
      </c>
      <c r="L1372" t="n">
        <v>15.1</v>
      </c>
      <c r="M1372" s="175" t="n">
        <v>2.22</v>
      </c>
      <c r="N1372" t="inlineStr">
        <is>
          <t>台灣主要從事生產合成樹脂廠商</t>
        </is>
      </c>
    </row>
    <row r="1373">
      <c r="A1373" t="n">
        <v>4720</v>
      </c>
      <c r="B1373" t="inlineStr">
        <is>
          <t>德淵</t>
        </is>
      </c>
      <c r="C1373" t="n">
        <v>25.4</v>
      </c>
      <c r="D1373" t="n">
        <v>25.5</v>
      </c>
      <c r="E1373" s="504" t="n">
        <v>0.1</v>
      </c>
      <c r="F1373" s="505" t="n">
        <v>0.39</v>
      </c>
      <c r="G1373" t="inlineStr">
        <is>
          <t>5626萬</t>
        </is>
      </c>
      <c r="H1373" t="n">
        <v>2240</v>
      </c>
      <c r="I1373" t="n">
        <v>5929</v>
      </c>
      <c r="J1373" t="n">
        <v>11.45</v>
      </c>
      <c r="K1373" t="n">
        <v>25.5</v>
      </c>
      <c r="L1373" t="n">
        <v>24.8</v>
      </c>
      <c r="M1373" s="175" t="n">
        <v>1.96</v>
      </c>
      <c r="N1373" t="inlineStr">
        <is>
          <t>台灣最大熱熔膠供應商</t>
        </is>
      </c>
    </row>
    <row r="1374">
      <c r="A1374" t="n">
        <v>4721</v>
      </c>
      <c r="B1374" t="inlineStr">
        <is>
          <t>美琪瑪</t>
        </is>
      </c>
      <c r="C1374" t="n">
        <v>91.59999999999999</v>
      </c>
      <c r="D1374" t="n">
        <v>88.8</v>
      </c>
      <c r="E1374" s="504" t="n">
        <v>-2.8</v>
      </c>
      <c r="F1374" s="505" t="n">
        <v>-3.06</v>
      </c>
      <c r="G1374" t="inlineStr">
        <is>
          <t>1.23億</t>
        </is>
      </c>
      <c r="H1374" t="n">
        <v>1387</v>
      </c>
      <c r="I1374" t="n">
        <v>1661</v>
      </c>
      <c r="J1374" t="n">
        <v>7.5</v>
      </c>
      <c r="K1374" t="n">
        <v>91.7</v>
      </c>
      <c r="L1374" t="n">
        <v>87.2</v>
      </c>
      <c r="M1374" s="175" t="n">
        <v>1.85</v>
      </c>
      <c r="N1374" t="inlineStr">
        <is>
          <t>全球最大PTA氧化觸媒供應商，也生產正極材料</t>
        </is>
      </c>
    </row>
    <row r="1375">
      <c r="A1375" t="n">
        <v>4722</v>
      </c>
      <c r="B1375" t="inlineStr">
        <is>
          <t>國精化</t>
        </is>
      </c>
      <c r="C1375" t="n">
        <v>286</v>
      </c>
      <c r="D1375" t="n">
        <v>279</v>
      </c>
      <c r="E1375" s="504" t="n">
        <v>-7</v>
      </c>
      <c r="F1375" s="505" t="n">
        <v>-2.45</v>
      </c>
      <c r="G1375" t="inlineStr">
        <is>
          <t>1.27億</t>
        </is>
      </c>
      <c r="H1375" t="n">
        <v>452</v>
      </c>
      <c r="I1375" t="n">
        <v>984</v>
      </c>
      <c r="J1375" t="n">
        <v>10.28</v>
      </c>
      <c r="K1375" t="n">
        <v>286</v>
      </c>
      <c r="L1375" t="n">
        <v>277</v>
      </c>
      <c r="M1375" s="175" t="n">
        <v>0.44</v>
      </c>
      <c r="N1375" t="inlineStr">
        <is>
          <t>台灣不飽和聚酯樹脂大廠</t>
        </is>
      </c>
    </row>
    <row r="1376">
      <c r="A1376" t="n">
        <v>4726</v>
      </c>
      <c r="B1376" t="inlineStr">
        <is>
          <t>永昕</t>
        </is>
      </c>
      <c r="C1376" t="n">
        <v>26.85</v>
      </c>
      <c r="D1376" t="n">
        <v>26.95</v>
      </c>
      <c r="E1376" s="504" t="n">
        <v>-0.05</v>
      </c>
      <c r="F1376" s="505" t="n">
        <v>-0.19</v>
      </c>
      <c r="G1376" t="inlineStr">
        <is>
          <t>639萬</t>
        </is>
      </c>
      <c r="H1376" t="n">
        <v>238</v>
      </c>
      <c r="I1376" t="n">
        <v>318</v>
      </c>
      <c r="J1376" t="n">
        <v>20.7</v>
      </c>
      <c r="K1376" t="n">
        <v>27</v>
      </c>
      <c r="L1376" t="n">
        <v>26.6</v>
      </c>
      <c r="M1376" s="175" t="n">
        <v>0.11</v>
      </c>
      <c r="N1376" t="inlineStr">
        <is>
          <t>晟德轉投資之CDMO廠</t>
        </is>
      </c>
    </row>
    <row r="1377">
      <c r="A1377" t="n">
        <v>4728</v>
      </c>
      <c r="B1377" t="inlineStr">
        <is>
          <t>雙美</t>
        </is>
      </c>
      <c r="C1377" t="n">
        <v>378</v>
      </c>
      <c r="D1377" t="n">
        <v>379.5</v>
      </c>
      <c r="E1377" s="504" t="n">
        <v>0.5</v>
      </c>
      <c r="F1377" s="505" t="n">
        <v>0.13</v>
      </c>
      <c r="G1377" t="inlineStr">
        <is>
          <t>416萬</t>
        </is>
      </c>
      <c r="H1377" t="n">
        <v>11</v>
      </c>
      <c r="I1377" t="n">
        <v>10</v>
      </c>
      <c r="J1377" t="n">
        <v>5.45</v>
      </c>
      <c r="K1377" t="n">
        <v>379.5</v>
      </c>
      <c r="L1377" t="n">
        <v>375</v>
      </c>
      <c r="M1377" s="175" t="n">
        <v>0.02</v>
      </c>
      <c r="N1377" t="inlineStr">
        <is>
          <t>台灣首家生產醫療級膠原蛋白溶液的GMP醫材廠</t>
        </is>
      </c>
    </row>
    <row r="1378">
      <c r="A1378" t="n">
        <v>4729</v>
      </c>
      <c r="B1378" t="inlineStr">
        <is>
          <t>熒茂</t>
        </is>
      </c>
      <c r="C1378" t="n">
        <v>25.45</v>
      </c>
      <c r="D1378" t="n">
        <v>26.1</v>
      </c>
      <c r="E1378" s="504" t="n">
        <v>0.9</v>
      </c>
      <c r="F1378" s="505" t="n">
        <v>3.57</v>
      </c>
      <c r="G1378" t="inlineStr">
        <is>
          <t>5852萬</t>
        </is>
      </c>
      <c r="H1378" t="n">
        <v>2298</v>
      </c>
      <c r="I1378" t="n">
        <v>1275</v>
      </c>
      <c r="J1378" t="n">
        <v>7.92</v>
      </c>
      <c r="K1378" t="n">
        <v>26.3</v>
      </c>
      <c r="L1378" t="n">
        <v>24.7</v>
      </c>
      <c r="M1378" s="175" t="n">
        <v>2.9</v>
      </c>
      <c r="N1378" t="inlineStr">
        <is>
          <t>強茂轉投資之觸控面板廠</t>
        </is>
      </c>
    </row>
    <row r="1379">
      <c r="A1379" t="n">
        <v>4735</v>
      </c>
      <c r="B1379" t="inlineStr">
        <is>
          <t>豪展</t>
        </is>
      </c>
      <c r="C1379" t="n">
        <v>31.05</v>
      </c>
      <c r="D1379" t="n">
        <v>32.35</v>
      </c>
      <c r="E1379" s="504" t="n">
        <v>1.3</v>
      </c>
      <c r="F1379" s="505" t="n">
        <v>4.19</v>
      </c>
      <c r="G1379" t="inlineStr">
        <is>
          <t>412萬</t>
        </is>
      </c>
      <c r="H1379" t="n">
        <v>130</v>
      </c>
      <c r="I1379" t="n">
        <v>41</v>
      </c>
      <c r="J1379" t="n">
        <v>4.16</v>
      </c>
      <c r="K1379" t="n">
        <v>32.45</v>
      </c>
      <c r="L1379" t="n">
        <v>30.9</v>
      </c>
      <c r="M1379" s="175" t="n">
        <v>0.31</v>
      </c>
      <c r="N1379" t="inlineStr">
        <is>
          <t>全球知名紅外線額耳溫槍生產商</t>
        </is>
      </c>
    </row>
    <row r="1380">
      <c r="A1380" t="n">
        <v>4736</v>
      </c>
      <c r="B1380" t="inlineStr">
        <is>
          <t>泰博</t>
        </is>
      </c>
      <c r="C1380" t="n">
        <v>124.5</v>
      </c>
      <c r="D1380" t="n">
        <v>125</v>
      </c>
      <c r="E1380" s="504" t="n">
        <v>1</v>
      </c>
      <c r="F1380" s="505" t="n">
        <v>0.8100000000000001</v>
      </c>
      <c r="G1380" t="inlineStr">
        <is>
          <t>2075萬</t>
        </is>
      </c>
      <c r="H1380" t="n">
        <v>167</v>
      </c>
      <c r="I1380" t="n">
        <v>171</v>
      </c>
      <c r="J1380" t="n">
        <v>9.539999999999999</v>
      </c>
      <c r="K1380" t="n">
        <v>125</v>
      </c>
      <c r="L1380" t="n">
        <v>123.5</v>
      </c>
      <c r="M1380" s="175" t="n">
        <v>0.18</v>
      </c>
      <c r="N1380" t="inlineStr">
        <is>
          <t>台灣HCT(血球容積)變化檢測技術領導廠</t>
        </is>
      </c>
    </row>
    <row r="1381">
      <c r="A1381" t="n">
        <v>4737</v>
      </c>
      <c r="B1381" t="inlineStr">
        <is>
          <t>華廣</t>
        </is>
      </c>
      <c r="C1381" t="n">
        <v>56.8</v>
      </c>
      <c r="D1381" t="n">
        <v>55</v>
      </c>
      <c r="E1381" s="504" t="n">
        <v>-1.9</v>
      </c>
      <c r="F1381" s="505" t="n">
        <v>-3.34</v>
      </c>
      <c r="G1381" t="inlineStr">
        <is>
          <t>654萬</t>
        </is>
      </c>
      <c r="H1381" t="n">
        <v>118</v>
      </c>
      <c r="I1381" t="n">
        <v>141</v>
      </c>
      <c r="J1381" t="n">
        <v>7.74</v>
      </c>
      <c r="K1381" t="n">
        <v>56.8</v>
      </c>
      <c r="L1381" t="n">
        <v>54.9</v>
      </c>
      <c r="M1381" s="175" t="n">
        <v>0.15</v>
      </c>
      <c r="N1381" t="inlineStr">
        <is>
          <t>以Bionime為自有品牌生產居家醫療用血糖機及測試片廠商</t>
        </is>
      </c>
    </row>
    <row r="1382">
      <c r="A1382" t="n">
        <v>4739</v>
      </c>
      <c r="B1382" t="inlineStr">
        <is>
          <t>康普</t>
        </is>
      </c>
      <c r="C1382" t="n">
        <v>112</v>
      </c>
      <c r="D1382" t="n">
        <v>107.5</v>
      </c>
      <c r="E1382" s="504" t="n">
        <v>-1.5</v>
      </c>
      <c r="F1382" s="505" t="n">
        <v>-1.38</v>
      </c>
      <c r="G1382" t="inlineStr">
        <is>
          <t>4.84億</t>
        </is>
      </c>
      <c r="H1382" t="n">
        <v>4525</v>
      </c>
      <c r="I1382" t="n">
        <v>6749</v>
      </c>
      <c r="J1382" t="n">
        <v>12.47</v>
      </c>
      <c r="K1382" t="n">
        <v>113</v>
      </c>
      <c r="L1382" t="n">
        <v>104.5</v>
      </c>
      <c r="M1382" s="175" t="n">
        <v>3.63</v>
      </c>
      <c r="N1382" t="inlineStr">
        <is>
          <t>台灣特用化學材、電池材料、PTA氧化觸媒大廠</t>
        </is>
      </c>
    </row>
    <row r="1383">
      <c r="A1383" t="n">
        <v>4741</v>
      </c>
      <c r="B1383" t="inlineStr">
        <is>
          <t>泓瀚</t>
        </is>
      </c>
      <c r="C1383" t="n">
        <v>59.4</v>
      </c>
      <c r="D1383" t="n">
        <v>58.9</v>
      </c>
      <c r="E1383" s="504" t="n">
        <v>-0.4</v>
      </c>
      <c r="F1383" s="505" t="n">
        <v>-0.67</v>
      </c>
      <c r="G1383" t="inlineStr">
        <is>
          <t>6020萬</t>
        </is>
      </c>
      <c r="H1383" t="n">
        <v>1047</v>
      </c>
      <c r="I1383" t="n">
        <v>878</v>
      </c>
      <c r="J1383" t="n">
        <v>3.48</v>
      </c>
      <c r="K1383" t="n">
        <v>59.4</v>
      </c>
      <c r="L1383" t="n">
        <v>55.7</v>
      </c>
      <c r="M1383" s="175" t="n">
        <v>3.01</v>
      </c>
      <c r="N1383" t="inlineStr">
        <is>
          <t>台灣最大噴墨打印墨水研發與製造公司</t>
        </is>
      </c>
    </row>
    <row r="1384">
      <c r="A1384" t="n">
        <v>4743</v>
      </c>
      <c r="B1384" t="inlineStr">
        <is>
          <t>合一</t>
        </is>
      </c>
      <c r="C1384" t="n">
        <v>51.2</v>
      </c>
      <c r="D1384" t="n">
        <v>51.2</v>
      </c>
      <c r="E1384" s="504" t="n">
        <v>0.1</v>
      </c>
      <c r="F1384" s="505" t="n">
        <v>0.2</v>
      </c>
      <c r="G1384" t="inlineStr">
        <is>
          <t>8613萬</t>
        </is>
      </c>
      <c r="H1384" t="n">
        <v>1699</v>
      </c>
      <c r="I1384" t="n">
        <v>2608</v>
      </c>
      <c r="J1384" t="n">
        <v>48.04</v>
      </c>
      <c r="K1384" t="n">
        <v>51.5</v>
      </c>
      <c r="L1384" t="n">
        <v>50.4</v>
      </c>
      <c r="M1384" s="175" t="n">
        <v>0.35</v>
      </c>
      <c r="N1384" t="inlineStr">
        <is>
          <t>中天轉投資的植物新藥研發公司</t>
        </is>
      </c>
    </row>
    <row r="1385">
      <c r="A1385" t="n">
        <v>4744</v>
      </c>
      <c r="B1385" t="inlineStr">
        <is>
          <t>皇將</t>
        </is>
      </c>
      <c r="C1385" t="n">
        <v>36.75</v>
      </c>
      <c r="D1385" t="n">
        <v>35.6</v>
      </c>
      <c r="E1385" s="504" t="n">
        <v>-1.1</v>
      </c>
      <c r="F1385" s="505" t="n">
        <v>-3</v>
      </c>
      <c r="G1385" t="inlineStr">
        <is>
          <t>1323萬</t>
        </is>
      </c>
      <c r="H1385" t="n">
        <v>366</v>
      </c>
      <c r="I1385" t="n">
        <v>368</v>
      </c>
      <c r="J1385" t="n">
        <v>5.69</v>
      </c>
      <c r="K1385" t="n">
        <v>37.4</v>
      </c>
      <c r="L1385" t="n">
        <v>35.45</v>
      </c>
      <c r="M1385" s="175" t="n">
        <v>0.64</v>
      </c>
      <c r="N1385" t="inlineStr">
        <is>
          <t>台灣製藥設備及檢驗儀器製造廠</t>
        </is>
      </c>
    </row>
    <row r="1386">
      <c r="A1386" t="n">
        <v>4745</v>
      </c>
      <c r="B1386" t="inlineStr">
        <is>
          <t>合富-KY</t>
        </is>
      </c>
      <c r="C1386" t="n">
        <v>16</v>
      </c>
      <c r="D1386" t="n">
        <v>15.7</v>
      </c>
      <c r="E1386" s="504" t="n">
        <v>-0.15</v>
      </c>
      <c r="F1386" s="505" t="n">
        <v>-0.95</v>
      </c>
      <c r="G1386" t="inlineStr">
        <is>
          <t>303萬</t>
        </is>
      </c>
      <c r="H1386" t="n">
        <v>192</v>
      </c>
      <c r="I1386" t="n">
        <v>157</v>
      </c>
      <c r="J1386" t="n">
        <v>6.97</v>
      </c>
      <c r="K1386" t="n">
        <v>16.1</v>
      </c>
      <c r="L1386" t="n">
        <v>15.65</v>
      </c>
      <c r="M1386" s="175" t="n">
        <v>0.25</v>
      </c>
      <c r="N1386" t="inlineStr">
        <is>
          <t>大陸最大台資醫療通路集團</t>
        </is>
      </c>
    </row>
    <row r="1387">
      <c r="A1387" t="n">
        <v>4746</v>
      </c>
      <c r="B1387" t="inlineStr">
        <is>
          <t>台耀</t>
        </is>
      </c>
      <c r="C1387" t="n">
        <v>53.3</v>
      </c>
      <c r="D1387" t="n">
        <v>52.3</v>
      </c>
      <c r="E1387" s="504" t="n">
        <v>-1</v>
      </c>
      <c r="F1387" s="505" t="n">
        <v>-1.88</v>
      </c>
      <c r="G1387" t="inlineStr">
        <is>
          <t>4853萬</t>
        </is>
      </c>
      <c r="H1387" t="n">
        <v>930</v>
      </c>
      <c r="I1387" t="n">
        <v>1145</v>
      </c>
      <c r="J1387" t="n">
        <v>12.03</v>
      </c>
      <c r="K1387" t="n">
        <v>53.3</v>
      </c>
      <c r="L1387" t="n">
        <v>51.8</v>
      </c>
      <c r="M1387" s="175" t="n">
        <v>0.77</v>
      </c>
      <c r="N1387" t="inlineStr">
        <is>
          <t>全球維他命D衍生物製造大廠</t>
        </is>
      </c>
    </row>
    <row r="1388">
      <c r="A1388" t="n">
        <v>4747</v>
      </c>
      <c r="B1388" t="inlineStr">
        <is>
          <t>強生</t>
        </is>
      </c>
      <c r="C1388" t="n">
        <v>56.3</v>
      </c>
      <c r="D1388" t="n">
        <v>55.7</v>
      </c>
      <c r="E1388" s="504" t="n">
        <v>-1.2</v>
      </c>
      <c r="F1388" s="505" t="n">
        <v>-2.11</v>
      </c>
      <c r="G1388" t="inlineStr">
        <is>
          <t>237萬</t>
        </is>
      </c>
      <c r="H1388" t="n">
        <v>42</v>
      </c>
      <c r="I1388" t="n">
        <v>56</v>
      </c>
      <c r="J1388" t="n">
        <v>4.55</v>
      </c>
      <c r="K1388" t="n">
        <v>57.4</v>
      </c>
      <c r="L1388" t="n">
        <v>55.7</v>
      </c>
      <c r="M1388" s="175" t="n">
        <v>0.09</v>
      </c>
      <c r="N1388" t="inlineStr">
        <is>
          <t>台灣中小型利基型學名藥廠</t>
        </is>
      </c>
    </row>
    <row r="1389">
      <c r="A1389" t="n">
        <v>4749</v>
      </c>
      <c r="B1389" t="inlineStr">
        <is>
          <t>新應材</t>
        </is>
      </c>
      <c r="C1389" t="n">
        <v>1075</v>
      </c>
      <c r="D1389" t="n">
        <v>1050</v>
      </c>
      <c r="E1389" s="504" t="n">
        <v>-15</v>
      </c>
      <c r="F1389" s="505" t="n">
        <v>-1.41</v>
      </c>
      <c r="G1389" t="inlineStr">
        <is>
          <t>13.2億</t>
        </is>
      </c>
      <c r="H1389" t="n">
        <v>1258</v>
      </c>
      <c r="I1389" t="n">
        <v>2126</v>
      </c>
      <c r="J1389" t="n">
        <v>9.27</v>
      </c>
      <c r="K1389" t="n">
        <v>1080</v>
      </c>
      <c r="L1389" t="n">
        <v>1035</v>
      </c>
      <c r="M1389" s="175" t="n">
        <v>1.36</v>
      </c>
      <c r="N1389" t="inlineStr">
        <is>
          <t>全球TFT-LCD光阻材料主要供應商</t>
        </is>
      </c>
    </row>
    <row r="1390">
      <c r="A1390" t="n">
        <v>4754</v>
      </c>
      <c r="B1390" t="inlineStr">
        <is>
          <t>國碳科</t>
        </is>
      </c>
      <c r="C1390" t="n">
        <v>37.65</v>
      </c>
      <c r="D1390" t="n">
        <v>37.7</v>
      </c>
      <c r="E1390" s="504" t="n">
        <v>0.05</v>
      </c>
      <c r="F1390" s="505" t="n">
        <v>0.13</v>
      </c>
      <c r="G1390" t="inlineStr">
        <is>
          <t>90.4萬</t>
        </is>
      </c>
      <c r="H1390" t="n">
        <v>24</v>
      </c>
      <c r="I1390" t="n">
        <v>34</v>
      </c>
      <c r="J1390" t="n">
        <v>3.03</v>
      </c>
      <c r="K1390" t="n">
        <v>37.7</v>
      </c>
      <c r="L1390" t="n">
        <v>37.6</v>
      </c>
      <c r="M1390" s="175" t="n">
        <v>0.08</v>
      </c>
      <c r="N1390" t="inlineStr">
        <is>
          <t>台灣防火材料研發及生產廠商</t>
        </is>
      </c>
    </row>
    <row r="1391">
      <c r="A1391" t="n">
        <v>4755</v>
      </c>
      <c r="B1391" t="inlineStr">
        <is>
          <t>三福化</t>
        </is>
      </c>
      <c r="C1391" t="n">
        <v>152.5</v>
      </c>
      <c r="D1391" t="n">
        <v>148.5</v>
      </c>
      <c r="E1391" s="504" t="n">
        <v>-3.5</v>
      </c>
      <c r="F1391" s="505" t="n">
        <v>-2.3</v>
      </c>
      <c r="G1391" t="inlineStr">
        <is>
          <t>9714萬</t>
        </is>
      </c>
      <c r="H1391" t="n">
        <v>651</v>
      </c>
      <c r="I1391" t="n">
        <v>1240</v>
      </c>
      <c r="J1391" t="n">
        <v>10.07</v>
      </c>
      <c r="K1391" t="n">
        <v>152.5</v>
      </c>
      <c r="L1391" t="n">
        <v>147</v>
      </c>
      <c r="M1391" s="175" t="n">
        <v>0.65</v>
      </c>
      <c r="N1391" t="inlineStr">
        <is>
          <t>台灣半導體特用化學大廠</t>
        </is>
      </c>
    </row>
    <row r="1392">
      <c r="A1392" t="n">
        <v>4760</v>
      </c>
      <c r="B1392" t="inlineStr">
        <is>
          <t>勤凱</t>
        </is>
      </c>
      <c r="C1392" t="n">
        <v>428.5</v>
      </c>
      <c r="D1392" t="n">
        <v>402</v>
      </c>
      <c r="E1392" s="504" t="n">
        <v>-27</v>
      </c>
      <c r="F1392" s="505" t="n">
        <v>-6.29</v>
      </c>
      <c r="G1392" t="inlineStr">
        <is>
          <t>8.92億</t>
        </is>
      </c>
      <c r="H1392" t="n">
        <v>2217</v>
      </c>
      <c r="I1392" t="n">
        <v>2785</v>
      </c>
      <c r="J1392" t="n">
        <v>3.22</v>
      </c>
      <c r="K1392" t="n">
        <v>428.5</v>
      </c>
      <c r="L1392" t="n">
        <v>386.5</v>
      </c>
      <c r="M1392" s="175" t="n">
        <v>6.88</v>
      </c>
      <c r="N1392" t="inlineStr">
        <is>
          <t>台灣被動元件、太陽能導電漿料大廠</t>
        </is>
      </c>
    </row>
    <row r="1393">
      <c r="A1393" t="n">
        <v>4763</v>
      </c>
      <c r="B1393" t="inlineStr">
        <is>
          <t>材料*-KY</t>
        </is>
      </c>
      <c r="C1393" t="n">
        <v>42.9</v>
      </c>
      <c r="D1393" t="n">
        <v>42.7</v>
      </c>
      <c r="E1393" s="504" t="n">
        <v>0.1</v>
      </c>
      <c r="F1393" s="505" t="n">
        <v>0.23</v>
      </c>
      <c r="G1393" t="inlineStr">
        <is>
          <t>2.95億</t>
        </is>
      </c>
      <c r="H1393" t="n">
        <v>6937</v>
      </c>
      <c r="I1393" t="n">
        <v>7270</v>
      </c>
      <c r="J1393" t="n">
        <v>9.890000000000001</v>
      </c>
      <c r="K1393" t="n">
        <v>43.2</v>
      </c>
      <c r="L1393" t="n">
        <v>41.95</v>
      </c>
      <c r="M1393" s="175" t="n">
        <v>0.7</v>
      </c>
      <c r="N1393" t="inlineStr">
        <is>
          <t>全球第五大醋酸纖維絲束大廠</t>
        </is>
      </c>
    </row>
    <row r="1394">
      <c r="A1394" t="n">
        <v>4764</v>
      </c>
      <c r="B1394" t="inlineStr">
        <is>
          <t>雙鍵</t>
        </is>
      </c>
      <c r="C1394" t="n">
        <v>315</v>
      </c>
      <c r="D1394" t="n">
        <v>302</v>
      </c>
      <c r="E1394" s="504" t="n">
        <v>-18</v>
      </c>
      <c r="F1394" s="505" t="n">
        <v>-5.63</v>
      </c>
      <c r="G1394" t="inlineStr">
        <is>
          <t>11.8億</t>
        </is>
      </c>
      <c r="H1394" t="n">
        <v>3741</v>
      </c>
      <c r="I1394" t="n">
        <v>3196</v>
      </c>
      <c r="J1394" t="n">
        <v>8.550000000000001</v>
      </c>
      <c r="K1394" t="n">
        <v>340</v>
      </c>
      <c r="L1394" t="n">
        <v>290</v>
      </c>
      <c r="M1394" s="175" t="n">
        <v>4.37</v>
      </c>
      <c r="N1394" t="inlineStr">
        <is>
          <t>全球前三大光固化起始劑生產商</t>
        </is>
      </c>
    </row>
    <row r="1395">
      <c r="A1395" t="n">
        <v>4766</v>
      </c>
      <c r="B1395" t="inlineStr">
        <is>
          <t>南寶</t>
        </is>
      </c>
      <c r="C1395" t="n">
        <v>372</v>
      </c>
      <c r="D1395" t="n">
        <v>372.5</v>
      </c>
      <c r="E1395" s="504" t="n">
        <v>0</v>
      </c>
      <c r="F1395" s="505" t="n">
        <v>0</v>
      </c>
      <c r="G1395" t="inlineStr">
        <is>
          <t>3.60億</t>
        </is>
      </c>
      <c r="H1395" t="n">
        <v>974</v>
      </c>
      <c r="I1395" t="n">
        <v>902</v>
      </c>
      <c r="J1395" t="n">
        <v>12.06</v>
      </c>
      <c r="K1395" t="n">
        <v>375</v>
      </c>
      <c r="L1395" t="n">
        <v>363.5</v>
      </c>
      <c r="M1395" s="175" t="n">
        <v>0.8100000000000001</v>
      </c>
      <c r="N1395" t="inlineStr">
        <is>
          <t>台灣接著劑材料大廠</t>
        </is>
      </c>
    </row>
    <row r="1396">
      <c r="A1396" t="n">
        <v>4767</v>
      </c>
      <c r="B1396" t="inlineStr">
        <is>
          <t>誠泰科技</t>
        </is>
      </c>
      <c r="C1396" t="n">
        <v>26.85</v>
      </c>
      <c r="D1396" t="n">
        <v>27.1</v>
      </c>
      <c r="E1396" s="504" t="n">
        <v>0.25</v>
      </c>
      <c r="F1396" s="505" t="n">
        <v>0.93</v>
      </c>
      <c r="G1396" t="inlineStr">
        <is>
          <t>24.2萬</t>
        </is>
      </c>
      <c r="H1396" t="n">
        <v>9</v>
      </c>
      <c r="I1396" t="n">
        <v>16</v>
      </c>
      <c r="J1396" t="n">
        <v>3.14</v>
      </c>
      <c r="K1396" t="n">
        <v>27.1</v>
      </c>
      <c r="L1396" t="n">
        <v>26.85</v>
      </c>
      <c r="M1396" s="175" t="n">
        <v>0.03</v>
      </c>
      <c r="N1396" t="inlineStr">
        <is>
          <t>自動化設備用熱熔膠製造商</t>
        </is>
      </c>
    </row>
    <row r="1397">
      <c r="A1397" t="n">
        <v>4768</v>
      </c>
      <c r="B1397" t="inlineStr">
        <is>
          <t>晶呈科技</t>
        </is>
      </c>
      <c r="C1397" t="n">
        <v>491.5</v>
      </c>
      <c r="D1397" t="n">
        <v>492</v>
      </c>
      <c r="E1397" s="504" t="n">
        <v>0.5</v>
      </c>
      <c r="F1397" s="505" t="n">
        <v>0.1</v>
      </c>
      <c r="G1397" t="inlineStr">
        <is>
          <t>7.73億</t>
        </is>
      </c>
      <c r="H1397" t="n">
        <v>1561</v>
      </c>
      <c r="I1397" t="n">
        <v>2324</v>
      </c>
      <c r="J1397" t="n">
        <v>4.75</v>
      </c>
      <c r="K1397" t="n">
        <v>514</v>
      </c>
      <c r="L1397" t="n">
        <v>482.5</v>
      </c>
      <c r="M1397" s="175" t="n">
        <v>3.29</v>
      </c>
      <c r="N1397" t="inlineStr">
        <is>
          <t>半導體及光電特殊氣體供應商</t>
        </is>
      </c>
    </row>
    <row r="1398">
      <c r="A1398" t="n">
        <v>4770</v>
      </c>
      <c r="B1398" t="inlineStr">
        <is>
          <t>上品</t>
        </is>
      </c>
      <c r="C1398" t="n">
        <v>255</v>
      </c>
      <c r="D1398" t="n">
        <v>251.5</v>
      </c>
      <c r="E1398" s="504" t="n">
        <v>-3</v>
      </c>
      <c r="F1398" s="505" t="n">
        <v>-1.18</v>
      </c>
      <c r="G1398" t="inlineStr">
        <is>
          <t>1.60億</t>
        </is>
      </c>
      <c r="H1398" t="n">
        <v>635</v>
      </c>
      <c r="I1398" t="n">
        <v>1533</v>
      </c>
      <c r="J1398" t="n">
        <v>8</v>
      </c>
      <c r="K1398" t="n">
        <v>259</v>
      </c>
      <c r="L1398" t="n">
        <v>249</v>
      </c>
      <c r="M1398" s="175" t="n">
        <v>0.79</v>
      </c>
      <c r="N1398" t="inlineStr">
        <is>
          <t>全球氟素樹脂加工應用廠商</t>
        </is>
      </c>
    </row>
    <row r="1399">
      <c r="A1399" t="n">
        <v>4771</v>
      </c>
      <c r="B1399" t="inlineStr">
        <is>
          <t>望隼</t>
        </is>
      </c>
      <c r="C1399" t="n">
        <v>200</v>
      </c>
      <c r="D1399" t="n">
        <v>196.5</v>
      </c>
      <c r="E1399" s="504" t="n">
        <v>-3</v>
      </c>
      <c r="F1399" s="505" t="n">
        <v>-1.5</v>
      </c>
      <c r="G1399" t="inlineStr">
        <is>
          <t>2847萬</t>
        </is>
      </c>
      <c r="H1399" t="n">
        <v>145</v>
      </c>
      <c r="I1399" t="n">
        <v>357</v>
      </c>
      <c r="J1399" t="n">
        <v>5.87</v>
      </c>
      <c r="K1399" t="n">
        <v>200</v>
      </c>
      <c r="L1399" t="n">
        <v>195</v>
      </c>
      <c r="M1399" s="175" t="n">
        <v>0.25</v>
      </c>
      <c r="N1399" t="inlineStr">
        <is>
          <t>長華轉投資隱形眼鏡ODM廠</t>
        </is>
      </c>
    </row>
    <row r="1400">
      <c r="A1400" t="n">
        <v>4772</v>
      </c>
      <c r="B1400" t="inlineStr">
        <is>
          <t>台特化</t>
        </is>
      </c>
      <c r="C1400" t="n">
        <v>306.5</v>
      </c>
      <c r="D1400" t="n">
        <v>298.5</v>
      </c>
      <c r="E1400" s="504" t="n">
        <v>-4.5</v>
      </c>
      <c r="F1400" s="505" t="n">
        <v>-1.49</v>
      </c>
      <c r="G1400" t="inlineStr">
        <is>
          <t>2.82億</t>
        </is>
      </c>
      <c r="H1400" t="n">
        <v>943</v>
      </c>
      <c r="I1400" t="n">
        <v>1723</v>
      </c>
      <c r="J1400" t="n">
        <v>14.77</v>
      </c>
      <c r="K1400" t="n">
        <v>307</v>
      </c>
      <c r="L1400" t="n">
        <v>297</v>
      </c>
      <c r="M1400" s="175" t="n">
        <v>0.64</v>
      </c>
      <c r="N1400" t="inlineStr">
        <is>
          <t>中美晶旗下，特氣供應商</t>
        </is>
      </c>
    </row>
    <row r="1401">
      <c r="A1401" t="n">
        <v>4806</v>
      </c>
      <c r="B1401" t="inlineStr">
        <is>
          <t>桂田文創</t>
        </is>
      </c>
      <c r="C1401" t="n">
        <v>9.859999999999999</v>
      </c>
      <c r="D1401" t="n">
        <v>10.2</v>
      </c>
      <c r="E1401" s="504" t="n">
        <v>0.4</v>
      </c>
      <c r="F1401" s="505" t="n">
        <v>4.08</v>
      </c>
      <c r="G1401" t="inlineStr">
        <is>
          <t>10.1萬</t>
        </is>
      </c>
      <c r="H1401" t="n">
        <v>10</v>
      </c>
      <c r="I1401" t="n">
        <v>25</v>
      </c>
      <c r="J1401" t="n">
        <v>9.99</v>
      </c>
      <c r="K1401" t="n">
        <v>10.2</v>
      </c>
      <c r="L1401" t="n">
        <v>9.859999999999999</v>
      </c>
      <c r="M1401" s="175" t="n">
        <v>0.01</v>
      </c>
      <c r="N1401" t="inlineStr">
        <is>
          <t>台灣第一家掛牌電視劇製作公司</t>
        </is>
      </c>
    </row>
    <row r="1402">
      <c r="A1402" t="n">
        <v>4807</v>
      </c>
      <c r="B1402" t="inlineStr">
        <is>
          <t>日成-KY</t>
        </is>
      </c>
      <c r="C1402" t="n">
        <v>28.7</v>
      </c>
      <c r="D1402" t="n">
        <v>31.25</v>
      </c>
      <c r="E1402" s="504" t="n">
        <v>2.55</v>
      </c>
      <c r="F1402" s="505" t="n">
        <v>8.890000000000001</v>
      </c>
      <c r="G1402" t="inlineStr">
        <is>
          <t>3864萬</t>
        </is>
      </c>
      <c r="H1402" t="n">
        <v>1254</v>
      </c>
      <c r="I1402" t="n">
        <v>780</v>
      </c>
      <c r="J1402" t="n">
        <v>4.9</v>
      </c>
      <c r="K1402" t="n">
        <v>31.55</v>
      </c>
      <c r="L1402" t="n">
        <v>28.5</v>
      </c>
      <c r="M1402" s="175" t="n">
        <v>2.56</v>
      </c>
      <c r="N1402" t="inlineStr">
        <is>
          <t>泰國前三大珠寶ODM 及OEM廠商</t>
        </is>
      </c>
    </row>
    <row r="1403">
      <c r="A1403" t="n">
        <v>4903</v>
      </c>
      <c r="B1403" t="inlineStr">
        <is>
          <t>聯光通</t>
        </is>
      </c>
      <c r="C1403" t="n">
        <v>44.65</v>
      </c>
      <c r="D1403" t="n">
        <v>45</v>
      </c>
      <c r="E1403" s="504" t="n">
        <v>0.6</v>
      </c>
      <c r="F1403" s="505" t="n">
        <v>1.35</v>
      </c>
      <c r="G1403" t="inlineStr">
        <is>
          <t>1.02億</t>
        </is>
      </c>
      <c r="H1403" t="n">
        <v>2278</v>
      </c>
      <c r="I1403" t="n">
        <v>2819</v>
      </c>
      <c r="J1403" t="n">
        <v>10.53</v>
      </c>
      <c r="K1403" t="n">
        <v>45.95</v>
      </c>
      <c r="L1403" t="n">
        <v>44</v>
      </c>
      <c r="M1403" s="175" t="n">
        <v>2.16</v>
      </c>
      <c r="N1403" t="inlineStr">
        <is>
          <t>光通訊工程承包及光纖光纜製造商</t>
        </is>
      </c>
    </row>
    <row r="1404">
      <c r="A1404" t="n">
        <v>4904</v>
      </c>
      <c r="B1404" t="inlineStr">
        <is>
          <t>遠傳</t>
        </is>
      </c>
      <c r="C1404" t="n">
        <v>97</v>
      </c>
      <c r="D1404" t="n">
        <v>99.5</v>
      </c>
      <c r="E1404" s="504" t="n">
        <v>2.4</v>
      </c>
      <c r="F1404" s="505" t="n">
        <v>2.47</v>
      </c>
      <c r="G1404" t="inlineStr">
        <is>
          <t>14.1億</t>
        </is>
      </c>
      <c r="H1404" t="n">
        <v>14293</v>
      </c>
      <c r="I1404" t="n">
        <v>11988</v>
      </c>
      <c r="J1404" t="n">
        <v>360.77</v>
      </c>
      <c r="K1404" t="n">
        <v>99.59999999999999</v>
      </c>
      <c r="L1404" t="n">
        <v>97</v>
      </c>
      <c r="M1404" s="175" t="n">
        <v>0.41</v>
      </c>
      <c r="N1404" t="inlineStr">
        <is>
          <t>台灣前三大電信業者之一</t>
        </is>
      </c>
    </row>
    <row r="1405">
      <c r="A1405" t="n">
        <v>4905</v>
      </c>
      <c r="B1405" t="inlineStr">
        <is>
          <t>台聯電</t>
        </is>
      </c>
      <c r="C1405" t="n">
        <v>88.5</v>
      </c>
      <c r="D1405" t="n">
        <v>85</v>
      </c>
      <c r="E1405" s="504" t="n">
        <v>-2.8</v>
      </c>
      <c r="F1405" s="505" t="n">
        <v>-3.19</v>
      </c>
      <c r="G1405" t="inlineStr">
        <is>
          <t>516萬</t>
        </is>
      </c>
      <c r="H1405" t="n">
        <v>60</v>
      </c>
      <c r="I1405" t="n">
        <v>54</v>
      </c>
      <c r="J1405" t="n">
        <v>2.93</v>
      </c>
      <c r="K1405" t="n">
        <v>88.5</v>
      </c>
      <c r="L1405" t="n">
        <v>84.59999999999999</v>
      </c>
      <c r="M1405" s="175" t="n">
        <v>0.21</v>
      </c>
      <c r="N1405" t="inlineStr">
        <is>
          <t>主產品為數據機、XDSL等網通設備廠</t>
        </is>
      </c>
    </row>
    <row r="1406">
      <c r="A1406" t="n">
        <v>4906</v>
      </c>
      <c r="B1406" t="inlineStr">
        <is>
          <t>正文</t>
        </is>
      </c>
      <c r="C1406" t="n">
        <v>53.5</v>
      </c>
      <c r="D1406" t="n">
        <v>52.9</v>
      </c>
      <c r="E1406" s="504" t="n">
        <v>-0.5</v>
      </c>
      <c r="F1406" s="505" t="n">
        <v>-0.9399999999999999</v>
      </c>
      <c r="G1406" t="inlineStr">
        <is>
          <t>20.0億</t>
        </is>
      </c>
      <c r="H1406" t="n">
        <v>37912</v>
      </c>
      <c r="I1406" t="n">
        <v>51426</v>
      </c>
      <c r="J1406" t="n">
        <v>44.68</v>
      </c>
      <c r="K1406" t="n">
        <v>54.9</v>
      </c>
      <c r="L1406" t="n">
        <v>51.1</v>
      </c>
      <c r="M1406" s="175" t="n">
        <v>8.69</v>
      </c>
      <c r="N1406" t="inlineStr">
        <is>
          <t>台灣無線區域網路代工大廠</t>
        </is>
      </c>
    </row>
    <row r="1407">
      <c r="A1407" t="n">
        <v>4907</v>
      </c>
      <c r="B1407" t="inlineStr">
        <is>
          <t>富宇</t>
        </is>
      </c>
      <c r="C1407" t="n">
        <v>37.35</v>
      </c>
      <c r="D1407" t="n">
        <v>37</v>
      </c>
      <c r="E1407" s="504" t="n">
        <v>-0.5</v>
      </c>
      <c r="F1407" s="505" t="n">
        <v>-1.33</v>
      </c>
      <c r="G1407" t="inlineStr">
        <is>
          <t>333萬</t>
        </is>
      </c>
      <c r="H1407" t="n">
        <v>91</v>
      </c>
      <c r="I1407" t="n">
        <v>179</v>
      </c>
      <c r="J1407" t="n">
        <v>11.81</v>
      </c>
      <c r="K1407" t="n">
        <v>37.35</v>
      </c>
      <c r="L1407" t="n">
        <v>36.3</v>
      </c>
      <c r="M1407" s="175" t="n">
        <v>0.08</v>
      </c>
      <c r="N1407" t="inlineStr">
        <is>
          <t>富宇建設集團成員之一，針對竹科及中科週邊進行開發</t>
        </is>
      </c>
    </row>
    <row r="1408">
      <c r="A1408" t="n">
        <v>4908</v>
      </c>
      <c r="B1408" t="inlineStr">
        <is>
          <t>前鼎</t>
        </is>
      </c>
      <c r="C1408" t="n">
        <v>239</v>
      </c>
      <c r="D1408" t="n">
        <v>232</v>
      </c>
      <c r="E1408" s="504" t="n">
        <v>4.5</v>
      </c>
      <c r="F1408" s="505" t="n">
        <v>1.98</v>
      </c>
      <c r="G1408" t="inlineStr">
        <is>
          <t>8.85億</t>
        </is>
      </c>
      <c r="H1408" t="n">
        <v>3700</v>
      </c>
      <c r="I1408" t="n">
        <v>4227</v>
      </c>
      <c r="J1408" t="n">
        <v>7.82</v>
      </c>
      <c r="K1408" t="n">
        <v>249.5</v>
      </c>
      <c r="L1408" t="n">
        <v>230.5</v>
      </c>
      <c r="M1408" s="175" t="n">
        <v>4.73</v>
      </c>
      <c r="N1408" t="inlineStr">
        <is>
          <t>台灣光收發模組封裝及製造廠</t>
        </is>
      </c>
    </row>
    <row r="1409">
      <c r="A1409" t="n">
        <v>4909</v>
      </c>
      <c r="B1409" t="inlineStr">
        <is>
          <t>新復興</t>
        </is>
      </c>
      <c r="C1409" t="n">
        <v>54</v>
      </c>
      <c r="D1409" t="n">
        <v>53.3</v>
      </c>
      <c r="E1409" s="504" t="n">
        <v>-0.7</v>
      </c>
      <c r="F1409" s="505" t="n">
        <v>-1.3</v>
      </c>
      <c r="G1409" t="inlineStr">
        <is>
          <t>5727萬</t>
        </is>
      </c>
      <c r="H1409" t="n">
        <v>1084</v>
      </c>
      <c r="I1409" t="n">
        <v>1241</v>
      </c>
      <c r="J1409" t="n">
        <v>9.34</v>
      </c>
      <c r="K1409" t="n">
        <v>54.5</v>
      </c>
      <c r="L1409" t="n">
        <v>51.9</v>
      </c>
      <c r="M1409" s="175" t="n">
        <v>1.16</v>
      </c>
      <c r="N1409" t="inlineStr">
        <is>
          <t>全球最大LNB用板製造商</t>
        </is>
      </c>
    </row>
    <row r="1410">
      <c r="A1410" t="n">
        <v>4911</v>
      </c>
      <c r="B1410" t="inlineStr">
        <is>
          <t>德英</t>
        </is>
      </c>
      <c r="C1410" t="n">
        <v>32.5</v>
      </c>
      <c r="D1410" t="n">
        <v>32.4</v>
      </c>
      <c r="E1410" s="504" t="n">
        <v>0.4</v>
      </c>
      <c r="F1410" s="505" t="n">
        <v>1.25</v>
      </c>
      <c r="G1410" t="inlineStr">
        <is>
          <t>507萬</t>
        </is>
      </c>
      <c r="H1410" t="n">
        <v>156</v>
      </c>
      <c r="I1410" t="n">
        <v>27</v>
      </c>
      <c r="J1410" t="n">
        <v>6.37</v>
      </c>
      <c r="K1410" t="n">
        <v>32.7</v>
      </c>
      <c r="L1410" t="n">
        <v>32.2</v>
      </c>
      <c r="M1410" s="175" t="n">
        <v>0.24</v>
      </c>
      <c r="N1410" t="inlineStr">
        <is>
          <t>抗癌植物新藥研發公司</t>
        </is>
      </c>
    </row>
    <row r="1411">
      <c r="A1411" t="n">
        <v>4912</v>
      </c>
      <c r="B1411" t="inlineStr">
        <is>
          <t>聯德控股-KY</t>
        </is>
      </c>
      <c r="C1411" t="n">
        <v>112.5</v>
      </c>
      <c r="D1411" t="n">
        <v>102.5</v>
      </c>
      <c r="E1411" s="504" t="n">
        <v>-10</v>
      </c>
      <c r="F1411" s="505" t="n">
        <v>-8.890000000000001</v>
      </c>
      <c r="G1411" t="inlineStr">
        <is>
          <t>3.14億</t>
        </is>
      </c>
      <c r="H1411" t="n">
        <v>3051</v>
      </c>
      <c r="I1411" t="n">
        <v>2084</v>
      </c>
      <c r="J1411" t="n">
        <v>6.7</v>
      </c>
      <c r="K1411" t="n">
        <v>112.5</v>
      </c>
      <c r="L1411" t="n">
        <v>101.5</v>
      </c>
      <c r="M1411" s="175" t="n">
        <v>4.55</v>
      </c>
      <c r="N1411" t="inlineStr">
        <is>
          <t>主要從事消費性電子零件的模組沖壓廠</t>
        </is>
      </c>
    </row>
    <row r="1412">
      <c r="A1412" t="n">
        <v>4915</v>
      </c>
      <c r="B1412" t="inlineStr">
        <is>
          <t>致伸</t>
        </is>
      </c>
      <c r="C1412" t="n">
        <v>76</v>
      </c>
      <c r="D1412" t="n">
        <v>77</v>
      </c>
      <c r="E1412" s="504" t="n">
        <v>1</v>
      </c>
      <c r="F1412" s="505" t="n">
        <v>1.32</v>
      </c>
      <c r="G1412" t="inlineStr">
        <is>
          <t>6.24億</t>
        </is>
      </c>
      <c r="H1412" t="n">
        <v>8179</v>
      </c>
      <c r="I1412" t="n">
        <v>6220</v>
      </c>
      <c r="J1412" t="n">
        <v>47.19</v>
      </c>
      <c r="K1412" t="n">
        <v>77</v>
      </c>
      <c r="L1412" t="n">
        <v>75.3</v>
      </c>
      <c r="M1412" s="175" t="n">
        <v>1.73</v>
      </c>
      <c r="N1412" t="inlineStr">
        <is>
          <t>台灣電腦週邊及聲學元件製造大廠，並跨入車電領域</t>
        </is>
      </c>
    </row>
    <row r="1413">
      <c r="A1413" t="n">
        <v>4916</v>
      </c>
      <c r="B1413" t="inlineStr">
        <is>
          <t>事欣科</t>
        </is>
      </c>
      <c r="C1413" t="n">
        <v>116</v>
      </c>
      <c r="D1413" t="n">
        <v>114</v>
      </c>
      <c r="E1413" s="504" t="n">
        <v>-5</v>
      </c>
      <c r="F1413" s="505" t="n">
        <v>-4.2</v>
      </c>
      <c r="G1413" t="inlineStr">
        <is>
          <t>4.50億</t>
        </is>
      </c>
      <c r="H1413" t="n">
        <v>3996</v>
      </c>
      <c r="I1413" t="n">
        <v>5567</v>
      </c>
      <c r="J1413" t="n">
        <v>12.39</v>
      </c>
      <c r="K1413" t="n">
        <v>116</v>
      </c>
      <c r="L1413" t="n">
        <v>110</v>
      </c>
      <c r="M1413" s="175" t="n">
        <v>3.24</v>
      </c>
      <c r="N1413" t="inlineStr">
        <is>
          <t>從事博奕機台、工業電腦、航太零組件等業務</t>
        </is>
      </c>
    </row>
    <row r="1414">
      <c r="A1414" t="n">
        <v>4919</v>
      </c>
      <c r="B1414" t="inlineStr">
        <is>
          <t>新唐</t>
        </is>
      </c>
      <c r="C1414" t="n">
        <v>214.5</v>
      </c>
      <c r="D1414" t="n">
        <v>211</v>
      </c>
      <c r="E1414" s="504" t="n">
        <v>3</v>
      </c>
      <c r="F1414" s="505" t="n">
        <v>1.44</v>
      </c>
      <c r="G1414" t="inlineStr">
        <is>
          <t>6.87億</t>
        </is>
      </c>
      <c r="H1414" t="n">
        <v>3343</v>
      </c>
      <c r="I1414" t="n">
        <v>23458</v>
      </c>
      <c r="J1414" t="n">
        <v>41.98</v>
      </c>
      <c r="K1414" t="n">
        <v>214.5</v>
      </c>
      <c r="L1414" t="n">
        <v>200</v>
      </c>
      <c r="M1414" s="175" t="n">
        <v>0.8</v>
      </c>
      <c r="N1414" t="inlineStr">
        <is>
          <t>華邦旗下整合元件製造(IDM)廠，提供IC設計與製造服務</t>
        </is>
      </c>
    </row>
    <row r="1415">
      <c r="A1415" t="n">
        <v>4923</v>
      </c>
      <c r="B1415" t="inlineStr">
        <is>
          <t>力士</t>
        </is>
      </c>
      <c r="C1415" t="n">
        <v>45.1</v>
      </c>
      <c r="D1415" t="n">
        <v>42.2</v>
      </c>
      <c r="E1415" s="504" t="n">
        <v>-2.9</v>
      </c>
      <c r="F1415" s="505" t="n">
        <v>-6.43</v>
      </c>
      <c r="G1415" t="inlineStr">
        <is>
          <t>4963萬</t>
        </is>
      </c>
      <c r="H1415" t="n">
        <v>1175</v>
      </c>
      <c r="I1415" t="n">
        <v>2416</v>
      </c>
      <c r="J1415" t="n">
        <v>3.39</v>
      </c>
      <c r="K1415" t="n">
        <v>45.1</v>
      </c>
      <c r="L1415" t="n">
        <v>42</v>
      </c>
      <c r="M1415" s="175" t="n">
        <v>3.47</v>
      </c>
      <c r="N1415" t="inlineStr">
        <is>
          <t>MOSFET及類比IC之設計和生產商</t>
        </is>
      </c>
    </row>
    <row r="1416">
      <c r="A1416" t="n">
        <v>4924</v>
      </c>
      <c r="B1416" t="inlineStr">
        <is>
          <t>欣厚-KY</t>
        </is>
      </c>
      <c r="C1416" t="n">
        <v>12.75</v>
      </c>
      <c r="D1416" t="n">
        <v>12.65</v>
      </c>
      <c r="E1416" s="504" t="n">
        <v>-0.2</v>
      </c>
      <c r="F1416" s="505" t="n">
        <v>-1.56</v>
      </c>
      <c r="G1416" t="inlineStr">
        <is>
          <t>157萬</t>
        </is>
      </c>
      <c r="H1416" t="n">
        <v>123</v>
      </c>
      <c r="I1416" t="n">
        <v>212</v>
      </c>
      <c r="J1416" t="n">
        <v>3.72</v>
      </c>
      <c r="K1416" t="n">
        <v>13</v>
      </c>
      <c r="L1416" t="n">
        <v>12.55</v>
      </c>
      <c r="M1416" s="175" t="n">
        <v>0.33</v>
      </c>
      <c r="N1416" t="inlineStr">
        <is>
          <t>馬來西亞鍵盤週邊及生質燃料生產企業</t>
        </is>
      </c>
    </row>
    <row r="1417">
      <c r="A1417" t="n">
        <v>4927</v>
      </c>
      <c r="B1417" t="inlineStr">
        <is>
          <t>泰鼎-KY</t>
        </is>
      </c>
      <c r="C1417" t="n">
        <v>55.8</v>
      </c>
      <c r="D1417" t="n">
        <v>52.6</v>
      </c>
      <c r="E1417" s="504" t="n">
        <v>-3.2</v>
      </c>
      <c r="F1417" s="505" t="n">
        <v>-5.73</v>
      </c>
      <c r="G1417" t="inlineStr">
        <is>
          <t>8.02億</t>
        </is>
      </c>
      <c r="H1417" t="n">
        <v>15198</v>
      </c>
      <c r="I1417" t="n">
        <v>18824</v>
      </c>
      <c r="J1417" t="n">
        <v>26.49</v>
      </c>
      <c r="K1417" t="n">
        <v>56.3</v>
      </c>
      <c r="L1417" t="n">
        <v>50.9</v>
      </c>
      <c r="M1417" s="175" t="n">
        <v>5.74</v>
      </c>
      <c r="N1417" t="inlineStr">
        <is>
          <t>泰國台商最大印刷電路板公司</t>
        </is>
      </c>
    </row>
    <row r="1418">
      <c r="A1418" t="n">
        <v>4930</v>
      </c>
      <c r="B1418" t="inlineStr">
        <is>
          <t>燦星網</t>
        </is>
      </c>
      <c r="C1418" t="n">
        <v>17.85</v>
      </c>
      <c r="D1418" t="n">
        <v>17.6</v>
      </c>
      <c r="E1418" s="504" t="n">
        <v>-0.25</v>
      </c>
      <c r="F1418" s="505" t="n">
        <v>-1.4</v>
      </c>
      <c r="G1418" t="inlineStr">
        <is>
          <t>120萬</t>
        </is>
      </c>
      <c r="H1418" t="n">
        <v>68</v>
      </c>
      <c r="I1418" t="n">
        <v>97</v>
      </c>
      <c r="J1418" t="n">
        <v>8</v>
      </c>
      <c r="K1418" t="n">
        <v>17.85</v>
      </c>
      <c r="L1418" t="n">
        <v>17.55</v>
      </c>
      <c r="M1418" s="175" t="n">
        <v>0.08</v>
      </c>
      <c r="N1418" t="inlineStr">
        <is>
          <t>由燦坤集團分割之小家電製造業</t>
        </is>
      </c>
    </row>
    <row r="1419">
      <c r="A1419" t="n">
        <v>4931</v>
      </c>
      <c r="B1419" t="inlineStr">
        <is>
          <t>新盛力</t>
        </is>
      </c>
      <c r="C1419" t="n">
        <v>235</v>
      </c>
      <c r="D1419" t="n">
        <v>231</v>
      </c>
      <c r="E1419" s="504" t="n">
        <v>-7.5</v>
      </c>
      <c r="F1419" s="505" t="n">
        <v>-3.14</v>
      </c>
      <c r="G1419" t="inlineStr">
        <is>
          <t>17.4億</t>
        </is>
      </c>
      <c r="H1419" t="n">
        <v>7536</v>
      </c>
      <c r="I1419" t="n">
        <v>13984</v>
      </c>
      <c r="J1419" t="n">
        <v>6.56</v>
      </c>
      <c r="K1419" t="n">
        <v>239.5</v>
      </c>
      <c r="L1419" t="n">
        <v>226</v>
      </c>
      <c r="M1419" s="175" t="n">
        <v>11.49</v>
      </c>
      <c r="N1419" t="inlineStr">
        <is>
          <t>台灣鋰電池模組之生產商</t>
        </is>
      </c>
    </row>
    <row r="1420">
      <c r="A1420" t="n">
        <v>4933</v>
      </c>
      <c r="B1420" t="inlineStr">
        <is>
          <t>友輝</t>
        </is>
      </c>
      <c r="C1420" t="n">
        <v>76.40000000000001</v>
      </c>
      <c r="D1420" t="n">
        <v>77.90000000000001</v>
      </c>
      <c r="E1420" s="504" t="n">
        <v>1.5</v>
      </c>
      <c r="F1420" s="505" t="n">
        <v>1.96</v>
      </c>
      <c r="G1420" t="inlineStr">
        <is>
          <t>6464萬</t>
        </is>
      </c>
      <c r="H1420" t="n">
        <v>850</v>
      </c>
      <c r="I1420" t="n">
        <v>1208</v>
      </c>
      <c r="J1420" t="n">
        <v>8.26</v>
      </c>
      <c r="K1420" t="n">
        <v>78</v>
      </c>
      <c r="L1420" t="n">
        <v>75</v>
      </c>
      <c r="M1420" s="175" t="n">
        <v>1.03</v>
      </c>
      <c r="N1420" t="inlineStr">
        <is>
          <t>新纖轉投資的聚光片廠</t>
        </is>
      </c>
    </row>
    <row r="1421">
      <c r="A1421" t="n">
        <v>4934</v>
      </c>
      <c r="B1421" t="inlineStr">
        <is>
          <t>太極</t>
        </is>
      </c>
      <c r="C1421" t="n">
        <v>17.2</v>
      </c>
      <c r="D1421" t="n">
        <v>17.05</v>
      </c>
      <c r="E1421" s="504" t="n">
        <v>-0.25</v>
      </c>
      <c r="F1421" s="505" t="n">
        <v>-1.45</v>
      </c>
      <c r="G1421" t="inlineStr">
        <is>
          <t>2656萬</t>
        </is>
      </c>
      <c r="H1421" t="n">
        <v>1576</v>
      </c>
      <c r="I1421" t="n">
        <v>1617</v>
      </c>
      <c r="J1421" t="n">
        <v>22.5</v>
      </c>
      <c r="K1421" t="n">
        <v>17.4</v>
      </c>
      <c r="L1421" t="n">
        <v>16.45</v>
      </c>
      <c r="M1421" s="175" t="n">
        <v>0.7</v>
      </c>
      <c r="N1421" t="inlineStr">
        <is>
          <t>廣運轉投資之太陽能電池廠</t>
        </is>
      </c>
    </row>
    <row r="1422">
      <c r="A1422" t="n">
        <v>4935</v>
      </c>
      <c r="B1422" t="inlineStr">
        <is>
          <t>茂林-KY</t>
        </is>
      </c>
      <c r="C1422" t="n">
        <v>41.7</v>
      </c>
      <c r="D1422" t="n">
        <v>42.35</v>
      </c>
      <c r="E1422" s="504" t="n">
        <v>0.7</v>
      </c>
      <c r="F1422" s="505" t="n">
        <v>1.68</v>
      </c>
      <c r="G1422" t="inlineStr">
        <is>
          <t>2365萬</t>
        </is>
      </c>
      <c r="H1422" t="n">
        <v>570</v>
      </c>
      <c r="I1422" t="n">
        <v>361</v>
      </c>
      <c r="J1422" t="n">
        <v>12.89</v>
      </c>
      <c r="K1422" t="n">
        <v>42.35</v>
      </c>
      <c r="L1422" t="n">
        <v>40.25</v>
      </c>
      <c r="M1422" s="175" t="n">
        <v>0.44</v>
      </c>
      <c r="N1422" t="inlineStr">
        <is>
          <t>台灣導光板大廠</t>
        </is>
      </c>
    </row>
    <row r="1423">
      <c r="A1423" t="n">
        <v>4938</v>
      </c>
      <c r="B1423" t="inlineStr">
        <is>
          <t>和碩</t>
        </is>
      </c>
      <c r="C1423" t="n">
        <v>92</v>
      </c>
      <c r="D1423" t="n">
        <v>97.8</v>
      </c>
      <c r="E1423" s="504" t="n">
        <v>6.6</v>
      </c>
      <c r="F1423" s="505" t="n">
        <v>7.24</v>
      </c>
      <c r="G1423" t="inlineStr">
        <is>
          <t>59.3億</t>
        </is>
      </c>
      <c r="H1423" t="n">
        <v>61578</v>
      </c>
      <c r="I1423" t="n">
        <v>23228</v>
      </c>
      <c r="J1423" t="n">
        <v>268.2</v>
      </c>
      <c r="K1423" t="n">
        <v>99.5</v>
      </c>
      <c r="L1423" t="n">
        <v>90.8</v>
      </c>
      <c r="M1423" s="175" t="n">
        <v>2.3</v>
      </c>
      <c r="N1423" t="inlineStr">
        <is>
          <t>全球前十大EMS廠之一</t>
        </is>
      </c>
    </row>
    <row r="1424">
      <c r="A1424" t="n">
        <v>4939</v>
      </c>
      <c r="B1424" t="inlineStr">
        <is>
          <t>亞電</t>
        </is>
      </c>
      <c r="C1424" t="n">
        <v>59.6</v>
      </c>
      <c r="D1424" t="n">
        <v>53.5</v>
      </c>
      <c r="E1424" s="504" t="n">
        <v>-2</v>
      </c>
      <c r="F1424" s="505" t="n">
        <v>-3.6</v>
      </c>
      <c r="G1424" t="inlineStr">
        <is>
          <t>13.6億</t>
        </is>
      </c>
      <c r="H1424" t="n">
        <v>25793</v>
      </c>
      <c r="I1424" t="n">
        <v>17359</v>
      </c>
      <c r="J1424" t="n">
        <v>9.82</v>
      </c>
      <c r="K1424" t="n">
        <v>59.7</v>
      </c>
      <c r="L1424" t="n">
        <v>49.95</v>
      </c>
      <c r="M1424" s="175" t="n">
        <v>26.27</v>
      </c>
      <c r="N1424" t="inlineStr">
        <is>
          <t>台灣第二大FCCL廠商</t>
        </is>
      </c>
    </row>
    <row r="1425">
      <c r="A1425" t="n">
        <v>4942</v>
      </c>
      <c r="B1425" t="inlineStr">
        <is>
          <t>嘉彰</t>
        </is>
      </c>
      <c r="C1425" t="n">
        <v>38.35</v>
      </c>
      <c r="D1425" t="n">
        <v>38.5</v>
      </c>
      <c r="E1425" s="504" t="n">
        <v>0.25</v>
      </c>
      <c r="F1425" s="505" t="n">
        <v>0.65</v>
      </c>
      <c r="G1425" t="inlineStr">
        <is>
          <t>703萬</t>
        </is>
      </c>
      <c r="H1425" t="n">
        <v>183</v>
      </c>
      <c r="I1425" t="n">
        <v>155</v>
      </c>
      <c r="J1425" t="n">
        <v>14.24</v>
      </c>
      <c r="K1425" t="n">
        <v>38.55</v>
      </c>
      <c r="L1425" t="n">
        <v>38.2</v>
      </c>
      <c r="M1425" s="175" t="n">
        <v>0.13</v>
      </c>
      <c r="N1425" t="inlineStr">
        <is>
          <t>台灣TFT框架、背板等零組件沖壓廠</t>
        </is>
      </c>
    </row>
    <row r="1426">
      <c r="A1426" t="n">
        <v>4943</v>
      </c>
      <c r="B1426" t="inlineStr">
        <is>
          <t>康控-KY</t>
        </is>
      </c>
      <c r="C1426" t="n">
        <v>9.18</v>
      </c>
      <c r="D1426" t="n">
        <v>9</v>
      </c>
      <c r="E1426" s="504" t="n">
        <v>-0.29</v>
      </c>
      <c r="F1426" s="505" t="n">
        <v>-3.12</v>
      </c>
      <c r="G1426" t="inlineStr">
        <is>
          <t>48.7萬</t>
        </is>
      </c>
      <c r="H1426" t="n">
        <v>54</v>
      </c>
      <c r="I1426" t="n">
        <v>62</v>
      </c>
      <c r="J1426" t="n">
        <v>12.67</v>
      </c>
      <c r="K1426" t="n">
        <v>9.18</v>
      </c>
      <c r="L1426" t="n">
        <v>8.9</v>
      </c>
      <c r="M1426" s="175" t="n">
        <v>0.06</v>
      </c>
      <c r="N1426" t="inlineStr">
        <is>
          <t>汽車零組件及聲學元件製造商</t>
        </is>
      </c>
    </row>
    <row r="1427">
      <c r="A1427" t="n">
        <v>4946</v>
      </c>
      <c r="B1427" t="inlineStr">
        <is>
          <t>辣椒</t>
        </is>
      </c>
      <c r="C1427" t="n">
        <v>103.5</v>
      </c>
      <c r="D1427" t="n">
        <v>103.5</v>
      </c>
      <c r="E1427" s="504" t="n">
        <v>-1.5</v>
      </c>
      <c r="F1427" s="505" t="n">
        <v>-1.43</v>
      </c>
      <c r="G1427" t="inlineStr">
        <is>
          <t>391萬</t>
        </is>
      </c>
      <c r="H1427" t="n">
        <v>38</v>
      </c>
      <c r="I1427" t="n">
        <v>75</v>
      </c>
      <c r="J1427" t="n">
        <v>0.89</v>
      </c>
      <c r="K1427" t="n">
        <v>104</v>
      </c>
      <c r="L1427" t="n">
        <v>102</v>
      </c>
      <c r="M1427" s="175" t="n">
        <v>0.43</v>
      </c>
      <c r="N1427" t="inlineStr">
        <is>
          <t>台灣知名休閒遊戲運營商</t>
        </is>
      </c>
    </row>
    <row r="1428">
      <c r="A1428" t="n">
        <v>4949</v>
      </c>
      <c r="B1428" t="inlineStr">
        <is>
          <t>有成精密</t>
        </is>
      </c>
      <c r="C1428" t="n">
        <v>101</v>
      </c>
      <c r="D1428" t="n">
        <v>104.5</v>
      </c>
      <c r="E1428" s="504" t="n">
        <v>1</v>
      </c>
      <c r="F1428" s="505" t="n">
        <v>0.97</v>
      </c>
      <c r="G1428" t="inlineStr">
        <is>
          <t>3.68億</t>
        </is>
      </c>
      <c r="H1428" t="n">
        <v>3682</v>
      </c>
      <c r="I1428" t="n">
        <v>4129</v>
      </c>
      <c r="J1428" t="n">
        <v>6.77</v>
      </c>
      <c r="K1428" t="n">
        <v>104.5</v>
      </c>
      <c r="L1428" t="n">
        <v>96.09999999999999</v>
      </c>
      <c r="M1428" s="175" t="n">
        <v>5.44</v>
      </c>
      <c r="N1428" t="inlineStr">
        <is>
          <t>台灣太陽能發電系統安裝廠商</t>
        </is>
      </c>
    </row>
    <row r="1429">
      <c r="A1429" t="n">
        <v>4950</v>
      </c>
      <c r="B1429" t="inlineStr">
        <is>
          <t>金耘國際</t>
        </is>
      </c>
      <c r="C1429" t="n">
        <v>16</v>
      </c>
      <c r="D1429" t="n">
        <v>15.8</v>
      </c>
      <c r="E1429" s="504" t="n">
        <v>-0.2</v>
      </c>
      <c r="F1429" s="505" t="n">
        <v>-1.25</v>
      </c>
      <c r="G1429" t="inlineStr">
        <is>
          <t>147萬</t>
        </is>
      </c>
      <c r="H1429" t="n">
        <v>93</v>
      </c>
      <c r="I1429" t="n">
        <v>45</v>
      </c>
      <c r="J1429" t="n">
        <v>5.77</v>
      </c>
      <c r="K1429" t="n">
        <v>16.35</v>
      </c>
      <c r="L1429" t="n">
        <v>15.8</v>
      </c>
      <c r="M1429" s="175" t="n">
        <v>0.16</v>
      </c>
      <c r="N1429" t="inlineStr">
        <is>
          <t>台灣鋼鐵集團旗下不鏽鋼、特殊鋼通路商</t>
        </is>
      </c>
    </row>
    <row r="1430">
      <c r="A1430" t="n">
        <v>4951</v>
      </c>
      <c r="B1430" t="inlineStr">
        <is>
          <t>精拓科</t>
        </is>
      </c>
      <c r="C1430" t="n">
        <v>123.5</v>
      </c>
      <c r="D1430" t="n">
        <v>121</v>
      </c>
      <c r="E1430" s="504" t="n">
        <v>-2.5</v>
      </c>
      <c r="F1430" s="505" t="n">
        <v>-2.02</v>
      </c>
      <c r="G1430" t="inlineStr">
        <is>
          <t>1.01億</t>
        </is>
      </c>
      <c r="H1430" t="n">
        <v>846</v>
      </c>
      <c r="I1430" t="n">
        <v>1300</v>
      </c>
      <c r="J1430" t="n">
        <v>3.41</v>
      </c>
      <c r="K1430" t="n">
        <v>123.5</v>
      </c>
      <c r="L1430" t="n">
        <v>117</v>
      </c>
      <c r="M1430" s="175" t="n">
        <v>2.48</v>
      </c>
      <c r="N1430" t="inlineStr">
        <is>
          <t>台灣電腦系統相關IC供應商</t>
        </is>
      </c>
    </row>
    <row r="1431">
      <c r="A1431" t="n">
        <v>4952</v>
      </c>
      <c r="B1431" t="inlineStr">
        <is>
          <t>凌通</t>
        </is>
      </c>
      <c r="C1431" t="n">
        <v>52.3</v>
      </c>
      <c r="D1431" t="n">
        <v>51.1</v>
      </c>
      <c r="E1431" s="504" t="n">
        <v>-0.8</v>
      </c>
      <c r="F1431" s="505" t="n">
        <v>-1.54</v>
      </c>
      <c r="G1431" t="inlineStr">
        <is>
          <t>3754萬</t>
        </is>
      </c>
      <c r="H1431" t="n">
        <v>737</v>
      </c>
      <c r="I1431" t="n">
        <v>2571</v>
      </c>
      <c r="J1431" t="n">
        <v>10.88</v>
      </c>
      <c r="K1431" t="n">
        <v>52.3</v>
      </c>
      <c r="L1431" t="n">
        <v>50.1</v>
      </c>
      <c r="M1431" s="175" t="n">
        <v>0.68</v>
      </c>
      <c r="N1431" t="inlineStr">
        <is>
          <t>凌陽轉投資的消費性IC廠</t>
        </is>
      </c>
    </row>
    <row r="1432">
      <c r="A1432" t="n">
        <v>4953</v>
      </c>
      <c r="B1432" t="inlineStr">
        <is>
          <t>緯軟</t>
        </is>
      </c>
      <c r="C1432" t="n">
        <v>133</v>
      </c>
      <c r="D1432" t="n">
        <v>135.5</v>
      </c>
      <c r="E1432" s="504" t="n">
        <v>3.5</v>
      </c>
      <c r="F1432" s="505" t="n">
        <v>2.65</v>
      </c>
      <c r="G1432" t="inlineStr">
        <is>
          <t>4.18億</t>
        </is>
      </c>
      <c r="H1432" t="n">
        <v>3145</v>
      </c>
      <c r="I1432" t="n">
        <v>881</v>
      </c>
      <c r="J1432" t="n">
        <v>7.31</v>
      </c>
      <c r="K1432" t="n">
        <v>138</v>
      </c>
      <c r="L1432" t="n">
        <v>131</v>
      </c>
      <c r="M1432" s="175" t="n">
        <v>4.3</v>
      </c>
      <c r="N1432" t="inlineStr">
        <is>
          <t>緯創旗下，台灣大型資訊委外服務廠商</t>
        </is>
      </c>
    </row>
    <row r="1433">
      <c r="A1433" t="n">
        <v>4956</v>
      </c>
      <c r="B1433" t="inlineStr">
        <is>
          <t>光鋐</t>
        </is>
      </c>
      <c r="C1433" t="n">
        <v>45.7</v>
      </c>
      <c r="D1433" t="n">
        <v>44.65</v>
      </c>
      <c r="E1433" s="504" t="n">
        <v>-0.85</v>
      </c>
      <c r="F1433" s="505" t="n">
        <v>-1.87</v>
      </c>
      <c r="G1433" t="inlineStr">
        <is>
          <t>1.49億</t>
        </is>
      </c>
      <c r="H1433" t="n">
        <v>3299</v>
      </c>
      <c r="I1433" t="n">
        <v>5178</v>
      </c>
      <c r="J1433" t="n">
        <v>10.04</v>
      </c>
      <c r="K1433" t="n">
        <v>47.5</v>
      </c>
      <c r="L1433" t="n">
        <v>43.5</v>
      </c>
      <c r="M1433" s="175" t="n">
        <v>3.29</v>
      </c>
      <c r="N1433" t="inlineStr">
        <is>
          <t>泛鴻海集團LED磊晶廠</t>
        </is>
      </c>
    </row>
    <row r="1434">
      <c r="A1434" t="n">
        <v>4958</v>
      </c>
      <c r="B1434" t="inlineStr">
        <is>
          <t>臻鼎-KY</t>
        </is>
      </c>
      <c r="C1434" t="n">
        <v>548</v>
      </c>
      <c r="D1434" t="n">
        <v>520</v>
      </c>
      <c r="E1434" s="504" t="n">
        <v>-28</v>
      </c>
      <c r="F1434" s="505" t="n">
        <v>-5.11</v>
      </c>
      <c r="G1434" t="inlineStr">
        <is>
          <t>58.8億</t>
        </is>
      </c>
      <c r="H1434" t="n">
        <v>11344</v>
      </c>
      <c r="I1434" t="n">
        <v>25979</v>
      </c>
      <c r="J1434" t="n">
        <v>107.06</v>
      </c>
      <c r="K1434" t="n">
        <v>548</v>
      </c>
      <c r="L1434" t="n">
        <v>501</v>
      </c>
      <c r="M1434" s="175" t="n">
        <v>1.06</v>
      </c>
      <c r="N1434" t="inlineStr">
        <is>
          <t>鴻海轉投資的全球第一大PCB廠</t>
        </is>
      </c>
    </row>
    <row r="1435">
      <c r="A1435" t="n">
        <v>4960</v>
      </c>
      <c r="B1435" t="inlineStr">
        <is>
          <t>誠美材</t>
        </is>
      </c>
      <c r="C1435" t="n">
        <v>34</v>
      </c>
      <c r="D1435" t="n">
        <v>32.45</v>
      </c>
      <c r="E1435" s="504" t="n">
        <v>-1.3</v>
      </c>
      <c r="F1435" s="505" t="n">
        <v>-3.85</v>
      </c>
      <c r="G1435" t="inlineStr">
        <is>
          <t>2.71億</t>
        </is>
      </c>
      <c r="H1435" t="n">
        <v>8307</v>
      </c>
      <c r="I1435" t="n">
        <v>10046</v>
      </c>
      <c r="J1435" t="n">
        <v>57.17</v>
      </c>
      <c r="K1435" t="n">
        <v>34</v>
      </c>
      <c r="L1435" t="n">
        <v>31.8</v>
      </c>
      <c r="M1435" s="175" t="n">
        <v>1.45</v>
      </c>
      <c r="N1435" t="inlineStr">
        <is>
          <t>台灣第二大偏光板供應商</t>
        </is>
      </c>
    </row>
    <row r="1436">
      <c r="A1436" t="n">
        <v>4961</v>
      </c>
      <c r="B1436" t="inlineStr">
        <is>
          <t>天鈺</t>
        </is>
      </c>
      <c r="C1436" t="n">
        <v>176</v>
      </c>
      <c r="D1436" t="n">
        <v>173</v>
      </c>
      <c r="E1436" s="504" t="n">
        <v>-2</v>
      </c>
      <c r="F1436" s="505" t="n">
        <v>-1.14</v>
      </c>
      <c r="G1436" t="inlineStr">
        <is>
          <t>2.30億</t>
        </is>
      </c>
      <c r="H1436" t="n">
        <v>1348</v>
      </c>
      <c r="I1436" t="n">
        <v>1229</v>
      </c>
      <c r="J1436" t="n">
        <v>12.13</v>
      </c>
      <c r="K1436" t="n">
        <v>176</v>
      </c>
      <c r="L1436" t="n">
        <v>168.5</v>
      </c>
      <c r="M1436" s="175" t="n">
        <v>1.11</v>
      </c>
      <c r="N1436" t="inlineStr">
        <is>
          <t>產品涵蓋小至大尺寸顯示器驅動IC設計公司</t>
        </is>
      </c>
    </row>
    <row r="1437">
      <c r="A1437" t="n">
        <v>4966</v>
      </c>
      <c r="B1437" t="inlineStr">
        <is>
          <t>譜瑞-KY</t>
        </is>
      </c>
      <c r="C1437" t="n">
        <v>855</v>
      </c>
      <c r="D1437" t="n">
        <v>827</v>
      </c>
      <c r="E1437" s="504" t="n">
        <v>-32</v>
      </c>
      <c r="F1437" s="505" t="n">
        <v>-3.73</v>
      </c>
      <c r="G1437" t="inlineStr">
        <is>
          <t>37.2億</t>
        </is>
      </c>
      <c r="H1437" t="n">
        <v>4409</v>
      </c>
      <c r="I1437" t="n">
        <v>4776</v>
      </c>
      <c r="J1437" t="n">
        <v>7.9</v>
      </c>
      <c r="K1437" t="n">
        <v>874</v>
      </c>
      <c r="L1437" t="n">
        <v>816</v>
      </c>
      <c r="M1437" s="175" t="n">
        <v>5.58</v>
      </c>
      <c r="N1437" t="inlineStr">
        <is>
          <t>專攻高速訊號傳輸介面及顯示晶片廠商</t>
        </is>
      </c>
    </row>
    <row r="1438">
      <c r="A1438" t="n">
        <v>4967</v>
      </c>
      <c r="B1438" t="inlineStr">
        <is>
          <t>十銓</t>
        </is>
      </c>
      <c r="C1438" t="n">
        <v>295</v>
      </c>
      <c r="D1438" t="n">
        <v>304.5</v>
      </c>
      <c r="E1438" s="504" t="n">
        <v>15.5</v>
      </c>
      <c r="F1438" s="505" t="n">
        <v>5.36</v>
      </c>
      <c r="G1438" t="inlineStr">
        <is>
          <t>84.8億</t>
        </is>
      </c>
      <c r="H1438" t="n">
        <v>28323</v>
      </c>
      <c r="I1438" t="n">
        <v>9150</v>
      </c>
      <c r="J1438" t="n">
        <v>9.43</v>
      </c>
      <c r="K1438" t="n">
        <v>310</v>
      </c>
      <c r="L1438" t="n">
        <v>290</v>
      </c>
      <c r="M1438" s="175" t="n">
        <v>33.34</v>
      </c>
      <c r="N1438" t="inlineStr">
        <is>
          <t>全球知名DRAM模組廠</t>
        </is>
      </c>
    </row>
    <row r="1439">
      <c r="A1439" t="n">
        <v>4968</v>
      </c>
      <c r="B1439" t="inlineStr">
        <is>
          <t>立積</t>
        </is>
      </c>
      <c r="C1439" t="n">
        <v>119</v>
      </c>
      <c r="D1439" t="n">
        <v>120</v>
      </c>
      <c r="E1439" s="504" t="n">
        <v>3</v>
      </c>
      <c r="F1439" s="505" t="n">
        <v>2.56</v>
      </c>
      <c r="G1439" t="inlineStr">
        <is>
          <t>3.43億</t>
        </is>
      </c>
      <c r="H1439" t="n">
        <v>2858</v>
      </c>
      <c r="I1439" t="n">
        <v>1320</v>
      </c>
      <c r="J1439" t="n">
        <v>9.220000000000001</v>
      </c>
      <c r="K1439" t="n">
        <v>123</v>
      </c>
      <c r="L1439" t="n">
        <v>117</v>
      </c>
      <c r="M1439" s="175" t="n">
        <v>3.1</v>
      </c>
      <c r="N1439" t="inlineStr">
        <is>
          <t>台灣採用矽及砷化鎵技術的RF射頻前端IC廠</t>
        </is>
      </c>
    </row>
    <row r="1440">
      <c r="A1440" t="n">
        <v>4971</v>
      </c>
      <c r="B1440" t="inlineStr">
        <is>
          <t>IET-KY</t>
        </is>
      </c>
      <c r="C1440" t="n">
        <v>815</v>
      </c>
      <c r="D1440" t="n">
        <v>711</v>
      </c>
      <c r="E1440" s="504" t="n">
        <v>-78</v>
      </c>
      <c r="F1440" s="505" t="n">
        <v>-9.890000000000001</v>
      </c>
      <c r="G1440" t="inlineStr">
        <is>
          <t>24.7億</t>
        </is>
      </c>
      <c r="H1440" t="n">
        <v>3176</v>
      </c>
      <c r="I1440" t="n">
        <v>297</v>
      </c>
      <c r="J1440" t="n">
        <v>4.72</v>
      </c>
      <c r="K1440" t="n">
        <v>833</v>
      </c>
      <c r="L1440" t="n">
        <v>711</v>
      </c>
      <c r="M1440" s="175" t="n">
        <v>7.94</v>
      </c>
      <c r="N1440" t="inlineStr">
        <is>
          <t>以MBE技術製造III-V族磊晶廠</t>
        </is>
      </c>
    </row>
    <row r="1441">
      <c r="A1441" t="n">
        <v>4972</v>
      </c>
      <c r="B1441" t="inlineStr">
        <is>
          <t>湯石照明</t>
        </is>
      </c>
      <c r="C1441" t="n">
        <v>16.6</v>
      </c>
      <c r="D1441" t="n">
        <v>16.5</v>
      </c>
      <c r="E1441" s="504" t="n">
        <v>-0.05</v>
      </c>
      <c r="F1441" s="505" t="n">
        <v>-0.3</v>
      </c>
      <c r="G1441" t="inlineStr">
        <is>
          <t>62.6萬</t>
        </is>
      </c>
      <c r="H1441" t="n">
        <v>38</v>
      </c>
      <c r="I1441" t="n">
        <v>71</v>
      </c>
      <c r="J1441" t="n">
        <v>5.69</v>
      </c>
      <c r="K1441" t="n">
        <v>16.6</v>
      </c>
      <c r="L1441" t="n">
        <v>16.3</v>
      </c>
      <c r="M1441" s="175" t="n">
        <v>0.07000000000000001</v>
      </c>
      <c r="N1441" t="inlineStr">
        <is>
          <t>以自有品牌行銷歐美之LED燈具商</t>
        </is>
      </c>
    </row>
    <row r="1442">
      <c r="A1442" t="n">
        <v>4973</v>
      </c>
      <c r="B1442" t="inlineStr">
        <is>
          <t>廣穎</t>
        </is>
      </c>
      <c r="C1442" t="n">
        <v>154</v>
      </c>
      <c r="D1442" t="n">
        <v>156.5</v>
      </c>
      <c r="E1442" s="504" t="n">
        <v>0</v>
      </c>
      <c r="F1442" s="505" t="n">
        <v>0</v>
      </c>
      <c r="G1442" t="inlineStr">
        <is>
          <t>3.68億</t>
        </is>
      </c>
      <c r="H1442" t="n">
        <v>2378</v>
      </c>
      <c r="I1442" t="n">
        <v>9719</v>
      </c>
      <c r="J1442" t="n">
        <v>6.53</v>
      </c>
      <c r="K1442" t="n">
        <v>159</v>
      </c>
      <c r="L1442" t="n">
        <v>153</v>
      </c>
      <c r="M1442" s="175" t="n">
        <v>3.64</v>
      </c>
      <c r="N1442" t="inlineStr">
        <is>
          <t>矽創轉投資之記憶體產品廠</t>
        </is>
      </c>
    </row>
    <row r="1443">
      <c r="A1443" t="n">
        <v>4974</v>
      </c>
      <c r="B1443" t="inlineStr">
        <is>
          <t>亞泰</t>
        </is>
      </c>
      <c r="C1443" t="n">
        <v>77.90000000000001</v>
      </c>
      <c r="D1443" t="n">
        <v>77.59999999999999</v>
      </c>
      <c r="E1443" s="504" t="n">
        <v>-0.2</v>
      </c>
      <c r="F1443" s="505" t="n">
        <v>-0.26</v>
      </c>
      <c r="G1443" t="inlineStr">
        <is>
          <t>2816萬</t>
        </is>
      </c>
      <c r="H1443" t="n">
        <v>365</v>
      </c>
      <c r="I1443" t="n">
        <v>522</v>
      </c>
      <c r="J1443" t="n">
        <v>7.25</v>
      </c>
      <c r="K1443" t="n">
        <v>77.90000000000001</v>
      </c>
      <c r="L1443" t="n">
        <v>76.59999999999999</v>
      </c>
      <c r="M1443" s="175" t="n">
        <v>0.5</v>
      </c>
      <c r="N1443" t="inlineStr">
        <is>
          <t>全球前三大接觸式CIS影像感測器業者</t>
        </is>
      </c>
    </row>
    <row r="1444">
      <c r="A1444" t="n">
        <v>4976</v>
      </c>
      <c r="B1444" t="inlineStr">
        <is>
          <t>佳凌</t>
        </is>
      </c>
      <c r="C1444" t="n">
        <v>32.4</v>
      </c>
      <c r="D1444" t="n">
        <v>31.95</v>
      </c>
      <c r="E1444" s="504" t="n">
        <v>-0.35</v>
      </c>
      <c r="F1444" s="505" t="n">
        <v>-1.08</v>
      </c>
      <c r="G1444" t="inlineStr">
        <is>
          <t>3222萬</t>
        </is>
      </c>
      <c r="H1444" t="n">
        <v>1006</v>
      </c>
      <c r="I1444" t="n">
        <v>1115</v>
      </c>
      <c r="J1444" t="n">
        <v>14.14</v>
      </c>
      <c r="K1444" t="n">
        <v>33.1</v>
      </c>
      <c r="L1444" t="n">
        <v>31.3</v>
      </c>
      <c r="M1444" s="175" t="n">
        <v>0.71</v>
      </c>
      <c r="N1444" t="inlineStr">
        <is>
          <t>台灣光學鏡片及鏡頭機構組裝供應商</t>
        </is>
      </c>
    </row>
    <row r="1445">
      <c r="A1445" t="n">
        <v>4977</v>
      </c>
      <c r="B1445" t="inlineStr">
        <is>
          <t>眾達-KY</t>
        </is>
      </c>
      <c r="C1445" t="n">
        <v>221.5</v>
      </c>
      <c r="D1445" t="n">
        <v>212.5</v>
      </c>
      <c r="E1445" s="504" t="n">
        <v>-4.5</v>
      </c>
      <c r="F1445" s="505" t="n">
        <v>-2.07</v>
      </c>
      <c r="G1445" t="inlineStr">
        <is>
          <t>15.1億</t>
        </is>
      </c>
      <c r="H1445" t="n">
        <v>6869</v>
      </c>
      <c r="I1445" t="n">
        <v>4915</v>
      </c>
      <c r="J1445" t="n">
        <v>8.02</v>
      </c>
      <c r="K1445" t="n">
        <v>229</v>
      </c>
      <c r="L1445" t="n">
        <v>212</v>
      </c>
      <c r="M1445" s="175" t="n">
        <v>8.57</v>
      </c>
      <c r="N1445" t="inlineStr">
        <is>
          <t>光收發模組封裝及代工廠商</t>
        </is>
      </c>
    </row>
    <row r="1446">
      <c r="A1446" t="n">
        <v>4979</v>
      </c>
      <c r="B1446" t="inlineStr">
        <is>
          <t>華星光</t>
        </is>
      </c>
      <c r="C1446" t="n">
        <v>671</v>
      </c>
      <c r="D1446" t="n">
        <v>630</v>
      </c>
      <c r="E1446" s="504" t="n">
        <v>-20</v>
      </c>
      <c r="F1446" s="505" t="n">
        <v>-3.08</v>
      </c>
      <c r="G1446" t="inlineStr">
        <is>
          <t>103億</t>
        </is>
      </c>
      <c r="H1446" t="n">
        <v>15794</v>
      </c>
      <c r="I1446" t="n">
        <v>9255</v>
      </c>
      <c r="J1446" t="n">
        <v>14.24</v>
      </c>
      <c r="K1446" t="n">
        <v>691</v>
      </c>
      <c r="L1446" t="n">
        <v>630</v>
      </c>
      <c r="M1446" s="175" t="n">
        <v>11.09</v>
      </c>
      <c r="N1446" t="inlineStr">
        <is>
          <t>台灣光收發模組一貫廠</t>
        </is>
      </c>
    </row>
    <row r="1447">
      <c r="A1447" t="n">
        <v>4989</v>
      </c>
      <c r="B1447" t="inlineStr">
        <is>
          <t>榮科</t>
        </is>
      </c>
      <c r="C1447" t="n">
        <v>107</v>
      </c>
      <c r="D1447" t="n">
        <v>100</v>
      </c>
      <c r="E1447" s="504" t="n">
        <v>-7</v>
      </c>
      <c r="F1447" s="505" t="n">
        <v>-6.54</v>
      </c>
      <c r="G1447" t="inlineStr">
        <is>
          <t>13.4億</t>
        </is>
      </c>
      <c r="H1447" t="n">
        <v>13186</v>
      </c>
      <c r="I1447" t="n">
        <v>18303</v>
      </c>
      <c r="J1447" t="n">
        <v>13.78</v>
      </c>
      <c r="K1447" t="n">
        <v>107.5</v>
      </c>
      <c r="L1447" t="n">
        <v>98.59999999999999</v>
      </c>
      <c r="M1447" s="175" t="n">
        <v>9.57</v>
      </c>
      <c r="N1447" t="inlineStr">
        <is>
          <t>榮化轉投資的電解銅箔廠</t>
        </is>
      </c>
    </row>
    <row r="1448">
      <c r="A1448" t="n">
        <v>4991</v>
      </c>
      <c r="B1448" t="inlineStr">
        <is>
          <t>環宇-KY</t>
        </is>
      </c>
      <c r="C1448" t="n">
        <v>756</v>
      </c>
      <c r="D1448" t="n">
        <v>702</v>
      </c>
      <c r="E1448" s="504" t="n">
        <v>-33</v>
      </c>
      <c r="F1448" s="505" t="n">
        <v>-4.49</v>
      </c>
      <c r="G1448" t="inlineStr">
        <is>
          <t>42.6億</t>
        </is>
      </c>
      <c r="H1448" t="n">
        <v>5934</v>
      </c>
      <c r="I1448" t="n">
        <v>6056</v>
      </c>
      <c r="J1448" t="n">
        <v>12.09</v>
      </c>
      <c r="K1448" t="n">
        <v>773</v>
      </c>
      <c r="L1448" t="n">
        <v>677</v>
      </c>
      <c r="M1448" s="175" t="n">
        <v>4.91</v>
      </c>
      <c r="N1448" t="inlineStr">
        <is>
          <t>全球III-V族專業晶圓代工廠</t>
        </is>
      </c>
    </row>
    <row r="1449">
      <c r="A1449" t="n">
        <v>4994</v>
      </c>
      <c r="B1449" t="inlineStr">
        <is>
          <t>傳奇</t>
        </is>
      </c>
      <c r="C1449" t="n">
        <v>89.8</v>
      </c>
      <c r="D1449" t="n">
        <v>87.3</v>
      </c>
      <c r="E1449" s="504" t="n">
        <v>-2.8</v>
      </c>
      <c r="F1449" s="505" t="n">
        <v>-3.11</v>
      </c>
      <c r="G1449" t="inlineStr">
        <is>
          <t>4517萬</t>
        </is>
      </c>
      <c r="H1449" t="n">
        <v>548</v>
      </c>
      <c r="I1449" t="n">
        <v>30</v>
      </c>
      <c r="J1449" t="n">
        <v>6.64</v>
      </c>
      <c r="K1449" t="n">
        <v>89.90000000000001</v>
      </c>
      <c r="L1449" t="n">
        <v>81.09999999999999</v>
      </c>
      <c r="M1449" s="175" t="n">
        <v>0.83</v>
      </c>
      <c r="N1449" t="inlineStr">
        <is>
          <t>台灣知名遊戲開發商</t>
        </is>
      </c>
    </row>
    <row r="1450">
      <c r="A1450" t="n">
        <v>4995</v>
      </c>
      <c r="B1450" t="inlineStr">
        <is>
          <t>晶達</t>
        </is>
      </c>
      <c r="C1450" t="n">
        <v>46.3</v>
      </c>
      <c r="D1450" t="n">
        <v>46.2</v>
      </c>
      <c r="E1450" s="504" t="n">
        <v>0.3</v>
      </c>
      <c r="F1450" s="505" t="n">
        <v>0.65</v>
      </c>
      <c r="G1450" t="inlineStr">
        <is>
          <t>259萬</t>
        </is>
      </c>
      <c r="H1450" t="n">
        <v>56</v>
      </c>
      <c r="I1450" t="n">
        <v>103</v>
      </c>
      <c r="J1450" t="n">
        <v>4.26</v>
      </c>
      <c r="K1450" t="n">
        <v>46.45</v>
      </c>
      <c r="L1450" t="n">
        <v>45.95</v>
      </c>
      <c r="M1450" s="175" t="n">
        <v>0.13</v>
      </c>
      <c r="N1450" t="inlineStr">
        <is>
          <t>工業用高亮度面板專業廠商</t>
        </is>
      </c>
    </row>
    <row r="1451">
      <c r="A1451" t="n">
        <v>4999</v>
      </c>
      <c r="B1451" t="inlineStr">
        <is>
          <t>鑫禾</t>
        </is>
      </c>
      <c r="C1451" t="n">
        <v>20.4</v>
      </c>
      <c r="D1451" t="n">
        <v>20.5</v>
      </c>
      <c r="E1451" s="504" t="n">
        <v>0.1</v>
      </c>
      <c r="F1451" s="505" t="n">
        <v>0.49</v>
      </c>
      <c r="G1451" t="inlineStr">
        <is>
          <t>288萬</t>
        </is>
      </c>
      <c r="H1451" t="n">
        <v>141</v>
      </c>
      <c r="I1451" t="n">
        <v>145</v>
      </c>
      <c r="J1451" t="n">
        <v>7.44</v>
      </c>
      <c r="K1451" t="n">
        <v>20.7</v>
      </c>
      <c r="L1451" t="n">
        <v>20.3</v>
      </c>
      <c r="M1451" s="175" t="n">
        <v>0.19</v>
      </c>
      <c r="N1451" t="inlineStr">
        <is>
          <t>全球前三大筆電樞紐製造商</t>
        </is>
      </c>
    </row>
    <row r="1452">
      <c r="A1452" t="n">
        <v>5007</v>
      </c>
      <c r="B1452" t="inlineStr">
        <is>
          <t>三星</t>
        </is>
      </c>
      <c r="C1452" t="n">
        <v>57.9</v>
      </c>
      <c r="D1452" t="n">
        <v>58</v>
      </c>
      <c r="E1452" s="504" t="n">
        <v>0</v>
      </c>
      <c r="F1452" s="505" t="n">
        <v>0</v>
      </c>
      <c r="G1452" t="inlineStr">
        <is>
          <t>266萬</t>
        </is>
      </c>
      <c r="H1452" t="n">
        <v>46</v>
      </c>
      <c r="I1452" t="n">
        <v>73</v>
      </c>
      <c r="J1452" t="n">
        <v>29.49</v>
      </c>
      <c r="K1452" t="n">
        <v>58</v>
      </c>
      <c r="L1452" t="n">
        <v>57.5</v>
      </c>
      <c r="M1452" s="175" t="n">
        <v>0.02</v>
      </c>
      <c r="N1452" t="inlineStr">
        <is>
          <t>全球最大鋼鐵螺帽製造商</t>
        </is>
      </c>
    </row>
    <row r="1453">
      <c r="A1453" t="n">
        <v>5009</v>
      </c>
      <c r="B1453" t="inlineStr">
        <is>
          <t>榮剛</t>
        </is>
      </c>
      <c r="C1453" t="n">
        <v>36.5</v>
      </c>
      <c r="D1453" t="n">
        <v>35.95</v>
      </c>
      <c r="E1453" s="504" t="n">
        <v>-0.35</v>
      </c>
      <c r="F1453" s="505" t="n">
        <v>-0.96</v>
      </c>
      <c r="G1453" t="inlineStr">
        <is>
          <t>9050萬</t>
        </is>
      </c>
      <c r="H1453" t="n">
        <v>2518</v>
      </c>
      <c r="I1453" t="n">
        <v>3806</v>
      </c>
      <c r="J1453" t="n">
        <v>60.25</v>
      </c>
      <c r="K1453" t="n">
        <v>36.6</v>
      </c>
      <c r="L1453" t="n">
        <v>35.5</v>
      </c>
      <c r="M1453" s="175" t="n">
        <v>0.42</v>
      </c>
      <c r="N1453" t="inlineStr">
        <is>
          <t>全球前十大合金棒鋼廠</t>
        </is>
      </c>
    </row>
    <row r="1454">
      <c r="A1454" t="n">
        <v>5011</v>
      </c>
      <c r="B1454" t="inlineStr">
        <is>
          <t>久陽</t>
        </is>
      </c>
      <c r="C1454" t="n">
        <v>19.15</v>
      </c>
      <c r="D1454" t="n">
        <v>18.8</v>
      </c>
      <c r="E1454" s="504" t="n">
        <v>-0.55</v>
      </c>
      <c r="F1454" s="505" t="n">
        <v>-2.84</v>
      </c>
      <c r="G1454" t="inlineStr">
        <is>
          <t>1320萬</t>
        </is>
      </c>
      <c r="H1454" t="n">
        <v>707</v>
      </c>
      <c r="I1454" t="n">
        <v>2542</v>
      </c>
      <c r="J1454" t="n">
        <v>10.07</v>
      </c>
      <c r="K1454" t="n">
        <v>19.15</v>
      </c>
      <c r="L1454" t="n">
        <v>18.35</v>
      </c>
      <c r="M1454" s="175" t="n">
        <v>0.7</v>
      </c>
      <c r="N1454" t="inlineStr">
        <is>
          <t>台鋼集團旗下螺絲大廠</t>
        </is>
      </c>
    </row>
    <row r="1455">
      <c r="A1455" t="n">
        <v>5013</v>
      </c>
      <c r="B1455" t="inlineStr">
        <is>
          <t>強新</t>
        </is>
      </c>
      <c r="C1455" t="n">
        <v>28.65</v>
      </c>
      <c r="D1455" t="n">
        <v>28.2</v>
      </c>
      <c r="E1455" s="504" t="n">
        <v>0.1</v>
      </c>
      <c r="F1455" s="505" t="n">
        <v>0.36</v>
      </c>
      <c r="G1455" t="inlineStr">
        <is>
          <t>31.0萬</t>
        </is>
      </c>
      <c r="H1455" t="n">
        <v>11</v>
      </c>
      <c r="I1455" t="n">
        <v>6</v>
      </c>
      <c r="J1455" t="n">
        <v>13.34</v>
      </c>
      <c r="K1455" t="n">
        <v>28.65</v>
      </c>
      <c r="L1455" t="n">
        <v>27.9</v>
      </c>
      <c r="M1455" s="175" t="n">
        <v>0.01</v>
      </c>
      <c r="N1455" t="inlineStr">
        <is>
          <t>台灣超潔淨電解拋光不銹鋼管（EP管）領導廠商</t>
        </is>
      </c>
    </row>
    <row r="1456">
      <c r="A1456" t="n">
        <v>5014</v>
      </c>
      <c r="B1456" t="inlineStr">
        <is>
          <t>建錩</t>
        </is>
      </c>
      <c r="C1456" t="n">
        <v>11.3</v>
      </c>
      <c r="D1456" t="n">
        <v>11.2</v>
      </c>
      <c r="E1456" s="504" t="n">
        <v>0.1</v>
      </c>
      <c r="F1456" s="505" t="n">
        <v>0.9</v>
      </c>
      <c r="G1456" t="inlineStr">
        <is>
          <t>235萬</t>
        </is>
      </c>
      <c r="H1456" t="n">
        <v>212</v>
      </c>
      <c r="I1456" t="n">
        <v>440</v>
      </c>
      <c r="J1456" t="n">
        <v>18.33</v>
      </c>
      <c r="K1456" t="n">
        <v>11.3</v>
      </c>
      <c r="L1456" t="n">
        <v>10.95</v>
      </c>
      <c r="M1456" s="175" t="n">
        <v>0.12</v>
      </c>
      <c r="N1456" t="inlineStr">
        <is>
          <t>不鏽鋼板裁剪及分條加工廠</t>
        </is>
      </c>
    </row>
    <row r="1457">
      <c r="A1457" t="n">
        <v>5015</v>
      </c>
      <c r="B1457" t="inlineStr">
        <is>
          <t>華祺</t>
        </is>
      </c>
      <c r="C1457" t="n">
        <v>24.7</v>
      </c>
      <c r="D1457" t="n">
        <v>24.7</v>
      </c>
      <c r="E1457" s="504" t="n">
        <v>-0.1</v>
      </c>
      <c r="F1457" s="505" t="n">
        <v>-0.4</v>
      </c>
      <c r="G1457" t="inlineStr">
        <is>
          <t>71.8萬</t>
        </is>
      </c>
      <c r="H1457" t="n">
        <v>29</v>
      </c>
      <c r="I1457" t="n">
        <v>78</v>
      </c>
      <c r="J1457" t="n">
        <v>6.06</v>
      </c>
      <c r="K1457" t="n">
        <v>25.1</v>
      </c>
      <c r="L1457" t="n">
        <v>24.65</v>
      </c>
      <c r="M1457" s="175" t="n">
        <v>0.05</v>
      </c>
      <c r="N1457" t="inlineStr">
        <is>
          <t>全球知名不鏽鋼螺絲製造廠</t>
        </is>
      </c>
    </row>
    <row r="1458">
      <c r="A1458" t="n">
        <v>5016</v>
      </c>
      <c r="B1458" t="inlineStr">
        <is>
          <t>松和</t>
        </is>
      </c>
      <c r="C1458" t="n">
        <v>25.4</v>
      </c>
      <c r="D1458" t="n">
        <v>25.05</v>
      </c>
      <c r="E1458" s="504" t="n">
        <v>-0.15</v>
      </c>
      <c r="F1458" s="505" t="n">
        <v>-0.6</v>
      </c>
      <c r="G1458" t="inlineStr">
        <is>
          <t>270萬</t>
        </is>
      </c>
      <c r="H1458" t="n">
        <v>109</v>
      </c>
      <c r="I1458" t="n">
        <v>242</v>
      </c>
      <c r="J1458" t="n">
        <v>4.96</v>
      </c>
      <c r="K1458" t="n">
        <v>25.4</v>
      </c>
      <c r="L1458" t="n">
        <v>24.8</v>
      </c>
      <c r="M1458" s="175" t="n">
        <v>0.22</v>
      </c>
      <c r="N1458" t="inlineStr">
        <is>
          <t>台灣規模最大鋼線鋼纜廠之一</t>
        </is>
      </c>
    </row>
    <row r="1459">
      <c r="A1459" t="n">
        <v>5201</v>
      </c>
      <c r="B1459" t="inlineStr">
        <is>
          <t>凱衛</t>
        </is>
      </c>
      <c r="C1459" t="n">
        <v>29.85</v>
      </c>
      <c r="D1459" t="n">
        <v>29</v>
      </c>
      <c r="E1459" s="504" t="n">
        <v>0</v>
      </c>
      <c r="F1459" s="505" t="n">
        <v>0</v>
      </c>
      <c r="G1459" t="inlineStr">
        <is>
          <t>318萬</t>
        </is>
      </c>
      <c r="H1459" t="n">
        <v>109</v>
      </c>
      <c r="I1459" t="n">
        <v>95</v>
      </c>
      <c r="J1459" t="n">
        <v>3.87</v>
      </c>
      <c r="K1459" t="n">
        <v>29.85</v>
      </c>
      <c r="L1459" t="n">
        <v>28.65</v>
      </c>
      <c r="M1459" s="175" t="n">
        <v>0.28</v>
      </c>
      <c r="N1459" t="inlineStr">
        <is>
          <t>以證券金融服務為主的系統整合商</t>
        </is>
      </c>
    </row>
    <row r="1460">
      <c r="A1460" t="n">
        <v>5202</v>
      </c>
      <c r="B1460" t="inlineStr">
        <is>
          <t>力新</t>
        </is>
      </c>
      <c r="C1460" t="n">
        <v>13</v>
      </c>
      <c r="D1460" t="n">
        <v>13.65</v>
      </c>
      <c r="E1460" s="504" t="n">
        <v>0.85</v>
      </c>
      <c r="F1460" s="505" t="n">
        <v>6.64</v>
      </c>
      <c r="G1460" t="inlineStr">
        <is>
          <t>1104萬</t>
        </is>
      </c>
      <c r="H1460" t="n">
        <v>824</v>
      </c>
      <c r="I1460" t="n">
        <v>612</v>
      </c>
      <c r="J1460" t="n">
        <v>8.91</v>
      </c>
      <c r="K1460" t="n">
        <v>13.8</v>
      </c>
      <c r="L1460" t="n">
        <v>12.95</v>
      </c>
      <c r="M1460" s="175" t="n">
        <v>0.92</v>
      </c>
      <c r="N1460" t="inlineStr">
        <is>
          <t>台灣影像處理軟體商</t>
        </is>
      </c>
    </row>
    <row r="1461">
      <c r="A1461" t="n">
        <v>5203</v>
      </c>
      <c r="B1461" t="inlineStr">
        <is>
          <t>訊連</t>
        </is>
      </c>
      <c r="C1461" t="n">
        <v>72</v>
      </c>
      <c r="D1461" t="n">
        <v>70.59999999999999</v>
      </c>
      <c r="E1461" s="504" t="n">
        <v>0.6</v>
      </c>
      <c r="F1461" s="505" t="n">
        <v>0.86</v>
      </c>
      <c r="G1461" t="inlineStr">
        <is>
          <t>8453萬</t>
        </is>
      </c>
      <c r="H1461" t="n">
        <v>1204</v>
      </c>
      <c r="I1461" t="n">
        <v>486</v>
      </c>
      <c r="J1461" t="n">
        <v>7.94</v>
      </c>
      <c r="K1461" t="n">
        <v>72.3</v>
      </c>
      <c r="L1461" t="n">
        <v>68.5</v>
      </c>
      <c r="M1461" s="175" t="n">
        <v>1.52</v>
      </c>
      <c r="N1461" t="inlineStr">
        <is>
          <t>全球知名多媒體影音軟體公司</t>
        </is>
      </c>
    </row>
    <row r="1462">
      <c r="A1462" t="n">
        <v>5205</v>
      </c>
      <c r="B1462" t="inlineStr">
        <is>
          <t>中茂</t>
        </is>
      </c>
      <c r="C1462" t="n">
        <v>23.7</v>
      </c>
      <c r="D1462" t="n">
        <v>21.65</v>
      </c>
      <c r="E1462" s="504" t="n">
        <v>-1.65</v>
      </c>
      <c r="F1462" s="505" t="n">
        <v>-7.08</v>
      </c>
      <c r="G1462" t="inlineStr">
        <is>
          <t>22.4萬</t>
        </is>
      </c>
      <c r="H1462" t="n">
        <v>10</v>
      </c>
      <c r="I1462" t="n">
        <v>3</v>
      </c>
      <c r="J1462" t="n">
        <v>1.35</v>
      </c>
      <c r="K1462" t="n">
        <v>23.7</v>
      </c>
      <c r="L1462" t="n">
        <v>21.35</v>
      </c>
      <c r="M1462" s="175" t="n">
        <v>0.07000000000000001</v>
      </c>
      <c r="N1462" t="inlineStr">
        <is>
          <t>廢水及廢棄物處理工程商</t>
        </is>
      </c>
    </row>
    <row r="1463">
      <c r="A1463" t="n">
        <v>5206</v>
      </c>
      <c r="B1463" t="inlineStr">
        <is>
          <t>坤悅</t>
        </is>
      </c>
      <c r="C1463" t="n">
        <v>21.7</v>
      </c>
      <c r="D1463" t="n">
        <v>21.7</v>
      </c>
      <c r="E1463" s="504" t="n">
        <v>0</v>
      </c>
      <c r="F1463" s="505" t="n">
        <v>0</v>
      </c>
      <c r="G1463" t="inlineStr">
        <is>
          <t>311萬</t>
        </is>
      </c>
      <c r="H1463" t="n">
        <v>144</v>
      </c>
      <c r="I1463" t="n">
        <v>79</v>
      </c>
      <c r="J1463" t="n">
        <v>17.15</v>
      </c>
      <c r="K1463" t="n">
        <v>21.8</v>
      </c>
      <c r="L1463" t="n">
        <v>21.5</v>
      </c>
      <c r="M1463" s="175" t="n">
        <v>0.08</v>
      </c>
      <c r="N1463" t="inlineStr">
        <is>
          <t>推案集中於台中地區之建商</t>
        </is>
      </c>
    </row>
    <row r="1464">
      <c r="A1464" t="n">
        <v>5209</v>
      </c>
      <c r="B1464" t="inlineStr">
        <is>
          <t>新鼎</t>
        </is>
      </c>
      <c r="C1464" t="n">
        <v>172.5</v>
      </c>
      <c r="D1464" t="n">
        <v>174.5</v>
      </c>
      <c r="E1464" s="504" t="n">
        <v>3</v>
      </c>
      <c r="F1464" s="505" t="n">
        <v>1.75</v>
      </c>
      <c r="G1464" t="inlineStr">
        <is>
          <t>1020萬</t>
        </is>
      </c>
      <c r="H1464" t="n">
        <v>59</v>
      </c>
      <c r="I1464" t="n">
        <v>52</v>
      </c>
      <c r="J1464" t="n">
        <v>2.86</v>
      </c>
      <c r="K1464" t="n">
        <v>174.5</v>
      </c>
      <c r="L1464" t="n">
        <v>171.5</v>
      </c>
      <c r="M1464" s="175" t="n">
        <v>0.21</v>
      </c>
      <c r="N1464" t="inlineStr">
        <is>
          <t>中鼎旗下石化、煉油廠、交通機電等資訊系統工程SI廠</t>
        </is>
      </c>
    </row>
    <row r="1465">
      <c r="A1465" t="n">
        <v>5210</v>
      </c>
      <c r="B1465" t="inlineStr">
        <is>
          <t>寶碩</t>
        </is>
      </c>
      <c r="C1465" t="n">
        <v>29.3</v>
      </c>
      <c r="D1465" t="n">
        <v>29.1</v>
      </c>
      <c r="E1465" s="504" t="n">
        <v>-0.15</v>
      </c>
      <c r="F1465" s="505" t="n">
        <v>-0.51</v>
      </c>
      <c r="G1465" t="inlineStr">
        <is>
          <t>1649萬</t>
        </is>
      </c>
      <c r="H1465" t="n">
        <v>565</v>
      </c>
      <c r="I1465" t="n">
        <v>1109</v>
      </c>
      <c r="J1465" t="n">
        <v>8.220000000000001</v>
      </c>
      <c r="K1465" t="n">
        <v>29.5</v>
      </c>
      <c r="L1465" t="n">
        <v>28.95</v>
      </c>
      <c r="M1465" s="175" t="n">
        <v>0.6899999999999999</v>
      </c>
      <c r="N1465" t="inlineStr">
        <is>
          <t>證券金融相關解決方案系統整合廠商</t>
        </is>
      </c>
    </row>
    <row r="1466">
      <c r="A1466" t="n">
        <v>5211</v>
      </c>
      <c r="B1466" t="inlineStr">
        <is>
          <t>蒙恬</t>
        </is>
      </c>
      <c r="C1466" t="n">
        <v>18.4</v>
      </c>
      <c r="D1466" t="n">
        <v>19.4</v>
      </c>
      <c r="E1466" s="504" t="n">
        <v>0.95</v>
      </c>
      <c r="F1466" s="505" t="n">
        <v>5.15</v>
      </c>
      <c r="G1466" t="inlineStr">
        <is>
          <t>787萬</t>
        </is>
      </c>
      <c r="H1466" t="n">
        <v>402</v>
      </c>
      <c r="I1466" t="n">
        <v>81</v>
      </c>
      <c r="J1466" t="n">
        <v>3.2</v>
      </c>
      <c r="K1466" t="n">
        <v>20.25</v>
      </c>
      <c r="L1466" t="n">
        <v>18.3</v>
      </c>
      <c r="M1466" s="175" t="n">
        <v>1.26</v>
      </c>
      <c r="N1466" t="inlineStr">
        <is>
          <t>台灣手寫辨識軟硬體廠商</t>
        </is>
      </c>
    </row>
    <row r="1467">
      <c r="A1467" t="n">
        <v>5212</v>
      </c>
      <c r="B1467" t="inlineStr">
        <is>
          <t>凌網</t>
        </is>
      </c>
      <c r="C1467" t="n">
        <v>46.5</v>
      </c>
      <c r="D1467" t="n">
        <v>46.7</v>
      </c>
      <c r="E1467" s="504" t="n">
        <v>-0.05</v>
      </c>
      <c r="F1467" s="505" t="n">
        <v>-0.11</v>
      </c>
      <c r="G1467" t="inlineStr">
        <is>
          <t>75.0萬</t>
        </is>
      </c>
      <c r="H1467" t="n">
        <v>16</v>
      </c>
      <c r="I1467" t="n">
        <v>36</v>
      </c>
      <c r="J1467" t="n">
        <v>3.46</v>
      </c>
      <c r="K1467" t="n">
        <v>47.65</v>
      </c>
      <c r="L1467" t="n">
        <v>46.5</v>
      </c>
      <c r="M1467" s="175" t="n">
        <v>0.05</v>
      </c>
      <c r="N1467" t="inlineStr">
        <is>
          <t>以知識管理為主的系統整合廠</t>
        </is>
      </c>
    </row>
    <row r="1468">
      <c r="A1468" t="n">
        <v>5213</v>
      </c>
      <c r="B1468" t="inlineStr">
        <is>
          <t>亞昕</t>
        </is>
      </c>
      <c r="C1468" t="n">
        <v>26.85</v>
      </c>
      <c r="D1468" t="n">
        <v>26.9</v>
      </c>
      <c r="E1468" s="504" t="n">
        <v>0.15</v>
      </c>
      <c r="F1468" s="505" t="n">
        <v>0.5600000000000001</v>
      </c>
      <c r="G1468" t="inlineStr">
        <is>
          <t>2273萬</t>
        </is>
      </c>
      <c r="H1468" t="n">
        <v>850</v>
      </c>
      <c r="I1468" t="n">
        <v>893</v>
      </c>
      <c r="J1468" t="n">
        <v>72.13</v>
      </c>
      <c r="K1468" t="n">
        <v>26.9</v>
      </c>
      <c r="L1468" t="n">
        <v>26.6</v>
      </c>
      <c r="M1468" s="175" t="n">
        <v>0.12</v>
      </c>
      <c r="N1468" t="inlineStr">
        <is>
          <t>推案集中於大台北地區之建商</t>
        </is>
      </c>
    </row>
    <row r="1469">
      <c r="A1469" t="n">
        <v>5215</v>
      </c>
      <c r="B1469" t="inlineStr">
        <is>
          <t>科嘉-KY</t>
        </is>
      </c>
      <c r="C1469" t="n">
        <v>50</v>
      </c>
      <c r="D1469" t="n">
        <v>49.1</v>
      </c>
      <c r="E1469" s="504" t="n">
        <v>-1.2</v>
      </c>
      <c r="F1469" s="505" t="n">
        <v>-2.39</v>
      </c>
      <c r="G1469" t="inlineStr">
        <is>
          <t>1811萬</t>
        </is>
      </c>
      <c r="H1469" t="n">
        <v>373</v>
      </c>
      <c r="I1469" t="n">
        <v>344</v>
      </c>
      <c r="J1469" t="n">
        <v>6.43</v>
      </c>
      <c r="K1469" t="n">
        <v>50</v>
      </c>
      <c r="L1469" t="n">
        <v>47.5</v>
      </c>
      <c r="M1469" s="175" t="n">
        <v>0.58</v>
      </c>
      <c r="N1469" t="inlineStr">
        <is>
          <t>全球知名NB薄膜觸控開關製造商</t>
        </is>
      </c>
    </row>
    <row r="1470">
      <c r="A1470" t="n">
        <v>5220</v>
      </c>
      <c r="B1470" t="inlineStr">
        <is>
          <t>萬達光電</t>
        </is>
      </c>
      <c r="C1470" t="n">
        <v>23.45</v>
      </c>
      <c r="D1470" t="n">
        <v>23</v>
      </c>
      <c r="E1470" s="504" t="n">
        <v>-0.35</v>
      </c>
      <c r="F1470" s="505" t="n">
        <v>-1.5</v>
      </c>
      <c r="G1470" t="inlineStr">
        <is>
          <t>288萬</t>
        </is>
      </c>
      <c r="H1470" t="n">
        <v>125</v>
      </c>
      <c r="I1470" t="n">
        <v>179</v>
      </c>
      <c r="J1470" t="n">
        <v>3.97</v>
      </c>
      <c r="K1470" t="n">
        <v>23.5</v>
      </c>
      <c r="L1470" t="n">
        <v>22.8</v>
      </c>
      <c r="M1470" s="175" t="n">
        <v>0.32</v>
      </c>
      <c r="N1470" t="inlineStr">
        <is>
          <t>台灣觸控面板廠，主要聚焦於軍、工控等市場</t>
        </is>
      </c>
    </row>
    <row r="1471">
      <c r="A1471" t="n">
        <v>5222</v>
      </c>
      <c r="B1471" t="inlineStr">
        <is>
          <t>全訊</t>
        </is>
      </c>
      <c r="C1471" t="n">
        <v>126.5</v>
      </c>
      <c r="D1471" t="n">
        <v>123.5</v>
      </c>
      <c r="E1471" s="504" t="n">
        <v>-3</v>
      </c>
      <c r="F1471" s="505" t="n">
        <v>-2.37</v>
      </c>
      <c r="G1471" t="inlineStr">
        <is>
          <t>7611萬</t>
        </is>
      </c>
      <c r="H1471" t="n">
        <v>620</v>
      </c>
      <c r="I1471" t="n">
        <v>506</v>
      </c>
      <c r="J1471" t="n">
        <v>9.109999999999999</v>
      </c>
      <c r="K1471" t="n">
        <v>126.5</v>
      </c>
      <c r="L1471" t="n">
        <v>122</v>
      </c>
      <c r="M1471" s="175" t="n">
        <v>0.68</v>
      </c>
      <c r="N1471" t="inlineStr">
        <is>
          <t>功率放大器及低雜訊放大器微波元件製造商</t>
        </is>
      </c>
    </row>
    <row r="1472">
      <c r="A1472" t="n">
        <v>5223</v>
      </c>
      <c r="B1472" t="inlineStr">
        <is>
          <t>安力-KY</t>
        </is>
      </c>
      <c r="C1472" t="n">
        <v>25.55</v>
      </c>
      <c r="D1472" t="n">
        <v>25.35</v>
      </c>
      <c r="E1472" s="504" t="n">
        <v>-0.2</v>
      </c>
      <c r="F1472" s="505" t="n">
        <v>-0.78</v>
      </c>
      <c r="G1472" t="inlineStr">
        <is>
          <t>81.4萬</t>
        </is>
      </c>
      <c r="H1472" t="n">
        <v>32</v>
      </c>
      <c r="I1472" t="n">
        <v>54</v>
      </c>
      <c r="J1472" t="n">
        <v>4.45</v>
      </c>
      <c r="K1472" t="n">
        <v>26.25</v>
      </c>
      <c r="L1472" t="n">
        <v>25.15</v>
      </c>
      <c r="M1472" s="175" t="n">
        <v>0.07000000000000001</v>
      </c>
      <c r="N1472" t="inlineStr">
        <is>
          <t>行動裝置散熱及機構件廠商</t>
        </is>
      </c>
    </row>
    <row r="1473">
      <c r="A1473" t="n">
        <v>5225</v>
      </c>
      <c r="B1473" t="inlineStr">
        <is>
          <t>東科-KY</t>
        </is>
      </c>
      <c r="C1473" t="n">
        <v>71.7</v>
      </c>
      <c r="D1473" t="n">
        <v>71.5</v>
      </c>
      <c r="E1473" s="504" t="n">
        <v>-0.1</v>
      </c>
      <c r="F1473" s="505" t="n">
        <v>-0.14</v>
      </c>
      <c r="G1473" t="inlineStr">
        <is>
          <t>2171萬</t>
        </is>
      </c>
      <c r="H1473" t="n">
        <v>305</v>
      </c>
      <c r="I1473" t="n">
        <v>394</v>
      </c>
      <c r="J1473" t="n">
        <v>7.91</v>
      </c>
      <c r="K1473" t="n">
        <v>71.7</v>
      </c>
      <c r="L1473" t="n">
        <v>70.8</v>
      </c>
      <c r="M1473" s="175" t="n">
        <v>0.39</v>
      </c>
      <c r="N1473" t="inlineStr">
        <is>
          <t>全球最大影音揚聲器OEM製造商</t>
        </is>
      </c>
    </row>
    <row r="1474">
      <c r="A1474" t="n">
        <v>5227</v>
      </c>
      <c r="B1474" t="inlineStr">
        <is>
          <t>立凱-KY</t>
        </is>
      </c>
      <c r="C1474" t="n">
        <v>24.7</v>
      </c>
      <c r="D1474" t="n">
        <v>24.4</v>
      </c>
      <c r="E1474" s="504" t="n">
        <v>-0.3</v>
      </c>
      <c r="F1474" s="505" t="n">
        <v>-1.21</v>
      </c>
      <c r="G1474" t="inlineStr">
        <is>
          <t>295萬</t>
        </is>
      </c>
      <c r="H1474" t="n">
        <v>120</v>
      </c>
      <c r="I1474" t="n">
        <v>183</v>
      </c>
      <c r="J1474" t="n">
        <v>6.8</v>
      </c>
      <c r="K1474" t="n">
        <v>24.75</v>
      </c>
      <c r="L1474" t="n">
        <v>24.2</v>
      </c>
      <c r="M1474" s="175" t="n">
        <v>0.18</v>
      </c>
      <c r="N1474" t="inlineStr">
        <is>
          <t>台灣磷酸鐵鋰電池正極材料廠商</t>
        </is>
      </c>
    </row>
    <row r="1475">
      <c r="A1475" t="n">
        <v>5228</v>
      </c>
      <c r="B1475" t="inlineStr">
        <is>
          <t>鈺鎧</t>
        </is>
      </c>
      <c r="C1475" t="n">
        <v>63.4</v>
      </c>
      <c r="D1475" t="n">
        <v>64.3</v>
      </c>
      <c r="E1475" s="504" t="n">
        <v>-0.4</v>
      </c>
      <c r="F1475" s="505" t="n">
        <v>-0.62</v>
      </c>
      <c r="G1475" t="inlineStr">
        <is>
          <t>1.15億</t>
        </is>
      </c>
      <c r="H1475" t="n">
        <v>1868</v>
      </c>
      <c r="I1475" t="n">
        <v>1061</v>
      </c>
      <c r="J1475" t="n">
        <v>3.81</v>
      </c>
      <c r="K1475" t="n">
        <v>65.8</v>
      </c>
      <c r="L1475" t="n">
        <v>58.8</v>
      </c>
      <c r="M1475" s="175" t="n">
        <v>4.91</v>
      </c>
      <c r="N1475" t="inlineStr">
        <is>
          <t>國內專業磁性被動元件製造廠</t>
        </is>
      </c>
    </row>
    <row r="1476">
      <c r="A1476" t="n">
        <v>5230</v>
      </c>
      <c r="B1476" t="inlineStr">
        <is>
          <t>雷笛克光學</t>
        </is>
      </c>
      <c r="C1476" t="n">
        <v>17.25</v>
      </c>
      <c r="D1476" t="n">
        <v>17.7</v>
      </c>
      <c r="E1476" s="504" t="n">
        <v>0.25</v>
      </c>
      <c r="F1476" s="505" t="n">
        <v>1.43</v>
      </c>
      <c r="G1476" t="inlineStr">
        <is>
          <t>370萬</t>
        </is>
      </c>
      <c r="H1476" t="n">
        <v>213</v>
      </c>
      <c r="I1476" t="n">
        <v>208</v>
      </c>
      <c r="J1476" t="n">
        <v>5.6</v>
      </c>
      <c r="K1476" t="n">
        <v>17.75</v>
      </c>
      <c r="L1476" t="n">
        <v>17.15</v>
      </c>
      <c r="M1476" s="175" t="n">
        <v>0.38</v>
      </c>
      <c r="N1476" t="inlineStr">
        <is>
          <t>主要從事LED二次光學透鏡之研發、製造及生產</t>
        </is>
      </c>
    </row>
    <row r="1477">
      <c r="A1477" t="n">
        <v>5234</v>
      </c>
      <c r="B1477" t="inlineStr">
        <is>
          <t>達興材料</t>
        </is>
      </c>
      <c r="C1477" t="n">
        <v>412.5</v>
      </c>
      <c r="D1477" t="n">
        <v>403</v>
      </c>
      <c r="E1477" s="504" t="n">
        <v>-9.5</v>
      </c>
      <c r="F1477" s="505" t="n">
        <v>-2.3</v>
      </c>
      <c r="G1477" t="inlineStr">
        <is>
          <t>3.01億</t>
        </is>
      </c>
      <c r="H1477" t="n">
        <v>751</v>
      </c>
      <c r="I1477" t="n">
        <v>770</v>
      </c>
      <c r="J1477" t="n">
        <v>10.27</v>
      </c>
      <c r="K1477" t="n">
        <v>412.5</v>
      </c>
      <c r="L1477" t="n">
        <v>396.5</v>
      </c>
      <c r="M1477" s="175" t="n">
        <v>0.73</v>
      </c>
      <c r="N1477" t="inlineStr">
        <is>
          <t>友達為大股東之光電特用化學材料供應商</t>
        </is>
      </c>
    </row>
    <row r="1478">
      <c r="A1478" t="n">
        <v>5236</v>
      </c>
      <c r="B1478" t="inlineStr">
        <is>
          <t>凌陽創新</t>
        </is>
      </c>
      <c r="C1478" t="n">
        <v>184</v>
      </c>
      <c r="D1478" t="n">
        <v>181</v>
      </c>
      <c r="E1478" s="504" t="n">
        <v>-1</v>
      </c>
      <c r="F1478" s="505" t="n">
        <v>-0.55</v>
      </c>
      <c r="G1478" t="inlineStr">
        <is>
          <t>1.66億</t>
        </is>
      </c>
      <c r="H1478" t="n">
        <v>924</v>
      </c>
      <c r="I1478" t="n">
        <v>556</v>
      </c>
      <c r="J1478" t="n">
        <v>6</v>
      </c>
      <c r="K1478" t="n">
        <v>185.5</v>
      </c>
      <c r="L1478" t="n">
        <v>177.5</v>
      </c>
      <c r="M1478" s="175" t="n">
        <v>1.54</v>
      </c>
      <c r="N1478" t="inlineStr">
        <is>
          <t>凌陽旗下MCU與網路攝影機晶片廠</t>
        </is>
      </c>
    </row>
    <row r="1479">
      <c r="A1479" t="n">
        <v>5243</v>
      </c>
      <c r="B1479" t="inlineStr">
        <is>
          <t>乙盛-KY</t>
        </is>
      </c>
      <c r="C1479" t="n">
        <v>124</v>
      </c>
      <c r="D1479" t="n">
        <v>124</v>
      </c>
      <c r="E1479" s="504" t="n">
        <v>0</v>
      </c>
      <c r="F1479" s="505" t="n">
        <v>0</v>
      </c>
      <c r="G1479" t="inlineStr">
        <is>
          <t>6.13億</t>
        </is>
      </c>
      <c r="H1479" t="n">
        <v>5091</v>
      </c>
      <c r="I1479" t="n">
        <v>10227</v>
      </c>
      <c r="J1479" t="n">
        <v>16.85</v>
      </c>
      <c r="K1479" t="n">
        <v>124</v>
      </c>
      <c r="L1479" t="n">
        <v>117</v>
      </c>
      <c r="M1479" s="175" t="n">
        <v>3.02</v>
      </c>
      <c r="N1479" t="inlineStr">
        <is>
          <t>鴻海轉投資的機構件廠</t>
        </is>
      </c>
    </row>
    <row r="1480">
      <c r="A1480" t="n">
        <v>5244</v>
      </c>
      <c r="B1480" t="inlineStr">
        <is>
          <t>弘凱</t>
        </is>
      </c>
      <c r="C1480" t="n">
        <v>39.05</v>
      </c>
      <c r="D1480" t="n">
        <v>38.8</v>
      </c>
      <c r="E1480" s="504" t="n">
        <v>0.15</v>
      </c>
      <c r="F1480" s="505" t="n">
        <v>0.39</v>
      </c>
      <c r="G1480" t="inlineStr">
        <is>
          <t>750萬</t>
        </is>
      </c>
      <c r="H1480" t="n">
        <v>194</v>
      </c>
      <c r="I1480" t="n">
        <v>401</v>
      </c>
      <c r="J1480" t="n">
        <v>6.82</v>
      </c>
      <c r="K1480" t="n">
        <v>39.3</v>
      </c>
      <c r="L1480" t="n">
        <v>38.6</v>
      </c>
      <c r="M1480" s="175" t="n">
        <v>0.28</v>
      </c>
      <c r="N1480" t="inlineStr">
        <is>
          <t>LED產品主要應用於高端消費及車燈市場</t>
        </is>
      </c>
    </row>
    <row r="1481">
      <c r="A1481" t="n">
        <v>5245</v>
      </c>
      <c r="B1481" t="inlineStr">
        <is>
          <t>智晶</t>
        </is>
      </c>
      <c r="C1481" t="n">
        <v>27.8</v>
      </c>
      <c r="D1481" t="n">
        <v>27.75</v>
      </c>
      <c r="E1481" s="504" t="n">
        <v>0.15</v>
      </c>
      <c r="F1481" s="505" t="n">
        <v>0.54</v>
      </c>
      <c r="G1481" t="inlineStr">
        <is>
          <t>428萬</t>
        </is>
      </c>
      <c r="H1481" t="n">
        <v>156</v>
      </c>
      <c r="I1481" t="n">
        <v>271</v>
      </c>
      <c r="J1481" t="n">
        <v>4.51</v>
      </c>
      <c r="K1481" t="n">
        <v>27.8</v>
      </c>
      <c r="L1481" t="n">
        <v>27.05</v>
      </c>
      <c r="M1481" s="175" t="n">
        <v>0.35</v>
      </c>
      <c r="N1481" t="inlineStr">
        <is>
          <t>PMOLED出貨量居全球第二大</t>
        </is>
      </c>
    </row>
    <row r="1482">
      <c r="A1482" t="n">
        <v>5251</v>
      </c>
      <c r="B1482" t="inlineStr">
        <is>
          <t>天鉞電</t>
        </is>
      </c>
      <c r="C1482" t="n">
        <v>29.85</v>
      </c>
      <c r="D1482" t="n">
        <v>32.25</v>
      </c>
      <c r="E1482" s="504" t="n">
        <v>2.9</v>
      </c>
      <c r="F1482" s="505" t="n">
        <v>9.880000000000001</v>
      </c>
      <c r="G1482" t="inlineStr">
        <is>
          <t>5611萬</t>
        </is>
      </c>
      <c r="H1482" t="n">
        <v>1797</v>
      </c>
      <c r="I1482" t="n">
        <v>174</v>
      </c>
      <c r="J1482" t="n">
        <v>3.37</v>
      </c>
      <c r="K1482" t="n">
        <v>32.25</v>
      </c>
      <c r="L1482" t="n">
        <v>28.55</v>
      </c>
      <c r="M1482" s="175" t="n">
        <v>5.33</v>
      </c>
      <c r="N1482" t="inlineStr">
        <is>
          <t>以DIY類無線居家安控產品為主之數位家庭整合系統商</t>
        </is>
      </c>
    </row>
    <row r="1483">
      <c r="A1483" t="n">
        <v>5258</v>
      </c>
      <c r="B1483" t="inlineStr">
        <is>
          <t>虹堡</t>
        </is>
      </c>
      <c r="C1483" t="n">
        <v>52</v>
      </c>
      <c r="D1483" t="n">
        <v>52</v>
      </c>
      <c r="E1483" s="504" t="n">
        <v>-0.5</v>
      </c>
      <c r="F1483" s="505" t="n">
        <v>-0.95</v>
      </c>
      <c r="G1483" t="inlineStr">
        <is>
          <t>4338萬</t>
        </is>
      </c>
      <c r="H1483" t="n">
        <v>845</v>
      </c>
      <c r="I1483" t="n">
        <v>1941</v>
      </c>
      <c r="J1483" t="n">
        <v>11.04</v>
      </c>
      <c r="K1483" t="n">
        <v>52</v>
      </c>
      <c r="L1483" t="n">
        <v>50.8</v>
      </c>
      <c r="M1483" s="175" t="n">
        <v>0.77</v>
      </c>
      <c r="N1483" t="inlineStr">
        <is>
          <t>台灣電子金融交易終端機(POS)製造商</t>
        </is>
      </c>
    </row>
    <row r="1484">
      <c r="A1484" t="n">
        <v>5263</v>
      </c>
      <c r="B1484" t="inlineStr">
        <is>
          <t>智崴</t>
        </is>
      </c>
      <c r="C1484" t="n">
        <v>106</v>
      </c>
      <c r="D1484" t="n">
        <v>107.5</v>
      </c>
      <c r="E1484" s="504" t="n">
        <v>6.5</v>
      </c>
      <c r="F1484" s="505" t="n">
        <v>6.44</v>
      </c>
      <c r="G1484" t="inlineStr">
        <is>
          <t>5424萬</t>
        </is>
      </c>
      <c r="H1484" t="n">
        <v>511</v>
      </c>
      <c r="I1484" t="n">
        <v>270</v>
      </c>
      <c r="J1484" t="n">
        <v>7.39</v>
      </c>
      <c r="K1484" t="n">
        <v>108.5</v>
      </c>
      <c r="L1484" t="n">
        <v>104</v>
      </c>
      <c r="M1484" s="175" t="n">
        <v>0.6899999999999999</v>
      </c>
      <c r="N1484" t="inlineStr">
        <is>
          <t>台灣最大體感遊戲設備商</t>
        </is>
      </c>
    </row>
    <row r="1485">
      <c r="A1485" t="n">
        <v>5269</v>
      </c>
      <c r="B1485" t="inlineStr">
        <is>
          <t>祥碩</t>
        </is>
      </c>
      <c r="C1485" t="n">
        <v>1540</v>
      </c>
      <c r="D1485" t="n">
        <v>1590</v>
      </c>
      <c r="E1485" s="504" t="n">
        <v>70</v>
      </c>
      <c r="F1485" s="505" t="n">
        <v>4.61</v>
      </c>
      <c r="G1485" t="inlineStr">
        <is>
          <t>60.9億</t>
        </is>
      </c>
      <c r="H1485" t="n">
        <v>3832</v>
      </c>
      <c r="I1485" t="n">
        <v>1834</v>
      </c>
      <c r="J1485" t="n">
        <v>7.42</v>
      </c>
      <c r="K1485" t="n">
        <v>1660</v>
      </c>
      <c r="L1485" t="n">
        <v>1510</v>
      </c>
      <c r="M1485" s="175" t="n">
        <v>5.17</v>
      </c>
      <c r="N1485" t="inlineStr">
        <is>
          <t>華碩旗下高速傳輸介面之控制IC設計廠</t>
        </is>
      </c>
    </row>
    <row r="1486">
      <c r="A1486" t="n">
        <v>5272</v>
      </c>
      <c r="B1486" t="inlineStr">
        <is>
          <t>笙科</t>
        </is>
      </c>
      <c r="C1486" t="n">
        <v>22.5</v>
      </c>
      <c r="D1486" t="n">
        <v>23.15</v>
      </c>
      <c r="E1486" s="504" t="n">
        <v>0.65</v>
      </c>
      <c r="F1486" s="505" t="n">
        <v>2.89</v>
      </c>
      <c r="G1486" t="inlineStr">
        <is>
          <t>766萬</t>
        </is>
      </c>
      <c r="H1486" t="n">
        <v>336</v>
      </c>
      <c r="I1486" t="n">
        <v>305</v>
      </c>
      <c r="J1486" t="n">
        <v>5.53</v>
      </c>
      <c r="K1486" t="n">
        <v>23.55</v>
      </c>
      <c r="L1486" t="n">
        <v>22.1</v>
      </c>
      <c r="M1486" s="175" t="n">
        <v>0.61</v>
      </c>
      <c r="N1486" t="inlineStr">
        <is>
          <t>台灣專注於無線通訊射頻(RF)晶片廠</t>
        </is>
      </c>
    </row>
    <row r="1487">
      <c r="A1487" t="n">
        <v>5274</v>
      </c>
      <c r="B1487" t="inlineStr">
        <is>
          <t>信驊</t>
        </is>
      </c>
      <c r="C1487" t="n">
        <v>18475</v>
      </c>
      <c r="D1487" t="n">
        <v>18095</v>
      </c>
      <c r="E1487" s="504" t="n">
        <v>-405</v>
      </c>
      <c r="F1487" s="505" t="n">
        <v>-2.19</v>
      </c>
      <c r="G1487" t="inlineStr">
        <is>
          <t>48.1億</t>
        </is>
      </c>
      <c r="H1487" t="n">
        <v>263</v>
      </c>
      <c r="I1487" t="n">
        <v>375</v>
      </c>
      <c r="J1487" t="n">
        <v>3.78</v>
      </c>
      <c r="K1487" t="n">
        <v>18790</v>
      </c>
      <c r="L1487" t="n">
        <v>18070</v>
      </c>
      <c r="M1487" s="175" t="n">
        <v>0.7</v>
      </c>
      <c r="N1487" t="inlineStr">
        <is>
          <t>全球遠端伺服器管理晶片龍頭</t>
        </is>
      </c>
    </row>
    <row r="1488">
      <c r="A1488" t="n">
        <v>5276</v>
      </c>
      <c r="B1488" t="inlineStr">
        <is>
          <t>達輝-KY</t>
        </is>
      </c>
      <c r="C1488" t="n">
        <v>19.1</v>
      </c>
      <c r="D1488" t="n">
        <v>19.45</v>
      </c>
      <c r="E1488" s="504" t="n">
        <v>-0.25</v>
      </c>
      <c r="F1488" s="505" t="n">
        <v>-1.27</v>
      </c>
      <c r="G1488" t="inlineStr">
        <is>
          <t>44.0萬</t>
        </is>
      </c>
      <c r="H1488" t="n">
        <v>23</v>
      </c>
      <c r="I1488" t="n">
        <v>32</v>
      </c>
      <c r="J1488" t="n">
        <v>3.95</v>
      </c>
      <c r="K1488" t="n">
        <v>19.45</v>
      </c>
      <c r="L1488" t="n">
        <v>19</v>
      </c>
      <c r="M1488" s="175" t="n">
        <v>0.06</v>
      </c>
      <c r="N1488" t="inlineStr">
        <is>
          <t>奐鑫集團旗下嬰幼童產品及機車零組件廠</t>
        </is>
      </c>
    </row>
    <row r="1489">
      <c r="A1489" t="n">
        <v>5278</v>
      </c>
      <c r="B1489" t="inlineStr">
        <is>
          <t>尚凡*</t>
        </is>
      </c>
      <c r="C1489" t="n">
        <v>22.8</v>
      </c>
      <c r="D1489" t="n">
        <v>23.7</v>
      </c>
      <c r="E1489" s="504" t="n">
        <v>1.05</v>
      </c>
      <c r="F1489" s="505" t="n">
        <v>4.64</v>
      </c>
      <c r="G1489" t="inlineStr">
        <is>
          <t>925萬</t>
        </is>
      </c>
      <c r="H1489" t="n">
        <v>403</v>
      </c>
      <c r="I1489" t="n">
        <v>438</v>
      </c>
      <c r="J1489" t="n">
        <v>3</v>
      </c>
      <c r="K1489" t="n">
        <v>23.7</v>
      </c>
      <c r="L1489" t="n">
        <v>22.8</v>
      </c>
      <c r="M1489" s="175" t="n">
        <v>0.13</v>
      </c>
      <c r="N1489" t="inlineStr">
        <is>
          <t>台灣知名交友社群媒體服務商</t>
        </is>
      </c>
    </row>
    <row r="1490">
      <c r="A1490" t="n">
        <v>5283</v>
      </c>
      <c r="B1490" t="inlineStr">
        <is>
          <t>禾聯碩</t>
        </is>
      </c>
      <c r="C1490" t="n">
        <v>53.4</v>
      </c>
      <c r="D1490" t="n">
        <v>52.9</v>
      </c>
      <c r="E1490" s="504" t="n">
        <v>-0.5</v>
      </c>
      <c r="F1490" s="505" t="n">
        <v>-0.9399999999999999</v>
      </c>
      <c r="G1490" t="inlineStr">
        <is>
          <t>660萬</t>
        </is>
      </c>
      <c r="H1490" t="n">
        <v>124</v>
      </c>
      <c r="I1490" t="n">
        <v>161</v>
      </c>
      <c r="J1490" t="n">
        <v>8.76</v>
      </c>
      <c r="K1490" t="n">
        <v>53.5</v>
      </c>
      <c r="L1490" t="n">
        <v>52.8</v>
      </c>
      <c r="M1490" s="175" t="n">
        <v>0.14</v>
      </c>
      <c r="N1490" t="inlineStr">
        <is>
          <t>台灣智慧家電廠，經營HERAN品牌</t>
        </is>
      </c>
    </row>
    <row r="1491">
      <c r="A1491" t="n">
        <v>5284</v>
      </c>
      <c r="B1491" t="inlineStr">
        <is>
          <t>jpp-KY</t>
        </is>
      </c>
      <c r="C1491" t="n">
        <v>448</v>
      </c>
      <c r="D1491" t="n">
        <v>428</v>
      </c>
      <c r="E1491" s="504" t="n">
        <v>-18.5</v>
      </c>
      <c r="F1491" s="505" t="n">
        <v>-4.14</v>
      </c>
      <c r="G1491" t="inlineStr">
        <is>
          <t>4.16億</t>
        </is>
      </c>
      <c r="H1491" t="n">
        <v>970</v>
      </c>
      <c r="I1491" t="n">
        <v>1645</v>
      </c>
      <c r="J1491" t="n">
        <v>5.29</v>
      </c>
      <c r="K1491" t="n">
        <v>451.5</v>
      </c>
      <c r="L1491" t="n">
        <v>420</v>
      </c>
      <c r="M1491" s="175" t="n">
        <v>1.83</v>
      </c>
      <c r="N1491" t="inlineStr">
        <is>
          <t>客製化精密金屬機構件供應商</t>
        </is>
      </c>
    </row>
    <row r="1492">
      <c r="A1492" t="n">
        <v>5285</v>
      </c>
      <c r="B1492" t="inlineStr">
        <is>
          <t>界霖</t>
        </is>
      </c>
      <c r="C1492" t="n">
        <v>91.8</v>
      </c>
      <c r="D1492" t="n">
        <v>90.59999999999999</v>
      </c>
      <c r="E1492" s="504" t="n">
        <v>1.2</v>
      </c>
      <c r="F1492" s="505" t="n">
        <v>1.34</v>
      </c>
      <c r="G1492" t="inlineStr">
        <is>
          <t>6.78億</t>
        </is>
      </c>
      <c r="H1492" t="n">
        <v>7478</v>
      </c>
      <c r="I1492" t="n">
        <v>7025</v>
      </c>
      <c r="J1492" t="n">
        <v>10.2</v>
      </c>
      <c r="K1492" t="n">
        <v>95</v>
      </c>
      <c r="L1492" t="n">
        <v>88.3</v>
      </c>
      <c r="M1492" s="175" t="n">
        <v>7.33</v>
      </c>
      <c r="N1492" t="inlineStr">
        <is>
          <t>台灣功率單體及光電導線架供應商</t>
        </is>
      </c>
    </row>
    <row r="1493">
      <c r="A1493" t="n">
        <v>5287</v>
      </c>
      <c r="B1493" t="inlineStr">
        <is>
          <t>數字</t>
        </is>
      </c>
      <c r="C1493" t="n">
        <v>145</v>
      </c>
      <c r="D1493" t="n">
        <v>145</v>
      </c>
      <c r="E1493" s="504" t="n">
        <v>0</v>
      </c>
      <c r="F1493" s="505" t="n">
        <v>0</v>
      </c>
      <c r="G1493" t="inlineStr">
        <is>
          <t>2302萬</t>
        </is>
      </c>
      <c r="H1493" t="n">
        <v>160</v>
      </c>
      <c r="I1493" t="n">
        <v>162</v>
      </c>
      <c r="J1493" t="n">
        <v>6.03</v>
      </c>
      <c r="K1493" t="n">
        <v>145.5</v>
      </c>
      <c r="L1493" t="n">
        <v>143</v>
      </c>
      <c r="M1493" s="175" t="n">
        <v>0.27</v>
      </c>
      <c r="N1493" t="inlineStr">
        <is>
          <t>電商平台包含寶物、房屋、汽車交易及人力資源</t>
        </is>
      </c>
    </row>
    <row r="1494">
      <c r="A1494" t="n">
        <v>5288</v>
      </c>
      <c r="B1494" t="inlineStr">
        <is>
          <t>豐祥-KY</t>
        </is>
      </c>
      <c r="C1494" t="n">
        <v>162.5</v>
      </c>
      <c r="D1494" t="n">
        <v>160</v>
      </c>
      <c r="E1494" s="504" t="n">
        <v>-1</v>
      </c>
      <c r="F1494" s="505" t="n">
        <v>-0.62</v>
      </c>
      <c r="G1494" t="inlineStr">
        <is>
          <t>2982萬</t>
        </is>
      </c>
      <c r="H1494" t="n">
        <v>187</v>
      </c>
      <c r="I1494" t="n">
        <v>181</v>
      </c>
      <c r="J1494" t="n">
        <v>6.97</v>
      </c>
      <c r="K1494" t="n">
        <v>163</v>
      </c>
      <c r="L1494" t="n">
        <v>158</v>
      </c>
      <c r="M1494" s="175" t="n">
        <v>0.27</v>
      </c>
      <c r="N1494" t="inlineStr">
        <is>
          <t>越南主要汽機車零件供應商，跨足醫療器材零件</t>
        </is>
      </c>
    </row>
    <row r="1495">
      <c r="A1495" t="n">
        <v>5289</v>
      </c>
      <c r="B1495" t="inlineStr">
        <is>
          <t>宜鼎</t>
        </is>
      </c>
      <c r="C1495" t="n">
        <v>1930</v>
      </c>
      <c r="D1495" t="n">
        <v>1875</v>
      </c>
      <c r="E1495" s="504" t="n">
        <v>-30</v>
      </c>
      <c r="F1495" s="505" t="n">
        <v>-1.57</v>
      </c>
      <c r="G1495" t="inlineStr">
        <is>
          <t>73.1億</t>
        </is>
      </c>
      <c r="H1495" t="n">
        <v>3885</v>
      </c>
      <c r="I1495" t="n">
        <v>4262</v>
      </c>
      <c r="J1495" t="n">
        <v>9.630000000000001</v>
      </c>
      <c r="K1495" t="n">
        <v>1935</v>
      </c>
      <c r="L1495" t="n">
        <v>1820</v>
      </c>
      <c r="M1495" s="175" t="n">
        <v>4.03</v>
      </c>
      <c r="N1495" t="inlineStr">
        <is>
          <t>台灣專攻工業用嵌入式儲存裝置供應商</t>
        </is>
      </c>
    </row>
    <row r="1496">
      <c r="A1496" t="n">
        <v>5291</v>
      </c>
      <c r="B1496" t="inlineStr">
        <is>
          <t>邑昇</t>
        </is>
      </c>
      <c r="C1496" t="n">
        <v>72.59999999999999</v>
      </c>
      <c r="D1496" t="n">
        <v>68.5</v>
      </c>
      <c r="E1496" s="504" t="n">
        <v>-3</v>
      </c>
      <c r="F1496" s="505" t="n">
        <v>-4.2</v>
      </c>
      <c r="G1496" t="inlineStr">
        <is>
          <t>7151萬</t>
        </is>
      </c>
      <c r="H1496" t="n">
        <v>1040</v>
      </c>
      <c r="I1496" t="n">
        <v>1276</v>
      </c>
      <c r="J1496" t="n">
        <v>3.99</v>
      </c>
      <c r="K1496" t="n">
        <v>72.59999999999999</v>
      </c>
      <c r="L1496" t="n">
        <v>67.8</v>
      </c>
      <c r="M1496" s="175" t="n">
        <v>2.61</v>
      </c>
      <c r="N1496" t="inlineStr">
        <is>
          <t>台灣印刷電路板與自行車燈具業者</t>
        </is>
      </c>
    </row>
    <row r="1497">
      <c r="A1497" t="n">
        <v>5292</v>
      </c>
      <c r="B1497" t="inlineStr">
        <is>
          <t>華懋</t>
        </is>
      </c>
      <c r="C1497" t="n">
        <v>229.5</v>
      </c>
      <c r="D1497" t="n">
        <v>223.5</v>
      </c>
      <c r="E1497" s="504" t="n">
        <v>-6</v>
      </c>
      <c r="F1497" s="505" t="n">
        <v>-2.61</v>
      </c>
      <c r="G1497" t="inlineStr">
        <is>
          <t>3546萬</t>
        </is>
      </c>
      <c r="H1497" t="n">
        <v>159</v>
      </c>
      <c r="I1497" t="n">
        <v>270</v>
      </c>
      <c r="J1497" t="n">
        <v>4.21</v>
      </c>
      <c r="K1497" t="n">
        <v>229.5</v>
      </c>
      <c r="L1497" t="n">
        <v>221</v>
      </c>
      <c r="M1497" s="175" t="n">
        <v>0.38</v>
      </c>
      <c r="N1497" t="inlineStr">
        <is>
          <t>VOCs揮發性有機廢氣防治處理設備工程服務商</t>
        </is>
      </c>
    </row>
    <row r="1498">
      <c r="A1498" t="n">
        <v>5299</v>
      </c>
      <c r="B1498" t="inlineStr">
        <is>
          <t>杰力</t>
        </is>
      </c>
      <c r="C1498" t="n">
        <v>114</v>
      </c>
      <c r="D1498" t="n">
        <v>110.5</v>
      </c>
      <c r="E1498" s="504" t="n">
        <v>-4.5</v>
      </c>
      <c r="F1498" s="505" t="n">
        <v>-3.91</v>
      </c>
      <c r="G1498" t="inlineStr">
        <is>
          <t>1.10億</t>
        </is>
      </c>
      <c r="H1498" t="n">
        <v>998</v>
      </c>
      <c r="I1498" t="n">
        <v>2583</v>
      </c>
      <c r="J1498" t="n">
        <v>5.09</v>
      </c>
      <c r="K1498" t="n">
        <v>115.5</v>
      </c>
      <c r="L1498" t="n">
        <v>107.5</v>
      </c>
      <c r="M1498" s="175" t="n">
        <v>1.96</v>
      </c>
      <c r="N1498" t="inlineStr">
        <is>
          <t>華碩轉投資的功率元件設計公司</t>
        </is>
      </c>
    </row>
    <row r="1499">
      <c r="A1499" t="n">
        <v>5301</v>
      </c>
      <c r="B1499" t="inlineStr">
        <is>
          <t>寶得利</t>
        </is>
      </c>
      <c r="C1499" t="n">
        <v>6.79</v>
      </c>
      <c r="D1499" t="n">
        <v>7.1</v>
      </c>
      <c r="E1499" s="504" t="n">
        <v>0.31</v>
      </c>
      <c r="F1499" s="505" t="n">
        <v>4.57</v>
      </c>
      <c r="G1499" t="inlineStr">
        <is>
          <t>27.9萬</t>
        </is>
      </c>
      <c r="H1499" t="n">
        <v>41</v>
      </c>
      <c r="I1499" t="n">
        <v>23</v>
      </c>
      <c r="J1499" t="n">
        <v>6.59</v>
      </c>
      <c r="K1499" t="n">
        <v>7.1</v>
      </c>
      <c r="L1499" t="n">
        <v>6.6</v>
      </c>
      <c r="M1499" s="175" t="n">
        <v>0.06</v>
      </c>
      <c r="N1499" t="inlineStr">
        <is>
          <t>主營餐飲與珠寶銷售經營</t>
        </is>
      </c>
    </row>
    <row r="1500">
      <c r="A1500" t="n">
        <v>5302</v>
      </c>
      <c r="B1500" t="inlineStr">
        <is>
          <t>太欣</t>
        </is>
      </c>
      <c r="C1500" t="n">
        <v>11.2</v>
      </c>
      <c r="D1500" t="n">
        <v>11.35</v>
      </c>
      <c r="E1500" s="504" t="n">
        <v>0.35</v>
      </c>
      <c r="F1500" s="505" t="n">
        <v>3.18</v>
      </c>
      <c r="G1500" t="inlineStr">
        <is>
          <t>1556萬</t>
        </is>
      </c>
      <c r="H1500" t="n">
        <v>1390</v>
      </c>
      <c r="I1500" t="n">
        <v>1149</v>
      </c>
      <c r="J1500" t="n">
        <v>15.99</v>
      </c>
      <c r="K1500" t="n">
        <v>11.7</v>
      </c>
      <c r="L1500" t="n">
        <v>10.95</v>
      </c>
      <c r="M1500" s="175" t="n">
        <v>0.87</v>
      </c>
      <c r="N1500" t="inlineStr">
        <is>
          <t>台灣第一家IC設計廠商，現專注影像擷取錄影之單晶片開發</t>
        </is>
      </c>
    </row>
    <row r="1501">
      <c r="A1501" t="n">
        <v>5306</v>
      </c>
      <c r="B1501" t="inlineStr">
        <is>
          <t>桂盟</t>
        </is>
      </c>
      <c r="C1501" t="n">
        <v>84.5</v>
      </c>
      <c r="D1501" t="n">
        <v>84.59999999999999</v>
      </c>
      <c r="E1501" s="504" t="n">
        <v>0.3</v>
      </c>
      <c r="F1501" s="505" t="n">
        <v>0.36</v>
      </c>
      <c r="G1501" t="inlineStr">
        <is>
          <t>1132萬</t>
        </is>
      </c>
      <c r="H1501" t="n">
        <v>134</v>
      </c>
      <c r="I1501" t="n">
        <v>160</v>
      </c>
      <c r="J1501" t="n">
        <v>12.6</v>
      </c>
      <c r="K1501" t="n">
        <v>85</v>
      </c>
      <c r="L1501" t="n">
        <v>84</v>
      </c>
      <c r="M1501" s="175" t="n">
        <v>0.11</v>
      </c>
      <c r="N1501" t="inlineStr">
        <is>
          <t>全球最大的鏈條製造商</t>
        </is>
      </c>
    </row>
    <row r="1502">
      <c r="A1502" t="n">
        <v>5309</v>
      </c>
      <c r="B1502" t="inlineStr">
        <is>
          <t>系統電</t>
        </is>
      </c>
      <c r="C1502" t="n">
        <v>81</v>
      </c>
      <c r="D1502" t="n">
        <v>78.59999999999999</v>
      </c>
      <c r="E1502" s="504" t="n">
        <v>2.7</v>
      </c>
      <c r="F1502" s="505" t="n">
        <v>3.56</v>
      </c>
      <c r="G1502" t="inlineStr">
        <is>
          <t>29.1億</t>
        </is>
      </c>
      <c r="H1502" t="n">
        <v>36804</v>
      </c>
      <c r="I1502" t="n">
        <v>12073</v>
      </c>
      <c r="J1502" t="n">
        <v>23.04</v>
      </c>
      <c r="K1502" t="n">
        <v>83.2</v>
      </c>
      <c r="L1502" t="n">
        <v>76</v>
      </c>
      <c r="M1502" s="175" t="n">
        <v>15.98</v>
      </c>
      <c r="N1502" t="inlineStr">
        <is>
          <t>台灣知名TPMS及車電零件廠</t>
        </is>
      </c>
    </row>
    <row r="1503">
      <c r="A1503" t="n">
        <v>5310</v>
      </c>
      <c r="B1503" t="inlineStr">
        <is>
          <t>天剛</t>
        </is>
      </c>
      <c r="C1503" t="n">
        <v>24.55</v>
      </c>
      <c r="D1503" t="n">
        <v>24.55</v>
      </c>
      <c r="E1503" s="504" t="n">
        <v>-0.15</v>
      </c>
      <c r="F1503" s="505" t="n">
        <v>-0.61</v>
      </c>
      <c r="G1503" t="inlineStr">
        <is>
          <t>4.91萬</t>
        </is>
      </c>
      <c r="H1503" t="n">
        <v>2</v>
      </c>
      <c r="I1503" t="n">
        <v>19</v>
      </c>
      <c r="J1503" t="n">
        <v>2.89</v>
      </c>
      <c r="K1503" t="n">
        <v>24.55</v>
      </c>
      <c r="L1503" t="n">
        <v>24.55</v>
      </c>
      <c r="M1503" s="175" t="n">
        <v>0.01</v>
      </c>
      <c r="N1503" t="inlineStr">
        <is>
          <t>金融系統整合廠</t>
        </is>
      </c>
    </row>
    <row r="1504">
      <c r="A1504" t="n">
        <v>5312</v>
      </c>
      <c r="B1504" t="inlineStr">
        <is>
          <t>寶島科</t>
        </is>
      </c>
      <c r="C1504" t="n">
        <v>94</v>
      </c>
      <c r="D1504" t="n">
        <v>95.09999999999999</v>
      </c>
      <c r="E1504" s="504" t="n">
        <v>1.2</v>
      </c>
      <c r="F1504" s="505" t="n">
        <v>1.28</v>
      </c>
      <c r="G1504" t="inlineStr">
        <is>
          <t>406萬</t>
        </is>
      </c>
      <c r="H1504" t="n">
        <v>43</v>
      </c>
      <c r="I1504" t="n">
        <v>48</v>
      </c>
      <c r="J1504" t="n">
        <v>6.01</v>
      </c>
      <c r="K1504" t="n">
        <v>95.09999999999999</v>
      </c>
      <c r="L1504" t="n">
        <v>93.8</v>
      </c>
      <c r="M1504" s="175" t="n">
        <v>0.07000000000000001</v>
      </c>
      <c r="N1504" t="inlineStr">
        <is>
          <t>台灣最大眼鏡通路商</t>
        </is>
      </c>
    </row>
    <row r="1505">
      <c r="A1505" t="n">
        <v>5314</v>
      </c>
      <c r="B1505" t="inlineStr">
        <is>
          <t>世紀*</t>
        </is>
      </c>
      <c r="C1505" t="n">
        <v>65.09999999999999</v>
      </c>
      <c r="D1505" t="n">
        <v>63.2</v>
      </c>
      <c r="E1505" s="504" t="n">
        <v>-2.1</v>
      </c>
      <c r="F1505" s="505" t="n">
        <v>-3.22</v>
      </c>
      <c r="G1505" t="inlineStr">
        <is>
          <t>1.87億</t>
        </is>
      </c>
      <c r="H1505" t="n">
        <v>2957</v>
      </c>
      <c r="I1505" t="n">
        <v>3592</v>
      </c>
      <c r="J1505" t="n">
        <v>1.46</v>
      </c>
      <c r="K1505" t="n">
        <v>65.3</v>
      </c>
      <c r="L1505" t="n">
        <v>62.4</v>
      </c>
      <c r="M1505" s="175" t="n">
        <v>1.01</v>
      </c>
      <c r="N1505" t="inlineStr">
        <is>
          <t>上曜集團旗下，轉型多元化業務經營</t>
        </is>
      </c>
    </row>
    <row r="1506">
      <c r="A1506" t="n">
        <v>5315</v>
      </c>
      <c r="B1506" t="inlineStr">
        <is>
          <t>光聯</t>
        </is>
      </c>
      <c r="C1506" t="n">
        <v>22.4</v>
      </c>
      <c r="D1506" t="n">
        <v>22.35</v>
      </c>
      <c r="E1506" s="504" t="n">
        <v>-0.2</v>
      </c>
      <c r="F1506" s="505" t="n">
        <v>-0.89</v>
      </c>
      <c r="G1506" t="inlineStr">
        <is>
          <t>1673萬</t>
        </is>
      </c>
      <c r="H1506" t="n">
        <v>753</v>
      </c>
      <c r="I1506" t="n">
        <v>670</v>
      </c>
      <c r="J1506" t="n">
        <v>10.64</v>
      </c>
      <c r="K1506" t="n">
        <v>22.4</v>
      </c>
      <c r="L1506" t="n">
        <v>22.15</v>
      </c>
      <c r="M1506" s="175" t="n">
        <v>0.71</v>
      </c>
      <c r="N1506" t="inlineStr">
        <is>
          <t>各尺寸液晶顯示器模組整合加工與銷售</t>
        </is>
      </c>
    </row>
    <row r="1507">
      <c r="A1507" t="n">
        <v>5321</v>
      </c>
      <c r="B1507" t="inlineStr">
        <is>
          <t>美而快</t>
        </is>
      </c>
      <c r="C1507" t="n">
        <v>53.3</v>
      </c>
      <c r="D1507" t="n">
        <v>60.6</v>
      </c>
      <c r="E1507" s="504" t="n">
        <v>3.2</v>
      </c>
      <c r="F1507" s="505" t="n">
        <v>5.57</v>
      </c>
      <c r="G1507" t="inlineStr">
        <is>
          <t>3405萬</t>
        </is>
      </c>
      <c r="H1507" t="n">
        <v>567</v>
      </c>
      <c r="I1507" t="n">
        <v>709</v>
      </c>
      <c r="J1507" t="n">
        <v>5.32</v>
      </c>
      <c r="K1507" t="n">
        <v>61.5</v>
      </c>
      <c r="L1507" t="n">
        <v>53.3</v>
      </c>
      <c r="M1507" s="175" t="n">
        <v>1.07</v>
      </c>
      <c r="N1507" t="inlineStr">
        <is>
          <t>台灣服飾電商業者</t>
        </is>
      </c>
    </row>
    <row r="1508">
      <c r="A1508" t="n">
        <v>5324</v>
      </c>
      <c r="B1508" t="inlineStr">
        <is>
          <t>士開</t>
        </is>
      </c>
      <c r="C1508" t="n">
        <v>11.85</v>
      </c>
      <c r="D1508" t="n">
        <v>11.95</v>
      </c>
      <c r="E1508" s="504" t="n">
        <v>0.05</v>
      </c>
      <c r="F1508" s="505" t="n">
        <v>0.42</v>
      </c>
      <c r="G1508" t="inlineStr">
        <is>
          <t>309萬</t>
        </is>
      </c>
      <c r="H1508" t="n">
        <v>260</v>
      </c>
      <c r="I1508" t="n">
        <v>246</v>
      </c>
      <c r="J1508" t="n">
        <v>22.64</v>
      </c>
      <c r="K1508" t="n">
        <v>11.95</v>
      </c>
      <c r="L1508" t="n">
        <v>11.8</v>
      </c>
      <c r="M1508" s="175" t="n">
        <v>0.11</v>
      </c>
      <c r="N1508" t="inlineStr">
        <is>
          <t>仰德集團旗下之建設、飯店業者</t>
        </is>
      </c>
    </row>
    <row r="1509">
      <c r="A1509" t="n">
        <v>5328</v>
      </c>
      <c r="B1509" t="inlineStr">
        <is>
          <t>華容</t>
        </is>
      </c>
      <c r="C1509" t="n">
        <v>39.1</v>
      </c>
      <c r="D1509" t="n">
        <v>40.2</v>
      </c>
      <c r="E1509" s="504" t="n">
        <v>0.4</v>
      </c>
      <c r="F1509" s="505" t="n">
        <v>1.01</v>
      </c>
      <c r="G1509" t="inlineStr">
        <is>
          <t>9.37億</t>
        </is>
      </c>
      <c r="H1509" t="n">
        <v>24416</v>
      </c>
      <c r="I1509" t="n">
        <v>34286</v>
      </c>
      <c r="J1509" t="n">
        <v>17.27</v>
      </c>
      <c r="K1509" t="n">
        <v>40.5</v>
      </c>
      <c r="L1509" t="n">
        <v>37.25</v>
      </c>
      <c r="M1509" s="175" t="n">
        <v>14.14</v>
      </c>
      <c r="N1509" t="inlineStr">
        <is>
          <t>台灣塑膠膜電容器供應商</t>
        </is>
      </c>
    </row>
    <row r="1510">
      <c r="A1510" t="n">
        <v>5340</v>
      </c>
      <c r="B1510" t="inlineStr">
        <is>
          <t>建榮</t>
        </is>
      </c>
      <c r="C1510" t="n">
        <v>105</v>
      </c>
      <c r="D1510" t="n">
        <v>102</v>
      </c>
      <c r="E1510" s="504" t="n">
        <v>-3</v>
      </c>
      <c r="F1510" s="505" t="n">
        <v>-2.86</v>
      </c>
      <c r="G1510" t="inlineStr">
        <is>
          <t>2.98億</t>
        </is>
      </c>
      <c r="H1510" t="n">
        <v>2891</v>
      </c>
      <c r="I1510" t="n">
        <v>3977</v>
      </c>
      <c r="J1510" t="n">
        <v>19.49</v>
      </c>
      <c r="K1510" t="n">
        <v>107</v>
      </c>
      <c r="L1510" t="n">
        <v>100.5</v>
      </c>
      <c r="M1510" s="175" t="n">
        <v>1.48</v>
      </c>
      <c r="N1510" t="inlineStr">
        <is>
          <t>台灣電子領域玻纖布製造廠並跨足工業用領域</t>
        </is>
      </c>
    </row>
    <row r="1511">
      <c r="A1511" t="n">
        <v>5344</v>
      </c>
      <c r="B1511" t="inlineStr">
        <is>
          <t>立衛</t>
        </is>
      </c>
      <c r="C1511" t="n">
        <v>16</v>
      </c>
      <c r="D1511" t="n">
        <v>16</v>
      </c>
      <c r="E1511" s="504" t="n">
        <v>0.15</v>
      </c>
      <c r="F1511" s="505" t="n">
        <v>0.95</v>
      </c>
      <c r="G1511" t="inlineStr">
        <is>
          <t>288萬</t>
        </is>
      </c>
      <c r="H1511" t="n">
        <v>182</v>
      </c>
      <c r="I1511" t="n">
        <v>111</v>
      </c>
      <c r="J1511" t="n">
        <v>7.94</v>
      </c>
      <c r="K1511" t="n">
        <v>16.45</v>
      </c>
      <c r="L1511" t="n">
        <v>15.85</v>
      </c>
      <c r="M1511" s="175" t="n">
        <v>0.23</v>
      </c>
      <c r="N1511" t="inlineStr">
        <is>
          <t>威盛轉投資之邏輯IC及CPU測試廠商</t>
        </is>
      </c>
    </row>
    <row r="1512">
      <c r="A1512" t="n">
        <v>5345</v>
      </c>
      <c r="B1512" t="inlineStr">
        <is>
          <t>馥鴻</t>
        </is>
      </c>
      <c r="C1512" t="n">
        <v>24.7</v>
      </c>
      <c r="D1512" t="n">
        <v>24</v>
      </c>
      <c r="E1512" s="504" t="n">
        <v>-0.65</v>
      </c>
      <c r="F1512" s="505" t="n">
        <v>-2.64</v>
      </c>
      <c r="G1512" t="inlineStr">
        <is>
          <t>141萬</t>
        </is>
      </c>
      <c r="H1512" t="n">
        <v>58</v>
      </c>
      <c r="I1512" t="n">
        <v>91</v>
      </c>
      <c r="J1512" t="n">
        <v>3.78</v>
      </c>
      <c r="K1512" t="n">
        <v>25</v>
      </c>
      <c r="L1512" t="n">
        <v>23.7</v>
      </c>
      <c r="M1512" s="175" t="n">
        <v>0.15</v>
      </c>
      <c r="N1512" t="inlineStr">
        <is>
          <t>全方位電源整合控制系統製造商</t>
        </is>
      </c>
    </row>
    <row r="1513">
      <c r="A1513" t="n">
        <v>5347</v>
      </c>
      <c r="B1513" t="inlineStr">
        <is>
          <t>世界</t>
        </is>
      </c>
      <c r="C1513" t="n">
        <v>179</v>
      </c>
      <c r="D1513" t="n">
        <v>171.5</v>
      </c>
      <c r="E1513" s="504" t="n">
        <v>-7.5</v>
      </c>
      <c r="F1513" s="505" t="n">
        <v>-4.19</v>
      </c>
      <c r="G1513" t="inlineStr">
        <is>
          <t>90.5億</t>
        </is>
      </c>
      <c r="H1513" t="n">
        <v>52601</v>
      </c>
      <c r="I1513" t="n">
        <v>39931</v>
      </c>
      <c r="J1513" t="n">
        <v>187.96</v>
      </c>
      <c r="K1513" t="n">
        <v>183.5</v>
      </c>
      <c r="L1513" t="n">
        <v>165</v>
      </c>
      <c r="M1513" s="175" t="n">
        <v>2.82</v>
      </c>
      <c r="N1513" t="inlineStr">
        <is>
          <t>台積電轉投資之晶圓代工廠</t>
        </is>
      </c>
    </row>
    <row r="1514">
      <c r="A1514" t="n">
        <v>5348</v>
      </c>
      <c r="B1514" t="inlineStr">
        <is>
          <t>正能量智能</t>
        </is>
      </c>
      <c r="C1514" t="n">
        <v>15.45</v>
      </c>
      <c r="D1514" t="n">
        <v>15.45</v>
      </c>
      <c r="E1514" s="504" t="n">
        <v>0.05</v>
      </c>
      <c r="F1514" s="505" t="n">
        <v>0.32</v>
      </c>
      <c r="G1514" t="inlineStr">
        <is>
          <t>1.54萬</t>
        </is>
      </c>
      <c r="H1514" t="n">
        <v>1</v>
      </c>
      <c r="I1514" t="n">
        <v>12</v>
      </c>
      <c r="J1514" t="n">
        <v>1.48</v>
      </c>
      <c r="K1514" t="n">
        <v>15.45</v>
      </c>
      <c r="L1514" t="n">
        <v>15.45</v>
      </c>
      <c r="M1514" s="175" t="n">
        <v>0.01</v>
      </c>
      <c r="N1514" t="inlineStr">
        <is>
          <t>主要從事GPS智慧手錶、模組與軌跡紀錄器</t>
        </is>
      </c>
    </row>
    <row r="1515">
      <c r="A1515" t="n">
        <v>5351</v>
      </c>
      <c r="B1515" t="inlineStr">
        <is>
          <t>鈺創</t>
        </is>
      </c>
      <c r="C1515" t="n">
        <v>90.2</v>
      </c>
      <c r="D1515" t="n">
        <v>92.90000000000001</v>
      </c>
      <c r="E1515" s="504" t="n">
        <v>3.2</v>
      </c>
      <c r="F1515" s="505" t="n">
        <v>3.57</v>
      </c>
      <c r="G1515" t="inlineStr">
        <is>
          <t>43.5億</t>
        </is>
      </c>
      <c r="H1515" t="n">
        <v>47014</v>
      </c>
      <c r="I1515" t="n">
        <v>28215</v>
      </c>
      <c r="J1515" t="n">
        <v>32.85</v>
      </c>
      <c r="K1515" t="n">
        <v>95.40000000000001</v>
      </c>
      <c r="L1515" t="n">
        <v>88.8</v>
      </c>
      <c r="M1515" s="175" t="n">
        <v>14.31</v>
      </c>
      <c r="N1515" t="inlineStr">
        <is>
          <t>台灣利基型記憶體IC設計廠商</t>
        </is>
      </c>
    </row>
    <row r="1516">
      <c r="A1516" t="n">
        <v>5353</v>
      </c>
      <c r="B1516" t="inlineStr">
        <is>
          <t>台林</t>
        </is>
      </c>
      <c r="C1516" t="n">
        <v>33</v>
      </c>
      <c r="D1516" t="n">
        <v>31.8</v>
      </c>
      <c r="E1516" s="504" t="n">
        <v>-0.2</v>
      </c>
      <c r="F1516" s="505" t="n">
        <v>-0.63</v>
      </c>
      <c r="G1516" t="inlineStr">
        <is>
          <t>3178萬</t>
        </is>
      </c>
      <c r="H1516" t="n">
        <v>989</v>
      </c>
      <c r="I1516" t="n">
        <v>557</v>
      </c>
      <c r="J1516" t="n">
        <v>7.58</v>
      </c>
      <c r="K1516" t="n">
        <v>33.3</v>
      </c>
      <c r="L1516" t="n">
        <v>31.1</v>
      </c>
      <c r="M1516" s="175" t="n">
        <v>1.31</v>
      </c>
      <c r="N1516" t="inlineStr">
        <is>
          <t>有線、無線寬頻網路、工業電腦製造商</t>
        </is>
      </c>
    </row>
    <row r="1517">
      <c r="A1517" t="n">
        <v>5355</v>
      </c>
      <c r="B1517" t="inlineStr">
        <is>
          <t>佳總</t>
        </is>
      </c>
      <c r="C1517" t="n">
        <v>6.3</v>
      </c>
      <c r="D1517" t="n">
        <v>6.34</v>
      </c>
      <c r="E1517" s="504" t="n">
        <v>-0.06</v>
      </c>
      <c r="F1517" s="505" t="n">
        <v>-0.9399999999999999</v>
      </c>
      <c r="G1517" t="inlineStr">
        <is>
          <t>100萬</t>
        </is>
      </c>
      <c r="H1517" t="n">
        <v>158</v>
      </c>
      <c r="I1517" t="n">
        <v>161</v>
      </c>
      <c r="J1517" t="n">
        <v>16.61</v>
      </c>
      <c r="K1517" t="n">
        <v>6.49</v>
      </c>
      <c r="L1517" t="n">
        <v>6.2</v>
      </c>
      <c r="M1517" s="175" t="n">
        <v>0.1</v>
      </c>
      <c r="N1517" t="inlineStr">
        <is>
          <t>多層電路板供應商</t>
        </is>
      </c>
    </row>
    <row r="1518">
      <c r="A1518" t="n">
        <v>5356</v>
      </c>
      <c r="B1518" t="inlineStr">
        <is>
          <t>協益</t>
        </is>
      </c>
      <c r="C1518" t="n">
        <v>27.35</v>
      </c>
      <c r="D1518" t="n">
        <v>27.05</v>
      </c>
      <c r="E1518" s="504" t="n">
        <v>-0.3</v>
      </c>
      <c r="F1518" s="505" t="n">
        <v>-1.1</v>
      </c>
      <c r="G1518" t="inlineStr">
        <is>
          <t>574萬</t>
        </is>
      </c>
      <c r="H1518" t="n">
        <v>212</v>
      </c>
      <c r="I1518" t="n">
        <v>107</v>
      </c>
      <c r="J1518" t="n">
        <v>10.3</v>
      </c>
      <c r="K1518" t="n">
        <v>27.35</v>
      </c>
      <c r="L1518" t="n">
        <v>27</v>
      </c>
      <c r="M1518" s="175" t="n">
        <v>0.21</v>
      </c>
      <c r="N1518" t="inlineStr">
        <is>
          <t>經營電腦週邊及電子零組件之廠商</t>
        </is>
      </c>
    </row>
    <row r="1519">
      <c r="A1519" t="n">
        <v>5364</v>
      </c>
      <c r="B1519" t="inlineStr">
        <is>
          <t>力麗店</t>
        </is>
      </c>
      <c r="C1519" t="n">
        <v>8.779999999999999</v>
      </c>
      <c r="D1519" t="n">
        <v>8.68</v>
      </c>
      <c r="E1519" s="504" t="n">
        <v>-0.16</v>
      </c>
      <c r="F1519" s="505" t="n">
        <v>-1.81</v>
      </c>
      <c r="G1519" t="inlineStr">
        <is>
          <t>65.4萬</t>
        </is>
      </c>
      <c r="H1519" t="n">
        <v>75</v>
      </c>
      <c r="I1519" t="n">
        <v>164</v>
      </c>
      <c r="J1519" t="n">
        <v>6.38</v>
      </c>
      <c r="K1519" t="n">
        <v>8.869999999999999</v>
      </c>
      <c r="L1519" t="n">
        <v>8.68</v>
      </c>
      <c r="M1519" s="175" t="n">
        <v>0.12</v>
      </c>
      <c r="N1519" t="inlineStr">
        <is>
          <t>以力麗哲園為品牌之飯店經營業者</t>
        </is>
      </c>
    </row>
    <row r="1520">
      <c r="A1520" t="n">
        <v>5371</v>
      </c>
      <c r="B1520" t="inlineStr">
        <is>
          <t>中光電</t>
        </is>
      </c>
      <c r="C1520" t="n">
        <v>73.8</v>
      </c>
      <c r="D1520" t="n">
        <v>73.90000000000001</v>
      </c>
      <c r="E1520" s="504" t="n">
        <v>0</v>
      </c>
      <c r="F1520" s="505" t="n">
        <v>0</v>
      </c>
      <c r="G1520" t="inlineStr">
        <is>
          <t>2.72億</t>
        </is>
      </c>
      <c r="H1520" t="n">
        <v>3736</v>
      </c>
      <c r="I1520" t="n">
        <v>5459</v>
      </c>
      <c r="J1520" t="n">
        <v>39.1</v>
      </c>
      <c r="K1520" t="n">
        <v>74.3</v>
      </c>
      <c r="L1520" t="n">
        <v>71.8</v>
      </c>
      <c r="M1520" s="175" t="n">
        <v>0.96</v>
      </c>
      <c r="N1520" t="inlineStr">
        <is>
          <t>背光模組及投影機製造大廠</t>
        </is>
      </c>
    </row>
    <row r="1521">
      <c r="A1521" t="n">
        <v>5381</v>
      </c>
      <c r="B1521" t="inlineStr">
        <is>
          <t>光譜</t>
        </is>
      </c>
      <c r="C1521" t="n">
        <v>26.85</v>
      </c>
      <c r="D1521" t="n">
        <v>26.6</v>
      </c>
      <c r="E1521" s="504" t="n">
        <v>0.05</v>
      </c>
      <c r="F1521" s="505" t="n">
        <v>0.19</v>
      </c>
      <c r="G1521" t="inlineStr">
        <is>
          <t>2530萬</t>
        </is>
      </c>
      <c r="H1521" t="n">
        <v>967</v>
      </c>
      <c r="I1521" t="n">
        <v>1380</v>
      </c>
      <c r="J1521" t="n">
        <v>20.78</v>
      </c>
      <c r="K1521" t="n">
        <v>26.85</v>
      </c>
      <c r="L1521" t="n">
        <v>26</v>
      </c>
      <c r="M1521" s="175" t="n">
        <v>0.47</v>
      </c>
      <c r="N1521" t="inlineStr">
        <is>
          <t>主要從事配電變壓器業務</t>
        </is>
      </c>
    </row>
    <row r="1522">
      <c r="A1522" t="n">
        <v>5386</v>
      </c>
      <c r="B1522" t="inlineStr">
        <is>
          <t>青雲</t>
        </is>
      </c>
      <c r="C1522" t="n">
        <v>586</v>
      </c>
      <c r="D1522" t="n">
        <v>559</v>
      </c>
      <c r="E1522" s="504" t="n">
        <v>-22</v>
      </c>
      <c r="F1522" s="505" t="n">
        <v>-3.79</v>
      </c>
      <c r="G1522" t="inlineStr">
        <is>
          <t>18.5億</t>
        </is>
      </c>
      <c r="H1522" t="n">
        <v>3253</v>
      </c>
      <c r="I1522" t="n">
        <v>3252</v>
      </c>
      <c r="J1522" t="n">
        <v>3.61</v>
      </c>
      <c r="K1522" t="n">
        <v>596</v>
      </c>
      <c r="L1522" t="n">
        <v>541</v>
      </c>
      <c r="M1522" s="175" t="n">
        <v>9.02</v>
      </c>
      <c r="N1522" t="inlineStr">
        <is>
          <t>高階伺服器記憶體模組及板卡的代理商</t>
        </is>
      </c>
    </row>
    <row r="1523">
      <c r="A1523" t="n">
        <v>5388</v>
      </c>
      <c r="B1523" t="inlineStr">
        <is>
          <t>中磊</t>
        </is>
      </c>
      <c r="C1523" t="n">
        <v>90</v>
      </c>
      <c r="D1523" t="n">
        <v>93.3</v>
      </c>
      <c r="E1523" s="504" t="n">
        <v>3.2</v>
      </c>
      <c r="F1523" s="505" t="n">
        <v>3.55</v>
      </c>
      <c r="G1523" t="inlineStr">
        <is>
          <t>9.96億</t>
        </is>
      </c>
      <c r="H1523" t="n">
        <v>10930</v>
      </c>
      <c r="I1523" t="n">
        <v>5795</v>
      </c>
      <c r="J1523" t="n">
        <v>30.43</v>
      </c>
      <c r="K1523" t="n">
        <v>93.40000000000001</v>
      </c>
      <c r="L1523" t="n">
        <v>88.7</v>
      </c>
      <c r="M1523" s="175" t="n">
        <v>3.59</v>
      </c>
      <c r="N1523" t="inlineStr">
        <is>
          <t>台灣寬頻及電信設備代工大廠</t>
        </is>
      </c>
    </row>
    <row r="1524">
      <c r="A1524" t="n">
        <v>5392</v>
      </c>
      <c r="B1524" t="inlineStr">
        <is>
          <t>能率</t>
        </is>
      </c>
      <c r="C1524" t="n">
        <v>49</v>
      </c>
      <c r="D1524" t="n">
        <v>47.1</v>
      </c>
      <c r="E1524" s="504" t="n">
        <v>-1.8</v>
      </c>
      <c r="F1524" s="505" t="n">
        <v>-3.68</v>
      </c>
      <c r="G1524" t="inlineStr">
        <is>
          <t>7.39億</t>
        </is>
      </c>
      <c r="H1524" t="n">
        <v>15434</v>
      </c>
      <c r="I1524" t="n">
        <v>8634</v>
      </c>
      <c r="J1524" t="n">
        <v>17.66</v>
      </c>
      <c r="K1524" t="n">
        <v>49.8</v>
      </c>
      <c r="L1524" t="n">
        <v>46</v>
      </c>
      <c r="M1524" s="175" t="n">
        <v>8.74</v>
      </c>
      <c r="N1524" t="inlineStr">
        <is>
          <t>3C、手工具機、汽車等應用之零組件廠</t>
        </is>
      </c>
    </row>
    <row r="1525">
      <c r="A1525" t="n">
        <v>5398</v>
      </c>
      <c r="B1525" t="inlineStr">
        <is>
          <t>慕康生醫</t>
        </is>
      </c>
      <c r="C1525" t="n">
        <v>17.05</v>
      </c>
      <c r="D1525" t="n">
        <v>17.25</v>
      </c>
      <c r="E1525" s="504" t="n">
        <v>0.25</v>
      </c>
      <c r="F1525" s="505" t="n">
        <v>1.47</v>
      </c>
      <c r="G1525" t="inlineStr">
        <is>
          <t>64.8萬</t>
        </is>
      </c>
      <c r="H1525" t="n">
        <v>38</v>
      </c>
      <c r="I1525" t="n">
        <v>79</v>
      </c>
      <c r="J1525" t="n">
        <v>4.95</v>
      </c>
      <c r="K1525" t="n">
        <v>17.25</v>
      </c>
      <c r="L1525" t="n">
        <v>16.85</v>
      </c>
      <c r="M1525" s="175" t="n">
        <v>0.08</v>
      </c>
      <c r="N1525" t="inlineStr">
        <is>
          <t>醫藥生技通路商，並推出保健食品及跨入健檢業務</t>
        </is>
      </c>
    </row>
    <row r="1526">
      <c r="A1526" t="n">
        <v>5403</v>
      </c>
      <c r="B1526" t="inlineStr">
        <is>
          <t>中菲</t>
        </is>
      </c>
      <c r="C1526" t="n">
        <v>89.8</v>
      </c>
      <c r="D1526" t="n">
        <v>88.3</v>
      </c>
      <c r="E1526" s="504" t="n">
        <v>-0.8</v>
      </c>
      <c r="F1526" s="505" t="n">
        <v>-0.9</v>
      </c>
      <c r="G1526" t="inlineStr">
        <is>
          <t>804萬</t>
        </is>
      </c>
      <c r="H1526" t="n">
        <v>91</v>
      </c>
      <c r="I1526" t="n">
        <v>153</v>
      </c>
      <c r="J1526" t="n">
        <v>7.82</v>
      </c>
      <c r="K1526" t="n">
        <v>89.8</v>
      </c>
      <c r="L1526" t="n">
        <v>87.59999999999999</v>
      </c>
      <c r="M1526" s="175" t="n">
        <v>0.12</v>
      </c>
      <c r="N1526" t="inlineStr">
        <is>
          <t>金融與物流業系統整合、軟體服務之廠商</t>
        </is>
      </c>
    </row>
    <row r="1527">
      <c r="A1527" t="n">
        <v>5410</v>
      </c>
      <c r="B1527" t="inlineStr">
        <is>
          <t>國眾</t>
        </is>
      </c>
      <c r="C1527" t="n">
        <v>41.75</v>
      </c>
      <c r="D1527" t="n">
        <v>41.25</v>
      </c>
      <c r="E1527" s="504" t="n">
        <v>-0.5</v>
      </c>
      <c r="F1527" s="505" t="n">
        <v>-1.2</v>
      </c>
      <c r="G1527" t="inlineStr">
        <is>
          <t>6875萬</t>
        </is>
      </c>
      <c r="H1527" t="n">
        <v>1682</v>
      </c>
      <c r="I1527" t="n">
        <v>1608</v>
      </c>
      <c r="J1527" t="n">
        <v>9.24</v>
      </c>
      <c r="K1527" t="n">
        <v>41.75</v>
      </c>
      <c r="L1527" t="n">
        <v>40.65</v>
      </c>
      <c r="M1527" s="175" t="n">
        <v>1.82</v>
      </c>
      <c r="N1527" t="inlineStr">
        <is>
          <t>大眾控轉投資系統整合廠</t>
        </is>
      </c>
    </row>
    <row r="1528">
      <c r="A1528" t="n">
        <v>5425</v>
      </c>
      <c r="B1528" t="inlineStr">
        <is>
          <t>台半</t>
        </is>
      </c>
      <c r="C1528" t="n">
        <v>105.5</v>
      </c>
      <c r="D1528" t="n">
        <v>103.5</v>
      </c>
      <c r="E1528" s="504" t="n">
        <v>-3</v>
      </c>
      <c r="F1528" s="505" t="n">
        <v>-2.82</v>
      </c>
      <c r="G1528" t="inlineStr">
        <is>
          <t>30.5億</t>
        </is>
      </c>
      <c r="H1528" t="n">
        <v>29545</v>
      </c>
      <c r="I1528" t="n">
        <v>56925</v>
      </c>
      <c r="J1528" t="n">
        <v>26.35</v>
      </c>
      <c r="K1528" t="n">
        <v>107.5</v>
      </c>
      <c r="L1528" t="n">
        <v>100</v>
      </c>
      <c r="M1528" s="175" t="n">
        <v>11.21</v>
      </c>
      <c r="N1528" t="inlineStr">
        <is>
          <t>台灣整流二極體大廠</t>
        </is>
      </c>
    </row>
    <row r="1529">
      <c r="A1529" t="n">
        <v>5426</v>
      </c>
      <c r="B1529" t="inlineStr">
        <is>
          <t>振發</t>
        </is>
      </c>
      <c r="C1529" t="n">
        <v>22.55</v>
      </c>
      <c r="D1529" t="n">
        <v>22.55</v>
      </c>
      <c r="E1529" s="504" t="n">
        <v>2.05</v>
      </c>
      <c r="F1529" s="505" t="n">
        <v>10</v>
      </c>
      <c r="G1529" t="inlineStr">
        <is>
          <t>1155萬</t>
        </is>
      </c>
      <c r="H1529" t="n">
        <v>514</v>
      </c>
      <c r="I1529" t="n">
        <v>480</v>
      </c>
      <c r="J1529" t="n">
        <v>14.38</v>
      </c>
      <c r="K1529" t="n">
        <v>22.55</v>
      </c>
      <c r="L1529" t="n">
        <v>22.55</v>
      </c>
      <c r="M1529" s="175" t="n">
        <v>0.36</v>
      </c>
      <c r="N1529" t="inlineStr">
        <is>
          <t>台灣PC外殼生產商</t>
        </is>
      </c>
    </row>
    <row r="1530">
      <c r="A1530" t="n">
        <v>5432</v>
      </c>
      <c r="B1530" t="inlineStr">
        <is>
          <t>新門</t>
        </is>
      </c>
      <c r="C1530" t="n">
        <v>135.5</v>
      </c>
      <c r="D1530" t="n">
        <v>133</v>
      </c>
      <c r="E1530" s="504" t="n">
        <v>-2.5</v>
      </c>
      <c r="F1530" s="505" t="n">
        <v>-1.85</v>
      </c>
      <c r="G1530" t="inlineStr">
        <is>
          <t>1212萬</t>
        </is>
      </c>
      <c r="H1530" t="n">
        <v>90</v>
      </c>
      <c r="I1530" t="n">
        <v>83</v>
      </c>
      <c r="J1530" t="n">
        <v>2.07</v>
      </c>
      <c r="K1530" t="n">
        <v>137.5</v>
      </c>
      <c r="L1530" t="n">
        <v>133</v>
      </c>
      <c r="M1530" s="175" t="n">
        <v>0.44</v>
      </c>
      <c r="N1530" t="inlineStr">
        <is>
          <t>所羅門子公司，液晶顯示模組與太陽能系統組件廠</t>
        </is>
      </c>
    </row>
    <row r="1531">
      <c r="A1531" t="n">
        <v>5434</v>
      </c>
      <c r="B1531" t="inlineStr">
        <is>
          <t>崇越</t>
        </is>
      </c>
      <c r="C1531" t="n">
        <v>459</v>
      </c>
      <c r="D1531" t="n">
        <v>466</v>
      </c>
      <c r="E1531" s="504" t="n">
        <v>13</v>
      </c>
      <c r="F1531" s="505" t="n">
        <v>2.87</v>
      </c>
      <c r="G1531" t="inlineStr">
        <is>
          <t>4.78億</t>
        </is>
      </c>
      <c r="H1531" t="n">
        <v>1043</v>
      </c>
      <c r="I1531" t="n">
        <v>982</v>
      </c>
      <c r="J1531" t="n">
        <v>19.37</v>
      </c>
      <c r="K1531" t="n">
        <v>467</v>
      </c>
      <c r="L1531" t="n">
        <v>449.5</v>
      </c>
      <c r="M1531" s="175" t="n">
        <v>0.54</v>
      </c>
      <c r="N1531" t="inlineStr">
        <is>
          <t>日本信越晶圓產品在台代理商</t>
        </is>
      </c>
    </row>
    <row r="1532">
      <c r="A1532" t="n">
        <v>5438</v>
      </c>
      <c r="B1532" t="inlineStr">
        <is>
          <t>東友</t>
        </is>
      </c>
      <c r="C1532" t="n">
        <v>19.35</v>
      </c>
      <c r="D1532" t="n">
        <v>19.4</v>
      </c>
      <c r="E1532" s="504" t="n">
        <v>0.05</v>
      </c>
      <c r="F1532" s="505" t="n">
        <v>0.26</v>
      </c>
      <c r="G1532" t="inlineStr">
        <is>
          <t>211萬</t>
        </is>
      </c>
      <c r="H1532" t="n">
        <v>110</v>
      </c>
      <c r="I1532" t="n">
        <v>254</v>
      </c>
      <c r="J1532" t="n">
        <v>11.25</v>
      </c>
      <c r="K1532" t="n">
        <v>19.4</v>
      </c>
      <c r="L1532" t="n">
        <v>19</v>
      </c>
      <c r="M1532" s="175" t="n">
        <v>0.1</v>
      </c>
      <c r="N1532" t="inlineStr">
        <is>
          <t>為Konica Minolta代工多功能事務機</t>
        </is>
      </c>
    </row>
    <row r="1533">
      <c r="A1533" t="n">
        <v>5439</v>
      </c>
      <c r="B1533" t="inlineStr">
        <is>
          <t>高技</t>
        </is>
      </c>
      <c r="C1533" t="n">
        <v>382.5</v>
      </c>
      <c r="D1533" t="n">
        <v>374</v>
      </c>
      <c r="E1533" s="504" t="n">
        <v>-6</v>
      </c>
      <c r="F1533" s="505" t="n">
        <v>-1.58</v>
      </c>
      <c r="G1533" t="inlineStr">
        <is>
          <t>7.20億</t>
        </is>
      </c>
      <c r="H1533" t="n">
        <v>1916</v>
      </c>
      <c r="I1533" t="n">
        <v>2419</v>
      </c>
      <c r="J1533" t="n">
        <v>9.300000000000001</v>
      </c>
      <c r="K1533" t="n">
        <v>386</v>
      </c>
      <c r="L1533" t="n">
        <v>368</v>
      </c>
      <c r="M1533" s="175" t="n">
        <v>2.06</v>
      </c>
      <c r="N1533" t="inlineStr">
        <is>
          <t>生產少量多樣高層數利基型PCB為主</t>
        </is>
      </c>
    </row>
    <row r="1534">
      <c r="A1534" t="n">
        <v>5443</v>
      </c>
      <c r="B1534" t="inlineStr">
        <is>
          <t>均豪</t>
        </is>
      </c>
      <c r="C1534" t="n">
        <v>128</v>
      </c>
      <c r="D1534" t="n">
        <v>121.5</v>
      </c>
      <c r="E1534" s="504" t="n">
        <v>-5.5</v>
      </c>
      <c r="F1534" s="505" t="n">
        <v>-4.33</v>
      </c>
      <c r="G1534" t="inlineStr">
        <is>
          <t>5.61億</t>
        </is>
      </c>
      <c r="H1534" t="n">
        <v>4586</v>
      </c>
      <c r="I1534" t="n">
        <v>6129</v>
      </c>
      <c r="J1534" t="n">
        <v>16.47</v>
      </c>
      <c r="K1534" t="n">
        <v>128</v>
      </c>
      <c r="L1534" t="n">
        <v>119</v>
      </c>
      <c r="M1534" s="175" t="n">
        <v>2.78</v>
      </c>
      <c r="N1534" t="inlineStr">
        <is>
          <t>台灣面板及晶圓檢測設備供應商</t>
        </is>
      </c>
    </row>
    <row r="1535">
      <c r="A1535" t="n">
        <v>5450</v>
      </c>
      <c r="B1535" t="inlineStr">
        <is>
          <t>南良</t>
        </is>
      </c>
      <c r="C1535" t="n">
        <v>12.8</v>
      </c>
      <c r="D1535" t="n">
        <v>12.95</v>
      </c>
      <c r="E1535" s="504" t="n">
        <v>0.15</v>
      </c>
      <c r="F1535" s="505" t="n">
        <v>1.17</v>
      </c>
      <c r="G1535" t="inlineStr">
        <is>
          <t>85.7萬</t>
        </is>
      </c>
      <c r="H1535" t="n">
        <v>67</v>
      </c>
      <c r="I1535" t="n">
        <v>65</v>
      </c>
      <c r="J1535" t="n">
        <v>12.24</v>
      </c>
      <c r="K1535" t="n">
        <v>12.95</v>
      </c>
      <c r="L1535" t="n">
        <v>12.7</v>
      </c>
      <c r="M1535" s="175" t="n">
        <v>0.05</v>
      </c>
      <c r="N1535" t="inlineStr">
        <is>
          <t>主要經營特殊紡織品、高彈性發泡材料及電源供應器</t>
        </is>
      </c>
    </row>
    <row r="1536">
      <c r="A1536" t="n">
        <v>5452</v>
      </c>
      <c r="B1536" t="inlineStr">
        <is>
          <t>佶優</t>
        </is>
      </c>
      <c r="C1536" t="n">
        <v>35.15</v>
      </c>
      <c r="D1536" t="n">
        <v>34.15</v>
      </c>
      <c r="E1536" s="504" t="n">
        <v>-0.95</v>
      </c>
      <c r="F1536" s="505" t="n">
        <v>-2.71</v>
      </c>
      <c r="G1536" t="inlineStr">
        <is>
          <t>1.02億</t>
        </is>
      </c>
      <c r="H1536" t="n">
        <v>2976</v>
      </c>
      <c r="I1536" t="n">
        <v>4006</v>
      </c>
      <c r="J1536" t="n">
        <v>14.88</v>
      </c>
      <c r="K1536" t="n">
        <v>35.6</v>
      </c>
      <c r="L1536" t="n">
        <v>33.45</v>
      </c>
      <c r="M1536" s="175" t="n">
        <v>2</v>
      </c>
      <c r="N1536" t="inlineStr">
        <is>
          <t>全球塑膠粒及PCR環保塑膠原料整合平台商</t>
        </is>
      </c>
    </row>
    <row r="1537">
      <c r="A1537" t="n">
        <v>5455</v>
      </c>
      <c r="B1537" t="inlineStr">
        <is>
          <t>昇益</t>
        </is>
      </c>
      <c r="C1537" t="n">
        <v>24.3</v>
      </c>
      <c r="D1537" t="n">
        <v>25</v>
      </c>
      <c r="E1537" s="504" t="n">
        <v>0.4</v>
      </c>
      <c r="F1537" s="505" t="n">
        <v>1.63</v>
      </c>
      <c r="G1537" t="inlineStr">
        <is>
          <t>80.4萬</t>
        </is>
      </c>
      <c r="H1537" t="n">
        <v>33</v>
      </c>
      <c r="I1537" t="n">
        <v>2041</v>
      </c>
      <c r="J1537" t="n">
        <v>6.55</v>
      </c>
      <c r="K1537" t="n">
        <v>25</v>
      </c>
      <c r="L1537" t="n">
        <v>24.1</v>
      </c>
      <c r="M1537" s="175" t="n">
        <v>0.05</v>
      </c>
      <c r="N1537" t="inlineStr">
        <is>
          <t>從事不動產開發興建及不動產租賃業務</t>
        </is>
      </c>
    </row>
    <row r="1538">
      <c r="A1538" t="n">
        <v>5457</v>
      </c>
      <c r="B1538" t="inlineStr">
        <is>
          <t>宣德</t>
        </is>
      </c>
      <c r="C1538" t="n">
        <v>30.2</v>
      </c>
      <c r="D1538" t="n">
        <v>30.95</v>
      </c>
      <c r="E1538" s="504" t="n">
        <v>0.9</v>
      </c>
      <c r="F1538" s="505" t="n">
        <v>3</v>
      </c>
      <c r="G1538" t="inlineStr">
        <is>
          <t>2461萬</t>
        </is>
      </c>
      <c r="H1538" t="n">
        <v>816</v>
      </c>
      <c r="I1538" t="n">
        <v>1181</v>
      </c>
      <c r="J1538" t="n">
        <v>19.65</v>
      </c>
      <c r="K1538" t="n">
        <v>30.95</v>
      </c>
      <c r="L1538" t="n">
        <v>29.95</v>
      </c>
      <c r="M1538" s="175" t="n">
        <v>0.42</v>
      </c>
      <c r="N1538" t="inlineStr">
        <is>
          <t>台灣知名NB連接器及電子代工廠</t>
        </is>
      </c>
    </row>
    <row r="1539">
      <c r="A1539" t="n">
        <v>5460</v>
      </c>
      <c r="B1539" t="inlineStr">
        <is>
          <t>同協</t>
        </is>
      </c>
      <c r="C1539" t="n">
        <v>14.95</v>
      </c>
      <c r="D1539" t="n">
        <v>15.05</v>
      </c>
      <c r="E1539" s="504" t="n">
        <v>0.25</v>
      </c>
      <c r="F1539" s="505" t="n">
        <v>1.69</v>
      </c>
      <c r="G1539" t="inlineStr">
        <is>
          <t>58.2萬</t>
        </is>
      </c>
      <c r="H1539" t="n">
        <v>39</v>
      </c>
      <c r="I1539" t="n">
        <v>87</v>
      </c>
      <c r="J1539" t="n">
        <v>5.88</v>
      </c>
      <c r="K1539" t="n">
        <v>15.1</v>
      </c>
      <c r="L1539" t="n">
        <v>14.8</v>
      </c>
      <c r="M1539" s="175" t="n">
        <v>0.07000000000000001</v>
      </c>
      <c r="N1539" t="inlineStr">
        <is>
          <t>專業的連續沖壓模具及零件大廠</t>
        </is>
      </c>
    </row>
    <row r="1540">
      <c r="A1540" t="n">
        <v>5464</v>
      </c>
      <c r="B1540" t="inlineStr">
        <is>
          <t>霖宏</t>
        </is>
      </c>
      <c r="C1540" t="n">
        <v>78.90000000000001</v>
      </c>
      <c r="D1540" t="n">
        <v>76.3</v>
      </c>
      <c r="E1540" s="504" t="n">
        <v>-4.2</v>
      </c>
      <c r="F1540" s="505" t="n">
        <v>-5.22</v>
      </c>
      <c r="G1540" t="inlineStr">
        <is>
          <t>2.92億</t>
        </is>
      </c>
      <c r="H1540" t="n">
        <v>3942</v>
      </c>
      <c r="I1540" t="n">
        <v>2775</v>
      </c>
      <c r="J1540" t="n">
        <v>7.11</v>
      </c>
      <c r="K1540" t="n">
        <v>80</v>
      </c>
      <c r="L1540" t="n">
        <v>72.5</v>
      </c>
      <c r="M1540" s="175" t="n">
        <v>5.55</v>
      </c>
      <c r="N1540" t="inlineStr">
        <is>
          <t>LCD TV,印表機等消費性PCB廠</t>
        </is>
      </c>
    </row>
    <row r="1541">
      <c r="A1541" t="n">
        <v>5465</v>
      </c>
      <c r="B1541" t="inlineStr">
        <is>
          <t>富驊</t>
        </is>
      </c>
      <c r="C1541" t="n">
        <v>27.4</v>
      </c>
      <c r="D1541" t="n">
        <v>27.9</v>
      </c>
      <c r="E1541" s="504" t="n">
        <v>0.8</v>
      </c>
      <c r="F1541" s="505" t="n">
        <v>2.95</v>
      </c>
      <c r="G1541" t="inlineStr">
        <is>
          <t>1294萬</t>
        </is>
      </c>
      <c r="H1541" t="n">
        <v>469</v>
      </c>
      <c r="I1541" t="n">
        <v>289</v>
      </c>
      <c r="J1541" t="n">
        <v>14.77</v>
      </c>
      <c r="K1541" t="n">
        <v>28.2</v>
      </c>
      <c r="L1541" t="n">
        <v>27.15</v>
      </c>
      <c r="M1541" s="175" t="n">
        <v>0.32</v>
      </c>
      <c r="N1541" t="inlineStr">
        <is>
          <t>偉訓轉投資之電腦、伺服器機殼廠</t>
        </is>
      </c>
    </row>
    <row r="1542">
      <c r="A1542" t="n">
        <v>5468</v>
      </c>
      <c r="B1542" t="inlineStr">
        <is>
          <t>凱鈺</t>
        </is>
      </c>
      <c r="C1542" t="n">
        <v>18.25</v>
      </c>
      <c r="D1542" t="n">
        <v>18.3</v>
      </c>
      <c r="E1542" s="504" t="n">
        <v>0.05</v>
      </c>
      <c r="F1542" s="505" t="n">
        <v>0.27</v>
      </c>
      <c r="G1542" t="inlineStr">
        <is>
          <t>286萬</t>
        </is>
      </c>
      <c r="H1542" t="n">
        <v>157</v>
      </c>
      <c r="I1542" t="n">
        <v>92</v>
      </c>
      <c r="J1542" t="n">
        <v>5.89</v>
      </c>
      <c r="K1542" t="n">
        <v>18.35</v>
      </c>
      <c r="L1542" t="n">
        <v>18</v>
      </c>
      <c r="M1542" s="175" t="n">
        <v>0.27</v>
      </c>
      <c r="N1542" t="inlineStr">
        <is>
          <t>LED驅動IC及光通訊IC設計公司</t>
        </is>
      </c>
    </row>
    <row r="1543">
      <c r="A1543" t="n">
        <v>5469</v>
      </c>
      <c r="B1543" t="inlineStr">
        <is>
          <t>瀚宇博</t>
        </is>
      </c>
      <c r="C1543" t="n">
        <v>86.59999999999999</v>
      </c>
      <c r="D1543" t="n">
        <v>85.90000000000001</v>
      </c>
      <c r="E1543" s="504" t="n">
        <v>-0.1</v>
      </c>
      <c r="F1543" s="505" t="n">
        <v>-0.12</v>
      </c>
      <c r="G1543" t="inlineStr">
        <is>
          <t>3.11億</t>
        </is>
      </c>
      <c r="H1543" t="n">
        <v>3677</v>
      </c>
      <c r="I1543" t="n">
        <v>5826</v>
      </c>
      <c r="J1543" t="n">
        <v>48.62</v>
      </c>
      <c r="K1543" t="n">
        <v>86.59999999999999</v>
      </c>
      <c r="L1543" t="n">
        <v>83.59999999999999</v>
      </c>
      <c r="M1543" s="175" t="n">
        <v>0.76</v>
      </c>
      <c r="N1543" t="inlineStr">
        <is>
          <t>全球前三大NB板與STB板廠之一</t>
        </is>
      </c>
    </row>
    <row r="1544">
      <c r="A1544" t="n">
        <v>5471</v>
      </c>
      <c r="B1544" t="inlineStr">
        <is>
          <t>松翰</t>
        </is>
      </c>
      <c r="C1544" t="n">
        <v>52.8</v>
      </c>
      <c r="D1544" t="n">
        <v>52.6</v>
      </c>
      <c r="E1544" s="504" t="n">
        <v>-0.5</v>
      </c>
      <c r="F1544" s="505" t="n">
        <v>-0.9399999999999999</v>
      </c>
      <c r="G1544" t="inlineStr">
        <is>
          <t>1.23億</t>
        </is>
      </c>
      <c r="H1544" t="n">
        <v>2354</v>
      </c>
      <c r="I1544" t="n">
        <v>6029</v>
      </c>
      <c r="J1544" t="n">
        <v>16.79</v>
      </c>
      <c r="K1544" t="n">
        <v>53.1</v>
      </c>
      <c r="L1544" t="n">
        <v>51.7</v>
      </c>
      <c r="M1544" s="175" t="n">
        <v>1.4</v>
      </c>
      <c r="N1544" t="inlineStr">
        <is>
          <t>為語音及多媒體IC設計專業廠商</t>
        </is>
      </c>
    </row>
    <row r="1545">
      <c r="A1545" t="n">
        <v>5474</v>
      </c>
      <c r="B1545" t="inlineStr">
        <is>
          <t>聰泰</t>
        </is>
      </c>
      <c r="C1545" t="n">
        <v>200.5</v>
      </c>
      <c r="D1545" t="n">
        <v>187</v>
      </c>
      <c r="E1545" s="504" t="n">
        <v>-11</v>
      </c>
      <c r="F1545" s="505" t="n">
        <v>-5.56</v>
      </c>
      <c r="G1545" t="inlineStr">
        <is>
          <t>5.30億</t>
        </is>
      </c>
      <c r="H1545" t="n">
        <v>2765</v>
      </c>
      <c r="I1545" t="n">
        <v>1774</v>
      </c>
      <c r="J1545" t="n">
        <v>3.98</v>
      </c>
      <c r="K1545" t="n">
        <v>201.5</v>
      </c>
      <c r="L1545" t="n">
        <v>182.5</v>
      </c>
      <c r="M1545" s="175" t="n">
        <v>6.95</v>
      </c>
      <c r="N1545" t="inlineStr">
        <is>
          <t>數位監控、影音串流設備商</t>
        </is>
      </c>
    </row>
    <row r="1546">
      <c r="A1546" t="n">
        <v>5475</v>
      </c>
      <c r="B1546" t="inlineStr">
        <is>
          <t>德宏</t>
        </is>
      </c>
      <c r="C1546" t="n">
        <v>301</v>
      </c>
      <c r="D1546" t="n">
        <v>320</v>
      </c>
      <c r="E1546" s="504" t="n">
        <v>23</v>
      </c>
      <c r="F1546" s="505" t="n">
        <v>7.74</v>
      </c>
      <c r="G1546" t="inlineStr">
        <is>
          <t>25.6億</t>
        </is>
      </c>
      <c r="H1546" t="n">
        <v>8198</v>
      </c>
      <c r="I1546" t="n">
        <v>5870</v>
      </c>
      <c r="J1546" t="n">
        <v>12.71</v>
      </c>
      <c r="K1546" t="n">
        <v>325</v>
      </c>
      <c r="L1546" t="n">
        <v>297</v>
      </c>
      <c r="M1546" s="175" t="n">
        <v>6.45</v>
      </c>
      <c r="N1546" t="inlineStr">
        <is>
          <t>台灣專業電子級玻纖布廠</t>
        </is>
      </c>
    </row>
    <row r="1547">
      <c r="A1547" t="n">
        <v>5478</v>
      </c>
      <c r="B1547" t="inlineStr">
        <is>
          <t>智冠</t>
        </is>
      </c>
      <c r="C1547" t="n">
        <v>100.5</v>
      </c>
      <c r="D1547" t="n">
        <v>104</v>
      </c>
      <c r="E1547" s="504" t="n">
        <v>4</v>
      </c>
      <c r="F1547" s="505" t="n">
        <v>4</v>
      </c>
      <c r="G1547" t="inlineStr">
        <is>
          <t>5065萬</t>
        </is>
      </c>
      <c r="H1547" t="n">
        <v>492</v>
      </c>
      <c r="I1547" t="n">
        <v>190</v>
      </c>
      <c r="J1547" t="n">
        <v>15.61</v>
      </c>
      <c r="K1547" t="n">
        <v>104.5</v>
      </c>
      <c r="L1547" t="n">
        <v>100.5</v>
      </c>
      <c r="M1547" s="175" t="n">
        <v>0.32</v>
      </c>
      <c r="N1547" t="inlineStr">
        <is>
          <t>台灣最大遊戲公司，橫跨研發、營運和通路行銷等業務</t>
        </is>
      </c>
    </row>
    <row r="1548">
      <c r="A1548" t="n">
        <v>5481</v>
      </c>
      <c r="B1548" t="inlineStr">
        <is>
          <t>新華</t>
        </is>
      </c>
      <c r="C1548" t="n">
        <v>17.8</v>
      </c>
      <c r="D1548" t="n">
        <v>18.7</v>
      </c>
      <c r="E1548" s="504" t="n">
        <v>0.95</v>
      </c>
      <c r="F1548" s="505" t="n">
        <v>5.35</v>
      </c>
      <c r="G1548" t="inlineStr">
        <is>
          <t>392萬</t>
        </is>
      </c>
      <c r="H1548" t="n">
        <v>217</v>
      </c>
      <c r="I1548" t="n">
        <v>133</v>
      </c>
      <c r="J1548" t="n">
        <v>7.14</v>
      </c>
      <c r="K1548" t="n">
        <v>18.7</v>
      </c>
      <c r="L1548" t="n">
        <v>17.7</v>
      </c>
      <c r="M1548" s="175" t="n">
        <v>0.3</v>
      </c>
      <c r="N1548" t="inlineStr">
        <is>
          <t>主要經營「芝麻街」連鎖美語補習班及國高中補習服務</t>
        </is>
      </c>
    </row>
    <row r="1549">
      <c r="A1549" t="n">
        <v>5483</v>
      </c>
      <c r="B1549" t="inlineStr">
        <is>
          <t>中美晶</t>
        </is>
      </c>
      <c r="C1549" t="n">
        <v>167.5</v>
      </c>
      <c r="D1549" t="n">
        <v>164.5</v>
      </c>
      <c r="E1549" s="504" t="n">
        <v>-4</v>
      </c>
      <c r="F1549" s="505" t="n">
        <v>-2.37</v>
      </c>
      <c r="G1549" t="inlineStr">
        <is>
          <t>30.4億</t>
        </is>
      </c>
      <c r="H1549" t="n">
        <v>18720</v>
      </c>
      <c r="I1549" t="n">
        <v>30140</v>
      </c>
      <c r="J1549" t="n">
        <v>64.12</v>
      </c>
      <c r="K1549" t="n">
        <v>167.5</v>
      </c>
      <c r="L1549" t="n">
        <v>160</v>
      </c>
      <c r="M1549" s="175" t="n">
        <v>2.92</v>
      </c>
      <c r="N1549" t="inlineStr">
        <is>
          <t>台灣太陽能矽晶圓龍頭，並垂直整合太陽能產業鏈</t>
        </is>
      </c>
    </row>
    <row r="1550">
      <c r="A1550" t="n">
        <v>5484</v>
      </c>
      <c r="B1550" t="inlineStr">
        <is>
          <t>慧友</t>
        </is>
      </c>
      <c r="C1550" t="n">
        <v>58.5</v>
      </c>
      <c r="D1550" t="n">
        <v>57.4</v>
      </c>
      <c r="E1550" s="504" t="n">
        <v>3.8</v>
      </c>
      <c r="F1550" s="505" t="n">
        <v>7.09</v>
      </c>
      <c r="G1550" t="inlineStr">
        <is>
          <t>3.38億</t>
        </is>
      </c>
      <c r="H1550" t="n">
        <v>5900</v>
      </c>
      <c r="I1550" t="n">
        <v>2610</v>
      </c>
      <c r="J1550" t="n">
        <v>6.68</v>
      </c>
      <c r="K1550" t="n">
        <v>58.9</v>
      </c>
      <c r="L1550" t="n">
        <v>54.2</v>
      </c>
      <c r="M1550" s="175" t="n">
        <v>8.83</v>
      </c>
      <c r="N1550" t="inlineStr">
        <is>
          <t>台灣安全監控系統廠商</t>
        </is>
      </c>
    </row>
    <row r="1551">
      <c r="A1551" t="n">
        <v>5487</v>
      </c>
      <c r="B1551" t="inlineStr">
        <is>
          <t>通泰</t>
        </is>
      </c>
      <c r="C1551" t="n">
        <v>27.7</v>
      </c>
      <c r="D1551" t="n">
        <v>27.6</v>
      </c>
      <c r="E1551" s="504" t="n">
        <v>0</v>
      </c>
      <c r="F1551" s="505" t="n">
        <v>0</v>
      </c>
      <c r="G1551" t="inlineStr">
        <is>
          <t>350萬</t>
        </is>
      </c>
      <c r="H1551" t="n">
        <v>126</v>
      </c>
      <c r="I1551" t="n">
        <v>99</v>
      </c>
      <c r="J1551" t="n">
        <v>2.42</v>
      </c>
      <c r="K1551" t="n">
        <v>28.45</v>
      </c>
      <c r="L1551" t="n">
        <v>27.6</v>
      </c>
      <c r="M1551" s="175" t="n">
        <v>0.52</v>
      </c>
      <c r="N1551" t="inlineStr">
        <is>
          <t>老牌消費性IC設計廠商</t>
        </is>
      </c>
    </row>
    <row r="1552">
      <c r="A1552" t="n">
        <v>5488</v>
      </c>
      <c r="B1552" t="inlineStr">
        <is>
          <t>松普</t>
        </is>
      </c>
      <c r="C1552" t="n">
        <v>13.4</v>
      </c>
      <c r="D1552" t="n">
        <v>14.25</v>
      </c>
      <c r="E1552" s="504" t="n">
        <v>0.85</v>
      </c>
      <c r="F1552" s="505" t="n">
        <v>6.34</v>
      </c>
      <c r="G1552" t="inlineStr">
        <is>
          <t>4809萬</t>
        </is>
      </c>
      <c r="H1552" t="n">
        <v>3572</v>
      </c>
      <c r="I1552" t="n">
        <v>1607</v>
      </c>
      <c r="J1552" t="n">
        <v>9.16</v>
      </c>
      <c r="K1552" t="n">
        <v>14.35</v>
      </c>
      <c r="L1552" t="n">
        <v>12.8</v>
      </c>
      <c r="M1552" s="175" t="n">
        <v>3.9</v>
      </c>
      <c r="N1552" t="inlineStr">
        <is>
          <t>台灣3C電線製造商</t>
        </is>
      </c>
    </row>
    <row r="1553">
      <c r="A1553" t="n">
        <v>5489</v>
      </c>
      <c r="B1553" t="inlineStr">
        <is>
          <t>彩富</t>
        </is>
      </c>
      <c r="C1553" t="n">
        <v>38.7</v>
      </c>
      <c r="D1553" t="n">
        <v>38.85</v>
      </c>
      <c r="E1553" s="504" t="n">
        <v>0</v>
      </c>
      <c r="F1553" s="505" t="n">
        <v>0</v>
      </c>
      <c r="G1553" t="inlineStr">
        <is>
          <t>252萬</t>
        </is>
      </c>
      <c r="H1553" t="n">
        <v>65</v>
      </c>
      <c r="I1553" t="n">
        <v>57</v>
      </c>
      <c r="J1553" t="n">
        <v>10.27</v>
      </c>
      <c r="K1553" t="n">
        <v>39.1</v>
      </c>
      <c r="L1553" t="n">
        <v>38.7</v>
      </c>
      <c r="M1553" s="175" t="n">
        <v>0.06</v>
      </c>
      <c r="N1553" t="inlineStr">
        <is>
          <t>台灣網路視訊安全監控系統專業代工廠</t>
        </is>
      </c>
    </row>
    <row r="1554">
      <c r="A1554" t="n">
        <v>5490</v>
      </c>
      <c r="B1554" t="inlineStr">
        <is>
          <t>同亨</t>
        </is>
      </c>
      <c r="C1554" t="n">
        <v>29.15</v>
      </c>
      <c r="D1554" t="n">
        <v>29.3</v>
      </c>
      <c r="E1554" s="504" t="n">
        <v>0.05</v>
      </c>
      <c r="F1554" s="505" t="n">
        <v>0.17</v>
      </c>
      <c r="G1554" t="inlineStr">
        <is>
          <t>1749萬</t>
        </is>
      </c>
      <c r="H1554" t="n">
        <v>602</v>
      </c>
      <c r="I1554" t="n">
        <v>554</v>
      </c>
      <c r="J1554" t="n">
        <v>9.619999999999999</v>
      </c>
      <c r="K1554" t="n">
        <v>29.35</v>
      </c>
      <c r="L1554" t="n">
        <v>28.75</v>
      </c>
      <c r="M1554" s="175" t="n">
        <v>0.63</v>
      </c>
      <c r="N1554" t="inlineStr">
        <is>
          <t>全球知名POS刷卡機DMS廠</t>
        </is>
      </c>
    </row>
    <row r="1555">
      <c r="A1555" t="n">
        <v>5493</v>
      </c>
      <c r="B1555" t="inlineStr">
        <is>
          <t>三聯</t>
        </is>
      </c>
      <c r="C1555" t="n">
        <v>95.8</v>
      </c>
      <c r="D1555" t="n">
        <v>94</v>
      </c>
      <c r="E1555" s="504" t="n">
        <v>-1.3</v>
      </c>
      <c r="F1555" s="505" t="n">
        <v>-1.36</v>
      </c>
      <c r="G1555" t="inlineStr">
        <is>
          <t>9189萬</t>
        </is>
      </c>
      <c r="H1555" t="n">
        <v>967</v>
      </c>
      <c r="I1555" t="n">
        <v>375</v>
      </c>
      <c r="J1555" t="n">
        <v>4.37</v>
      </c>
      <c r="K1555" t="n">
        <v>97.90000000000001</v>
      </c>
      <c r="L1555" t="n">
        <v>92.3</v>
      </c>
      <c r="M1555" s="175" t="n">
        <v>2.21</v>
      </c>
      <c r="N1555" t="inlineStr">
        <is>
          <t>感測、監測系統整合服務商</t>
        </is>
      </c>
    </row>
    <row r="1556">
      <c r="A1556" t="n">
        <v>5498</v>
      </c>
      <c r="B1556" t="inlineStr">
        <is>
          <t>凱崴</t>
        </is>
      </c>
      <c r="C1556" t="n">
        <v>66.5</v>
      </c>
      <c r="D1556" t="n">
        <v>63.4</v>
      </c>
      <c r="E1556" s="504" t="n">
        <v>-2.6</v>
      </c>
      <c r="F1556" s="505" t="n">
        <v>-3.94</v>
      </c>
      <c r="G1556" t="inlineStr">
        <is>
          <t>3.22億</t>
        </is>
      </c>
      <c r="H1556" t="n">
        <v>5037</v>
      </c>
      <c r="I1556" t="n">
        <v>6909</v>
      </c>
      <c r="J1556" t="n">
        <v>19.35</v>
      </c>
      <c r="K1556" t="n">
        <v>66.90000000000001</v>
      </c>
      <c r="L1556" t="n">
        <v>62.3</v>
      </c>
      <c r="M1556" s="175" t="n">
        <v>2.6</v>
      </c>
      <c r="N1556" t="inlineStr">
        <is>
          <t>台灣PCB鑽頭製造商</t>
        </is>
      </c>
    </row>
    <row r="1557">
      <c r="A1557" t="n">
        <v>5508</v>
      </c>
      <c r="B1557" t="inlineStr">
        <is>
          <t>永信建</t>
        </is>
      </c>
      <c r="C1557" t="n">
        <v>47.45</v>
      </c>
      <c r="D1557" t="n">
        <v>48.9</v>
      </c>
      <c r="E1557" s="504" t="n">
        <v>2.05</v>
      </c>
      <c r="F1557" s="505" t="n">
        <v>4.38</v>
      </c>
      <c r="G1557" t="inlineStr">
        <is>
          <t>5617萬</t>
        </is>
      </c>
      <c r="H1557" t="n">
        <v>1173</v>
      </c>
      <c r="I1557" t="n">
        <v>611</v>
      </c>
      <c r="J1557" t="n">
        <v>21.74</v>
      </c>
      <c r="K1557" t="n">
        <v>48.95</v>
      </c>
      <c r="L1557" t="n">
        <v>46.9</v>
      </c>
      <c r="M1557" s="175" t="n">
        <v>0.54</v>
      </c>
      <c r="N1557" t="inlineStr">
        <is>
          <t>高雄建商，以成屋銷售為主</t>
        </is>
      </c>
    </row>
    <row r="1558">
      <c r="A1558" t="n">
        <v>5511</v>
      </c>
      <c r="B1558" t="inlineStr">
        <is>
          <t>德昌</t>
        </is>
      </c>
      <c r="C1558" t="n">
        <v>71.59999999999999</v>
      </c>
      <c r="D1558" t="n">
        <v>71.8</v>
      </c>
      <c r="E1558" s="504" t="n">
        <v>0.4</v>
      </c>
      <c r="F1558" s="505" t="n">
        <v>0.5600000000000001</v>
      </c>
      <c r="G1558" t="inlineStr">
        <is>
          <t>702萬</t>
        </is>
      </c>
      <c r="H1558" t="n">
        <v>98</v>
      </c>
      <c r="I1558" t="n">
        <v>154</v>
      </c>
      <c r="J1558" t="n">
        <v>11.34</v>
      </c>
      <c r="K1558" t="n">
        <v>71.8</v>
      </c>
      <c r="L1558" t="n">
        <v>71.40000000000001</v>
      </c>
      <c r="M1558" s="175" t="n">
        <v>0.09</v>
      </c>
      <c r="N1558" t="inlineStr">
        <is>
          <t>商辦大樓、高科技廠房及公共工程等為營業項目之營造商</t>
        </is>
      </c>
    </row>
    <row r="1559">
      <c r="A1559" t="n">
        <v>5512</v>
      </c>
      <c r="B1559" t="inlineStr">
        <is>
          <t>力麒</t>
        </is>
      </c>
      <c r="C1559" t="n">
        <v>7.38</v>
      </c>
      <c r="D1559" t="n">
        <v>7.38</v>
      </c>
      <c r="E1559" s="504" t="n">
        <v>0</v>
      </c>
      <c r="F1559" s="505" t="n">
        <v>0</v>
      </c>
      <c r="G1559" t="inlineStr">
        <is>
          <t>1754萬</t>
        </is>
      </c>
      <c r="H1559" t="n">
        <v>2391</v>
      </c>
      <c r="I1559" t="n">
        <v>2244</v>
      </c>
      <c r="J1559" t="n">
        <v>76.63</v>
      </c>
      <c r="K1559" t="n">
        <v>7.46</v>
      </c>
      <c r="L1559" t="n">
        <v>7.25</v>
      </c>
      <c r="M1559" s="175" t="n">
        <v>0.31</v>
      </c>
      <c r="N1559" t="inlineStr">
        <is>
          <t>力麗集團旗下建商、環衛營造商</t>
        </is>
      </c>
    </row>
    <row r="1560">
      <c r="A1560" t="n">
        <v>5514</v>
      </c>
      <c r="B1560" t="inlineStr">
        <is>
          <t>三豐</t>
        </is>
      </c>
      <c r="C1560" t="n">
        <v>13.95</v>
      </c>
      <c r="D1560" t="n">
        <v>14.35</v>
      </c>
      <c r="E1560" s="504" t="n">
        <v>0.4</v>
      </c>
      <c r="F1560" s="505" t="n">
        <v>2.87</v>
      </c>
      <c r="G1560" t="inlineStr">
        <is>
          <t>67.9萬</t>
        </is>
      </c>
      <c r="H1560" t="n">
        <v>49</v>
      </c>
      <c r="I1560" t="n">
        <v>127</v>
      </c>
      <c r="J1560" t="n">
        <v>23.61</v>
      </c>
      <c r="K1560" t="n">
        <v>14.35</v>
      </c>
      <c r="L1560" t="n">
        <v>13.6</v>
      </c>
      <c r="M1560" s="175" t="n">
        <v>0.02</v>
      </c>
      <c r="N1560" t="inlineStr">
        <is>
          <t>以都市更新為主之建商</t>
        </is>
      </c>
    </row>
    <row r="1561">
      <c r="A1561" t="n">
        <v>5515</v>
      </c>
      <c r="B1561" t="inlineStr">
        <is>
          <t>建國</t>
        </is>
      </c>
      <c r="C1561" t="n">
        <v>41.55</v>
      </c>
      <c r="D1561" t="n">
        <v>41.2</v>
      </c>
      <c r="E1561" s="504" t="n">
        <v>-0.35</v>
      </c>
      <c r="F1561" s="505" t="n">
        <v>-0.84</v>
      </c>
      <c r="G1561" t="inlineStr">
        <is>
          <t>2735萬</t>
        </is>
      </c>
      <c r="H1561" t="n">
        <v>670</v>
      </c>
      <c r="I1561" t="n">
        <v>521</v>
      </c>
      <c r="J1561" t="n">
        <v>20.16</v>
      </c>
      <c r="K1561" t="n">
        <v>41.55</v>
      </c>
      <c r="L1561" t="n">
        <v>40.65</v>
      </c>
      <c r="M1561" s="175" t="n">
        <v>0.33</v>
      </c>
      <c r="N1561" t="inlineStr">
        <is>
          <t>建築統包工程服務商</t>
        </is>
      </c>
    </row>
    <row r="1562">
      <c r="A1562" t="n">
        <v>5516</v>
      </c>
      <c r="B1562" t="inlineStr">
        <is>
          <t>雙喜</t>
        </is>
      </c>
      <c r="C1562" t="n">
        <v>10.2</v>
      </c>
      <c r="D1562" t="n">
        <v>10.25</v>
      </c>
      <c r="E1562" s="504" t="n">
        <v>0.05</v>
      </c>
      <c r="F1562" s="505" t="n">
        <v>0.49</v>
      </c>
      <c r="G1562" t="inlineStr">
        <is>
          <t>41.8萬</t>
        </is>
      </c>
      <c r="H1562" t="n">
        <v>41</v>
      </c>
      <c r="I1562" t="n">
        <v>20</v>
      </c>
      <c r="J1562" t="n">
        <v>5.15</v>
      </c>
      <c r="K1562" t="n">
        <v>10.25</v>
      </c>
      <c r="L1562" t="n">
        <v>10.15</v>
      </c>
      <c r="M1562" s="175" t="n">
        <v>0.08</v>
      </c>
      <c r="N1562" t="inlineStr">
        <is>
          <t>承攬各項公共、建築及土木工程之營造廠</t>
        </is>
      </c>
    </row>
    <row r="1563">
      <c r="A1563" t="n">
        <v>5519</v>
      </c>
      <c r="B1563" t="inlineStr">
        <is>
          <t>隆大</t>
        </is>
      </c>
      <c r="C1563" t="n">
        <v>31.95</v>
      </c>
      <c r="D1563" t="n">
        <v>31.8</v>
      </c>
      <c r="E1563" s="504" t="n">
        <v>-0.15</v>
      </c>
      <c r="F1563" s="505" t="n">
        <v>-0.47</v>
      </c>
      <c r="G1563" t="inlineStr">
        <is>
          <t>2336萬</t>
        </is>
      </c>
      <c r="H1563" t="n">
        <v>733</v>
      </c>
      <c r="I1563" t="n">
        <v>550</v>
      </c>
      <c r="J1563" t="n">
        <v>21.92</v>
      </c>
      <c r="K1563" t="n">
        <v>32</v>
      </c>
      <c r="L1563" t="n">
        <v>31.8</v>
      </c>
      <c r="M1563" s="175" t="n">
        <v>0.33</v>
      </c>
      <c r="N1563" t="inlineStr">
        <is>
          <t>綜合營造及住宅大樓開發商</t>
        </is>
      </c>
    </row>
    <row r="1564">
      <c r="A1564" t="n">
        <v>5520</v>
      </c>
      <c r="B1564" t="inlineStr">
        <is>
          <t>力泰</t>
        </is>
      </c>
      <c r="C1564" t="n">
        <v>81.3</v>
      </c>
      <c r="D1564" t="n">
        <v>81.40000000000001</v>
      </c>
      <c r="E1564" s="504" t="n">
        <v>0.1</v>
      </c>
      <c r="F1564" s="505" t="n">
        <v>0.12</v>
      </c>
      <c r="G1564" t="inlineStr">
        <is>
          <t>32.5萬</t>
        </is>
      </c>
      <c r="H1564" t="n">
        <v>4</v>
      </c>
      <c r="I1564" t="n">
        <v>9</v>
      </c>
      <c r="J1564" t="n">
        <v>6</v>
      </c>
      <c r="K1564" t="n">
        <v>81.40000000000001</v>
      </c>
      <c r="L1564" t="n">
        <v>81.3</v>
      </c>
      <c r="M1564" s="175" t="n">
        <v>0.01</v>
      </c>
      <c r="N1564" t="inlineStr">
        <is>
          <t>台灣預拌混凝土製造加工廠</t>
        </is>
      </c>
    </row>
    <row r="1565">
      <c r="A1565" t="n">
        <v>5521</v>
      </c>
      <c r="B1565" t="inlineStr">
        <is>
          <t>工信</t>
        </is>
      </c>
      <c r="C1565" t="n">
        <v>10.2</v>
      </c>
      <c r="D1565" t="n">
        <v>10.15</v>
      </c>
      <c r="E1565" s="504" t="n">
        <v>-0.05</v>
      </c>
      <c r="F1565" s="505" t="n">
        <v>-0.49</v>
      </c>
      <c r="G1565" t="inlineStr">
        <is>
          <t>5360萬</t>
        </is>
      </c>
      <c r="H1565" t="n">
        <v>5247</v>
      </c>
      <c r="I1565" t="n">
        <v>3622</v>
      </c>
      <c r="J1565" t="n">
        <v>49.23</v>
      </c>
      <c r="K1565" t="n">
        <v>10.5</v>
      </c>
      <c r="L1565" t="n">
        <v>10.1</v>
      </c>
      <c r="M1565" s="175" t="n">
        <v>1.07</v>
      </c>
      <c r="N1565" t="inlineStr">
        <is>
          <t>台灣前十大營造廠</t>
        </is>
      </c>
    </row>
    <row r="1566">
      <c r="A1566" t="n">
        <v>5522</v>
      </c>
      <c r="B1566" t="inlineStr">
        <is>
          <t>遠雄</t>
        </is>
      </c>
      <c r="C1566" t="n">
        <v>74.09999999999999</v>
      </c>
      <c r="D1566" t="n">
        <v>75.09999999999999</v>
      </c>
      <c r="E1566" s="504" t="n">
        <v>0.9</v>
      </c>
      <c r="F1566" s="505" t="n">
        <v>1.21</v>
      </c>
      <c r="G1566" t="inlineStr">
        <is>
          <t>1.03億</t>
        </is>
      </c>
      <c r="H1566" t="n">
        <v>1379</v>
      </c>
      <c r="I1566" t="n">
        <v>1215</v>
      </c>
      <c r="J1566" t="n">
        <v>78.16</v>
      </c>
      <c r="K1566" t="n">
        <v>75.09999999999999</v>
      </c>
      <c r="L1566" t="n">
        <v>73.7</v>
      </c>
      <c r="M1566" s="175" t="n">
        <v>0.18</v>
      </c>
      <c r="N1566" t="inlineStr">
        <is>
          <t>以營建地產、休閒娛樂為核心的企業集團</t>
        </is>
      </c>
    </row>
    <row r="1567">
      <c r="A1567" t="n">
        <v>5523</v>
      </c>
      <c r="B1567" t="inlineStr">
        <is>
          <t>豐謙</t>
        </is>
      </c>
      <c r="C1567" t="n">
        <v>30.35</v>
      </c>
      <c r="D1567" t="n">
        <v>30.5</v>
      </c>
      <c r="E1567" s="504" t="n">
        <v>0</v>
      </c>
      <c r="F1567" s="505" t="n">
        <v>0</v>
      </c>
      <c r="G1567" t="inlineStr">
        <is>
          <t>149萬</t>
        </is>
      </c>
      <c r="H1567" t="n">
        <v>49</v>
      </c>
      <c r="I1567" t="n">
        <v>81</v>
      </c>
      <c r="J1567" t="n">
        <v>15.5</v>
      </c>
      <c r="K1567" t="n">
        <v>30.5</v>
      </c>
      <c r="L1567" t="n">
        <v>30.3</v>
      </c>
      <c r="M1567" s="175" t="n">
        <v>0.03</v>
      </c>
      <c r="N1567" t="inlineStr">
        <is>
          <t>嘉義地區建商</t>
        </is>
      </c>
    </row>
    <row r="1568">
      <c r="A1568" t="n">
        <v>5525</v>
      </c>
      <c r="B1568" t="inlineStr">
        <is>
          <t>順天</t>
        </is>
      </c>
      <c r="C1568" t="n">
        <v>21.8</v>
      </c>
      <c r="D1568" t="n">
        <v>21.8</v>
      </c>
      <c r="E1568" s="504" t="n">
        <v>0</v>
      </c>
      <c r="F1568" s="505" t="n">
        <v>0</v>
      </c>
      <c r="G1568" t="inlineStr">
        <is>
          <t>207萬</t>
        </is>
      </c>
      <c r="H1568" t="n">
        <v>96</v>
      </c>
      <c r="I1568" t="n">
        <v>208</v>
      </c>
      <c r="J1568" t="n">
        <v>31.81</v>
      </c>
      <c r="K1568" t="n">
        <v>21.8</v>
      </c>
      <c r="L1568" t="n">
        <v>21.3</v>
      </c>
      <c r="M1568" s="175" t="n">
        <v>0.03</v>
      </c>
      <c r="N1568" t="inlineStr">
        <is>
          <t>台中地區建商</t>
        </is>
      </c>
    </row>
    <row r="1569">
      <c r="A1569" t="n">
        <v>5529</v>
      </c>
      <c r="B1569" t="inlineStr">
        <is>
          <t>鉅陞</t>
        </is>
      </c>
      <c r="C1569" t="n">
        <v>22.25</v>
      </c>
      <c r="D1569" t="n">
        <v>22.5</v>
      </c>
      <c r="E1569" s="504" t="n">
        <v>0.3</v>
      </c>
      <c r="F1569" s="505" t="n">
        <v>1.35</v>
      </c>
      <c r="G1569" t="inlineStr">
        <is>
          <t>188萬</t>
        </is>
      </c>
      <c r="H1569" t="n">
        <v>83</v>
      </c>
      <c r="I1569" t="n">
        <v>105</v>
      </c>
      <c r="J1569" t="n">
        <v>10.58</v>
      </c>
      <c r="K1569" t="n">
        <v>23.75</v>
      </c>
      <c r="L1569" t="n">
        <v>22.2</v>
      </c>
      <c r="M1569" s="175" t="n">
        <v>0.08</v>
      </c>
      <c r="N1569" t="inlineStr">
        <is>
          <t>推案集中於新竹地區之建商</t>
        </is>
      </c>
    </row>
    <row r="1570">
      <c r="A1570" t="n">
        <v>5530</v>
      </c>
      <c r="B1570" t="inlineStr">
        <is>
          <t>龍巖</t>
        </is>
      </c>
      <c r="C1570" t="n">
        <v>49.15</v>
      </c>
      <c r="D1570" t="n">
        <v>49.1</v>
      </c>
      <c r="E1570" s="504" t="n">
        <v>0.1</v>
      </c>
      <c r="F1570" s="505" t="n">
        <v>0.2</v>
      </c>
      <c r="G1570" t="inlineStr">
        <is>
          <t>4339萬</t>
        </is>
      </c>
      <c r="H1570" t="n">
        <v>885</v>
      </c>
      <c r="I1570" t="n">
        <v>1579</v>
      </c>
      <c r="J1570" t="n">
        <v>42.01</v>
      </c>
      <c r="K1570" t="n">
        <v>50</v>
      </c>
      <c r="L1570" t="n">
        <v>48.85</v>
      </c>
      <c r="M1570" s="175" t="n">
        <v>0.21</v>
      </c>
      <c r="N1570" t="inlineStr">
        <is>
          <t>台灣殯葬產業龍頭</t>
        </is>
      </c>
    </row>
    <row r="1571">
      <c r="A1571" t="n">
        <v>5531</v>
      </c>
      <c r="B1571" t="inlineStr">
        <is>
          <t>鄉林</t>
        </is>
      </c>
      <c r="C1571" t="n">
        <v>7.98</v>
      </c>
      <c r="D1571" t="n">
        <v>7.86</v>
      </c>
      <c r="E1571" s="504" t="n">
        <v>0.01</v>
      </c>
      <c r="F1571" s="505" t="n">
        <v>0.13</v>
      </c>
      <c r="G1571" t="inlineStr">
        <is>
          <t>418萬</t>
        </is>
      </c>
      <c r="H1571" t="n">
        <v>533</v>
      </c>
      <c r="I1571" t="n">
        <v>723</v>
      </c>
      <c r="J1571" t="n">
        <v>97.76000000000001</v>
      </c>
      <c r="K1571" t="n">
        <v>7.98</v>
      </c>
      <c r="L1571" t="n">
        <v>7.79</v>
      </c>
      <c r="M1571" s="175" t="n">
        <v>0.05</v>
      </c>
      <c r="N1571" t="inlineStr">
        <is>
          <t>推案以中部地區為主之建商，並跨足觀光旅館經營</t>
        </is>
      </c>
    </row>
    <row r="1572">
      <c r="A1572" t="n">
        <v>5533</v>
      </c>
      <c r="B1572" t="inlineStr">
        <is>
          <t>皇鼎</t>
        </is>
      </c>
      <c r="C1572" t="n">
        <v>13.95</v>
      </c>
      <c r="D1572" t="n">
        <v>14</v>
      </c>
      <c r="E1572" s="504" t="n">
        <v>0.05</v>
      </c>
      <c r="F1572" s="505" t="n">
        <v>0.36</v>
      </c>
      <c r="G1572" t="inlineStr">
        <is>
          <t>91.1萬</t>
        </is>
      </c>
      <c r="H1572" t="n">
        <v>65</v>
      </c>
      <c r="I1572" t="n">
        <v>104</v>
      </c>
      <c r="J1572" t="n">
        <v>28.52</v>
      </c>
      <c r="K1572" t="n">
        <v>14.05</v>
      </c>
      <c r="L1572" t="n">
        <v>13.95</v>
      </c>
      <c r="M1572" s="175" t="n">
        <v>0.02</v>
      </c>
      <c r="N1572" t="inlineStr">
        <is>
          <t>主要於大台北地區推案的建商</t>
        </is>
      </c>
    </row>
    <row r="1573">
      <c r="A1573" t="n">
        <v>5534</v>
      </c>
      <c r="B1573" t="inlineStr">
        <is>
          <t>長虹</t>
        </is>
      </c>
      <c r="C1573" t="n">
        <v>74.7</v>
      </c>
      <c r="D1573" t="n">
        <v>73.7</v>
      </c>
      <c r="E1573" s="504" t="n">
        <v>-1</v>
      </c>
      <c r="F1573" s="505" t="n">
        <v>-1.34</v>
      </c>
      <c r="G1573" t="inlineStr">
        <is>
          <t>1.60億</t>
        </is>
      </c>
      <c r="H1573" t="n">
        <v>2167</v>
      </c>
      <c r="I1573" t="n">
        <v>993</v>
      </c>
      <c r="J1573" t="n">
        <v>31.53</v>
      </c>
      <c r="K1573" t="n">
        <v>74.7</v>
      </c>
      <c r="L1573" t="n">
        <v>73.5</v>
      </c>
      <c r="M1573" s="175" t="n">
        <v>0.6899999999999999</v>
      </c>
      <c r="N1573" t="inlineStr">
        <is>
          <t>以廠辦及住宅開發案為主之建商</t>
        </is>
      </c>
    </row>
    <row r="1574">
      <c r="A1574" t="n">
        <v>5536</v>
      </c>
      <c r="B1574" t="inlineStr">
        <is>
          <t>聖暉*</t>
        </is>
      </c>
      <c r="C1574" t="n">
        <v>1020</v>
      </c>
      <c r="D1574" t="n">
        <v>998</v>
      </c>
      <c r="E1574" s="504" t="n">
        <v>-7</v>
      </c>
      <c r="F1574" s="505" t="n">
        <v>-0.7</v>
      </c>
      <c r="G1574" t="inlineStr">
        <is>
          <t>10.3億</t>
        </is>
      </c>
      <c r="H1574" t="n">
        <v>1036</v>
      </c>
      <c r="I1574" t="n">
        <v>2465</v>
      </c>
      <c r="J1574" t="n">
        <v>6.2</v>
      </c>
      <c r="K1574" t="n">
        <v>1020</v>
      </c>
      <c r="L1574" t="n">
        <v>971</v>
      </c>
      <c r="M1574" s="175" t="n">
        <v>0.83</v>
      </c>
      <c r="N1574" t="inlineStr">
        <is>
          <t>以無塵室工程為主，並跨足機電系統整合服務廠商</t>
        </is>
      </c>
    </row>
    <row r="1575">
      <c r="A1575" t="n">
        <v>5538</v>
      </c>
      <c r="B1575" t="inlineStr">
        <is>
          <t>東明-KY</t>
        </is>
      </c>
      <c r="C1575" t="n">
        <v>35.8</v>
      </c>
      <c r="D1575" t="n">
        <v>35.8</v>
      </c>
      <c r="E1575" s="504" t="n">
        <v>-0.2</v>
      </c>
      <c r="F1575" s="505" t="n">
        <v>-0.5600000000000001</v>
      </c>
      <c r="G1575" t="inlineStr">
        <is>
          <t>99.8萬</t>
        </is>
      </c>
      <c r="H1575" t="n">
        <v>28</v>
      </c>
      <c r="I1575" t="n">
        <v>44</v>
      </c>
      <c r="J1575" t="n">
        <v>20.12</v>
      </c>
      <c r="K1575" t="n">
        <v>35.9</v>
      </c>
      <c r="L1575" t="n">
        <v>35.4</v>
      </c>
      <c r="M1575" s="175" t="n">
        <v>0.01</v>
      </c>
      <c r="N1575" t="inlineStr">
        <is>
          <t>大陸不鏽鋼緊固件龍頭大廠</t>
        </is>
      </c>
    </row>
    <row r="1576">
      <c r="A1576" t="n">
        <v>5543</v>
      </c>
      <c r="B1576" t="inlineStr">
        <is>
          <t>桓鼎-KY</t>
        </is>
      </c>
      <c r="C1576" t="n">
        <v>29.95</v>
      </c>
      <c r="D1576" t="n">
        <v>29.6</v>
      </c>
      <c r="E1576" s="504" t="n">
        <v>-0.35</v>
      </c>
      <c r="F1576" s="505" t="n">
        <v>-1.17</v>
      </c>
      <c r="G1576" t="inlineStr">
        <is>
          <t>153萬</t>
        </is>
      </c>
      <c r="H1576" t="n">
        <v>52</v>
      </c>
      <c r="I1576" t="n">
        <v>26</v>
      </c>
      <c r="J1576" t="n">
        <v>4.67</v>
      </c>
      <c r="K1576" t="n">
        <v>29.95</v>
      </c>
      <c r="L1576" t="n">
        <v>29.15</v>
      </c>
      <c r="M1576" s="175" t="n">
        <v>0.11</v>
      </c>
      <c r="N1576" t="inlineStr">
        <is>
          <t>亞洲知名金屬龍骨生產廠商</t>
        </is>
      </c>
    </row>
    <row r="1577">
      <c r="A1577" t="n">
        <v>5546</v>
      </c>
      <c r="B1577" t="inlineStr">
        <is>
          <t>永固-KY</t>
        </is>
      </c>
      <c r="C1577" t="n">
        <v>16.8</v>
      </c>
      <c r="D1577" t="n">
        <v>17.05</v>
      </c>
      <c r="E1577" s="504" t="n">
        <v>0.25</v>
      </c>
      <c r="F1577" s="505" t="n">
        <v>1.49</v>
      </c>
      <c r="G1577" t="inlineStr">
        <is>
          <t>79.9萬</t>
        </is>
      </c>
      <c r="H1577" t="n">
        <v>47</v>
      </c>
      <c r="I1577" t="n">
        <v>42</v>
      </c>
      <c r="J1577" t="n">
        <v>8.24</v>
      </c>
      <c r="K1577" t="n">
        <v>17.1</v>
      </c>
      <c r="L1577" t="n">
        <v>16.5</v>
      </c>
      <c r="M1577" s="175" t="n">
        <v>0.06</v>
      </c>
      <c r="N1577" t="inlineStr">
        <is>
          <t>大陸重慶地區預拌混凝土領導廠商</t>
        </is>
      </c>
    </row>
    <row r="1578">
      <c r="A1578" t="n">
        <v>5547</v>
      </c>
      <c r="B1578" t="inlineStr">
        <is>
          <t>久舜</t>
        </is>
      </c>
      <c r="C1578" t="n">
        <v>21.8</v>
      </c>
      <c r="D1578" t="n">
        <v>22.2</v>
      </c>
      <c r="E1578" s="504" t="n">
        <v>0.35</v>
      </c>
      <c r="F1578" s="505" t="n">
        <v>1.6</v>
      </c>
      <c r="G1578" t="inlineStr">
        <is>
          <t>39.9萬</t>
        </is>
      </c>
      <c r="H1578" t="n">
        <v>18</v>
      </c>
      <c r="I1578" t="n">
        <v>25</v>
      </c>
      <c r="J1578" t="n">
        <v>4.53</v>
      </c>
      <c r="K1578" t="n">
        <v>22.5</v>
      </c>
      <c r="L1578" t="n">
        <v>21.8</v>
      </c>
      <c r="M1578" s="175" t="n">
        <v>0.04</v>
      </c>
      <c r="N1578" t="inlineStr">
        <is>
          <t>主要承攬住宅及廠辦及相關工程</t>
        </is>
      </c>
    </row>
    <row r="1579">
      <c r="A1579" t="n">
        <v>5548</v>
      </c>
      <c r="B1579" t="inlineStr">
        <is>
          <t>安倉</t>
        </is>
      </c>
      <c r="C1579" t="n">
        <v>23.25</v>
      </c>
      <c r="D1579" t="n">
        <v>23.25</v>
      </c>
      <c r="E1579" s="504" t="n">
        <v>-0.05</v>
      </c>
      <c r="F1579" s="505" t="n">
        <v>-0.21</v>
      </c>
      <c r="G1579" t="inlineStr">
        <is>
          <t>76.6萬</t>
        </is>
      </c>
      <c r="H1579" t="n">
        <v>33</v>
      </c>
      <c r="I1579" t="n">
        <v>69</v>
      </c>
      <c r="J1579" t="n">
        <v>5.78</v>
      </c>
      <c r="K1579" t="n">
        <v>23.3</v>
      </c>
      <c r="L1579" t="n">
        <v>23.2</v>
      </c>
      <c r="M1579" s="175" t="n">
        <v>0.06</v>
      </c>
      <c r="N1579" t="inlineStr">
        <is>
          <t>承攬政府公共工程的統包公司</t>
        </is>
      </c>
    </row>
    <row r="1580">
      <c r="A1580" t="n">
        <v>5601</v>
      </c>
      <c r="B1580" t="inlineStr">
        <is>
          <t>台聯櫃</t>
        </is>
      </c>
      <c r="C1580" t="n">
        <v>33</v>
      </c>
      <c r="D1580" t="n">
        <v>33.1</v>
      </c>
      <c r="E1580" s="504" t="n">
        <v>0.9</v>
      </c>
      <c r="F1580" s="505" t="n">
        <v>2.8</v>
      </c>
      <c r="G1580" t="inlineStr">
        <is>
          <t>6.61萬</t>
        </is>
      </c>
      <c r="H1580" t="n">
        <v>2</v>
      </c>
      <c r="I1580" t="n">
        <v>31</v>
      </c>
      <c r="J1580" t="n">
        <v>6.48</v>
      </c>
      <c r="K1580" t="n">
        <v>33.1</v>
      </c>
      <c r="L1580" t="n">
        <v>33</v>
      </c>
      <c r="M1580" s="175" t="n">
        <v>0</v>
      </c>
      <c r="N1580" t="inlineStr">
        <is>
          <t>台灣經營貨櫃集散站之業者</t>
        </is>
      </c>
    </row>
    <row r="1581">
      <c r="A1581" t="n">
        <v>5603</v>
      </c>
      <c r="B1581" t="inlineStr">
        <is>
          <t>陸海</t>
        </is>
      </c>
      <c r="C1581" t="n">
        <v>15.25</v>
      </c>
      <c r="D1581" t="n">
        <v>15.15</v>
      </c>
      <c r="E1581" s="504" t="n">
        <v>-0.1</v>
      </c>
      <c r="F1581" s="505" t="n">
        <v>-0.66</v>
      </c>
      <c r="G1581" t="inlineStr">
        <is>
          <t>158萬</t>
        </is>
      </c>
      <c r="H1581" t="n">
        <v>105</v>
      </c>
      <c r="I1581" t="n">
        <v>203</v>
      </c>
      <c r="J1581" t="n">
        <v>10.49</v>
      </c>
      <c r="K1581" t="n">
        <v>15.25</v>
      </c>
      <c r="L1581" t="n">
        <v>14.95</v>
      </c>
      <c r="M1581" s="175" t="n">
        <v>0.1</v>
      </c>
      <c r="N1581" t="inlineStr">
        <is>
          <t>從事內陸貨櫃運輸、裝卸及重機件運輸、吊裝業務之業者</t>
        </is>
      </c>
    </row>
    <row r="1582">
      <c r="A1582" t="n">
        <v>5604</v>
      </c>
      <c r="B1582" t="inlineStr">
        <is>
          <t>中連</t>
        </is>
      </c>
      <c r="C1582" t="n">
        <v>30.8</v>
      </c>
      <c r="D1582" t="n">
        <v>30.75</v>
      </c>
      <c r="E1582" s="504" t="n">
        <v>-0.05</v>
      </c>
      <c r="F1582" s="505" t="n">
        <v>-0.16</v>
      </c>
      <c r="G1582" t="inlineStr">
        <is>
          <t>135萬</t>
        </is>
      </c>
      <c r="H1582" t="n">
        <v>44</v>
      </c>
      <c r="I1582" t="n">
        <v>37</v>
      </c>
      <c r="J1582" t="n">
        <v>10.88</v>
      </c>
      <c r="K1582" t="n">
        <v>30.8</v>
      </c>
      <c r="L1582" t="n">
        <v>30.6</v>
      </c>
      <c r="M1582" s="175" t="n">
        <v>0.04</v>
      </c>
      <c r="N1582" t="inlineStr">
        <is>
          <t>從事工業用不動產租賃業務</t>
        </is>
      </c>
    </row>
    <row r="1583">
      <c r="A1583" t="n">
        <v>5607</v>
      </c>
      <c r="B1583" t="inlineStr">
        <is>
          <t>遠雄港</t>
        </is>
      </c>
      <c r="C1583" t="n">
        <v>52.6</v>
      </c>
      <c r="D1583" t="n">
        <v>51.3</v>
      </c>
      <c r="E1583" s="504" t="n">
        <v>-0.5</v>
      </c>
      <c r="F1583" s="505" t="n">
        <v>-0.97</v>
      </c>
      <c r="G1583" t="inlineStr">
        <is>
          <t>4191萬</t>
        </is>
      </c>
      <c r="H1583" t="n">
        <v>814</v>
      </c>
      <c r="I1583" t="n">
        <v>820</v>
      </c>
      <c r="J1583" t="n">
        <v>37.06</v>
      </c>
      <c r="K1583" t="n">
        <v>52.6</v>
      </c>
      <c r="L1583" t="n">
        <v>51</v>
      </c>
      <c r="M1583" s="175" t="n">
        <v>0.22</v>
      </c>
      <c r="N1583" t="inlineStr">
        <is>
          <t>一家控股公司，並經營海、陸、空聯運之自由貿易港區</t>
        </is>
      </c>
    </row>
    <row r="1584">
      <c r="A1584" t="n">
        <v>5608</v>
      </c>
      <c r="B1584" t="inlineStr">
        <is>
          <t>四維航</t>
        </is>
      </c>
      <c r="C1584" t="n">
        <v>15</v>
      </c>
      <c r="D1584" t="n">
        <v>14.75</v>
      </c>
      <c r="E1584" s="504" t="n">
        <v>-0.25</v>
      </c>
      <c r="F1584" s="505" t="n">
        <v>-1.67</v>
      </c>
      <c r="G1584" t="inlineStr">
        <is>
          <t>3538萬</t>
        </is>
      </c>
      <c r="H1584" t="n">
        <v>2409</v>
      </c>
      <c r="I1584" t="n">
        <v>2014</v>
      </c>
      <c r="J1584" t="n">
        <v>38.93</v>
      </c>
      <c r="K1584" t="n">
        <v>15</v>
      </c>
      <c r="L1584" t="n">
        <v>14.5</v>
      </c>
      <c r="M1584" s="175" t="n">
        <v>0.62</v>
      </c>
      <c r="N1584" t="inlineStr">
        <is>
          <t>以輕型散裝船為主的散裝航運業者</t>
        </is>
      </c>
    </row>
    <row r="1585">
      <c r="A1585" t="n">
        <v>5609</v>
      </c>
      <c r="B1585" t="inlineStr">
        <is>
          <t>中菲行</t>
        </is>
      </c>
      <c r="C1585" t="n">
        <v>81.40000000000001</v>
      </c>
      <c r="D1585" t="n">
        <v>81.5</v>
      </c>
      <c r="E1585" s="504" t="n">
        <v>0.2</v>
      </c>
      <c r="F1585" s="505" t="n">
        <v>0.25</v>
      </c>
      <c r="G1585" t="inlineStr">
        <is>
          <t>2218萬</t>
        </is>
      </c>
      <c r="H1585" t="n">
        <v>273</v>
      </c>
      <c r="I1585" t="n">
        <v>256</v>
      </c>
      <c r="J1585" t="n">
        <v>14.29</v>
      </c>
      <c r="K1585" t="n">
        <v>81.59999999999999</v>
      </c>
      <c r="L1585" t="n">
        <v>81</v>
      </c>
      <c r="M1585" s="175" t="n">
        <v>0.19</v>
      </c>
      <c r="N1585" t="inlineStr">
        <is>
          <t>台灣空運及海運貨運承攬商</t>
        </is>
      </c>
    </row>
    <row r="1586">
      <c r="A1586" t="n">
        <v>5701</v>
      </c>
      <c r="B1586" t="inlineStr">
        <is>
          <t>劍湖山</t>
        </is>
      </c>
      <c r="C1586" t="n">
        <v>4.84</v>
      </c>
      <c r="D1586" t="n">
        <v>4.84</v>
      </c>
      <c r="E1586" s="504" t="n">
        <v>0.44</v>
      </c>
      <c r="F1586" s="505" t="n">
        <v>10</v>
      </c>
      <c r="G1586" t="inlineStr">
        <is>
          <t>222萬</t>
        </is>
      </c>
      <c r="H1586" t="n">
        <v>460</v>
      </c>
      <c r="I1586" t="n">
        <v>212</v>
      </c>
      <c r="J1586" t="n">
        <v>14.3</v>
      </c>
      <c r="K1586" t="n">
        <v>4.84</v>
      </c>
      <c r="L1586" t="n">
        <v>4.84</v>
      </c>
      <c r="M1586" s="175" t="n">
        <v>0.32</v>
      </c>
      <c r="N1586" t="inlineStr">
        <is>
          <t>台灣中部地區遊樂園、百貨及飯店業者</t>
        </is>
      </c>
    </row>
    <row r="1587">
      <c r="A1587" t="n">
        <v>5703</v>
      </c>
      <c r="B1587" t="inlineStr">
        <is>
          <t>亞都</t>
        </is>
      </c>
      <c r="C1587" t="n">
        <v>13.85</v>
      </c>
      <c r="D1587" t="n">
        <v>13.85</v>
      </c>
      <c r="E1587" s="504" t="n">
        <v>0</v>
      </c>
      <c r="F1587" s="505" t="n">
        <v>0</v>
      </c>
      <c r="G1587" t="inlineStr">
        <is>
          <t>1.39萬</t>
        </is>
      </c>
      <c r="H1587" t="n">
        <v>1</v>
      </c>
      <c r="I1587" t="n">
        <v>6</v>
      </c>
      <c r="J1587" t="n">
        <v>7.02</v>
      </c>
      <c r="K1587" t="n">
        <v>13.85</v>
      </c>
      <c r="L1587" t="n">
        <v>13.85</v>
      </c>
      <c r="M1587" s="175" t="n">
        <v>0</v>
      </c>
      <c r="N1587" t="inlineStr">
        <is>
          <t>位於台北中山區之5星級飯店</t>
        </is>
      </c>
    </row>
    <row r="1588">
      <c r="A1588" t="n">
        <v>5704</v>
      </c>
      <c r="B1588" t="inlineStr">
        <is>
          <t>老爺知</t>
        </is>
      </c>
      <c r="C1588" t="n">
        <v>21.3</v>
      </c>
      <c r="D1588" t="n">
        <v>21.25</v>
      </c>
      <c r="E1588" s="504" t="n">
        <v>0.1</v>
      </c>
      <c r="F1588" s="505" t="n">
        <v>0.47</v>
      </c>
      <c r="G1588" t="inlineStr">
        <is>
          <t>101萬</t>
        </is>
      </c>
      <c r="H1588" t="n">
        <v>48</v>
      </c>
      <c r="I1588" t="n">
        <v>25</v>
      </c>
      <c r="J1588" t="n">
        <v>5.89</v>
      </c>
      <c r="K1588" t="n">
        <v>21.3</v>
      </c>
      <c r="L1588" t="n">
        <v>20.9</v>
      </c>
      <c r="M1588" s="175" t="n">
        <v>0.08</v>
      </c>
      <c r="N1588" t="inlineStr">
        <is>
          <t>老爺酒店集團旗下，位於台東知本之溫泉飯店</t>
        </is>
      </c>
    </row>
    <row r="1589">
      <c r="A1589" t="n">
        <v>5706</v>
      </c>
      <c r="B1589" t="inlineStr">
        <is>
          <t>鳳凰</t>
        </is>
      </c>
      <c r="C1589" t="n">
        <v>52.3</v>
      </c>
      <c r="D1589" t="n">
        <v>52.5</v>
      </c>
      <c r="E1589" s="504" t="n">
        <v>0.9</v>
      </c>
      <c r="F1589" s="505" t="n">
        <v>1.74</v>
      </c>
      <c r="G1589" t="inlineStr">
        <is>
          <t>3497萬</t>
        </is>
      </c>
      <c r="H1589" t="n">
        <v>668</v>
      </c>
      <c r="I1589" t="n">
        <v>341</v>
      </c>
      <c r="J1589" t="n">
        <v>8.49</v>
      </c>
      <c r="K1589" t="n">
        <v>52.8</v>
      </c>
      <c r="L1589" t="n">
        <v>52</v>
      </c>
      <c r="M1589" s="175" t="n">
        <v>0.79</v>
      </c>
      <c r="N1589" t="inlineStr">
        <is>
          <t>台灣首家上市旅行社，提供國內外全方位旅遊產品</t>
        </is>
      </c>
    </row>
    <row r="1590">
      <c r="A1590" t="n">
        <v>5864</v>
      </c>
      <c r="B1590" t="inlineStr">
        <is>
          <t>致和證</t>
        </is>
      </c>
      <c r="C1590" t="n">
        <v>43.35</v>
      </c>
      <c r="D1590" t="n">
        <v>45.4</v>
      </c>
      <c r="E1590" s="504" t="n">
        <v>2</v>
      </c>
      <c r="F1590" s="505" t="n">
        <v>4.61</v>
      </c>
      <c r="G1590" t="inlineStr">
        <is>
          <t>4.85億</t>
        </is>
      </c>
      <c r="H1590" t="n">
        <v>10948</v>
      </c>
      <c r="I1590" t="n">
        <v>12876</v>
      </c>
      <c r="J1590" t="n">
        <v>45.45</v>
      </c>
      <c r="K1590" t="n">
        <v>46.3</v>
      </c>
      <c r="L1590" t="n">
        <v>42.3</v>
      </c>
      <c r="M1590" s="175" t="n">
        <v>2.41</v>
      </c>
      <c r="N1590" t="inlineStr">
        <is>
          <t>總部位於台南之券商</t>
        </is>
      </c>
    </row>
    <row r="1591">
      <c r="A1591" t="n">
        <v>5871</v>
      </c>
      <c r="B1591" t="inlineStr">
        <is>
          <t>中租-KY</t>
        </is>
      </c>
      <c r="C1591" t="n">
        <v>108.5</v>
      </c>
      <c r="D1591" t="n">
        <v>114.5</v>
      </c>
      <c r="E1591" s="504" t="n">
        <v>6</v>
      </c>
      <c r="F1591" s="505" t="n">
        <v>5.53</v>
      </c>
      <c r="G1591" t="inlineStr">
        <is>
          <t>28.0億</t>
        </is>
      </c>
      <c r="H1591" t="n">
        <v>24763</v>
      </c>
      <c r="I1591" t="n">
        <v>12010</v>
      </c>
      <c r="J1591" t="n">
        <v>171.14</v>
      </c>
      <c r="K1591" t="n">
        <v>115</v>
      </c>
      <c r="L1591" t="n">
        <v>108</v>
      </c>
      <c r="M1591" s="175" t="n">
        <v>1.45</v>
      </c>
      <c r="N1591" t="inlineStr">
        <is>
          <t>台灣租賃業龍頭公司</t>
        </is>
      </c>
    </row>
    <row r="1592">
      <c r="A1592" t="n">
        <v>5876</v>
      </c>
      <c r="B1592" t="inlineStr">
        <is>
          <t>上海商銀</t>
        </is>
      </c>
      <c r="C1592" t="n">
        <v>39.8</v>
      </c>
      <c r="D1592" t="n">
        <v>41</v>
      </c>
      <c r="E1592" s="504" t="n">
        <v>1.2</v>
      </c>
      <c r="F1592" s="505" t="n">
        <v>3.02</v>
      </c>
      <c r="G1592" t="inlineStr">
        <is>
          <t>9.02億</t>
        </is>
      </c>
      <c r="H1592" t="n">
        <v>22219</v>
      </c>
      <c r="I1592" t="n">
        <v>16438</v>
      </c>
      <c r="J1592" t="n">
        <v>486.16</v>
      </c>
      <c r="K1592" t="n">
        <v>41</v>
      </c>
      <c r="L1592" t="n">
        <v>39.75</v>
      </c>
      <c r="M1592" s="175" t="n">
        <v>0.46</v>
      </c>
      <c r="N1592" t="inlineStr">
        <is>
          <t>唯一自大陸遷台復業的民營銀行</t>
        </is>
      </c>
    </row>
    <row r="1593">
      <c r="A1593" t="n">
        <v>5878</v>
      </c>
      <c r="B1593" t="inlineStr">
        <is>
          <t>台名</t>
        </is>
      </c>
      <c r="C1593" t="n">
        <v>40.75</v>
      </c>
      <c r="D1593" t="n">
        <v>41.3</v>
      </c>
      <c r="E1593" s="504" t="n">
        <v>0.5</v>
      </c>
      <c r="F1593" s="505" t="n">
        <v>1.23</v>
      </c>
      <c r="G1593" t="inlineStr">
        <is>
          <t>148萬</t>
        </is>
      </c>
      <c r="H1593" t="n">
        <v>36</v>
      </c>
      <c r="I1593" t="n">
        <v>17</v>
      </c>
      <c r="J1593" t="n">
        <v>2.5</v>
      </c>
      <c r="K1593" t="n">
        <v>41.3</v>
      </c>
      <c r="L1593" t="n">
        <v>40.75</v>
      </c>
      <c r="M1593" s="175" t="n">
        <v>0.14</v>
      </c>
      <c r="N1593" t="inlineStr">
        <is>
          <t>台灣前三大之保險經紀公司</t>
        </is>
      </c>
    </row>
    <row r="1594">
      <c r="A1594" t="n">
        <v>5880</v>
      </c>
      <c r="B1594" t="inlineStr">
        <is>
          <t>合庫金</t>
        </is>
      </c>
      <c r="C1594" t="n">
        <v>22.8</v>
      </c>
      <c r="D1594" t="n">
        <v>23.05</v>
      </c>
      <c r="E1594" s="504" t="n">
        <v>0.2</v>
      </c>
      <c r="F1594" s="505" t="n">
        <v>0.88</v>
      </c>
      <c r="G1594" t="inlineStr">
        <is>
          <t>7.27億</t>
        </is>
      </c>
      <c r="H1594" t="n">
        <v>31722</v>
      </c>
      <c r="I1594" t="n">
        <v>30498</v>
      </c>
      <c r="J1594" t="n">
        <v>1568.09</v>
      </c>
      <c r="K1594" t="n">
        <v>23.1</v>
      </c>
      <c r="L1594" t="n">
        <v>22.7</v>
      </c>
      <c r="M1594" s="175" t="n">
        <v>0.2</v>
      </c>
      <c r="N1594" t="inlineStr">
        <is>
          <t>具有國營背景的金控公司，金融資產規模排名前六大</t>
        </is>
      </c>
    </row>
    <row r="1595">
      <c r="A1595" t="n">
        <v>5902</v>
      </c>
      <c r="B1595" t="inlineStr">
        <is>
          <t>德記</t>
        </is>
      </c>
      <c r="C1595" t="n">
        <v>34.45</v>
      </c>
      <c r="D1595" t="n">
        <v>34.2</v>
      </c>
      <c r="E1595" s="504" t="n">
        <v>-0.25</v>
      </c>
      <c r="F1595" s="505" t="n">
        <v>-0.73</v>
      </c>
      <c r="G1595" t="inlineStr">
        <is>
          <t>438萬</t>
        </is>
      </c>
      <c r="H1595" t="n">
        <v>129</v>
      </c>
      <c r="I1595" t="n">
        <v>235</v>
      </c>
      <c r="J1595" t="n">
        <v>9.449999999999999</v>
      </c>
      <c r="K1595" t="n">
        <v>34.45</v>
      </c>
      <c r="L1595" t="n">
        <v>33.4</v>
      </c>
      <c r="M1595" s="175" t="n">
        <v>0.14</v>
      </c>
      <c r="N1595" t="inlineStr">
        <is>
          <t>統一集團旗下貿易商，擁有自有品牌「開喜」系列茶飲</t>
        </is>
      </c>
    </row>
    <row r="1596">
      <c r="A1596" t="n">
        <v>5903</v>
      </c>
      <c r="B1596" t="inlineStr">
        <is>
          <t>全家</t>
        </is>
      </c>
      <c r="C1596" t="n">
        <v>187</v>
      </c>
      <c r="D1596" t="n">
        <v>187</v>
      </c>
      <c r="E1596" s="504" t="n">
        <v>0</v>
      </c>
      <c r="F1596" s="505" t="n">
        <v>0</v>
      </c>
      <c r="G1596" t="inlineStr">
        <is>
          <t>971萬</t>
        </is>
      </c>
      <c r="H1596" t="n">
        <v>52</v>
      </c>
      <c r="I1596" t="n">
        <v>56</v>
      </c>
      <c r="J1596" t="n">
        <v>22.32</v>
      </c>
      <c r="K1596" t="n">
        <v>187</v>
      </c>
      <c r="L1596" t="n">
        <v>186</v>
      </c>
      <c r="M1596" s="175" t="n">
        <v>0.02</v>
      </c>
      <c r="N1596" t="inlineStr">
        <is>
          <t>台灣第二大連鎖便利商店</t>
        </is>
      </c>
    </row>
    <row r="1597">
      <c r="A1597" t="n">
        <v>5904</v>
      </c>
      <c r="B1597" t="inlineStr">
        <is>
          <t>寶雅</t>
        </is>
      </c>
      <c r="C1597" t="n">
        <v>570</v>
      </c>
      <c r="D1597" t="n">
        <v>568</v>
      </c>
      <c r="E1597" s="504" t="n">
        <v>-1</v>
      </c>
      <c r="F1597" s="505" t="n">
        <v>-0.18</v>
      </c>
      <c r="G1597" t="inlineStr">
        <is>
          <t>8119萬</t>
        </is>
      </c>
      <c r="H1597" t="n">
        <v>143</v>
      </c>
      <c r="I1597" t="n">
        <v>301</v>
      </c>
      <c r="J1597" t="n">
        <v>10.64</v>
      </c>
      <c r="K1597" t="n">
        <v>572</v>
      </c>
      <c r="L1597" t="n">
        <v>564</v>
      </c>
      <c r="M1597" s="175" t="n">
        <v>0.13</v>
      </c>
      <c r="N1597" t="inlineStr">
        <is>
          <t>台灣美妝及生活用品百貨龍頭</t>
        </is>
      </c>
    </row>
    <row r="1598">
      <c r="A1598" t="n">
        <v>5905</v>
      </c>
      <c r="B1598" t="inlineStr">
        <is>
          <t>南仁湖</t>
        </is>
      </c>
      <c r="C1598" t="n">
        <v>7.91</v>
      </c>
      <c r="D1598" t="n">
        <v>8</v>
      </c>
      <c r="E1598" s="504" t="n">
        <v>0.14</v>
      </c>
      <c r="F1598" s="505" t="n">
        <v>1.78</v>
      </c>
      <c r="G1598" t="inlineStr">
        <is>
          <t>569萬</t>
        </is>
      </c>
      <c r="H1598" t="n">
        <v>720</v>
      </c>
      <c r="I1598" t="n">
        <v>639</v>
      </c>
      <c r="J1598" t="n">
        <v>28.16</v>
      </c>
      <c r="K1598" t="n">
        <v>8</v>
      </c>
      <c r="L1598" t="n">
        <v>7.89</v>
      </c>
      <c r="M1598" s="175" t="n">
        <v>0.26</v>
      </c>
      <c r="N1598" t="inlineStr">
        <is>
          <t>高速公路休息站及海生館、小墾丁渡假村之經營業者</t>
        </is>
      </c>
    </row>
    <row r="1599">
      <c r="A1599" t="n">
        <v>5906</v>
      </c>
      <c r="B1599" t="inlineStr">
        <is>
          <t>台南-KY</t>
        </is>
      </c>
      <c r="C1599" t="n">
        <v>46.85</v>
      </c>
      <c r="D1599" t="n">
        <v>47</v>
      </c>
      <c r="E1599" s="504" t="n">
        <v>0</v>
      </c>
      <c r="F1599" s="505" t="n">
        <v>0</v>
      </c>
      <c r="G1599" t="inlineStr">
        <is>
          <t>18.6萬</t>
        </is>
      </c>
      <c r="H1599" t="n">
        <v>4</v>
      </c>
      <c r="I1599" t="n">
        <v>2</v>
      </c>
      <c r="J1599" t="n">
        <v>3.57</v>
      </c>
      <c r="K1599" t="n">
        <v>47</v>
      </c>
      <c r="L1599" t="n">
        <v>45.25</v>
      </c>
      <c r="M1599" s="175" t="n">
        <v>0.01</v>
      </c>
      <c r="N1599" t="inlineStr">
        <is>
          <t>代理FILA、Reebok品牌</t>
        </is>
      </c>
    </row>
    <row r="1600">
      <c r="A1600" t="n">
        <v>5907</v>
      </c>
      <c r="B1600" t="inlineStr">
        <is>
          <t>大洋-KY</t>
        </is>
      </c>
      <c r="C1600" t="n">
        <v>5.01</v>
      </c>
      <c r="D1600" t="n">
        <v>5.09</v>
      </c>
      <c r="E1600" s="504" t="n">
        <v>0.02</v>
      </c>
      <c r="F1600" s="505" t="n">
        <v>0.39</v>
      </c>
      <c r="G1600" t="inlineStr">
        <is>
          <t>137萬</t>
        </is>
      </c>
      <c r="H1600" t="n">
        <v>271</v>
      </c>
      <c r="I1600" t="n">
        <v>331</v>
      </c>
      <c r="J1600" t="n">
        <v>19.55</v>
      </c>
      <c r="K1600" t="n">
        <v>5.09</v>
      </c>
      <c r="L1600" t="n">
        <v>5.01</v>
      </c>
      <c r="M1600" s="175" t="n">
        <v>0.14</v>
      </c>
      <c r="N1600" t="inlineStr">
        <is>
          <t>益航轉投資在大陸從事百貨零售之企業</t>
        </is>
      </c>
    </row>
    <row r="1601">
      <c r="A1601" t="n">
        <v>6005</v>
      </c>
      <c r="B1601" t="inlineStr">
        <is>
          <t>群益證</t>
        </is>
      </c>
      <c r="C1601" t="n">
        <v>39.55</v>
      </c>
      <c r="D1601" t="n">
        <v>41.25</v>
      </c>
      <c r="E1601" s="504" t="n">
        <v>1.65</v>
      </c>
      <c r="F1601" s="505" t="n">
        <v>4.17</v>
      </c>
      <c r="G1601" t="inlineStr">
        <is>
          <t>8.72億</t>
        </is>
      </c>
      <c r="H1601" t="n">
        <v>21708</v>
      </c>
      <c r="I1601" t="n">
        <v>19152</v>
      </c>
      <c r="J1601" t="n">
        <v>217.09</v>
      </c>
      <c r="K1601" t="n">
        <v>41.25</v>
      </c>
      <c r="L1601" t="n">
        <v>39</v>
      </c>
      <c r="M1601" s="175" t="n">
        <v>1</v>
      </c>
      <c r="N1601" t="inlineStr">
        <is>
          <t>台灣證券經紀市佔排名前五大之獨立券商</t>
        </is>
      </c>
    </row>
    <row r="1602">
      <c r="A1602" t="n">
        <v>6015</v>
      </c>
      <c r="B1602" t="inlineStr">
        <is>
          <t>宏遠證</t>
        </is>
      </c>
      <c r="C1602" t="n">
        <v>19.75</v>
      </c>
      <c r="D1602" t="n">
        <v>20.85</v>
      </c>
      <c r="E1602" s="504" t="n">
        <v>1.1</v>
      </c>
      <c r="F1602" s="505" t="n">
        <v>5.57</v>
      </c>
      <c r="G1602" t="inlineStr">
        <is>
          <t>1.96億</t>
        </is>
      </c>
      <c r="H1602" t="n">
        <v>9669</v>
      </c>
      <c r="I1602" t="n">
        <v>10829</v>
      </c>
      <c r="J1602" t="n">
        <v>39.99</v>
      </c>
      <c r="K1602" t="n">
        <v>20.95</v>
      </c>
      <c r="L1602" t="n">
        <v>19.4</v>
      </c>
      <c r="M1602" s="175" t="n">
        <v>2.46</v>
      </c>
      <c r="N1602" t="inlineStr">
        <is>
          <t>三商壽轉投資的中小型券商</t>
        </is>
      </c>
    </row>
    <row r="1603">
      <c r="A1603" t="n">
        <v>6016</v>
      </c>
      <c r="B1603" t="inlineStr">
        <is>
          <t>康和證</t>
        </is>
      </c>
      <c r="C1603" t="n">
        <v>30</v>
      </c>
      <c r="D1603" t="n">
        <v>32.5</v>
      </c>
      <c r="E1603" s="504" t="n">
        <v>2.3</v>
      </c>
      <c r="F1603" s="505" t="n">
        <v>7.62</v>
      </c>
      <c r="G1603" t="inlineStr">
        <is>
          <t>6.47億</t>
        </is>
      </c>
      <c r="H1603" t="n">
        <v>20629</v>
      </c>
      <c r="I1603" t="n">
        <v>23528</v>
      </c>
      <c r="J1603" t="n">
        <v>68.66</v>
      </c>
      <c r="K1603" t="n">
        <v>32.9</v>
      </c>
      <c r="L1603" t="n">
        <v>29.75</v>
      </c>
      <c r="M1603" s="175" t="n">
        <v>3</v>
      </c>
      <c r="N1603" t="inlineStr">
        <is>
          <t>台灣綜合型證券商，其中期貨業務市占排名前十大</t>
        </is>
      </c>
    </row>
    <row r="1604">
      <c r="A1604" t="n">
        <v>6020</v>
      </c>
      <c r="B1604" t="inlineStr">
        <is>
          <t>大展證</t>
        </is>
      </c>
      <c r="C1604" t="n">
        <v>24.05</v>
      </c>
      <c r="D1604" t="n">
        <v>23.8</v>
      </c>
      <c r="E1604" s="504" t="n">
        <v>-0.3</v>
      </c>
      <c r="F1604" s="505" t="n">
        <v>-1.24</v>
      </c>
      <c r="G1604" t="inlineStr">
        <is>
          <t>565萬</t>
        </is>
      </c>
      <c r="H1604" t="n">
        <v>235</v>
      </c>
      <c r="I1604" t="n">
        <v>159</v>
      </c>
      <c r="J1604" t="n">
        <v>25.24</v>
      </c>
      <c r="K1604" t="n">
        <v>24.75</v>
      </c>
      <c r="L1604" t="n">
        <v>23.55</v>
      </c>
      <c r="M1604" s="175" t="n">
        <v>0.09</v>
      </c>
      <c r="N1604" t="inlineStr">
        <is>
          <t>以大台北地區為營運的區域型券商</t>
        </is>
      </c>
    </row>
    <row r="1605">
      <c r="A1605" t="n">
        <v>6021</v>
      </c>
      <c r="B1605" t="inlineStr">
        <is>
          <t>美好證</t>
        </is>
      </c>
      <c r="C1605" t="n">
        <v>37.7</v>
      </c>
      <c r="D1605" t="n">
        <v>39.45</v>
      </c>
      <c r="E1605" s="504" t="n">
        <v>1.8</v>
      </c>
      <c r="F1605" s="505" t="n">
        <v>4.78</v>
      </c>
      <c r="G1605" t="inlineStr">
        <is>
          <t>3309萬</t>
        </is>
      </c>
      <c r="H1605" t="n">
        <v>864</v>
      </c>
      <c r="I1605" t="n">
        <v>598</v>
      </c>
      <c r="J1605" t="n">
        <v>31.22</v>
      </c>
      <c r="K1605" t="n">
        <v>39.95</v>
      </c>
      <c r="L1605" t="n">
        <v>37.35</v>
      </c>
      <c r="M1605" s="175" t="n">
        <v>0.28</v>
      </c>
      <c r="N1605" t="inlineStr">
        <is>
          <t>台灣一家綜合型券商</t>
        </is>
      </c>
    </row>
    <row r="1606">
      <c r="A1606" t="n">
        <v>6023</v>
      </c>
      <c r="B1606" t="inlineStr">
        <is>
          <t>元大期</t>
        </is>
      </c>
      <c r="C1606" t="n">
        <v>100</v>
      </c>
      <c r="D1606" t="n">
        <v>100</v>
      </c>
      <c r="E1606" s="504" t="n">
        <v>0</v>
      </c>
      <c r="F1606" s="505" t="n">
        <v>0</v>
      </c>
      <c r="G1606" t="inlineStr">
        <is>
          <t>1189萬</t>
        </is>
      </c>
      <c r="H1606" t="n">
        <v>119</v>
      </c>
      <c r="I1606" t="n">
        <v>253</v>
      </c>
      <c r="J1606" t="n">
        <v>32</v>
      </c>
      <c r="K1606" t="n">
        <v>100</v>
      </c>
      <c r="L1606" t="n">
        <v>99.40000000000001</v>
      </c>
      <c r="M1606" s="175" t="n">
        <v>0.04</v>
      </c>
      <c r="N1606" t="inlineStr">
        <is>
          <t>台灣期貨龍頭企業，屬元大集團</t>
        </is>
      </c>
    </row>
    <row r="1607">
      <c r="A1607" t="n">
        <v>6024</v>
      </c>
      <c r="B1607" t="inlineStr">
        <is>
          <t>群益期</t>
        </is>
      </c>
      <c r="C1607" t="n">
        <v>58.2</v>
      </c>
      <c r="D1607" t="n">
        <v>58.5</v>
      </c>
      <c r="E1607" s="504" t="n">
        <v>0.3</v>
      </c>
      <c r="F1607" s="505" t="n">
        <v>0.52</v>
      </c>
      <c r="G1607" t="inlineStr">
        <is>
          <t>2129萬</t>
        </is>
      </c>
      <c r="H1607" t="n">
        <v>367</v>
      </c>
      <c r="I1607" t="n">
        <v>475</v>
      </c>
      <c r="J1607" t="n">
        <v>24.99</v>
      </c>
      <c r="K1607" t="n">
        <v>58.5</v>
      </c>
      <c r="L1607" t="n">
        <v>57.7</v>
      </c>
      <c r="M1607" s="175" t="n">
        <v>0.15</v>
      </c>
      <c r="N1607" t="inlineStr">
        <is>
          <t>群益金融集團旗下的期貨公司，台灣市場排名前三大</t>
        </is>
      </c>
    </row>
    <row r="1608">
      <c r="A1608" t="n">
        <v>6026</v>
      </c>
      <c r="B1608" t="inlineStr">
        <is>
          <t>福邦證</t>
        </is>
      </c>
      <c r="C1608" t="n">
        <v>17.45</v>
      </c>
      <c r="D1608" t="n">
        <v>17.8</v>
      </c>
      <c r="E1608" s="504" t="n">
        <v>0.5</v>
      </c>
      <c r="F1608" s="505" t="n">
        <v>2.89</v>
      </c>
      <c r="G1608" t="inlineStr">
        <is>
          <t>2.00億</t>
        </is>
      </c>
      <c r="H1608" t="n">
        <v>11487</v>
      </c>
      <c r="I1608" t="n">
        <v>6517</v>
      </c>
      <c r="J1608" t="n">
        <v>39.62</v>
      </c>
      <c r="K1608" t="n">
        <v>18</v>
      </c>
      <c r="L1608" t="n">
        <v>17.05</v>
      </c>
      <c r="M1608" s="175" t="n">
        <v>2.9</v>
      </c>
      <c r="N1608" t="inlineStr">
        <is>
          <t>台灣小型綜合型上券商，以承銷及資產管理為重心</t>
        </is>
      </c>
    </row>
    <row r="1609">
      <c r="A1609" t="n">
        <v>6028</v>
      </c>
      <c r="B1609" t="inlineStr">
        <is>
          <t>公勝保經</t>
        </is>
      </c>
      <c r="C1609" t="n">
        <v>79.40000000000001</v>
      </c>
      <c r="D1609" t="n">
        <v>78.8</v>
      </c>
      <c r="E1609" s="504" t="n">
        <v>-0.3</v>
      </c>
      <c r="F1609" s="505" t="n">
        <v>-0.38</v>
      </c>
      <c r="G1609" t="inlineStr">
        <is>
          <t>253萬</t>
        </is>
      </c>
      <c r="H1609" t="n">
        <v>32</v>
      </c>
      <c r="I1609" t="n">
        <v>21</v>
      </c>
      <c r="J1609" t="n">
        <v>2.5</v>
      </c>
      <c r="K1609" t="n">
        <v>79.5</v>
      </c>
      <c r="L1609" t="n">
        <v>78.7</v>
      </c>
      <c r="M1609" s="175" t="n">
        <v>0.13</v>
      </c>
      <c r="N1609" t="inlineStr">
        <is>
          <t>台灣首批成立的保險經紀公司</t>
        </is>
      </c>
    </row>
    <row r="1610">
      <c r="A1610" t="n">
        <v>6101</v>
      </c>
      <c r="B1610" t="inlineStr">
        <is>
          <t>寬魚國際</t>
        </is>
      </c>
      <c r="C1610" t="n">
        <v>40.55</v>
      </c>
      <c r="D1610" t="n">
        <v>40.7</v>
      </c>
      <c r="E1610" s="504" t="n">
        <v>0.45</v>
      </c>
      <c r="F1610" s="505" t="n">
        <v>1.12</v>
      </c>
      <c r="G1610" t="inlineStr">
        <is>
          <t>2966萬</t>
        </is>
      </c>
      <c r="H1610" t="n">
        <v>721</v>
      </c>
      <c r="I1610" t="n">
        <v>560</v>
      </c>
      <c r="J1610" t="n">
        <v>11.53</v>
      </c>
      <c r="K1610" t="n">
        <v>42.2</v>
      </c>
      <c r="L1610" t="n">
        <v>40.4</v>
      </c>
      <c r="M1610" s="175" t="n">
        <v>0.63</v>
      </c>
      <c r="N1610" t="inlineStr">
        <is>
          <t>從事流行音樂商演、活動賽事舉辦等業務</t>
        </is>
      </c>
    </row>
    <row r="1611">
      <c r="A1611" t="n">
        <v>6103</v>
      </c>
      <c r="B1611" t="inlineStr">
        <is>
          <t>合邦</t>
        </is>
      </c>
      <c r="C1611" t="inlineStr">
        <is>
          <t>--</t>
        </is>
      </c>
      <c r="D1611" t="inlineStr">
        <is>
          <t>--</t>
        </is>
      </c>
      <c r="E1611" s="504" t="inlineStr">
        <is>
          <t>--</t>
        </is>
      </c>
      <c r="F1611" s="505" t="inlineStr">
        <is>
          <t>--</t>
        </is>
      </c>
      <c r="G1611" t="inlineStr">
        <is>
          <t>--</t>
        </is>
      </c>
      <c r="H1611" t="n">
        <v>0</v>
      </c>
      <c r="I1611" t="n">
        <v>3</v>
      </c>
      <c r="J1611" t="n">
        <v>1.36</v>
      </c>
      <c r="K1611" t="inlineStr">
        <is>
          <t>--</t>
        </is>
      </c>
      <c r="L1611" t="inlineStr">
        <is>
          <t>--</t>
        </is>
      </c>
      <c r="M1611" s="175" t="n">
        <v>0</v>
      </c>
      <c r="N1611" t="inlineStr">
        <is>
          <t>全球最大的CD Discman IC供應商</t>
        </is>
      </c>
    </row>
    <row r="1612">
      <c r="A1612" t="n">
        <v>6104</v>
      </c>
      <c r="B1612" t="inlineStr">
        <is>
          <t>創惟</t>
        </is>
      </c>
      <c r="C1612" t="n">
        <v>102.5</v>
      </c>
      <c r="D1612" t="n">
        <v>101</v>
      </c>
      <c r="E1612" s="504" t="n">
        <v>-0.5</v>
      </c>
      <c r="F1612" s="505" t="n">
        <v>-0.49</v>
      </c>
      <c r="G1612" t="inlineStr">
        <is>
          <t>2.79億</t>
        </is>
      </c>
      <c r="H1612" t="n">
        <v>2750</v>
      </c>
      <c r="I1612" t="n">
        <v>1759</v>
      </c>
      <c r="J1612" t="n">
        <v>9.109999999999999</v>
      </c>
      <c r="K1612" t="n">
        <v>104</v>
      </c>
      <c r="L1612" t="n">
        <v>99.09999999999999</v>
      </c>
      <c r="M1612" s="175" t="n">
        <v>3.02</v>
      </c>
      <c r="N1612" t="inlineStr">
        <is>
          <t>儲存設備USB控制晶片設計專業大廠</t>
        </is>
      </c>
    </row>
    <row r="1613">
      <c r="A1613" t="n">
        <v>6108</v>
      </c>
      <c r="B1613" t="inlineStr">
        <is>
          <t>競國</t>
        </is>
      </c>
      <c r="C1613" t="n">
        <v>20.05</v>
      </c>
      <c r="D1613" t="n">
        <v>19.55</v>
      </c>
      <c r="E1613" s="504" t="n">
        <v>-0.4</v>
      </c>
      <c r="F1613" s="505" t="n">
        <v>-2.01</v>
      </c>
      <c r="G1613" t="inlineStr">
        <is>
          <t>2536萬</t>
        </is>
      </c>
      <c r="H1613" t="n">
        <v>1297</v>
      </c>
      <c r="I1613" t="n">
        <v>2240</v>
      </c>
      <c r="J1613" t="n">
        <v>15.45</v>
      </c>
      <c r="K1613" t="n">
        <v>20.05</v>
      </c>
      <c r="L1613" t="n">
        <v>19.1</v>
      </c>
      <c r="M1613" s="175" t="n">
        <v>0.84</v>
      </c>
      <c r="N1613" t="inlineStr">
        <is>
          <t>台灣CMOS sensor載板最大供應廠</t>
        </is>
      </c>
    </row>
    <row r="1614">
      <c r="A1614" t="n">
        <v>6109</v>
      </c>
      <c r="B1614" t="inlineStr">
        <is>
          <t>亞元</t>
        </is>
      </c>
      <c r="C1614" t="n">
        <v>11.35</v>
      </c>
      <c r="D1614" t="n">
        <v>11.3</v>
      </c>
      <c r="E1614" s="504" t="n">
        <v>0.15</v>
      </c>
      <c r="F1614" s="505" t="n">
        <v>1.35</v>
      </c>
      <c r="G1614" t="inlineStr">
        <is>
          <t>398萬</t>
        </is>
      </c>
      <c r="H1614" t="n">
        <v>375</v>
      </c>
      <c r="I1614" t="n">
        <v>281</v>
      </c>
      <c r="J1614" t="n">
        <v>8.779999999999999</v>
      </c>
      <c r="K1614" t="n">
        <v>11.35</v>
      </c>
      <c r="L1614" t="n">
        <v>10.75</v>
      </c>
      <c r="M1614" s="175" t="n">
        <v>0.43</v>
      </c>
      <c r="N1614" t="inlineStr">
        <is>
          <t>應用以可攜式電子產品為主之電源供應器廠</t>
        </is>
      </c>
    </row>
    <row r="1615">
      <c r="A1615" t="n">
        <v>6111</v>
      </c>
      <c r="B1615" t="inlineStr">
        <is>
          <t>光聚晶電</t>
        </is>
      </c>
      <c r="C1615" t="n">
        <v>44.1</v>
      </c>
      <c r="D1615" t="n">
        <v>43.85</v>
      </c>
      <c r="E1615" s="504" t="n">
        <v>-0.25</v>
      </c>
      <c r="F1615" s="505" t="n">
        <v>-0.57</v>
      </c>
      <c r="G1615" t="inlineStr">
        <is>
          <t>2343萬</t>
        </is>
      </c>
      <c r="H1615" t="n">
        <v>542</v>
      </c>
      <c r="I1615" t="n">
        <v>419</v>
      </c>
      <c r="J1615" t="n">
        <v>10.85</v>
      </c>
      <c r="K1615" t="n">
        <v>44.1</v>
      </c>
      <c r="L1615" t="n">
        <v>42.8</v>
      </c>
      <c r="M1615" s="175" t="n">
        <v>0.5</v>
      </c>
      <c r="N1615" t="inlineStr">
        <is>
          <t>集團橫跨半導體、資安、重電、遊戲、餐飲、電子支付等領域</t>
        </is>
      </c>
    </row>
    <row r="1616">
      <c r="A1616" t="n">
        <v>6112</v>
      </c>
      <c r="B1616" t="inlineStr">
        <is>
          <t>邁達特</t>
        </is>
      </c>
      <c r="C1616" t="n">
        <v>47.5</v>
      </c>
      <c r="D1616" t="n">
        <v>48.15</v>
      </c>
      <c r="E1616" s="504" t="n">
        <v>1.1</v>
      </c>
      <c r="F1616" s="505" t="n">
        <v>2.34</v>
      </c>
      <c r="G1616" t="inlineStr">
        <is>
          <t>3.59億</t>
        </is>
      </c>
      <c r="H1616" t="n">
        <v>7411</v>
      </c>
      <c r="I1616" t="n">
        <v>1235</v>
      </c>
      <c r="J1616" t="n">
        <v>18.84</v>
      </c>
      <c r="K1616" t="n">
        <v>49.9</v>
      </c>
      <c r="L1616" t="n">
        <v>46.4</v>
      </c>
      <c r="M1616" s="175" t="n">
        <v>6.06</v>
      </c>
      <c r="N1616" t="inlineStr">
        <is>
          <t>資訊應用軟硬體服務供應中介之加值型通路商</t>
        </is>
      </c>
    </row>
    <row r="1617">
      <c r="A1617" t="n">
        <v>6113</v>
      </c>
      <c r="B1617" t="inlineStr">
        <is>
          <t>亞矽</t>
        </is>
      </c>
      <c r="C1617" t="n">
        <v>27.9</v>
      </c>
      <c r="D1617" t="n">
        <v>27.8</v>
      </c>
      <c r="E1617" s="504" t="n">
        <v>0.1</v>
      </c>
      <c r="F1617" s="505" t="n">
        <v>0.36</v>
      </c>
      <c r="G1617" t="inlineStr">
        <is>
          <t>971萬</t>
        </is>
      </c>
      <c r="H1617" t="n">
        <v>352</v>
      </c>
      <c r="I1617" t="n">
        <v>641</v>
      </c>
      <c r="J1617" t="n">
        <v>5.25</v>
      </c>
      <c r="K1617" t="n">
        <v>28.2</v>
      </c>
      <c r="L1617" t="n">
        <v>27.35</v>
      </c>
      <c r="M1617" s="175" t="n">
        <v>0.67</v>
      </c>
      <c r="N1617" t="inlineStr">
        <is>
          <t>歐美半導體零件的專業代理商</t>
        </is>
      </c>
    </row>
    <row r="1618">
      <c r="A1618" t="n">
        <v>6114</v>
      </c>
      <c r="B1618" t="inlineStr">
        <is>
          <t>久威</t>
        </is>
      </c>
      <c r="C1618" t="n">
        <v>30.85</v>
      </c>
      <c r="D1618" t="n">
        <v>30.45</v>
      </c>
      <c r="E1618" s="504" t="n">
        <v>-0.25</v>
      </c>
      <c r="F1618" s="505" t="n">
        <v>-0.8100000000000001</v>
      </c>
      <c r="G1618" t="inlineStr">
        <is>
          <t>140萬</t>
        </is>
      </c>
      <c r="H1618" t="n">
        <v>46</v>
      </c>
      <c r="I1618" t="n">
        <v>83</v>
      </c>
      <c r="J1618" t="n">
        <v>4.39</v>
      </c>
      <c r="K1618" t="n">
        <v>30.85</v>
      </c>
      <c r="L1618" t="n">
        <v>30.2</v>
      </c>
      <c r="M1618" s="175" t="n">
        <v>0.1</v>
      </c>
      <c r="N1618" t="inlineStr">
        <is>
          <t>電子材料之代理及加工廠商</t>
        </is>
      </c>
    </row>
    <row r="1619">
      <c r="A1619" t="n">
        <v>6115</v>
      </c>
      <c r="B1619" t="inlineStr">
        <is>
          <t>鎰勝</t>
        </is>
      </c>
      <c r="C1619" t="n">
        <v>47.45</v>
      </c>
      <c r="D1619" t="n">
        <v>47.75</v>
      </c>
      <c r="E1619" s="504" t="n">
        <v>0.3</v>
      </c>
      <c r="F1619" s="505" t="n">
        <v>0.63</v>
      </c>
      <c r="G1619" t="inlineStr">
        <is>
          <t>1140萬</t>
        </is>
      </c>
      <c r="H1619" t="n">
        <v>340</v>
      </c>
      <c r="I1619" t="n">
        <v>186</v>
      </c>
      <c r="J1619" t="n">
        <v>18.77</v>
      </c>
      <c r="K1619" t="n">
        <v>47.85</v>
      </c>
      <c r="L1619" t="n">
        <v>47.2</v>
      </c>
      <c r="M1619" s="175" t="n">
        <v>0.18</v>
      </c>
      <c r="N1619" t="inlineStr">
        <is>
          <t>全球IT產品電源線材大廠</t>
        </is>
      </c>
    </row>
    <row r="1620">
      <c r="A1620" t="n">
        <v>6116</v>
      </c>
      <c r="B1620" t="inlineStr">
        <is>
          <t>彩晶</t>
        </is>
      </c>
      <c r="C1620" t="n">
        <v>20.65</v>
      </c>
      <c r="D1620" t="n">
        <v>20.65</v>
      </c>
      <c r="E1620" s="504" t="n">
        <v>1.85</v>
      </c>
      <c r="F1620" s="505" t="n">
        <v>9.84</v>
      </c>
      <c r="G1620" t="inlineStr">
        <is>
          <t>39.9億</t>
        </is>
      </c>
      <c r="H1620" t="n">
        <v>198687</v>
      </c>
      <c r="I1620" t="n">
        <v>289146</v>
      </c>
      <c r="J1620" t="n">
        <v>285.87</v>
      </c>
      <c r="K1620" t="n">
        <v>20.65</v>
      </c>
      <c r="L1620" t="n">
        <v>19</v>
      </c>
      <c r="M1620" s="175" t="n">
        <v>6.95</v>
      </c>
      <c r="N1620" t="inlineStr">
        <is>
          <t>台灣中小尺寸面板供應商，及觸控面板廠商</t>
        </is>
      </c>
    </row>
    <row r="1621">
      <c r="A1621" t="n">
        <v>6117</v>
      </c>
      <c r="B1621" t="inlineStr">
        <is>
          <t>迎廣</t>
        </is>
      </c>
      <c r="C1621" t="n">
        <v>86.2</v>
      </c>
      <c r="D1621" t="n">
        <v>86.90000000000001</v>
      </c>
      <c r="E1621" s="504" t="n">
        <v>1.1</v>
      </c>
      <c r="F1621" s="505" t="n">
        <v>1.28</v>
      </c>
      <c r="G1621" t="inlineStr">
        <is>
          <t>2.19億</t>
        </is>
      </c>
      <c r="H1621" t="n">
        <v>2489</v>
      </c>
      <c r="I1621" t="n">
        <v>2134</v>
      </c>
      <c r="J1621" t="n">
        <v>9.26</v>
      </c>
      <c r="K1621" t="n">
        <v>91.8</v>
      </c>
      <c r="L1621" t="n">
        <v>85.90000000000001</v>
      </c>
      <c r="M1621" s="175" t="n">
        <v>2.69</v>
      </c>
      <c r="N1621" t="inlineStr">
        <is>
          <t>PC機殼及伺服器組裝廠</t>
        </is>
      </c>
    </row>
    <row r="1622">
      <c r="A1622" t="n">
        <v>6118</v>
      </c>
      <c r="B1622" t="inlineStr">
        <is>
          <t>建達</t>
        </is>
      </c>
      <c r="C1622" t="n">
        <v>17.9</v>
      </c>
      <c r="D1622" t="n">
        <v>18.8</v>
      </c>
      <c r="E1622" s="504" t="n">
        <v>0.95</v>
      </c>
      <c r="F1622" s="505" t="n">
        <v>5.32</v>
      </c>
      <c r="G1622" t="inlineStr">
        <is>
          <t>2880萬</t>
        </is>
      </c>
      <c r="H1622" t="n">
        <v>1542</v>
      </c>
      <c r="I1622" t="n">
        <v>455</v>
      </c>
      <c r="J1622" t="n">
        <v>9.09</v>
      </c>
      <c r="K1622" t="n">
        <v>19.15</v>
      </c>
      <c r="L1622" t="n">
        <v>17.9</v>
      </c>
      <c r="M1622" s="175" t="n">
        <v>1.7</v>
      </c>
      <c r="N1622" t="inlineStr">
        <is>
          <t>3C電腦周邊產品代理通路商</t>
        </is>
      </c>
    </row>
    <row r="1623">
      <c r="A1623" t="n">
        <v>6120</v>
      </c>
      <c r="B1623" t="inlineStr">
        <is>
          <t>達運</t>
        </is>
      </c>
      <c r="C1623" t="n">
        <v>15.1</v>
      </c>
      <c r="D1623" t="n">
        <v>15.45</v>
      </c>
      <c r="E1623" s="504" t="n">
        <v>0.55</v>
      </c>
      <c r="F1623" s="505" t="n">
        <v>3.69</v>
      </c>
      <c r="G1623" t="inlineStr">
        <is>
          <t>1.24億</t>
        </is>
      </c>
      <c r="H1623" t="n">
        <v>8295</v>
      </c>
      <c r="I1623" t="n">
        <v>6285</v>
      </c>
      <c r="J1623" t="n">
        <v>59.9</v>
      </c>
      <c r="K1623" t="n">
        <v>15.5</v>
      </c>
      <c r="L1623" t="n">
        <v>14.5</v>
      </c>
      <c r="M1623" s="175" t="n">
        <v>1.38</v>
      </c>
      <c r="N1623" t="inlineStr">
        <is>
          <t>友達旗下背光模組零組件供應商</t>
        </is>
      </c>
    </row>
    <row r="1624">
      <c r="A1624" t="n">
        <v>6121</v>
      </c>
      <c r="B1624" t="inlineStr">
        <is>
          <t>新普</t>
        </is>
      </c>
      <c r="C1624" t="n">
        <v>397</v>
      </c>
      <c r="D1624" t="n">
        <v>402.5</v>
      </c>
      <c r="E1624" s="504" t="n">
        <v>6.5</v>
      </c>
      <c r="F1624" s="505" t="n">
        <v>1.64</v>
      </c>
      <c r="G1624" t="inlineStr">
        <is>
          <t>6.66億</t>
        </is>
      </c>
      <c r="H1624" t="n">
        <v>1667</v>
      </c>
      <c r="I1624" t="n">
        <v>987</v>
      </c>
      <c r="J1624" t="n">
        <v>18.5</v>
      </c>
      <c r="K1624" t="n">
        <v>403.5</v>
      </c>
      <c r="L1624" t="n">
        <v>394</v>
      </c>
      <c r="M1624" s="175" t="n">
        <v>0.9</v>
      </c>
      <c r="N1624" t="inlineStr">
        <is>
          <t>全球最大NB電池模組廠之一</t>
        </is>
      </c>
    </row>
    <row r="1625">
      <c r="A1625" t="n">
        <v>6122</v>
      </c>
      <c r="B1625" t="inlineStr">
        <is>
          <t>擎邦</t>
        </is>
      </c>
      <c r="C1625" t="n">
        <v>49.2</v>
      </c>
      <c r="D1625" t="n">
        <v>47.9</v>
      </c>
      <c r="E1625" s="504" t="n">
        <v>-0.75</v>
      </c>
      <c r="F1625" s="505" t="n">
        <v>-1.54</v>
      </c>
      <c r="G1625" t="inlineStr">
        <is>
          <t>1985萬</t>
        </is>
      </c>
      <c r="H1625" t="n">
        <v>413</v>
      </c>
      <c r="I1625" t="n">
        <v>364</v>
      </c>
      <c r="J1625" t="n">
        <v>7.81</v>
      </c>
      <c r="K1625" t="n">
        <v>49.2</v>
      </c>
      <c r="L1625" t="n">
        <v>47.65</v>
      </c>
      <c r="M1625" s="175" t="n">
        <v>0.53</v>
      </c>
      <c r="N1625" t="inlineStr">
        <is>
          <t>整廠工程之承攬、規劃、設計、施工服務廠商</t>
        </is>
      </c>
    </row>
    <row r="1626">
      <c r="A1626" t="n">
        <v>6123</v>
      </c>
      <c r="B1626" t="inlineStr">
        <is>
          <t>上奇</t>
        </is>
      </c>
      <c r="C1626" t="n">
        <v>45.35</v>
      </c>
      <c r="D1626" t="n">
        <v>45.45</v>
      </c>
      <c r="E1626" s="504" t="n">
        <v>0.75</v>
      </c>
      <c r="F1626" s="505" t="n">
        <v>1.68</v>
      </c>
      <c r="G1626" t="inlineStr">
        <is>
          <t>605萬</t>
        </is>
      </c>
      <c r="H1626" t="n">
        <v>134</v>
      </c>
      <c r="I1626" t="n">
        <v>104</v>
      </c>
      <c r="J1626" t="n">
        <v>6.21</v>
      </c>
      <c r="K1626" t="n">
        <v>45.45</v>
      </c>
      <c r="L1626" t="n">
        <v>44.9</v>
      </c>
      <c r="M1626" s="175" t="n">
        <v>0.22</v>
      </c>
      <c r="N1626" t="inlineStr">
        <is>
          <t>電腦軟硬體、OA產品及耗材代理商</t>
        </is>
      </c>
    </row>
    <row r="1627">
      <c r="A1627" t="n">
        <v>6124</v>
      </c>
      <c r="B1627" t="inlineStr">
        <is>
          <t>業強</t>
        </is>
      </c>
      <c r="C1627" t="n">
        <v>30.9</v>
      </c>
      <c r="D1627" t="n">
        <v>33</v>
      </c>
      <c r="E1627" s="504" t="n">
        <v>3</v>
      </c>
      <c r="F1627" s="505" t="n">
        <v>10</v>
      </c>
      <c r="G1627" t="inlineStr">
        <is>
          <t>1102萬</t>
        </is>
      </c>
      <c r="H1627" t="n">
        <v>341</v>
      </c>
      <c r="I1627" t="n">
        <v>98</v>
      </c>
      <c r="J1627" t="n">
        <v>18.25</v>
      </c>
      <c r="K1627" t="n">
        <v>33</v>
      </c>
      <c r="L1627" t="n">
        <v>30.35</v>
      </c>
      <c r="M1627" s="175" t="n">
        <v>0.19</v>
      </c>
      <c r="N1627" t="inlineStr">
        <is>
          <t>台灣最大熱導管供應商</t>
        </is>
      </c>
    </row>
    <row r="1628">
      <c r="A1628" t="n">
        <v>6125</v>
      </c>
      <c r="B1628" t="inlineStr">
        <is>
          <t>廣運</t>
        </is>
      </c>
      <c r="C1628" t="n">
        <v>75</v>
      </c>
      <c r="D1628" t="n">
        <v>71</v>
      </c>
      <c r="E1628" s="504" t="n">
        <v>-2.3</v>
      </c>
      <c r="F1628" s="505" t="n">
        <v>-3.14</v>
      </c>
      <c r="G1628" t="inlineStr">
        <is>
          <t>7.94億</t>
        </is>
      </c>
      <c r="H1628" t="n">
        <v>10922</v>
      </c>
      <c r="I1628" t="n">
        <v>6957</v>
      </c>
      <c r="J1628" t="n">
        <v>25.9</v>
      </c>
      <c r="K1628" t="n">
        <v>75.90000000000001</v>
      </c>
      <c r="L1628" t="n">
        <v>69</v>
      </c>
      <c r="M1628" s="175" t="n">
        <v>4.22</v>
      </c>
      <c r="N1628" t="inlineStr">
        <is>
          <t>經營自動化物流系統及太陽能電池等業務</t>
        </is>
      </c>
    </row>
    <row r="1629">
      <c r="A1629" t="n">
        <v>6126</v>
      </c>
      <c r="B1629" t="inlineStr">
        <is>
          <t>信音</t>
        </is>
      </c>
      <c r="C1629" t="n">
        <v>38.2</v>
      </c>
      <c r="D1629" t="n">
        <v>38.8</v>
      </c>
      <c r="E1629" s="504" t="n">
        <v>1.55</v>
      </c>
      <c r="F1629" s="505" t="n">
        <v>4.16</v>
      </c>
      <c r="G1629" t="inlineStr">
        <is>
          <t>2.29億</t>
        </is>
      </c>
      <c r="H1629" t="n">
        <v>5991</v>
      </c>
      <c r="I1629" t="n">
        <v>2229</v>
      </c>
      <c r="J1629" t="n">
        <v>12.98</v>
      </c>
      <c r="K1629" t="n">
        <v>39.15</v>
      </c>
      <c r="L1629" t="n">
        <v>36.85</v>
      </c>
      <c r="M1629" s="175" t="n">
        <v>4.62</v>
      </c>
      <c r="N1629" t="inlineStr">
        <is>
          <t>電腦及通訊用之連接器製造商</t>
        </is>
      </c>
    </row>
    <row r="1630">
      <c r="A1630" t="n">
        <v>6127</v>
      </c>
      <c r="B1630" t="inlineStr">
        <is>
          <t>九豪</t>
        </is>
      </c>
      <c r="C1630" t="n">
        <v>78</v>
      </c>
      <c r="D1630" t="n">
        <v>81.40000000000001</v>
      </c>
      <c r="E1630" s="504" t="n">
        <v>7.4</v>
      </c>
      <c r="F1630" s="505" t="n">
        <v>10</v>
      </c>
      <c r="G1630" t="inlineStr">
        <is>
          <t>42.4億</t>
        </is>
      </c>
      <c r="H1630" t="n">
        <v>54882</v>
      </c>
      <c r="I1630" t="n">
        <v>31011</v>
      </c>
      <c r="J1630" t="n">
        <v>10.81</v>
      </c>
      <c r="K1630" t="n">
        <v>81.40000000000001</v>
      </c>
      <c r="L1630" t="n">
        <v>73</v>
      </c>
      <c r="M1630" s="175" t="n">
        <v>50.78</v>
      </c>
      <c r="N1630" t="inlineStr">
        <is>
          <t>高階精密陶瓷基板之專業製造廠</t>
        </is>
      </c>
    </row>
    <row r="1631">
      <c r="A1631" t="n">
        <v>6128</v>
      </c>
      <c r="B1631" t="inlineStr">
        <is>
          <t>上福</t>
        </is>
      </c>
      <c r="C1631" t="n">
        <v>19.5</v>
      </c>
      <c r="D1631" t="n">
        <v>20.2</v>
      </c>
      <c r="E1631" s="504" t="n">
        <v>0.7</v>
      </c>
      <c r="F1631" s="505" t="n">
        <v>3.59</v>
      </c>
      <c r="G1631" t="inlineStr">
        <is>
          <t>712萬</t>
        </is>
      </c>
      <c r="H1631" t="n">
        <v>360</v>
      </c>
      <c r="I1631" t="n">
        <v>232</v>
      </c>
      <c r="J1631" t="n">
        <v>12.76</v>
      </c>
      <c r="K1631" t="n">
        <v>20.2</v>
      </c>
      <c r="L1631" t="n">
        <v>19.5</v>
      </c>
      <c r="M1631" s="175" t="n">
        <v>0.28</v>
      </c>
      <c r="N1631" t="inlineStr">
        <is>
          <t>台灣唯一具備雷射印表機之碳粉匣及OPC感光鼓齒輪研發設計廠</t>
        </is>
      </c>
    </row>
    <row r="1632">
      <c r="A1632" t="n">
        <v>6129</v>
      </c>
      <c r="B1632" t="inlineStr">
        <is>
          <t>普誠</t>
        </is>
      </c>
      <c r="C1632" t="n">
        <v>16.6</v>
      </c>
      <c r="D1632" t="n">
        <v>16.4</v>
      </c>
      <c r="E1632" s="504" t="n">
        <v>-0.5</v>
      </c>
      <c r="F1632" s="505" t="n">
        <v>-2.96</v>
      </c>
      <c r="G1632" t="inlineStr">
        <is>
          <t>2134萬</t>
        </is>
      </c>
      <c r="H1632" t="n">
        <v>1306</v>
      </c>
      <c r="I1632" t="n">
        <v>1389</v>
      </c>
      <c r="J1632" t="n">
        <v>18.09</v>
      </c>
      <c r="K1632" t="n">
        <v>16.65</v>
      </c>
      <c r="L1632" t="n">
        <v>16.15</v>
      </c>
      <c r="M1632" s="175" t="n">
        <v>0.72</v>
      </c>
      <c r="N1632" t="inlineStr">
        <is>
          <t>台灣消費性IC設計廠商，及車用IC設計公司</t>
        </is>
      </c>
    </row>
    <row r="1633">
      <c r="A1633" t="n">
        <v>6130</v>
      </c>
      <c r="B1633" t="inlineStr">
        <is>
          <t>上亞科技</t>
        </is>
      </c>
      <c r="C1633" t="n">
        <v>23.25</v>
      </c>
      <c r="D1633" t="n">
        <v>22.95</v>
      </c>
      <c r="E1633" s="504" t="n">
        <v>-0.3</v>
      </c>
      <c r="F1633" s="505" t="n">
        <v>-1.29</v>
      </c>
      <c r="G1633" t="inlineStr">
        <is>
          <t>355萬</t>
        </is>
      </c>
      <c r="H1633" t="n">
        <v>154</v>
      </c>
      <c r="I1633" t="n">
        <v>296</v>
      </c>
      <c r="J1633" t="n">
        <v>4.63</v>
      </c>
      <c r="K1633" t="n">
        <v>23.9</v>
      </c>
      <c r="L1633" t="n">
        <v>22.75</v>
      </c>
      <c r="M1633" s="175" t="n">
        <v>0.35</v>
      </c>
      <c r="N1633" t="inlineStr">
        <is>
          <t>從事醫美事業的醫藥採購及管理顧問</t>
        </is>
      </c>
    </row>
    <row r="1634">
      <c r="A1634" t="n">
        <v>6133</v>
      </c>
      <c r="B1634" t="inlineStr">
        <is>
          <t>金橋</t>
        </is>
      </c>
      <c r="C1634" t="n">
        <v>23.6</v>
      </c>
      <c r="D1634" t="n">
        <v>23.5</v>
      </c>
      <c r="E1634" s="504" t="n">
        <v>-0.05</v>
      </c>
      <c r="F1634" s="505" t="n">
        <v>-0.21</v>
      </c>
      <c r="G1634" t="inlineStr">
        <is>
          <t>3217萬</t>
        </is>
      </c>
      <c r="H1634" t="n">
        <v>1384</v>
      </c>
      <c r="I1634" t="n">
        <v>1335</v>
      </c>
      <c r="J1634" t="n">
        <v>11.7</v>
      </c>
      <c r="K1634" t="n">
        <v>23.6</v>
      </c>
      <c r="L1634" t="n">
        <v>22.9</v>
      </c>
      <c r="M1634" s="175" t="n">
        <v>1.18</v>
      </c>
      <c r="N1634" t="inlineStr">
        <is>
          <t>經營電腦週邊及高頻通訊為主的連接線廠</t>
        </is>
      </c>
    </row>
    <row r="1635">
      <c r="A1635" t="n">
        <v>6134</v>
      </c>
      <c r="B1635" t="inlineStr">
        <is>
          <t>萬旭</t>
        </is>
      </c>
      <c r="C1635" t="n">
        <v>41.55</v>
      </c>
      <c r="D1635" t="n">
        <v>38.15</v>
      </c>
      <c r="E1635" s="504" t="n">
        <v>-1.65</v>
      </c>
      <c r="F1635" s="505" t="n">
        <v>-4.15</v>
      </c>
      <c r="G1635" t="inlineStr">
        <is>
          <t>3.25億</t>
        </is>
      </c>
      <c r="H1635" t="n">
        <v>8297</v>
      </c>
      <c r="I1635" t="n">
        <v>3043</v>
      </c>
      <c r="J1635" t="n">
        <v>8.19</v>
      </c>
      <c r="K1635" t="n">
        <v>41.8</v>
      </c>
      <c r="L1635" t="n">
        <v>36.6</v>
      </c>
      <c r="M1635" s="175" t="n">
        <v>10.13</v>
      </c>
      <c r="N1635" t="inlineStr">
        <is>
          <t>主要經營極細銅軸線、天線、信號線等線材業者</t>
        </is>
      </c>
    </row>
    <row r="1636">
      <c r="A1636" t="n">
        <v>6136</v>
      </c>
      <c r="B1636" t="inlineStr">
        <is>
          <t>富爾特</t>
        </is>
      </c>
      <c r="C1636" t="n">
        <v>26.05</v>
      </c>
      <c r="D1636" t="n">
        <v>26.15</v>
      </c>
      <c r="E1636" s="504" t="n">
        <v>0.1</v>
      </c>
      <c r="F1636" s="505" t="n">
        <v>0.38</v>
      </c>
      <c r="G1636" t="inlineStr">
        <is>
          <t>1021萬</t>
        </is>
      </c>
      <c r="H1636" t="n">
        <v>394</v>
      </c>
      <c r="I1636" t="n">
        <v>363</v>
      </c>
      <c r="J1636" t="n">
        <v>11.55</v>
      </c>
      <c r="K1636" t="n">
        <v>26.2</v>
      </c>
      <c r="L1636" t="n">
        <v>25.65</v>
      </c>
      <c r="M1636" s="175" t="n">
        <v>0.34</v>
      </c>
      <c r="N1636" t="inlineStr">
        <is>
          <t>經營數位行銷服務及電子軟硬體代理業務</t>
        </is>
      </c>
    </row>
    <row r="1637">
      <c r="A1637" t="n">
        <v>6138</v>
      </c>
      <c r="B1637" t="inlineStr">
        <is>
          <t>茂達</t>
        </is>
      </c>
      <c r="C1637" t="n">
        <v>356</v>
      </c>
      <c r="D1637" t="n">
        <v>329</v>
      </c>
      <c r="E1637" s="504" t="n">
        <v>-24</v>
      </c>
      <c r="F1637" s="505" t="n">
        <v>-6.8</v>
      </c>
      <c r="G1637" t="inlineStr">
        <is>
          <t>4.95億</t>
        </is>
      </c>
      <c r="H1637" t="n">
        <v>1481</v>
      </c>
      <c r="I1637" t="n">
        <v>2572</v>
      </c>
      <c r="J1637" t="n">
        <v>7.56</v>
      </c>
      <c r="K1637" t="n">
        <v>356</v>
      </c>
      <c r="L1637" t="n">
        <v>322</v>
      </c>
      <c r="M1637" s="175" t="n">
        <v>1.96</v>
      </c>
      <c r="N1637" t="inlineStr">
        <is>
          <t>以主機板客戶為主的電源管理IC大廠</t>
        </is>
      </c>
    </row>
    <row r="1638">
      <c r="A1638" t="n">
        <v>6139</v>
      </c>
      <c r="B1638" t="inlineStr">
        <is>
          <t>亞翔</t>
        </is>
      </c>
      <c r="C1638" t="n">
        <v>782</v>
      </c>
      <c r="D1638" t="n">
        <v>762</v>
      </c>
      <c r="E1638" s="504" t="n">
        <v>-15</v>
      </c>
      <c r="F1638" s="505" t="n">
        <v>-1.93</v>
      </c>
      <c r="G1638" t="inlineStr">
        <is>
          <t>25.3億</t>
        </is>
      </c>
      <c r="H1638" t="n">
        <v>3278</v>
      </c>
      <c r="I1638" t="n">
        <v>4730</v>
      </c>
      <c r="J1638" t="n">
        <v>23.56</v>
      </c>
      <c r="K1638" t="n">
        <v>789</v>
      </c>
      <c r="L1638" t="n">
        <v>760</v>
      </c>
      <c r="M1638" s="175" t="n">
        <v>1.39</v>
      </c>
      <c r="N1638" t="inlineStr">
        <is>
          <t>台灣無塵室及機電系統整合服務等製造商</t>
        </is>
      </c>
    </row>
    <row r="1639">
      <c r="A1639" t="n">
        <v>6140</v>
      </c>
      <c r="B1639" t="inlineStr">
        <is>
          <t>訊達</t>
        </is>
      </c>
      <c r="C1639" t="n">
        <v>21.5</v>
      </c>
      <c r="D1639" t="n">
        <v>22.7</v>
      </c>
      <c r="E1639" s="504" t="n">
        <v>2.05</v>
      </c>
      <c r="F1639" s="505" t="n">
        <v>9.93</v>
      </c>
      <c r="G1639" t="inlineStr">
        <is>
          <t>2062萬</t>
        </is>
      </c>
      <c r="H1639" t="n">
        <v>920</v>
      </c>
      <c r="I1639" t="n">
        <v>201</v>
      </c>
      <c r="J1639" t="n">
        <v>5.49</v>
      </c>
      <c r="K1639" t="n">
        <v>22.7</v>
      </c>
      <c r="L1639" t="n">
        <v>21.3</v>
      </c>
      <c r="M1639" s="175" t="n">
        <v>1.68</v>
      </c>
      <c r="N1639" t="inlineStr">
        <is>
          <t>以金融、資訊、媒體、半導體產業為主的系統整合商</t>
        </is>
      </c>
    </row>
    <row r="1640">
      <c r="A1640" t="n">
        <v>6141</v>
      </c>
      <c r="B1640" t="inlineStr">
        <is>
          <t>柏承</t>
        </is>
      </c>
      <c r="C1640" t="n">
        <v>42.1</v>
      </c>
      <c r="D1640" t="n">
        <v>40.35</v>
      </c>
      <c r="E1640" s="504" t="n">
        <v>-4.05</v>
      </c>
      <c r="F1640" s="505" t="n">
        <v>-9.119999999999999</v>
      </c>
      <c r="G1640" t="inlineStr">
        <is>
          <t>1.52億</t>
        </is>
      </c>
      <c r="H1640" t="n">
        <v>3709</v>
      </c>
      <c r="I1640" t="n">
        <v>6753</v>
      </c>
      <c r="J1640" t="n">
        <v>11.34</v>
      </c>
      <c r="K1640" t="n">
        <v>42.45</v>
      </c>
      <c r="L1640" t="n">
        <v>40.05</v>
      </c>
      <c r="M1640" s="175" t="n">
        <v>3.27</v>
      </c>
      <c r="N1640" t="inlineStr">
        <is>
          <t>少量多樣的利基型PCB廠</t>
        </is>
      </c>
    </row>
    <row r="1641">
      <c r="A1641" t="n">
        <v>6142</v>
      </c>
      <c r="B1641" t="inlineStr">
        <is>
          <t>友勁</t>
        </is>
      </c>
      <c r="C1641" t="n">
        <v>8.59</v>
      </c>
      <c r="D1641" t="n">
        <v>8.720000000000001</v>
      </c>
      <c r="E1641" s="504" t="n">
        <v>0.2</v>
      </c>
      <c r="F1641" s="505" t="n">
        <v>2.35</v>
      </c>
      <c r="G1641" t="inlineStr">
        <is>
          <t>963萬</t>
        </is>
      </c>
      <c r="H1641" t="n">
        <v>1129</v>
      </c>
      <c r="I1641" t="n">
        <v>844</v>
      </c>
      <c r="J1641" t="n">
        <v>33.08</v>
      </c>
      <c r="K1641" t="n">
        <v>8.73</v>
      </c>
      <c r="L1641" t="n">
        <v>8.300000000000001</v>
      </c>
      <c r="M1641" s="175" t="n">
        <v>0.49</v>
      </c>
      <c r="N1641" t="inlineStr">
        <is>
          <t>友訊轉投資寬頻產品製造商</t>
        </is>
      </c>
    </row>
    <row r="1642">
      <c r="A1642" t="n">
        <v>6143</v>
      </c>
      <c r="B1642" t="inlineStr">
        <is>
          <t>振曜</t>
        </is>
      </c>
      <c r="C1642" t="n">
        <v>99.40000000000001</v>
      </c>
      <c r="D1642" t="n">
        <v>100</v>
      </c>
      <c r="E1642" s="504" t="n">
        <v>0.6</v>
      </c>
      <c r="F1642" s="505" t="n">
        <v>0.6</v>
      </c>
      <c r="G1642" t="inlineStr">
        <is>
          <t>9203萬</t>
        </is>
      </c>
      <c r="H1642" t="n">
        <v>924</v>
      </c>
      <c r="I1642" t="n">
        <v>1494</v>
      </c>
      <c r="J1642" t="n">
        <v>8.609999999999999</v>
      </c>
      <c r="K1642" t="n">
        <v>101</v>
      </c>
      <c r="L1642" t="n">
        <v>98.7</v>
      </c>
      <c r="M1642" s="175" t="n">
        <v>1.07</v>
      </c>
      <c r="N1642" t="inlineStr">
        <is>
          <t>全球知名電子書閱讀器製造大廠</t>
        </is>
      </c>
    </row>
    <row r="1643">
      <c r="A1643" t="n">
        <v>6144</v>
      </c>
      <c r="B1643" t="inlineStr">
        <is>
          <t>得利影</t>
        </is>
      </c>
      <c r="C1643" t="n">
        <v>14.25</v>
      </c>
      <c r="D1643" t="n">
        <v>14.15</v>
      </c>
      <c r="E1643" s="504" t="n">
        <v>-0.25</v>
      </c>
      <c r="F1643" s="505" t="n">
        <v>-1.74</v>
      </c>
      <c r="G1643" t="inlineStr">
        <is>
          <t>35.1萬</t>
        </is>
      </c>
      <c r="H1643" t="n">
        <v>25</v>
      </c>
      <c r="I1643" t="n">
        <v>20</v>
      </c>
      <c r="J1643" t="n">
        <v>3.83</v>
      </c>
      <c r="K1643" t="n">
        <v>14.25</v>
      </c>
      <c r="L1643" t="n">
        <v>13.95</v>
      </c>
      <c r="M1643" s="175" t="n">
        <v>0.07000000000000001</v>
      </c>
      <c r="N1643" t="inlineStr">
        <is>
          <t>代理知名美國片商DVD及BD在台發行之公司</t>
        </is>
      </c>
    </row>
    <row r="1644">
      <c r="A1644" t="n">
        <v>6146</v>
      </c>
      <c r="B1644" t="inlineStr">
        <is>
          <t>耕興</t>
        </is>
      </c>
      <c r="C1644" t="n">
        <v>227.5</v>
      </c>
      <c r="D1644" t="n">
        <v>221.5</v>
      </c>
      <c r="E1644" s="504" t="n">
        <v>-6</v>
      </c>
      <c r="F1644" s="505" t="n">
        <v>-2.64</v>
      </c>
      <c r="G1644" t="inlineStr">
        <is>
          <t>1.65億</t>
        </is>
      </c>
      <c r="H1644" t="n">
        <v>742</v>
      </c>
      <c r="I1644" t="n">
        <v>1238</v>
      </c>
      <c r="J1644" t="n">
        <v>10.19</v>
      </c>
      <c r="K1644" t="n">
        <v>227.5</v>
      </c>
      <c r="L1644" t="n">
        <v>220.5</v>
      </c>
      <c r="M1644" s="175" t="n">
        <v>0.73</v>
      </c>
      <c r="N1644" t="inlineStr">
        <is>
          <t>國內最具規模之手機及網通專業認證實驗室</t>
        </is>
      </c>
    </row>
    <row r="1645">
      <c r="A1645" t="n">
        <v>6147</v>
      </c>
      <c r="B1645" t="inlineStr">
        <is>
          <t>頎邦</t>
        </is>
      </c>
      <c r="C1645" t="n">
        <v>286.5</v>
      </c>
      <c r="D1645" t="n">
        <v>281</v>
      </c>
      <c r="E1645" s="504" t="n">
        <v>-4.5</v>
      </c>
      <c r="F1645" s="505" t="n">
        <v>-1.58</v>
      </c>
      <c r="G1645" t="inlineStr">
        <is>
          <t>186億</t>
        </is>
      </c>
      <c r="H1645" t="n">
        <v>67514</v>
      </c>
      <c r="I1645" t="n">
        <v>70029</v>
      </c>
      <c r="J1645" t="n">
        <v>74.45999999999999</v>
      </c>
      <c r="K1645" t="n">
        <v>294.5</v>
      </c>
      <c r="L1645" t="n">
        <v>264</v>
      </c>
      <c r="M1645" s="175" t="n">
        <v>9.07</v>
      </c>
      <c r="N1645" t="inlineStr">
        <is>
          <t>全球最大LCD驅動IC封裝及金凸塊供應商</t>
        </is>
      </c>
    </row>
    <row r="1646">
      <c r="A1646" t="n">
        <v>6148</v>
      </c>
      <c r="B1646" t="inlineStr">
        <is>
          <t>驊宏資</t>
        </is>
      </c>
      <c r="C1646" t="n">
        <v>33.6</v>
      </c>
      <c r="D1646" t="n">
        <v>34.8</v>
      </c>
      <c r="E1646" s="504" t="n">
        <v>3.15</v>
      </c>
      <c r="F1646" s="505" t="n">
        <v>9.949999999999999</v>
      </c>
      <c r="G1646" t="inlineStr">
        <is>
          <t>1.04億</t>
        </is>
      </c>
      <c r="H1646" t="n">
        <v>3015</v>
      </c>
      <c r="I1646" t="n">
        <v>306</v>
      </c>
      <c r="J1646" t="n">
        <v>4.66</v>
      </c>
      <c r="K1646" t="n">
        <v>34.8</v>
      </c>
      <c r="L1646" t="n">
        <v>32.6</v>
      </c>
      <c r="M1646" s="175" t="n">
        <v>6.47</v>
      </c>
      <c r="N1646" t="inlineStr">
        <is>
          <t>金融及公共事業SI廠</t>
        </is>
      </c>
    </row>
    <row r="1647">
      <c r="A1647" t="n">
        <v>6150</v>
      </c>
      <c r="B1647" t="inlineStr">
        <is>
          <t>撼訊</t>
        </is>
      </c>
      <c r="C1647" t="n">
        <v>69.2</v>
      </c>
      <c r="D1647" t="n">
        <v>76</v>
      </c>
      <c r="E1647" s="504" t="n">
        <v>6.9</v>
      </c>
      <c r="F1647" s="505" t="n">
        <v>9.99</v>
      </c>
      <c r="G1647" t="inlineStr">
        <is>
          <t>2.16億</t>
        </is>
      </c>
      <c r="H1647" t="n">
        <v>2921</v>
      </c>
      <c r="I1647" t="n">
        <v>927</v>
      </c>
      <c r="J1647" t="n">
        <v>4.83</v>
      </c>
      <c r="K1647" t="n">
        <v>76</v>
      </c>
      <c r="L1647" t="n">
        <v>69.2</v>
      </c>
      <c r="M1647" s="175" t="n">
        <v>6.04</v>
      </c>
      <c r="N1647" t="inlineStr">
        <is>
          <t>以Power Color品牌行銷全球之繪圖顯示卡供應商</t>
        </is>
      </c>
    </row>
    <row r="1648">
      <c r="A1648" t="n">
        <v>6151</v>
      </c>
      <c r="B1648" t="inlineStr">
        <is>
          <t>晉倫</t>
        </is>
      </c>
      <c r="C1648" t="n">
        <v>45.7</v>
      </c>
      <c r="D1648" t="n">
        <v>44</v>
      </c>
      <c r="E1648" s="504" t="n">
        <v>-1.6</v>
      </c>
      <c r="F1648" s="505" t="n">
        <v>-3.51</v>
      </c>
      <c r="G1648" t="inlineStr">
        <is>
          <t>3762萬</t>
        </is>
      </c>
      <c r="H1648" t="n">
        <v>854</v>
      </c>
      <c r="I1648" t="n">
        <v>1443</v>
      </c>
      <c r="J1648" t="n">
        <v>5.53</v>
      </c>
      <c r="K1648" t="n">
        <v>45.7</v>
      </c>
      <c r="L1648" t="n">
        <v>43</v>
      </c>
      <c r="M1648" s="175" t="n">
        <v>1.55</v>
      </c>
      <c r="N1648" t="inlineStr">
        <is>
          <t>台灣汽車複合材料供應商</t>
        </is>
      </c>
    </row>
    <row r="1649">
      <c r="A1649" t="n">
        <v>6152</v>
      </c>
      <c r="B1649" t="inlineStr">
        <is>
          <t>百一</t>
        </is>
      </c>
      <c r="C1649" t="n">
        <v>15.25</v>
      </c>
      <c r="D1649" t="n">
        <v>15.3</v>
      </c>
      <c r="E1649" s="504" t="n">
        <v>0.2</v>
      </c>
      <c r="F1649" s="505" t="n">
        <v>1.32</v>
      </c>
      <c r="G1649" t="inlineStr">
        <is>
          <t>2824萬</t>
        </is>
      </c>
      <c r="H1649" t="n">
        <v>1869</v>
      </c>
      <c r="I1649" t="n">
        <v>1596</v>
      </c>
      <c r="J1649" t="n">
        <v>16.77</v>
      </c>
      <c r="K1649" t="n">
        <v>15.5</v>
      </c>
      <c r="L1649" t="n">
        <v>14.8</v>
      </c>
      <c r="M1649" s="175" t="n">
        <v>1.11</v>
      </c>
      <c r="N1649" t="inlineStr">
        <is>
          <t>STB、LNB的ODM大廠</t>
        </is>
      </c>
    </row>
    <row r="1650">
      <c r="A1650" t="n">
        <v>6153</v>
      </c>
      <c r="B1650" t="inlineStr">
        <is>
          <t>嘉聯益</t>
        </is>
      </c>
      <c r="C1650" t="n">
        <v>18.75</v>
      </c>
      <c r="D1650" t="n">
        <v>19</v>
      </c>
      <c r="E1650" s="504" t="n">
        <v>0.5</v>
      </c>
      <c r="F1650" s="505" t="n">
        <v>2.7</v>
      </c>
      <c r="G1650" t="inlineStr">
        <is>
          <t>1.42億</t>
        </is>
      </c>
      <c r="H1650" t="n">
        <v>7588</v>
      </c>
      <c r="I1650" t="n">
        <v>4591</v>
      </c>
      <c r="J1650" t="n">
        <v>63.62</v>
      </c>
      <c r="K1650" t="n">
        <v>19.3</v>
      </c>
      <c r="L1650" t="n">
        <v>18.35</v>
      </c>
      <c r="M1650" s="175" t="n">
        <v>1.19</v>
      </c>
      <c r="N1650" t="inlineStr">
        <is>
          <t>台灣前三大軟板廠之一</t>
        </is>
      </c>
    </row>
    <row r="1651">
      <c r="A1651" t="n">
        <v>6154</v>
      </c>
      <c r="B1651" t="inlineStr">
        <is>
          <t>順發</t>
        </is>
      </c>
      <c r="C1651" t="n">
        <v>13.35</v>
      </c>
      <c r="D1651" t="n">
        <v>13.35</v>
      </c>
      <c r="E1651" s="504" t="n">
        <v>0</v>
      </c>
      <c r="F1651" s="505" t="n">
        <v>0</v>
      </c>
      <c r="G1651" t="inlineStr">
        <is>
          <t>114萬</t>
        </is>
      </c>
      <c r="H1651" t="n">
        <v>86</v>
      </c>
      <c r="I1651" t="n">
        <v>50</v>
      </c>
      <c r="J1651" t="n">
        <v>8.01</v>
      </c>
      <c r="K1651" t="n">
        <v>13.35</v>
      </c>
      <c r="L1651" t="n">
        <v>13.2</v>
      </c>
      <c r="M1651" s="175" t="n">
        <v>0.11</v>
      </c>
      <c r="N1651" t="inlineStr">
        <is>
          <t>台灣大型的3C量販零售通路商</t>
        </is>
      </c>
    </row>
    <row r="1652">
      <c r="A1652" t="n">
        <v>6155</v>
      </c>
      <c r="B1652" t="inlineStr">
        <is>
          <t>鈞寶</t>
        </is>
      </c>
      <c r="C1652" t="n">
        <v>69</v>
      </c>
      <c r="D1652" t="n">
        <v>75.90000000000001</v>
      </c>
      <c r="E1652" s="504" t="n">
        <v>6.9</v>
      </c>
      <c r="F1652" s="505" t="n">
        <v>10</v>
      </c>
      <c r="G1652" t="inlineStr">
        <is>
          <t>20.7億</t>
        </is>
      </c>
      <c r="H1652" t="n">
        <v>29608</v>
      </c>
      <c r="I1652" t="n">
        <v>12643</v>
      </c>
      <c r="J1652" t="n">
        <v>8.800000000000001</v>
      </c>
      <c r="K1652" t="n">
        <v>75.90000000000001</v>
      </c>
      <c r="L1652" t="n">
        <v>64.5</v>
      </c>
      <c r="M1652" s="175" t="n">
        <v>33.64</v>
      </c>
      <c r="N1652" t="inlineStr">
        <is>
          <t>台灣電感及電磁波干擾對策之專業廠商</t>
        </is>
      </c>
    </row>
    <row r="1653">
      <c r="A1653" t="n">
        <v>6156</v>
      </c>
      <c r="B1653" t="inlineStr">
        <is>
          <t>松上</t>
        </is>
      </c>
      <c r="C1653" t="n">
        <v>19.35</v>
      </c>
      <c r="D1653" t="n">
        <v>19.3</v>
      </c>
      <c r="E1653" s="504" t="n">
        <v>0.15</v>
      </c>
      <c r="F1653" s="505" t="n">
        <v>0.78</v>
      </c>
      <c r="G1653" t="inlineStr">
        <is>
          <t>934萬</t>
        </is>
      </c>
      <c r="H1653" t="n">
        <v>490</v>
      </c>
      <c r="I1653" t="n">
        <v>694</v>
      </c>
      <c r="J1653" t="n">
        <v>10.79</v>
      </c>
      <c r="K1653" t="n">
        <v>19.35</v>
      </c>
      <c r="L1653" t="n">
        <v>18.9</v>
      </c>
      <c r="M1653" s="175" t="n">
        <v>0.45</v>
      </c>
      <c r="N1653" t="inlineStr">
        <is>
          <t>印刷電路板和磁性元件製造商</t>
        </is>
      </c>
    </row>
    <row r="1654">
      <c r="A1654" t="n">
        <v>6158</v>
      </c>
      <c r="B1654" t="inlineStr">
        <is>
          <t>禾昌</t>
        </is>
      </c>
      <c r="C1654" t="n">
        <v>18.35</v>
      </c>
      <c r="D1654" t="n">
        <v>18</v>
      </c>
      <c r="E1654" s="504" t="n">
        <v>-0.25</v>
      </c>
      <c r="F1654" s="505" t="n">
        <v>-1.37</v>
      </c>
      <c r="G1654" t="inlineStr">
        <is>
          <t>436萬</t>
        </is>
      </c>
      <c r="H1654" t="n">
        <v>245</v>
      </c>
      <c r="I1654" t="n">
        <v>91</v>
      </c>
      <c r="J1654" t="n">
        <v>5.57</v>
      </c>
      <c r="K1654" t="n">
        <v>18.35</v>
      </c>
      <c r="L1654" t="n">
        <v>17.4</v>
      </c>
      <c r="M1654" s="175" t="n">
        <v>0.44</v>
      </c>
      <c r="N1654" t="inlineStr">
        <is>
          <t>3C用連接器生產廠</t>
        </is>
      </c>
    </row>
    <row r="1655">
      <c r="A1655" t="n">
        <v>6160</v>
      </c>
      <c r="B1655" t="inlineStr">
        <is>
          <t>欣技</t>
        </is>
      </c>
      <c r="C1655" t="n">
        <v>17.5</v>
      </c>
      <c r="D1655" t="n">
        <v>17.5</v>
      </c>
      <c r="E1655" s="504" t="n">
        <v>0.4</v>
      </c>
      <c r="F1655" s="505" t="n">
        <v>2.34</v>
      </c>
      <c r="G1655" t="inlineStr">
        <is>
          <t>433萬</t>
        </is>
      </c>
      <c r="H1655" t="n">
        <v>250</v>
      </c>
      <c r="I1655" t="n">
        <v>327</v>
      </c>
      <c r="J1655" t="n">
        <v>6.85</v>
      </c>
      <c r="K1655" t="n">
        <v>17.55</v>
      </c>
      <c r="L1655" t="n">
        <v>17</v>
      </c>
      <c r="M1655" s="175" t="n">
        <v>0.37</v>
      </c>
      <c r="N1655" t="inlineStr">
        <is>
          <t>專攻自動辨識系統的IPC廠</t>
        </is>
      </c>
    </row>
    <row r="1656">
      <c r="A1656" t="n">
        <v>6161</v>
      </c>
      <c r="B1656" t="inlineStr">
        <is>
          <t>捷波</t>
        </is>
      </c>
      <c r="C1656" t="n">
        <v>58.8</v>
      </c>
      <c r="D1656" t="n">
        <v>56.7</v>
      </c>
      <c r="E1656" s="504" t="n">
        <v>-1.7</v>
      </c>
      <c r="F1656" s="505" t="n">
        <v>-2.91</v>
      </c>
      <c r="G1656" t="inlineStr">
        <is>
          <t>4148萬</t>
        </is>
      </c>
      <c r="H1656" t="n">
        <v>730</v>
      </c>
      <c r="I1656" t="n">
        <v>2416</v>
      </c>
      <c r="J1656" t="n">
        <v>5.62</v>
      </c>
      <c r="K1656" t="n">
        <v>58.8</v>
      </c>
      <c r="L1656" t="n">
        <v>55.5</v>
      </c>
      <c r="M1656" s="175" t="n">
        <v>1.3</v>
      </c>
      <c r="N1656" t="inlineStr">
        <is>
          <t>台灣工業電腦及主機板廠商</t>
        </is>
      </c>
    </row>
    <row r="1657">
      <c r="A1657" t="n">
        <v>6163</v>
      </c>
      <c r="B1657" t="inlineStr">
        <is>
          <t>華電網</t>
        </is>
      </c>
      <c r="C1657" t="n">
        <v>52.9</v>
      </c>
      <c r="D1657" t="n">
        <v>52.2</v>
      </c>
      <c r="E1657" s="504" t="n">
        <v>-1.2</v>
      </c>
      <c r="F1657" s="505" t="n">
        <v>-2.25</v>
      </c>
      <c r="G1657" t="inlineStr">
        <is>
          <t>1.25億</t>
        </is>
      </c>
      <c r="H1657" t="n">
        <v>2393</v>
      </c>
      <c r="I1657" t="n">
        <v>4031</v>
      </c>
      <c r="J1657" t="n">
        <v>14.84</v>
      </c>
      <c r="K1657" t="n">
        <v>53.6</v>
      </c>
      <c r="L1657" t="n">
        <v>51.1</v>
      </c>
      <c r="M1657" s="175" t="n">
        <v>1.62</v>
      </c>
      <c r="N1657" t="inlineStr">
        <is>
          <t>電信系統整合大廠，並跨足智慧城控與交通機電業務</t>
        </is>
      </c>
    </row>
    <row r="1658">
      <c r="A1658" t="n">
        <v>6164</v>
      </c>
      <c r="B1658" t="inlineStr">
        <is>
          <t>華興</t>
        </is>
      </c>
      <c r="C1658" t="n">
        <v>12.8</v>
      </c>
      <c r="D1658" t="n">
        <v>13.4</v>
      </c>
      <c r="E1658" s="504" t="n">
        <v>0.75</v>
      </c>
      <c r="F1658" s="505" t="n">
        <v>5.93</v>
      </c>
      <c r="G1658" t="inlineStr">
        <is>
          <t>3386萬</t>
        </is>
      </c>
      <c r="H1658" t="n">
        <v>2569</v>
      </c>
      <c r="I1658" t="n">
        <v>745</v>
      </c>
      <c r="J1658" t="n">
        <v>8</v>
      </c>
      <c r="K1658" t="n">
        <v>13.85</v>
      </c>
      <c r="L1658" t="n">
        <v>12.45</v>
      </c>
      <c r="M1658" s="175" t="n">
        <v>3.21</v>
      </c>
      <c r="N1658" t="inlineStr">
        <is>
          <t>台灣LED照明元件及模組廠</t>
        </is>
      </c>
    </row>
    <row r="1659">
      <c r="A1659" t="n">
        <v>6165</v>
      </c>
      <c r="B1659" t="inlineStr">
        <is>
          <t>浪凡</t>
        </is>
      </c>
      <c r="C1659" t="n">
        <v>48.6</v>
      </c>
      <c r="D1659" t="n">
        <v>48.35</v>
      </c>
      <c r="E1659" s="504" t="n">
        <v>0.1</v>
      </c>
      <c r="F1659" s="505" t="n">
        <v>0.21</v>
      </c>
      <c r="G1659" t="inlineStr">
        <is>
          <t>2383萬</t>
        </is>
      </c>
      <c r="H1659" t="n">
        <v>495</v>
      </c>
      <c r="I1659" t="n">
        <v>592</v>
      </c>
      <c r="J1659" t="n">
        <v>7.78</v>
      </c>
      <c r="K1659" t="n">
        <v>48.6</v>
      </c>
      <c r="L1659" t="n">
        <v>47.85</v>
      </c>
      <c r="M1659" s="175" t="n">
        <v>0.64</v>
      </c>
      <c r="N1659" t="inlineStr">
        <is>
          <t>主要經營「浪LIVE」直播平台</t>
        </is>
      </c>
    </row>
    <row r="1660">
      <c r="A1660" t="n">
        <v>6166</v>
      </c>
      <c r="B1660" t="inlineStr">
        <is>
          <t>凌華</t>
        </is>
      </c>
      <c r="C1660" t="n">
        <v>135</v>
      </c>
      <c r="D1660" t="n">
        <v>132</v>
      </c>
      <c r="E1660" s="504" t="n">
        <v>-1.5</v>
      </c>
      <c r="F1660" s="505" t="n">
        <v>-1.12</v>
      </c>
      <c r="G1660" t="inlineStr">
        <is>
          <t>3.78億</t>
        </is>
      </c>
      <c r="H1660" t="n">
        <v>2894</v>
      </c>
      <c r="I1660" t="n">
        <v>3326</v>
      </c>
      <c r="J1660" t="n">
        <v>21.78</v>
      </c>
      <c r="K1660" t="n">
        <v>135</v>
      </c>
      <c r="L1660" t="n">
        <v>126.5</v>
      </c>
      <c r="M1660" s="175" t="n">
        <v>1.33</v>
      </c>
      <c r="N1660" t="inlineStr">
        <is>
          <t>台灣工業電腦大廠</t>
        </is>
      </c>
    </row>
    <row r="1661">
      <c r="A1661" t="n">
        <v>6167</v>
      </c>
      <c r="B1661" t="inlineStr">
        <is>
          <t>久正</t>
        </is>
      </c>
      <c r="C1661" t="n">
        <v>12</v>
      </c>
      <c r="D1661" t="n">
        <v>12.25</v>
      </c>
      <c r="E1661" s="504" t="n">
        <v>0.35</v>
      </c>
      <c r="F1661" s="505" t="n">
        <v>2.94</v>
      </c>
      <c r="G1661" t="inlineStr">
        <is>
          <t>1730萬</t>
        </is>
      </c>
      <c r="H1661" t="n">
        <v>1448</v>
      </c>
      <c r="I1661" t="n">
        <v>1207</v>
      </c>
      <c r="J1661" t="n">
        <v>14.6</v>
      </c>
      <c r="K1661" t="n">
        <v>12.35</v>
      </c>
      <c r="L1661" t="n">
        <v>11.7</v>
      </c>
      <c r="M1661" s="175" t="n">
        <v>0.99</v>
      </c>
      <c r="N1661" t="inlineStr">
        <is>
          <t>中小尺寸TN/STN面板模組廠</t>
        </is>
      </c>
    </row>
    <row r="1662">
      <c r="A1662" t="n">
        <v>6168</v>
      </c>
      <c r="B1662" t="inlineStr">
        <is>
          <t>宏齊</t>
        </is>
      </c>
      <c r="C1662" t="n">
        <v>28.35</v>
      </c>
      <c r="D1662" t="n">
        <v>27.45</v>
      </c>
      <c r="E1662" s="504" t="n">
        <v>-0.75</v>
      </c>
      <c r="F1662" s="505" t="n">
        <v>-2.66</v>
      </c>
      <c r="G1662" t="inlineStr">
        <is>
          <t>1.32億</t>
        </is>
      </c>
      <c r="H1662" t="n">
        <v>4782</v>
      </c>
      <c r="I1662" t="n">
        <v>5325</v>
      </c>
      <c r="J1662" t="n">
        <v>20.58</v>
      </c>
      <c r="K1662" t="n">
        <v>29.1</v>
      </c>
      <c r="L1662" t="n">
        <v>26.9</v>
      </c>
      <c r="M1662" s="175" t="n">
        <v>2.32</v>
      </c>
      <c r="N1662" t="inlineStr">
        <is>
          <t>專為Avago及Osram代工之LED封裝廠</t>
        </is>
      </c>
    </row>
    <row r="1663">
      <c r="A1663" t="n">
        <v>6169</v>
      </c>
      <c r="B1663" t="inlineStr">
        <is>
          <t>昱泉</t>
        </is>
      </c>
      <c r="C1663" t="n">
        <v>13.75</v>
      </c>
      <c r="D1663" t="n">
        <v>14.05</v>
      </c>
      <c r="E1663" s="504" t="n">
        <v>0.3</v>
      </c>
      <c r="F1663" s="505" t="n">
        <v>2.18</v>
      </c>
      <c r="G1663" t="inlineStr">
        <is>
          <t>30.7萬</t>
        </is>
      </c>
      <c r="H1663" t="n">
        <v>22</v>
      </c>
      <c r="I1663" t="n">
        <v>37</v>
      </c>
      <c r="J1663" t="n">
        <v>2.34</v>
      </c>
      <c r="K1663" t="n">
        <v>14.05</v>
      </c>
      <c r="L1663" t="n">
        <v>13.75</v>
      </c>
      <c r="M1663" s="175" t="n">
        <v>0.09</v>
      </c>
      <c r="N1663" t="inlineStr">
        <is>
          <t>台灣網路遊戲研發及代理商</t>
        </is>
      </c>
    </row>
    <row r="1664">
      <c r="A1664" t="n">
        <v>6170</v>
      </c>
      <c r="B1664" t="inlineStr">
        <is>
          <t>統振</t>
        </is>
      </c>
      <c r="C1664" t="n">
        <v>52</v>
      </c>
      <c r="D1664" t="n">
        <v>51.9</v>
      </c>
      <c r="E1664" s="504" t="n">
        <v>-0.1</v>
      </c>
      <c r="F1664" s="505" t="n">
        <v>-0.19</v>
      </c>
      <c r="G1664" t="inlineStr">
        <is>
          <t>1344萬</t>
        </is>
      </c>
      <c r="H1664" t="n">
        <v>260</v>
      </c>
      <c r="I1664" t="n">
        <v>332</v>
      </c>
      <c r="J1664" t="n">
        <v>9.73</v>
      </c>
      <c r="K1664" t="n">
        <v>52.1</v>
      </c>
      <c r="L1664" t="n">
        <v>51.7</v>
      </c>
      <c r="M1664" s="175" t="n">
        <v>0.27</v>
      </c>
      <c r="N1664" t="inlineStr">
        <is>
          <t>從事數據預付卡及移工金流服務業務</t>
        </is>
      </c>
    </row>
    <row r="1665">
      <c r="A1665" t="n">
        <v>6171</v>
      </c>
      <c r="B1665" t="inlineStr">
        <is>
          <t>大城地產</t>
        </is>
      </c>
      <c r="C1665" t="n">
        <v>23.25</v>
      </c>
      <c r="D1665" t="n">
        <v>23.35</v>
      </c>
      <c r="E1665" s="504" t="n">
        <v>0.2</v>
      </c>
      <c r="F1665" s="505" t="n">
        <v>0.86</v>
      </c>
      <c r="G1665" t="inlineStr">
        <is>
          <t>16.4萬</t>
        </is>
      </c>
      <c r="H1665" t="n">
        <v>7</v>
      </c>
      <c r="I1665" t="n">
        <v>38</v>
      </c>
      <c r="J1665" t="n">
        <v>10</v>
      </c>
      <c r="K1665" t="n">
        <v>23.85</v>
      </c>
      <c r="L1665" t="n">
        <v>23.2</v>
      </c>
      <c r="M1665" s="175" t="n">
        <v>0.01</v>
      </c>
      <c r="N1665" t="inlineStr">
        <is>
          <t>大城建設入主的中部不動產開發商</t>
        </is>
      </c>
    </row>
    <row r="1666">
      <c r="A1666" t="n">
        <v>6173</v>
      </c>
      <c r="B1666" t="inlineStr">
        <is>
          <t>信昌電</t>
        </is>
      </c>
      <c r="C1666" t="n">
        <v>225</v>
      </c>
      <c r="D1666" t="n">
        <v>231.5</v>
      </c>
      <c r="E1666" s="504" t="n">
        <v>-5.5</v>
      </c>
      <c r="F1666" s="505" t="n">
        <v>-2.32</v>
      </c>
      <c r="G1666" t="inlineStr">
        <is>
          <t>3.78億</t>
        </is>
      </c>
      <c r="H1666" t="n">
        <v>1721</v>
      </c>
      <c r="I1666" t="n">
        <v>1660</v>
      </c>
      <c r="J1666" t="n">
        <v>17.12</v>
      </c>
      <c r="K1666" t="n">
        <v>231.5</v>
      </c>
      <c r="L1666" t="n">
        <v>214.5</v>
      </c>
      <c r="M1666" s="175" t="n">
        <v>1</v>
      </c>
      <c r="N1666" t="inlineStr">
        <is>
          <t>華新科旗下的MLCC及瓷粉原料供應商</t>
        </is>
      </c>
    </row>
    <row r="1667">
      <c r="A1667" t="n">
        <v>6174</v>
      </c>
      <c r="B1667" t="inlineStr">
        <is>
          <t>安碁</t>
        </is>
      </c>
      <c r="C1667" t="n">
        <v>45.1</v>
      </c>
      <c r="D1667" t="n">
        <v>46</v>
      </c>
      <c r="E1667" s="504" t="n">
        <v>0.65</v>
      </c>
      <c r="F1667" s="505" t="n">
        <v>1.43</v>
      </c>
      <c r="G1667" t="inlineStr">
        <is>
          <t>7228萬</t>
        </is>
      </c>
      <c r="H1667" t="n">
        <v>1626</v>
      </c>
      <c r="I1667" t="n">
        <v>4093</v>
      </c>
      <c r="J1667" t="n">
        <v>5</v>
      </c>
      <c r="K1667" t="n">
        <v>46</v>
      </c>
      <c r="L1667" t="n">
        <v>43.15</v>
      </c>
      <c r="M1667" s="175" t="n">
        <v>3.25</v>
      </c>
      <c r="N1667" t="inlineStr">
        <is>
          <t>台灣三大石英元件廠之一</t>
        </is>
      </c>
    </row>
    <row r="1668">
      <c r="A1668" t="n">
        <v>6175</v>
      </c>
      <c r="B1668" t="inlineStr">
        <is>
          <t>立敦</t>
        </is>
      </c>
      <c r="C1668" t="n">
        <v>99.8</v>
      </c>
      <c r="D1668" t="n">
        <v>95</v>
      </c>
      <c r="E1668" s="504" t="n">
        <v>-4.8</v>
      </c>
      <c r="F1668" s="505" t="n">
        <v>-4.81</v>
      </c>
      <c r="G1668" t="inlineStr">
        <is>
          <t>8.72億</t>
        </is>
      </c>
      <c r="H1668" t="n">
        <v>9242</v>
      </c>
      <c r="I1668" t="n">
        <v>11965</v>
      </c>
      <c r="J1668" t="n">
        <v>15.01</v>
      </c>
      <c r="K1668" t="n">
        <v>99.8</v>
      </c>
      <c r="L1668" t="n">
        <v>90.5</v>
      </c>
      <c r="M1668" s="175" t="n">
        <v>6.16</v>
      </c>
      <c r="N1668" t="inlineStr">
        <is>
          <t>立隆電旗下的被動元件上游鋁箔製造廠</t>
        </is>
      </c>
    </row>
    <row r="1669">
      <c r="A1669" t="n">
        <v>6176</v>
      </c>
      <c r="B1669" t="inlineStr">
        <is>
          <t>瑞儀</t>
        </is>
      </c>
      <c r="C1669" t="n">
        <v>105.5</v>
      </c>
      <c r="D1669" t="n">
        <v>103.5</v>
      </c>
      <c r="E1669" s="504" t="n">
        <v>-1.5</v>
      </c>
      <c r="F1669" s="505" t="n">
        <v>-1.43</v>
      </c>
      <c r="G1669" t="inlineStr">
        <is>
          <t>12.5億</t>
        </is>
      </c>
      <c r="H1669" t="n">
        <v>12188</v>
      </c>
      <c r="I1669" t="n">
        <v>7893</v>
      </c>
      <c r="J1669" t="n">
        <v>46.5</v>
      </c>
      <c r="K1669" t="n">
        <v>106</v>
      </c>
      <c r="L1669" t="n">
        <v>101.5</v>
      </c>
      <c r="M1669" s="175" t="n">
        <v>2.62</v>
      </c>
      <c r="N1669" t="inlineStr">
        <is>
          <t>全球最大背光模組(BLU)廠</t>
        </is>
      </c>
    </row>
    <row r="1670">
      <c r="A1670" t="n">
        <v>6177</v>
      </c>
      <c r="B1670" t="inlineStr">
        <is>
          <t>達麗</t>
        </is>
      </c>
      <c r="C1670" t="n">
        <v>43.8</v>
      </c>
      <c r="D1670" t="n">
        <v>43</v>
      </c>
      <c r="E1670" s="504" t="n">
        <v>-0.6</v>
      </c>
      <c r="F1670" s="505" t="n">
        <v>-1.38</v>
      </c>
      <c r="G1670" t="inlineStr">
        <is>
          <t>5754萬</t>
        </is>
      </c>
      <c r="H1670" t="n">
        <v>1332</v>
      </c>
      <c r="I1670" t="n">
        <v>2249</v>
      </c>
      <c r="J1670" t="n">
        <v>47.19</v>
      </c>
      <c r="K1670" t="n">
        <v>43.8</v>
      </c>
      <c r="L1670" t="n">
        <v>42.85</v>
      </c>
      <c r="M1670" s="175" t="n">
        <v>0.28</v>
      </c>
      <c r="N1670" t="inlineStr">
        <is>
          <t>推案集中於林口、竹北、高雄等地，近年業務拓展至美國西雅圖</t>
        </is>
      </c>
    </row>
    <row r="1671">
      <c r="A1671" t="n">
        <v>6179</v>
      </c>
      <c r="B1671" t="inlineStr">
        <is>
          <t>亞通</t>
        </is>
      </c>
      <c r="C1671" t="n">
        <v>23.85</v>
      </c>
      <c r="D1671" t="n">
        <v>23.6</v>
      </c>
      <c r="E1671" s="504" t="n">
        <v>-0.2</v>
      </c>
      <c r="F1671" s="505" t="n">
        <v>-0.84</v>
      </c>
      <c r="G1671" t="inlineStr">
        <is>
          <t>4987萬</t>
        </is>
      </c>
      <c r="H1671" t="n">
        <v>2113</v>
      </c>
      <c r="I1671" t="n">
        <v>1520</v>
      </c>
      <c r="J1671" t="n">
        <v>17.73</v>
      </c>
      <c r="K1671" t="n">
        <v>24.05</v>
      </c>
      <c r="L1671" t="n">
        <v>23.35</v>
      </c>
      <c r="M1671" s="175" t="n">
        <v>1.19</v>
      </c>
      <c r="N1671" t="inlineStr">
        <is>
          <t>海外以菲律賓為主，從事能源工程相關業務</t>
        </is>
      </c>
    </row>
    <row r="1672">
      <c r="A1672" t="n">
        <v>6180</v>
      </c>
      <c r="B1672" t="inlineStr">
        <is>
          <t>橘子</t>
        </is>
      </c>
      <c r="C1672" t="n">
        <v>42.3</v>
      </c>
      <c r="D1672" t="n">
        <v>44</v>
      </c>
      <c r="E1672" s="504" t="n">
        <v>2</v>
      </c>
      <c r="F1672" s="505" t="n">
        <v>4.76</v>
      </c>
      <c r="G1672" t="inlineStr">
        <is>
          <t>7205萬</t>
        </is>
      </c>
      <c r="H1672" t="n">
        <v>1664</v>
      </c>
      <c r="I1672" t="n">
        <v>938</v>
      </c>
      <c r="J1672" t="n">
        <v>17.55</v>
      </c>
      <c r="K1672" t="n">
        <v>44.25</v>
      </c>
      <c r="L1672" t="n">
        <v>41.95</v>
      </c>
      <c r="M1672" s="175" t="n">
        <v>0.95</v>
      </c>
      <c r="N1672" t="inlineStr">
        <is>
          <t>台灣遊戲軟體開發與營運知名企業</t>
        </is>
      </c>
    </row>
    <row r="1673">
      <c r="A1673" t="n">
        <v>6182</v>
      </c>
      <c r="B1673" t="inlineStr">
        <is>
          <t>合晶</t>
        </is>
      </c>
      <c r="C1673" t="n">
        <v>96.59999999999999</v>
      </c>
      <c r="D1673" t="n">
        <v>90.09999999999999</v>
      </c>
      <c r="E1673" s="504" t="n">
        <v>-6.9</v>
      </c>
      <c r="F1673" s="505" t="n">
        <v>-7.11</v>
      </c>
      <c r="G1673" t="inlineStr">
        <is>
          <t>12.9億</t>
        </is>
      </c>
      <c r="H1673" t="n">
        <v>14496</v>
      </c>
      <c r="I1673" t="n">
        <v>54856</v>
      </c>
      <c r="J1673" t="n">
        <v>59.36</v>
      </c>
      <c r="K1673" t="n">
        <v>96.59999999999999</v>
      </c>
      <c r="L1673" t="n">
        <v>87.3</v>
      </c>
      <c r="M1673" s="175" t="n">
        <v>2.44</v>
      </c>
      <c r="N1673" t="inlineStr">
        <is>
          <t>台灣6吋及8吋矽晶圓製造商</t>
        </is>
      </c>
    </row>
    <row r="1674">
      <c r="A1674" t="n">
        <v>6183</v>
      </c>
      <c r="B1674" t="inlineStr">
        <is>
          <t>關貿</t>
        </is>
      </c>
      <c r="C1674" t="n">
        <v>91.5</v>
      </c>
      <c r="D1674" t="n">
        <v>91</v>
      </c>
      <c r="E1674" s="504" t="n">
        <v>-0.5</v>
      </c>
      <c r="F1674" s="505" t="n">
        <v>-0.55</v>
      </c>
      <c r="G1674" t="inlineStr">
        <is>
          <t>264萬</t>
        </is>
      </c>
      <c r="H1674" t="n">
        <v>29</v>
      </c>
      <c r="I1674" t="n">
        <v>70</v>
      </c>
      <c r="J1674" t="n">
        <v>15</v>
      </c>
      <c r="K1674" t="n">
        <v>91.5</v>
      </c>
      <c r="L1674" t="n">
        <v>90</v>
      </c>
      <c r="M1674" s="175" t="n">
        <v>0.02</v>
      </c>
      <c r="N1674" t="inlineStr">
        <is>
          <t>台灣政務相關應用軟體業者</t>
        </is>
      </c>
    </row>
    <row r="1675">
      <c r="A1675" t="n">
        <v>6184</v>
      </c>
      <c r="B1675" t="inlineStr">
        <is>
          <t>大豐電</t>
        </is>
      </c>
      <c r="C1675" t="n">
        <v>45.95</v>
      </c>
      <c r="D1675" t="n">
        <v>46</v>
      </c>
      <c r="E1675" s="504" t="n">
        <v>0.05</v>
      </c>
      <c r="F1675" s="505" t="n">
        <v>0.11</v>
      </c>
      <c r="G1675" t="inlineStr">
        <is>
          <t>262萬</t>
        </is>
      </c>
      <c r="H1675" t="n">
        <v>57</v>
      </c>
      <c r="I1675" t="n">
        <v>78</v>
      </c>
      <c r="J1675" t="n">
        <v>16.21</v>
      </c>
      <c r="K1675" t="n">
        <v>46</v>
      </c>
      <c r="L1675" t="n">
        <v>45.85</v>
      </c>
      <c r="M1675" s="175" t="n">
        <v>0.04</v>
      </c>
      <c r="N1675" t="inlineStr">
        <is>
          <t>新北市最大有線電視公司</t>
        </is>
      </c>
    </row>
    <row r="1676">
      <c r="A1676" t="n">
        <v>6185</v>
      </c>
      <c r="B1676" t="inlineStr">
        <is>
          <t>幃翔</t>
        </is>
      </c>
      <c r="C1676" t="n">
        <v>14</v>
      </c>
      <c r="D1676" t="n">
        <v>14.15</v>
      </c>
      <c r="E1676" s="504" t="n">
        <v>0.2</v>
      </c>
      <c r="F1676" s="505" t="n">
        <v>1.43</v>
      </c>
      <c r="G1676" t="inlineStr">
        <is>
          <t>419萬</t>
        </is>
      </c>
      <c r="H1676" t="n">
        <v>299</v>
      </c>
      <c r="I1676" t="n">
        <v>218</v>
      </c>
      <c r="J1676" t="n">
        <v>14.99</v>
      </c>
      <c r="K1676" t="n">
        <v>14.15</v>
      </c>
      <c r="L1676" t="n">
        <v>13.9</v>
      </c>
      <c r="M1676" s="175" t="n">
        <v>0.2</v>
      </c>
      <c r="N1676" t="inlineStr">
        <is>
          <t>生產各類應用連接器</t>
        </is>
      </c>
    </row>
    <row r="1677">
      <c r="A1677" t="n">
        <v>6186</v>
      </c>
      <c r="B1677" t="inlineStr">
        <is>
          <t>新潤</t>
        </is>
      </c>
      <c r="C1677" t="n">
        <v>39.5</v>
      </c>
      <c r="D1677" t="n">
        <v>39.2</v>
      </c>
      <c r="E1677" s="504" t="n">
        <v>-0.2</v>
      </c>
      <c r="F1677" s="505" t="n">
        <v>-0.51</v>
      </c>
      <c r="G1677" t="inlineStr">
        <is>
          <t>3306萬</t>
        </is>
      </c>
      <c r="H1677" t="n">
        <v>845</v>
      </c>
      <c r="I1677" t="n">
        <v>758</v>
      </c>
      <c r="J1677" t="n">
        <v>19.49</v>
      </c>
      <c r="K1677" t="n">
        <v>39.7</v>
      </c>
      <c r="L1677" t="n">
        <v>38.95</v>
      </c>
      <c r="M1677" s="175" t="n">
        <v>0.43</v>
      </c>
      <c r="N1677" t="inlineStr">
        <is>
          <t>推案以台鐵、高鐵及捷運沿線為主之建商</t>
        </is>
      </c>
    </row>
    <row r="1678">
      <c r="A1678" t="n">
        <v>6187</v>
      </c>
      <c r="B1678" t="inlineStr">
        <is>
          <t>萬潤</t>
        </is>
      </c>
      <c r="C1678" t="n">
        <v>1090</v>
      </c>
      <c r="D1678" t="n">
        <v>1010</v>
      </c>
      <c r="E1678" s="504" t="n">
        <v>-60</v>
      </c>
      <c r="F1678" s="505" t="n">
        <v>-5.61</v>
      </c>
      <c r="G1678" t="inlineStr">
        <is>
          <t>47.3億</t>
        </is>
      </c>
      <c r="H1678" t="n">
        <v>4626</v>
      </c>
      <c r="I1678" t="n">
        <v>4399</v>
      </c>
      <c r="J1678" t="n">
        <v>9.82</v>
      </c>
      <c r="K1678" t="n">
        <v>1095</v>
      </c>
      <c r="L1678" t="n">
        <v>998</v>
      </c>
      <c r="M1678" s="175" t="n">
        <v>4.74</v>
      </c>
      <c r="N1678" t="inlineStr">
        <is>
          <t>半導體及被動元件設備領導廠商</t>
        </is>
      </c>
    </row>
    <row r="1679">
      <c r="A1679" t="n">
        <v>6188</v>
      </c>
      <c r="B1679" t="inlineStr">
        <is>
          <t>廣明</t>
        </is>
      </c>
      <c r="C1679" t="n">
        <v>88</v>
      </c>
      <c r="D1679" t="n">
        <v>87.09999999999999</v>
      </c>
      <c r="E1679" s="504" t="n">
        <v>-0.3</v>
      </c>
      <c r="F1679" s="505" t="n">
        <v>-0.34</v>
      </c>
      <c r="G1679" t="inlineStr">
        <is>
          <t>3.27億</t>
        </is>
      </c>
      <c r="H1679" t="n">
        <v>3757</v>
      </c>
      <c r="I1679" t="n">
        <v>3111</v>
      </c>
      <c r="J1679" t="n">
        <v>27.84</v>
      </c>
      <c r="K1679" t="n">
        <v>88.7</v>
      </c>
      <c r="L1679" t="n">
        <v>85.7</v>
      </c>
      <c r="M1679" s="175" t="n">
        <v>1.35</v>
      </c>
      <c r="N1679" t="inlineStr">
        <is>
          <t>廣達集團旗下的硬碟產品代工廠</t>
        </is>
      </c>
    </row>
    <row r="1680">
      <c r="A1680" t="n">
        <v>6189</v>
      </c>
      <c r="B1680" t="inlineStr">
        <is>
          <t>豐藝</t>
        </is>
      </c>
      <c r="C1680" t="n">
        <v>50</v>
      </c>
      <c r="D1680" t="n">
        <v>51.1</v>
      </c>
      <c r="E1680" s="504" t="n">
        <v>1.2</v>
      </c>
      <c r="F1680" s="505" t="n">
        <v>2.4</v>
      </c>
      <c r="G1680" t="inlineStr">
        <is>
          <t>7711萬</t>
        </is>
      </c>
      <c r="H1680" t="n">
        <v>1528</v>
      </c>
      <c r="I1680" t="n">
        <v>1262</v>
      </c>
      <c r="J1680" t="n">
        <v>26.46</v>
      </c>
      <c r="K1680" t="n">
        <v>51.3</v>
      </c>
      <c r="L1680" t="n">
        <v>49.7</v>
      </c>
      <c r="M1680" s="175" t="n">
        <v>0.58</v>
      </c>
      <c r="N1680" t="inlineStr">
        <is>
          <t>國內專業的電子零組件經銷通路商</t>
        </is>
      </c>
    </row>
    <row r="1681">
      <c r="A1681" t="n">
        <v>6190</v>
      </c>
      <c r="B1681" t="inlineStr">
        <is>
          <t>萬泰科</t>
        </is>
      </c>
      <c r="C1681" t="n">
        <v>91.5</v>
      </c>
      <c r="D1681" t="n">
        <v>83.3</v>
      </c>
      <c r="E1681" s="504" t="n">
        <v>-8.300000000000001</v>
      </c>
      <c r="F1681" s="505" t="n">
        <v>-9.06</v>
      </c>
      <c r="G1681" t="inlineStr">
        <is>
          <t>11.7億</t>
        </is>
      </c>
      <c r="H1681" t="n">
        <v>13644</v>
      </c>
      <c r="I1681" t="n">
        <v>14029</v>
      </c>
      <c r="J1681" t="n">
        <v>18.77</v>
      </c>
      <c r="K1681" t="n">
        <v>93</v>
      </c>
      <c r="L1681" t="n">
        <v>82.5</v>
      </c>
      <c r="M1681" s="175" t="n">
        <v>7.31</v>
      </c>
      <c r="N1681" t="inlineStr">
        <is>
          <t>主要生產網通、醫療、車用等市場應用的線材供應商</t>
        </is>
      </c>
    </row>
    <row r="1682">
      <c r="A1682" t="n">
        <v>6191</v>
      </c>
      <c r="B1682" t="inlineStr">
        <is>
          <t>精成科</t>
        </is>
      </c>
      <c r="C1682" t="n">
        <v>97</v>
      </c>
      <c r="D1682" t="n">
        <v>97</v>
      </c>
      <c r="E1682" s="504" t="n">
        <v>0.8</v>
      </c>
      <c r="F1682" s="505" t="n">
        <v>0.83</v>
      </c>
      <c r="G1682" t="inlineStr">
        <is>
          <t>4.32億</t>
        </is>
      </c>
      <c r="H1682" t="n">
        <v>4464</v>
      </c>
      <c r="I1682" t="n">
        <v>9693</v>
      </c>
      <c r="J1682" t="n">
        <v>49.93</v>
      </c>
      <c r="K1682" t="n">
        <v>97.90000000000001</v>
      </c>
      <c r="L1682" t="n">
        <v>95.8</v>
      </c>
      <c r="M1682" s="175" t="n">
        <v>0.89</v>
      </c>
      <c r="N1682" t="inlineStr">
        <is>
          <t>瀚宇博轉投資印刷電路板暨組裝代工廠</t>
        </is>
      </c>
    </row>
    <row r="1683">
      <c r="A1683" t="n">
        <v>6192</v>
      </c>
      <c r="B1683" t="inlineStr">
        <is>
          <t>巨路</t>
        </is>
      </c>
      <c r="C1683" t="n">
        <v>129</v>
      </c>
      <c r="D1683" t="n">
        <v>127.5</v>
      </c>
      <c r="E1683" s="504" t="n">
        <v>-1.5</v>
      </c>
      <c r="F1683" s="505" t="n">
        <v>-1.16</v>
      </c>
      <c r="G1683" t="inlineStr">
        <is>
          <t>3640萬</t>
        </is>
      </c>
      <c r="H1683" t="n">
        <v>287</v>
      </c>
      <c r="I1683" t="n">
        <v>451</v>
      </c>
      <c r="J1683" t="n">
        <v>9.619999999999999</v>
      </c>
      <c r="K1683" t="n">
        <v>129</v>
      </c>
      <c r="L1683" t="n">
        <v>125.5</v>
      </c>
      <c r="M1683" s="175" t="n">
        <v>0.3</v>
      </c>
      <c r="N1683" t="inlineStr">
        <is>
          <t>程控儀錶與電子材料通路商</t>
        </is>
      </c>
    </row>
    <row r="1684">
      <c r="A1684" t="n">
        <v>6194</v>
      </c>
      <c r="B1684" t="inlineStr">
        <is>
          <t>育富</t>
        </is>
      </c>
      <c r="C1684" t="n">
        <v>34.2</v>
      </c>
      <c r="D1684" t="n">
        <v>33.4</v>
      </c>
      <c r="E1684" s="504" t="n">
        <v>-0.75</v>
      </c>
      <c r="F1684" s="505" t="n">
        <v>-2.2</v>
      </c>
      <c r="G1684" t="inlineStr">
        <is>
          <t>360萬</t>
        </is>
      </c>
      <c r="H1684" t="n">
        <v>108</v>
      </c>
      <c r="I1684" t="n">
        <v>261</v>
      </c>
      <c r="J1684" t="n">
        <v>4.8</v>
      </c>
      <c r="K1684" t="n">
        <v>34.2</v>
      </c>
      <c r="L1684" t="n">
        <v>32.7</v>
      </c>
      <c r="M1684" s="175" t="n">
        <v>0.22</v>
      </c>
      <c r="N1684" t="inlineStr">
        <is>
          <t>台灣印刷電路板製造業者</t>
        </is>
      </c>
    </row>
    <row r="1685">
      <c r="A1685" t="n">
        <v>6195</v>
      </c>
      <c r="B1685" t="inlineStr">
        <is>
          <t>詩肯</t>
        </is>
      </c>
      <c r="C1685" t="n">
        <v>26.15</v>
      </c>
      <c r="D1685" t="n">
        <v>26.05</v>
      </c>
      <c r="E1685" s="504" t="n">
        <v>-0.1</v>
      </c>
      <c r="F1685" s="505" t="n">
        <v>-0.38</v>
      </c>
      <c r="G1685" t="inlineStr">
        <is>
          <t>83.2萬</t>
        </is>
      </c>
      <c r="H1685" t="n">
        <v>32</v>
      </c>
      <c r="I1685" t="n">
        <v>36</v>
      </c>
      <c r="J1685" t="n">
        <v>5.02</v>
      </c>
      <c r="K1685" t="n">
        <v>26.2</v>
      </c>
      <c r="L1685" t="n">
        <v>25.85</v>
      </c>
      <c r="M1685" s="175" t="n">
        <v>0.06</v>
      </c>
      <c r="N1685" t="inlineStr">
        <is>
          <t>台灣連鎖品牌家具之零售通路龍頭</t>
        </is>
      </c>
    </row>
    <row r="1686">
      <c r="A1686" t="n">
        <v>6196</v>
      </c>
      <c r="B1686" t="inlineStr">
        <is>
          <t>帆宣</t>
        </is>
      </c>
      <c r="C1686" t="n">
        <v>515</v>
      </c>
      <c r="D1686" t="n">
        <v>517</v>
      </c>
      <c r="E1686" s="504" t="n">
        <v>4</v>
      </c>
      <c r="F1686" s="505" t="n">
        <v>0.78</v>
      </c>
      <c r="G1686" t="inlineStr">
        <is>
          <t>9.54億</t>
        </is>
      </c>
      <c r="H1686" t="n">
        <v>1877</v>
      </c>
      <c r="I1686" t="n">
        <v>3465</v>
      </c>
      <c r="J1686" t="n">
        <v>22.03</v>
      </c>
      <c r="K1686" t="n">
        <v>517</v>
      </c>
      <c r="L1686" t="n">
        <v>498</v>
      </c>
      <c r="M1686" s="175" t="n">
        <v>0.85</v>
      </c>
      <c r="N1686" t="inlineStr">
        <is>
          <t>專注於設備工程及耗材代理的廠商</t>
        </is>
      </c>
    </row>
    <row r="1687">
      <c r="A1687" t="n">
        <v>6197</v>
      </c>
      <c r="B1687" t="inlineStr">
        <is>
          <t>佳必琪</t>
        </is>
      </c>
      <c r="C1687" t="n">
        <v>312</v>
      </c>
      <c r="D1687" t="n">
        <v>311</v>
      </c>
      <c r="E1687" s="504" t="n">
        <v>2</v>
      </c>
      <c r="F1687" s="505" t="n">
        <v>0.65</v>
      </c>
      <c r="G1687" t="inlineStr">
        <is>
          <t>16.1億</t>
        </is>
      </c>
      <c r="H1687" t="n">
        <v>5209</v>
      </c>
      <c r="I1687" t="n">
        <v>7123</v>
      </c>
      <c r="J1687" t="n">
        <v>12.21</v>
      </c>
      <c r="K1687" t="n">
        <v>316</v>
      </c>
      <c r="L1687" t="n">
        <v>303.5</v>
      </c>
      <c r="M1687" s="175" t="n">
        <v>4.27</v>
      </c>
      <c r="N1687" t="inlineStr">
        <is>
          <t>國內連接器及線束廠</t>
        </is>
      </c>
    </row>
    <row r="1688">
      <c r="A1688" t="n">
        <v>6198</v>
      </c>
      <c r="B1688" t="inlineStr">
        <is>
          <t>瑞築</t>
        </is>
      </c>
      <c r="C1688" t="n">
        <v>20.55</v>
      </c>
      <c r="D1688" t="n">
        <v>20.4</v>
      </c>
      <c r="E1688" s="504" t="n">
        <v>0</v>
      </c>
      <c r="F1688" s="505" t="n">
        <v>0</v>
      </c>
      <c r="G1688" t="inlineStr">
        <is>
          <t>22.7萬</t>
        </is>
      </c>
      <c r="H1688" t="n">
        <v>11</v>
      </c>
      <c r="I1688" t="n">
        <v>31</v>
      </c>
      <c r="J1688" t="n">
        <v>17.14</v>
      </c>
      <c r="K1688" t="n">
        <v>20.7</v>
      </c>
      <c r="L1688" t="n">
        <v>20.4</v>
      </c>
      <c r="M1688" s="175" t="n">
        <v>0.01</v>
      </c>
      <c r="N1688" t="inlineStr">
        <is>
          <t>主打首購族市場的不動產開發公司</t>
        </is>
      </c>
    </row>
    <row r="1689">
      <c r="A1689" t="n">
        <v>6199</v>
      </c>
      <c r="B1689" t="inlineStr">
        <is>
          <t>天品</t>
        </is>
      </c>
      <c r="C1689" t="n">
        <v>89.90000000000001</v>
      </c>
      <c r="D1689" t="n">
        <v>90.40000000000001</v>
      </c>
      <c r="E1689" s="504" t="n">
        <v>0.5</v>
      </c>
      <c r="F1689" s="505" t="n">
        <v>0.5600000000000001</v>
      </c>
      <c r="G1689" t="inlineStr">
        <is>
          <t>4073萬</t>
        </is>
      </c>
      <c r="H1689" t="n">
        <v>451</v>
      </c>
      <c r="I1689" t="n">
        <v>491</v>
      </c>
      <c r="J1689" t="n">
        <v>6.18</v>
      </c>
      <c r="K1689" t="n">
        <v>91.09999999999999</v>
      </c>
      <c r="L1689" t="n">
        <v>88.90000000000001</v>
      </c>
      <c r="M1689" s="175" t="n">
        <v>0.73</v>
      </c>
      <c r="N1689" t="inlineStr">
        <is>
          <t>專營基督徒塔位銷售及殯葬服務</t>
        </is>
      </c>
    </row>
    <row r="1690">
      <c r="A1690" t="n">
        <v>6201</v>
      </c>
      <c r="B1690" t="inlineStr">
        <is>
          <t>亞弘電</t>
        </is>
      </c>
      <c r="C1690" t="n">
        <v>48.5</v>
      </c>
      <c r="D1690" t="n">
        <v>49</v>
      </c>
      <c r="E1690" s="504" t="n">
        <v>0.5</v>
      </c>
      <c r="F1690" s="505" t="n">
        <v>1.03</v>
      </c>
      <c r="G1690" t="inlineStr">
        <is>
          <t>391萬</t>
        </is>
      </c>
      <c r="H1690" t="n">
        <v>80</v>
      </c>
      <c r="I1690" t="n">
        <v>64</v>
      </c>
      <c r="J1690" t="n">
        <v>8.92</v>
      </c>
      <c r="K1690" t="n">
        <v>49.9</v>
      </c>
      <c r="L1690" t="n">
        <v>48.1</v>
      </c>
      <c r="M1690" s="175" t="n">
        <v>0.09</v>
      </c>
      <c r="N1690" t="inlineStr">
        <is>
          <t>音訊及小家電ODM大廠</t>
        </is>
      </c>
    </row>
    <row r="1691">
      <c r="A1691" t="n">
        <v>6202</v>
      </c>
      <c r="B1691" t="inlineStr">
        <is>
          <t>盛群</t>
        </is>
      </c>
      <c r="C1691" t="n">
        <v>58.6</v>
      </c>
      <c r="D1691" t="n">
        <v>57.7</v>
      </c>
      <c r="E1691" s="504" t="n">
        <v>-0.4</v>
      </c>
      <c r="F1691" s="505" t="n">
        <v>-0.6899999999999999</v>
      </c>
      <c r="G1691" t="inlineStr">
        <is>
          <t>1.47億</t>
        </is>
      </c>
      <c r="H1691" t="n">
        <v>2572</v>
      </c>
      <c r="I1691" t="n">
        <v>4638</v>
      </c>
      <c r="J1691" t="n">
        <v>23.04</v>
      </c>
      <c r="K1691" t="n">
        <v>59.2</v>
      </c>
      <c r="L1691" t="n">
        <v>56</v>
      </c>
      <c r="M1691" s="175" t="n">
        <v>1.14</v>
      </c>
      <c r="N1691" t="inlineStr">
        <is>
          <t>全球MCU大廠</t>
        </is>
      </c>
    </row>
    <row r="1692">
      <c r="A1692" t="n">
        <v>6203</v>
      </c>
      <c r="B1692" t="inlineStr">
        <is>
          <t>海韻電</t>
        </is>
      </c>
      <c r="C1692" t="n">
        <v>72.3</v>
      </c>
      <c r="D1692" t="n">
        <v>72.09999999999999</v>
      </c>
      <c r="E1692" s="504" t="n">
        <v>0.1</v>
      </c>
      <c r="F1692" s="505" t="n">
        <v>0.14</v>
      </c>
      <c r="G1692" t="inlineStr">
        <is>
          <t>2226萬</t>
        </is>
      </c>
      <c r="H1692" t="n">
        <v>313</v>
      </c>
      <c r="I1692" t="n">
        <v>298</v>
      </c>
      <c r="J1692" t="n">
        <v>8.24</v>
      </c>
      <c r="K1692" t="n">
        <v>72.8</v>
      </c>
      <c r="L1692" t="n">
        <v>71.5</v>
      </c>
      <c r="M1692" s="175" t="n">
        <v>0.38</v>
      </c>
      <c r="N1692" t="inlineStr">
        <is>
          <t>台灣以PC高階應用為主之交換式電源供應器廠商</t>
        </is>
      </c>
    </row>
    <row r="1693">
      <c r="A1693" t="n">
        <v>6204</v>
      </c>
      <c r="B1693" t="inlineStr">
        <is>
          <t>艾華</t>
        </is>
      </c>
      <c r="C1693" t="n">
        <v>101.5</v>
      </c>
      <c r="D1693" t="n">
        <v>104.5</v>
      </c>
      <c r="E1693" s="504" t="n">
        <v>2.5</v>
      </c>
      <c r="F1693" s="505" t="n">
        <v>2.45</v>
      </c>
      <c r="G1693" t="inlineStr">
        <is>
          <t>1.32億</t>
        </is>
      </c>
      <c r="H1693" t="n">
        <v>1292</v>
      </c>
      <c r="I1693" t="n">
        <v>959</v>
      </c>
      <c r="J1693" t="n">
        <v>2.31</v>
      </c>
      <c r="K1693" t="n">
        <v>105</v>
      </c>
      <c r="L1693" t="n">
        <v>97.5</v>
      </c>
      <c r="M1693" s="175" t="n">
        <v>5.59</v>
      </c>
      <c r="N1693" t="inlineStr">
        <is>
          <t>國內利基型被動元件大廠</t>
        </is>
      </c>
    </row>
    <row r="1694">
      <c r="A1694" t="n">
        <v>6205</v>
      </c>
      <c r="B1694" t="inlineStr">
        <is>
          <t>詮欣</t>
        </is>
      </c>
      <c r="C1694" t="n">
        <v>81.2</v>
      </c>
      <c r="D1694" t="n">
        <v>89.3</v>
      </c>
      <c r="E1694" s="504" t="n">
        <v>8.1</v>
      </c>
      <c r="F1694" s="505" t="n">
        <v>9.98</v>
      </c>
      <c r="G1694" t="inlineStr">
        <is>
          <t>7.47億</t>
        </is>
      </c>
      <c r="H1694" t="n">
        <v>8691</v>
      </c>
      <c r="I1694" t="n">
        <v>1895</v>
      </c>
      <c r="J1694" t="n">
        <v>8.220000000000001</v>
      </c>
      <c r="K1694" t="n">
        <v>89.3</v>
      </c>
      <c r="L1694" t="n">
        <v>79.90000000000001</v>
      </c>
      <c r="M1694" s="175" t="n">
        <v>10.57</v>
      </c>
      <c r="N1694" t="inlineStr">
        <is>
          <t>專業連接器及連接線廠商</t>
        </is>
      </c>
    </row>
    <row r="1695">
      <c r="A1695" t="n">
        <v>6206</v>
      </c>
      <c r="B1695" t="inlineStr">
        <is>
          <t>飛捷</t>
        </is>
      </c>
      <c r="C1695" t="n">
        <v>142.5</v>
      </c>
      <c r="D1695" t="n">
        <v>142</v>
      </c>
      <c r="E1695" s="504" t="n">
        <v>0.5</v>
      </c>
      <c r="F1695" s="505" t="n">
        <v>0.35</v>
      </c>
      <c r="G1695" t="inlineStr">
        <is>
          <t>2.64億</t>
        </is>
      </c>
      <c r="H1695" t="n">
        <v>1879</v>
      </c>
      <c r="I1695" t="n">
        <v>2624</v>
      </c>
      <c r="J1695" t="n">
        <v>14.31</v>
      </c>
      <c r="K1695" t="n">
        <v>143.5</v>
      </c>
      <c r="L1695" t="n">
        <v>138</v>
      </c>
      <c r="M1695" s="175" t="n">
        <v>1.31</v>
      </c>
      <c r="N1695" t="inlineStr">
        <is>
          <t>台灣最大、全球前三大POS專業代工廠</t>
        </is>
      </c>
    </row>
    <row r="1696">
      <c r="A1696" t="n">
        <v>6207</v>
      </c>
      <c r="B1696" t="inlineStr">
        <is>
          <t>雷科</t>
        </is>
      </c>
      <c r="C1696" t="n">
        <v>128.5</v>
      </c>
      <c r="D1696" t="n">
        <v>127</v>
      </c>
      <c r="E1696" s="504" t="n">
        <v>4.5</v>
      </c>
      <c r="F1696" s="505" t="n">
        <v>3.67</v>
      </c>
      <c r="G1696" t="inlineStr">
        <is>
          <t>33.1億</t>
        </is>
      </c>
      <c r="H1696" t="n">
        <v>26142</v>
      </c>
      <c r="I1696" t="n">
        <v>18692</v>
      </c>
      <c r="J1696" t="n">
        <v>8.720000000000001</v>
      </c>
      <c r="K1696" t="n">
        <v>133</v>
      </c>
      <c r="L1696" t="n">
        <v>122</v>
      </c>
      <c r="M1696" s="175" t="n">
        <v>32.78</v>
      </c>
      <c r="N1696" t="inlineStr">
        <is>
          <t>主/被動元件設備及材料供應商</t>
        </is>
      </c>
    </row>
    <row r="1697">
      <c r="A1697" t="n">
        <v>6208</v>
      </c>
      <c r="B1697" t="inlineStr">
        <is>
          <t>日揚</t>
        </is>
      </c>
      <c r="C1697" t="n">
        <v>93.90000000000001</v>
      </c>
      <c r="D1697" t="n">
        <v>91.5</v>
      </c>
      <c r="E1697" s="504" t="n">
        <v>-1.3</v>
      </c>
      <c r="F1697" s="505" t="n">
        <v>-1.4</v>
      </c>
      <c r="G1697" t="inlineStr">
        <is>
          <t>8600萬</t>
        </is>
      </c>
      <c r="H1697" t="n">
        <v>940</v>
      </c>
      <c r="I1697" t="n">
        <v>1360</v>
      </c>
      <c r="J1697" t="n">
        <v>9.449999999999999</v>
      </c>
      <c r="K1697" t="n">
        <v>93.90000000000001</v>
      </c>
      <c r="L1697" t="n">
        <v>89.90000000000001</v>
      </c>
      <c r="M1697" s="175" t="n">
        <v>1</v>
      </c>
      <c r="N1697" t="inlineStr">
        <is>
          <t>台灣最大製程設備真空元件供應商</t>
        </is>
      </c>
    </row>
    <row r="1698">
      <c r="A1698" t="n">
        <v>6209</v>
      </c>
      <c r="B1698" t="inlineStr">
        <is>
          <t>今國光</t>
        </is>
      </c>
      <c r="C1698" t="n">
        <v>84.5</v>
      </c>
      <c r="D1698" t="n">
        <v>79.2</v>
      </c>
      <c r="E1698" s="504" t="n">
        <v>-5.3</v>
      </c>
      <c r="F1698" s="505" t="n">
        <v>-6.27</v>
      </c>
      <c r="G1698" t="inlineStr">
        <is>
          <t>9.72億</t>
        </is>
      </c>
      <c r="H1698" t="n">
        <v>12118</v>
      </c>
      <c r="I1698" t="n">
        <v>13748</v>
      </c>
      <c r="J1698" t="n">
        <v>18.06</v>
      </c>
      <c r="K1698" t="n">
        <v>84.59999999999999</v>
      </c>
      <c r="L1698" t="n">
        <v>77.59999999999999</v>
      </c>
      <c r="M1698" s="175" t="n">
        <v>6.91</v>
      </c>
      <c r="N1698" t="inlineStr">
        <is>
          <t>台灣光學鏡片、鏡頭製造商</t>
        </is>
      </c>
    </row>
    <row r="1699">
      <c r="A1699" t="n">
        <v>6210</v>
      </c>
      <c r="B1699" t="inlineStr">
        <is>
          <t>慶生</t>
        </is>
      </c>
      <c r="C1699" t="n">
        <v>22.65</v>
      </c>
      <c r="D1699" t="n">
        <v>21.15</v>
      </c>
      <c r="E1699" s="504" t="n">
        <v>0.4</v>
      </c>
      <c r="F1699" s="505" t="n">
        <v>1.93</v>
      </c>
      <c r="G1699" t="inlineStr">
        <is>
          <t>88.6萬</t>
        </is>
      </c>
      <c r="H1699" t="n">
        <v>41</v>
      </c>
      <c r="I1699" t="n">
        <v>34</v>
      </c>
      <c r="J1699" t="n">
        <v>3.5</v>
      </c>
      <c r="K1699" t="n">
        <v>22.65</v>
      </c>
      <c r="L1699" t="n">
        <v>21</v>
      </c>
      <c r="M1699" s="175" t="n">
        <v>0.12</v>
      </c>
      <c r="N1699" t="inlineStr">
        <is>
          <t>台灣中小型的多層PCB廠</t>
        </is>
      </c>
    </row>
    <row r="1700">
      <c r="A1700" t="n">
        <v>6212</v>
      </c>
      <c r="B1700" t="inlineStr">
        <is>
          <t>理銘</t>
        </is>
      </c>
      <c r="C1700" t="inlineStr">
        <is>
          <t>--</t>
        </is>
      </c>
      <c r="D1700" t="inlineStr">
        <is>
          <t>--</t>
        </is>
      </c>
      <c r="E1700" s="504" t="inlineStr">
        <is>
          <t>--</t>
        </is>
      </c>
      <c r="F1700" s="505" t="inlineStr">
        <is>
          <t>--</t>
        </is>
      </c>
      <c r="G1700" t="inlineStr">
        <is>
          <t>--</t>
        </is>
      </c>
      <c r="H1700" t="n">
        <v>0</v>
      </c>
      <c r="I1700" t="n">
        <v>9</v>
      </c>
      <c r="J1700" t="n">
        <v>10.2</v>
      </c>
      <c r="K1700" t="inlineStr">
        <is>
          <t>--</t>
        </is>
      </c>
      <c r="L1700" t="inlineStr">
        <is>
          <t>--</t>
        </is>
      </c>
      <c r="M1700" s="175" t="n">
        <v>0</v>
      </c>
      <c r="N1700" t="inlineStr">
        <is>
          <t>主力開發新竹地區的建商</t>
        </is>
      </c>
    </row>
    <row r="1701">
      <c r="A1701" t="n">
        <v>6213</v>
      </c>
      <c r="B1701" t="inlineStr">
        <is>
          <t>聯茂</t>
        </is>
      </c>
      <c r="C1701" t="n">
        <v>293</v>
      </c>
      <c r="D1701" t="n">
        <v>273</v>
      </c>
      <c r="E1701" s="504" t="n">
        <v>-22</v>
      </c>
      <c r="F1701" s="505" t="n">
        <v>-7.46</v>
      </c>
      <c r="G1701" t="inlineStr">
        <is>
          <t>72.5億</t>
        </is>
      </c>
      <c r="H1701" t="n">
        <v>25888</v>
      </c>
      <c r="I1701" t="n">
        <v>25090</v>
      </c>
      <c r="J1701" t="n">
        <v>36.36</v>
      </c>
      <c r="K1701" t="n">
        <v>294.5</v>
      </c>
      <c r="L1701" t="n">
        <v>268</v>
      </c>
      <c r="M1701" s="175" t="n">
        <v>7.12</v>
      </c>
      <c r="N1701" t="inlineStr">
        <is>
          <t>全球前十大銅箔基板廠之一</t>
        </is>
      </c>
    </row>
    <row r="1702">
      <c r="A1702" t="n">
        <v>6214</v>
      </c>
      <c r="B1702" t="inlineStr">
        <is>
          <t>精誠</t>
        </is>
      </c>
      <c r="C1702" t="n">
        <v>158</v>
      </c>
      <c r="D1702" t="n">
        <v>158</v>
      </c>
      <c r="E1702" s="504" t="n">
        <v>14</v>
      </c>
      <c r="F1702" s="505" t="n">
        <v>9.720000000000001</v>
      </c>
      <c r="G1702" t="inlineStr">
        <is>
          <t>6.00億</t>
        </is>
      </c>
      <c r="H1702" t="n">
        <v>3796</v>
      </c>
      <c r="I1702" t="n">
        <v>2049</v>
      </c>
      <c r="J1702" t="n">
        <v>27.22</v>
      </c>
      <c r="K1702" t="n">
        <v>158</v>
      </c>
      <c r="L1702" t="n">
        <v>156.5</v>
      </c>
      <c r="M1702" s="175" t="n">
        <v>1.39</v>
      </c>
      <c r="N1702" t="inlineStr">
        <is>
          <t>金融服務、科技整合及加值服務系統業者</t>
        </is>
      </c>
    </row>
    <row r="1703">
      <c r="A1703" t="n">
        <v>6215</v>
      </c>
      <c r="B1703" t="inlineStr">
        <is>
          <t>和椿</t>
        </is>
      </c>
      <c r="C1703" t="n">
        <v>130</v>
      </c>
      <c r="D1703" t="n">
        <v>118.5</v>
      </c>
      <c r="E1703" s="504" t="n">
        <v>-10.5</v>
      </c>
      <c r="F1703" s="505" t="n">
        <v>-8.140000000000001</v>
      </c>
      <c r="G1703" t="inlineStr">
        <is>
          <t>6.17億</t>
        </is>
      </c>
      <c r="H1703" t="n">
        <v>5133</v>
      </c>
      <c r="I1703" t="n">
        <v>3951</v>
      </c>
      <c r="J1703" t="n">
        <v>8.279999999999999</v>
      </c>
      <c r="K1703" t="n">
        <v>130</v>
      </c>
      <c r="L1703" t="n">
        <v>116.5</v>
      </c>
      <c r="M1703" s="175" t="n">
        <v>6.2</v>
      </c>
      <c r="N1703" t="inlineStr">
        <is>
          <t>專業的自動化設備零組件、光電製程之工業製造商</t>
        </is>
      </c>
    </row>
    <row r="1704">
      <c r="A1704" t="n">
        <v>6216</v>
      </c>
      <c r="B1704" t="inlineStr">
        <is>
          <t>居易</t>
        </is>
      </c>
      <c r="C1704" t="n">
        <v>23.05</v>
      </c>
      <c r="D1704" t="n">
        <v>23.45</v>
      </c>
      <c r="E1704" s="504" t="n">
        <v>0.45</v>
      </c>
      <c r="F1704" s="505" t="n">
        <v>1.96</v>
      </c>
      <c r="G1704" t="inlineStr">
        <is>
          <t>1002萬</t>
        </is>
      </c>
      <c r="H1704" t="n">
        <v>434</v>
      </c>
      <c r="I1704" t="n">
        <v>416</v>
      </c>
      <c r="J1704" t="n">
        <v>9.73</v>
      </c>
      <c r="K1704" t="n">
        <v>23.45</v>
      </c>
      <c r="L1704" t="n">
        <v>22.75</v>
      </c>
      <c r="M1704" s="175" t="n">
        <v>0.45</v>
      </c>
      <c r="N1704" t="inlineStr">
        <is>
          <t>以DrayTek自有品牌行銷寬頻接取網通設備廠商</t>
        </is>
      </c>
    </row>
    <row r="1705">
      <c r="A1705" t="n">
        <v>6217</v>
      </c>
      <c r="B1705" t="inlineStr">
        <is>
          <t>中探針</t>
        </is>
      </c>
      <c r="C1705" t="n">
        <v>305</v>
      </c>
      <c r="D1705" t="n">
        <v>305</v>
      </c>
      <c r="E1705" s="504" t="n">
        <v>0</v>
      </c>
      <c r="F1705" s="505" t="n">
        <v>0</v>
      </c>
      <c r="G1705" t="inlineStr">
        <is>
          <t>3.66億</t>
        </is>
      </c>
      <c r="H1705" t="n">
        <v>1227</v>
      </c>
      <c r="I1705" t="n">
        <v>1297</v>
      </c>
      <c r="J1705" t="n">
        <v>11.72</v>
      </c>
      <c r="K1705" t="n">
        <v>305</v>
      </c>
      <c r="L1705" t="n">
        <v>295</v>
      </c>
      <c r="M1705" s="175" t="n">
        <v>1.05</v>
      </c>
      <c r="N1705" t="inlineStr">
        <is>
          <t>台灣第一家探針及探針式連接器製造廠</t>
        </is>
      </c>
    </row>
    <row r="1706">
      <c r="A1706" t="n">
        <v>6218</v>
      </c>
      <c r="B1706" t="inlineStr">
        <is>
          <t>豪勉</t>
        </is>
      </c>
      <c r="C1706" t="n">
        <v>38.4</v>
      </c>
      <c r="D1706" t="n">
        <v>37.7</v>
      </c>
      <c r="E1706" s="504" t="n">
        <v>-0.65</v>
      </c>
      <c r="F1706" s="505" t="n">
        <v>-1.69</v>
      </c>
      <c r="G1706" t="inlineStr">
        <is>
          <t>3428萬</t>
        </is>
      </c>
      <c r="H1706" t="n">
        <v>906</v>
      </c>
      <c r="I1706" t="n">
        <v>3208</v>
      </c>
      <c r="J1706" t="n">
        <v>6.43</v>
      </c>
      <c r="K1706" t="n">
        <v>38.85</v>
      </c>
      <c r="L1706" t="n">
        <v>37.2</v>
      </c>
      <c r="M1706" s="175" t="n">
        <v>1.41</v>
      </c>
      <c r="N1706" t="inlineStr">
        <is>
          <t>專注通訊網路系統整合服務與半導體/LED設備解決方案領域</t>
        </is>
      </c>
    </row>
    <row r="1707">
      <c r="A1707" t="n">
        <v>6219</v>
      </c>
      <c r="B1707" t="inlineStr">
        <is>
          <t>富旺</t>
        </is>
      </c>
      <c r="C1707" t="n">
        <v>12</v>
      </c>
      <c r="D1707" t="n">
        <v>12.3</v>
      </c>
      <c r="E1707" s="504" t="n">
        <v>0.2</v>
      </c>
      <c r="F1707" s="505" t="n">
        <v>1.65</v>
      </c>
      <c r="G1707" t="inlineStr">
        <is>
          <t>500萬</t>
        </is>
      </c>
      <c r="H1707" t="n">
        <v>411</v>
      </c>
      <c r="I1707" t="n">
        <v>447</v>
      </c>
      <c r="J1707" t="n">
        <v>12.5</v>
      </c>
      <c r="K1707" t="n">
        <v>12.35</v>
      </c>
      <c r="L1707" t="n">
        <v>12</v>
      </c>
      <c r="M1707" s="175" t="n">
        <v>0.33</v>
      </c>
      <c r="N1707" t="inlineStr">
        <is>
          <t>以台中為核心擴展至全省跨區經營的建商</t>
        </is>
      </c>
    </row>
    <row r="1708">
      <c r="A1708" t="n">
        <v>6220</v>
      </c>
      <c r="B1708" t="inlineStr">
        <is>
          <t>岳豐</t>
        </is>
      </c>
      <c r="C1708" t="n">
        <v>33.95</v>
      </c>
      <c r="D1708" t="n">
        <v>33.3</v>
      </c>
      <c r="E1708" s="504" t="n">
        <v>-0.35</v>
      </c>
      <c r="F1708" s="505" t="n">
        <v>-1.04</v>
      </c>
      <c r="G1708" t="inlineStr">
        <is>
          <t>2236萬</t>
        </is>
      </c>
      <c r="H1708" t="n">
        <v>672</v>
      </c>
      <c r="I1708" t="n">
        <v>1195</v>
      </c>
      <c r="J1708" t="n">
        <v>14.65</v>
      </c>
      <c r="K1708" t="n">
        <v>34.2</v>
      </c>
      <c r="L1708" t="n">
        <v>32.95</v>
      </c>
      <c r="M1708" s="175" t="n">
        <v>0.46</v>
      </c>
      <c r="N1708" t="inlineStr">
        <is>
          <t>主要生產區域網路線材，並延伸至終端產品生產廠商</t>
        </is>
      </c>
    </row>
    <row r="1709">
      <c r="A1709" t="n">
        <v>6221</v>
      </c>
      <c r="B1709" t="inlineStr">
        <is>
          <t>晉泰</t>
        </is>
      </c>
      <c r="C1709" t="n">
        <v>24.05</v>
      </c>
      <c r="D1709" t="n">
        <v>24.1</v>
      </c>
      <c r="E1709" s="504" t="n">
        <v>0.25</v>
      </c>
      <c r="F1709" s="505" t="n">
        <v>1.05</v>
      </c>
      <c r="G1709" t="inlineStr">
        <is>
          <t>265萬</t>
        </is>
      </c>
      <c r="H1709" t="n">
        <v>111</v>
      </c>
      <c r="I1709" t="n">
        <v>265</v>
      </c>
      <c r="J1709" t="n">
        <v>16.86</v>
      </c>
      <c r="K1709" t="n">
        <v>24.15</v>
      </c>
      <c r="L1709" t="n">
        <v>23.65</v>
      </c>
      <c r="M1709" s="175" t="n">
        <v>0.07000000000000001</v>
      </c>
      <c r="N1709" t="inlineStr">
        <is>
          <t>電子商務系統整合廠商</t>
        </is>
      </c>
    </row>
    <row r="1710">
      <c r="A1710" t="n">
        <v>6222</v>
      </c>
      <c r="B1710" t="inlineStr">
        <is>
          <t>立軒</t>
        </is>
      </c>
      <c r="C1710" t="n">
        <v>20.35</v>
      </c>
      <c r="D1710" t="n">
        <v>20.6</v>
      </c>
      <c r="E1710" s="504" t="n">
        <v>-0.05</v>
      </c>
      <c r="F1710" s="505" t="n">
        <v>-0.24</v>
      </c>
      <c r="G1710" t="inlineStr">
        <is>
          <t>24.5萬</t>
        </is>
      </c>
      <c r="H1710" t="n">
        <v>12</v>
      </c>
      <c r="I1710" t="n">
        <v>30</v>
      </c>
      <c r="J1710" t="n">
        <v>9.57</v>
      </c>
      <c r="K1710" t="n">
        <v>20.6</v>
      </c>
      <c r="L1710" t="n">
        <v>20.3</v>
      </c>
      <c r="M1710" s="175" t="n">
        <v>0.01</v>
      </c>
      <c r="N1710" t="inlineStr">
        <is>
          <t>住宅及大樓開發商</t>
        </is>
      </c>
    </row>
    <row r="1711">
      <c r="A1711" t="n">
        <v>6223</v>
      </c>
      <c r="B1711" t="inlineStr">
        <is>
          <t>旺矽</t>
        </is>
      </c>
      <c r="C1711" t="n">
        <v>5630</v>
      </c>
      <c r="D1711" t="n">
        <v>5515</v>
      </c>
      <c r="E1711" s="504" t="n">
        <v>-165</v>
      </c>
      <c r="F1711" s="505" t="n">
        <v>-2.9</v>
      </c>
      <c r="G1711" t="inlineStr">
        <is>
          <t>66.5億</t>
        </is>
      </c>
      <c r="H1711" t="n">
        <v>1201</v>
      </c>
      <c r="I1711" t="n">
        <v>2429</v>
      </c>
      <c r="J1711" t="n">
        <v>9.800000000000001</v>
      </c>
      <c r="K1711" t="n">
        <v>5695</v>
      </c>
      <c r="L1711" t="n">
        <v>5435</v>
      </c>
      <c r="M1711" s="175" t="n">
        <v>1.23</v>
      </c>
      <c r="N1711" t="inlineStr">
        <is>
          <t>全球前三大的非記憶體探針卡製造商</t>
        </is>
      </c>
    </row>
    <row r="1712">
      <c r="A1712" t="n">
        <v>6224</v>
      </c>
      <c r="B1712" t="inlineStr">
        <is>
          <t>聚鼎</t>
        </is>
      </c>
      <c r="C1712" t="n">
        <v>88.3</v>
      </c>
      <c r="D1712" t="n">
        <v>83.90000000000001</v>
      </c>
      <c r="E1712" s="504" t="n">
        <v>-4.2</v>
      </c>
      <c r="F1712" s="505" t="n">
        <v>-4.77</v>
      </c>
      <c r="G1712" t="inlineStr">
        <is>
          <t>1.66億</t>
        </is>
      </c>
      <c r="H1712" t="n">
        <v>1970</v>
      </c>
      <c r="I1712" t="n">
        <v>3840</v>
      </c>
      <c r="J1712" t="n">
        <v>8.56</v>
      </c>
      <c r="K1712" t="n">
        <v>88.5</v>
      </c>
      <c r="L1712" t="n">
        <v>81.59999999999999</v>
      </c>
      <c r="M1712" s="175" t="n">
        <v>2.3</v>
      </c>
      <c r="N1712" t="inlineStr">
        <is>
          <t>全球第二大PPTC保護元件大廠</t>
        </is>
      </c>
    </row>
    <row r="1713">
      <c r="A1713" t="n">
        <v>6225</v>
      </c>
      <c r="B1713" t="inlineStr">
        <is>
          <t>天瀚</t>
        </is>
      </c>
      <c r="C1713" t="n">
        <v>24.5</v>
      </c>
      <c r="D1713" t="n">
        <v>24.1</v>
      </c>
      <c r="E1713" s="504" t="n">
        <v>-0.35</v>
      </c>
      <c r="F1713" s="505" t="n">
        <v>-1.43</v>
      </c>
      <c r="G1713" t="inlineStr">
        <is>
          <t>9.72萬</t>
        </is>
      </c>
      <c r="H1713" t="n">
        <v>4</v>
      </c>
      <c r="I1713" t="n">
        <v>31</v>
      </c>
      <c r="J1713" t="n">
        <v>2.78</v>
      </c>
      <c r="K1713" t="n">
        <v>24.5</v>
      </c>
      <c r="L1713" t="n">
        <v>24.1</v>
      </c>
      <c r="M1713" s="175" t="n">
        <v>0.02</v>
      </c>
      <c r="N1713" t="inlineStr">
        <is>
          <t>機車用行車紀錄器及投影機廠商</t>
        </is>
      </c>
    </row>
    <row r="1714">
      <c r="A1714" t="n">
        <v>6226</v>
      </c>
      <c r="B1714" t="inlineStr">
        <is>
          <t>光鼎</t>
        </is>
      </c>
      <c r="C1714" t="n">
        <v>13.8</v>
      </c>
      <c r="D1714" t="n">
        <v>13.55</v>
      </c>
      <c r="E1714" s="504" t="n">
        <v>0</v>
      </c>
      <c r="F1714" s="505" t="n">
        <v>0</v>
      </c>
      <c r="G1714" t="inlineStr">
        <is>
          <t>4454萬</t>
        </is>
      </c>
      <c r="H1714" t="n">
        <v>3334</v>
      </c>
      <c r="I1714" t="n">
        <v>2319</v>
      </c>
      <c r="J1714" t="n">
        <v>11.55</v>
      </c>
      <c r="K1714" t="n">
        <v>13.95</v>
      </c>
      <c r="L1714" t="n">
        <v>12.85</v>
      </c>
      <c r="M1714" s="175" t="n">
        <v>2.89</v>
      </c>
      <c r="N1714" t="inlineStr">
        <is>
          <t>專注於LED照明市場之封裝業者</t>
        </is>
      </c>
    </row>
    <row r="1715">
      <c r="A1715" t="n">
        <v>6227</v>
      </c>
      <c r="B1715" t="inlineStr">
        <is>
          <t>茂綸</t>
        </is>
      </c>
      <c r="C1715" t="n">
        <v>131</v>
      </c>
      <c r="D1715" t="n">
        <v>130.5</v>
      </c>
      <c r="E1715" s="504" t="n">
        <v>-1.5</v>
      </c>
      <c r="F1715" s="505" t="n">
        <v>-1.14</v>
      </c>
      <c r="G1715" t="inlineStr">
        <is>
          <t>1.68億</t>
        </is>
      </c>
      <c r="H1715" t="n">
        <v>1304</v>
      </c>
      <c r="I1715" t="n">
        <v>2850</v>
      </c>
      <c r="J1715" t="n">
        <v>7.61</v>
      </c>
      <c r="K1715" t="n">
        <v>132</v>
      </c>
      <c r="L1715" t="n">
        <v>125</v>
      </c>
      <c r="M1715" s="175" t="n">
        <v>1.71</v>
      </c>
      <c r="N1715" t="inlineStr">
        <is>
          <t>日Macnica集團旗下電子通路大廠</t>
        </is>
      </c>
    </row>
    <row r="1716">
      <c r="A1716" t="n">
        <v>6228</v>
      </c>
      <c r="B1716" t="inlineStr">
        <is>
          <t>全譜</t>
        </is>
      </c>
      <c r="C1716" t="n">
        <v>21.2</v>
      </c>
      <c r="D1716" t="n">
        <v>21.2</v>
      </c>
      <c r="E1716" s="504" t="n">
        <v>0.25</v>
      </c>
      <c r="F1716" s="505" t="n">
        <v>1.19</v>
      </c>
      <c r="G1716" t="inlineStr">
        <is>
          <t>8.48萬</t>
        </is>
      </c>
      <c r="H1716" t="n">
        <v>4</v>
      </c>
      <c r="I1716" t="n">
        <v>22</v>
      </c>
      <c r="J1716" t="n">
        <v>2.6</v>
      </c>
      <c r="K1716" t="n">
        <v>21.2</v>
      </c>
      <c r="L1716" t="n">
        <v>21.2</v>
      </c>
      <c r="M1716" s="175" t="n">
        <v>0.02</v>
      </c>
      <c r="N1716" t="inlineStr">
        <is>
          <t>台灣底片掃瞄器及生物研究影像設備製造廠</t>
        </is>
      </c>
    </row>
    <row r="1717">
      <c r="A1717" t="n">
        <v>6229</v>
      </c>
      <c r="B1717" t="inlineStr">
        <is>
          <t>研通</t>
        </is>
      </c>
      <c r="C1717" t="n">
        <v>27.45</v>
      </c>
      <c r="D1717" t="n">
        <v>26.95</v>
      </c>
      <c r="E1717" s="504" t="n">
        <v>-0.15</v>
      </c>
      <c r="F1717" s="505" t="n">
        <v>-0.55</v>
      </c>
      <c r="G1717" t="inlineStr">
        <is>
          <t>633萬</t>
        </is>
      </c>
      <c r="H1717" t="n">
        <v>240</v>
      </c>
      <c r="I1717" t="n">
        <v>318</v>
      </c>
      <c r="J1717" t="n">
        <v>4.04</v>
      </c>
      <c r="K1717" t="n">
        <v>27.45</v>
      </c>
      <c r="L1717" t="n">
        <v>26.15</v>
      </c>
      <c r="M1717" s="175" t="n">
        <v>0.59</v>
      </c>
      <c r="N1717" t="inlineStr">
        <is>
          <t>台灣消費性IC韌體設計領導廠商</t>
        </is>
      </c>
    </row>
    <row r="1718">
      <c r="A1718" t="n">
        <v>6230</v>
      </c>
      <c r="B1718" t="inlineStr">
        <is>
          <t>尼得科超眾</t>
        </is>
      </c>
      <c r="C1718" t="n">
        <v>147</v>
      </c>
      <c r="D1718" t="n">
        <v>142</v>
      </c>
      <c r="E1718" s="504" t="n">
        <v>0.5</v>
      </c>
      <c r="F1718" s="505" t="n">
        <v>0.35</v>
      </c>
      <c r="G1718" t="inlineStr">
        <is>
          <t>2228萬</t>
        </is>
      </c>
      <c r="H1718" t="n">
        <v>158</v>
      </c>
      <c r="I1718" t="n">
        <v>145</v>
      </c>
      <c r="J1718" t="n">
        <v>8.630000000000001</v>
      </c>
      <c r="K1718" t="n">
        <v>147</v>
      </c>
      <c r="L1718" t="n">
        <v>138.5</v>
      </c>
      <c r="M1718" s="175" t="n">
        <v>0.18</v>
      </c>
      <c r="N1718" t="inlineStr">
        <is>
          <t>日本電產轉投資之散熱模組製造商</t>
        </is>
      </c>
    </row>
    <row r="1719">
      <c r="A1719" t="n">
        <v>6231</v>
      </c>
      <c r="B1719" t="inlineStr">
        <is>
          <t>系微</t>
        </is>
      </c>
      <c r="C1719" t="n">
        <v>322.5</v>
      </c>
      <c r="D1719" t="n">
        <v>319.5</v>
      </c>
      <c r="E1719" s="504" t="n">
        <v>7</v>
      </c>
      <c r="F1719" s="505" t="n">
        <v>2.24</v>
      </c>
      <c r="G1719" t="inlineStr">
        <is>
          <t>7.49億</t>
        </is>
      </c>
      <c r="H1719" t="n">
        <v>2393</v>
      </c>
      <c r="I1719" t="n">
        <v>1081</v>
      </c>
      <c r="J1719" t="n">
        <v>4.57</v>
      </c>
      <c r="K1719" t="n">
        <v>325</v>
      </c>
      <c r="L1719" t="n">
        <v>303</v>
      </c>
      <c r="M1719" s="175" t="n">
        <v>5.24</v>
      </c>
      <c r="N1719" t="inlineStr">
        <is>
          <t>NB及IA產品的BIOS廠商</t>
        </is>
      </c>
    </row>
    <row r="1720">
      <c r="A1720" t="n">
        <v>6233</v>
      </c>
      <c r="B1720" t="inlineStr">
        <is>
          <t>旺玖</t>
        </is>
      </c>
      <c r="C1720" t="n">
        <v>25.85</v>
      </c>
      <c r="D1720" t="n">
        <v>25.05</v>
      </c>
      <c r="E1720" s="504" t="n">
        <v>-0.6</v>
      </c>
      <c r="F1720" s="505" t="n">
        <v>-2.34</v>
      </c>
      <c r="G1720" t="inlineStr">
        <is>
          <t>1665萬</t>
        </is>
      </c>
      <c r="H1720" t="n">
        <v>677</v>
      </c>
      <c r="I1720" t="n">
        <v>461</v>
      </c>
      <c r="J1720" t="n">
        <v>8.1</v>
      </c>
      <c r="K1720" t="n">
        <v>25.85</v>
      </c>
      <c r="L1720" t="n">
        <v>24.9</v>
      </c>
      <c r="M1720" s="175" t="n">
        <v>0.84</v>
      </c>
      <c r="N1720" t="inlineStr">
        <is>
          <t>USB控制IC設計廠商，並切入MEMS領域</t>
        </is>
      </c>
    </row>
    <row r="1721">
      <c r="A1721" t="n">
        <v>6234</v>
      </c>
      <c r="B1721" t="inlineStr">
        <is>
          <t>高僑</t>
        </is>
      </c>
      <c r="C1721" t="n">
        <v>49</v>
      </c>
      <c r="D1721" t="n">
        <v>47.25</v>
      </c>
      <c r="E1721" s="504" t="n">
        <v>-2.05</v>
      </c>
      <c r="F1721" s="505" t="n">
        <v>-4.16</v>
      </c>
      <c r="G1721" t="inlineStr">
        <is>
          <t>1.05億</t>
        </is>
      </c>
      <c r="H1721" t="n">
        <v>2204</v>
      </c>
      <c r="I1721" t="n">
        <v>5542</v>
      </c>
      <c r="J1721" t="n">
        <v>10.04</v>
      </c>
      <c r="K1721" t="n">
        <v>49.3</v>
      </c>
      <c r="L1721" t="n">
        <v>46.55</v>
      </c>
      <c r="M1721" s="175" t="n">
        <v>2.2</v>
      </c>
      <c r="N1721" t="inlineStr">
        <is>
          <t>經營自動化設備及PCB微型鑽頭的公司</t>
        </is>
      </c>
    </row>
    <row r="1722">
      <c r="A1722" t="n">
        <v>6235</v>
      </c>
      <c r="B1722" t="inlineStr">
        <is>
          <t>華孚</t>
        </is>
      </c>
      <c r="C1722" t="n">
        <v>47.2</v>
      </c>
      <c r="D1722" t="n">
        <v>45.7</v>
      </c>
      <c r="E1722" s="504" t="n">
        <v>-1.5</v>
      </c>
      <c r="F1722" s="505" t="n">
        <v>-3.18</v>
      </c>
      <c r="G1722" t="inlineStr">
        <is>
          <t>1.34億</t>
        </is>
      </c>
      <c r="H1722" t="n">
        <v>2942</v>
      </c>
      <c r="I1722" t="n">
        <v>3515</v>
      </c>
      <c r="J1722" t="n">
        <v>19.99</v>
      </c>
      <c r="K1722" t="n">
        <v>47.2</v>
      </c>
      <c r="L1722" t="n">
        <v>45.1</v>
      </c>
      <c r="M1722" s="175" t="n">
        <v>1.47</v>
      </c>
      <c r="N1722" t="inlineStr">
        <is>
          <t>車用鎂合金零件製造廠</t>
        </is>
      </c>
    </row>
    <row r="1723">
      <c r="A1723" t="n">
        <v>6236</v>
      </c>
      <c r="B1723" t="inlineStr">
        <is>
          <t>中湛</t>
        </is>
      </c>
      <c r="C1723" t="n">
        <v>18.4</v>
      </c>
      <c r="D1723" t="n">
        <v>18.4</v>
      </c>
      <c r="E1723" s="504" t="n">
        <v>-0.6</v>
      </c>
      <c r="F1723" s="505" t="n">
        <v>-3.16</v>
      </c>
      <c r="G1723" t="inlineStr">
        <is>
          <t>1.84萬</t>
        </is>
      </c>
      <c r="H1723" t="n">
        <v>1</v>
      </c>
      <c r="I1723" t="n">
        <v>0</v>
      </c>
      <c r="J1723" t="n">
        <v>4.17</v>
      </c>
      <c r="K1723" t="n">
        <v>18.4</v>
      </c>
      <c r="L1723" t="n">
        <v>18.4</v>
      </c>
      <c r="M1723" s="175" t="n">
        <v>0</v>
      </c>
      <c r="N1723" t="inlineStr">
        <is>
          <t>台灣從事基因檢測及資訊安全服務公司</t>
        </is>
      </c>
    </row>
    <row r="1724">
      <c r="A1724" t="n">
        <v>6237</v>
      </c>
      <c r="B1724" t="inlineStr">
        <is>
          <t>驊訊</t>
        </is>
      </c>
      <c r="C1724" t="n">
        <v>50</v>
      </c>
      <c r="D1724" t="n">
        <v>51</v>
      </c>
      <c r="E1724" s="504" t="n">
        <v>1.1</v>
      </c>
      <c r="F1724" s="505" t="n">
        <v>2.2</v>
      </c>
      <c r="G1724" t="inlineStr">
        <is>
          <t>8220萬</t>
        </is>
      </c>
      <c r="H1724" t="n">
        <v>1644</v>
      </c>
      <c r="I1724" t="n">
        <v>1804</v>
      </c>
      <c r="J1724" t="n">
        <v>7.96</v>
      </c>
      <c r="K1724" t="n">
        <v>51.5</v>
      </c>
      <c r="L1724" t="n">
        <v>48.35</v>
      </c>
      <c r="M1724" s="175" t="n">
        <v>2.06</v>
      </c>
      <c r="N1724" t="inlineStr">
        <is>
          <t>全球前三大音效晶片設計廠商</t>
        </is>
      </c>
    </row>
    <row r="1725">
      <c r="A1725" t="n">
        <v>6239</v>
      </c>
      <c r="B1725" t="inlineStr">
        <is>
          <t>力成</t>
        </is>
      </c>
      <c r="C1725" t="n">
        <v>369.5</v>
      </c>
      <c r="D1725" t="n">
        <v>347</v>
      </c>
      <c r="E1725" s="504" t="n">
        <v>-19</v>
      </c>
      <c r="F1725" s="505" t="n">
        <v>-5.19</v>
      </c>
      <c r="G1725" t="inlineStr">
        <is>
          <t>77.5億</t>
        </is>
      </c>
      <c r="H1725" t="n">
        <v>22932</v>
      </c>
      <c r="I1725" t="n">
        <v>49947</v>
      </c>
      <c r="J1725" t="n">
        <v>75.91</v>
      </c>
      <c r="K1725" t="n">
        <v>369.5</v>
      </c>
      <c r="L1725" t="n">
        <v>329.5</v>
      </c>
      <c r="M1725" s="175" t="n">
        <v>3.02</v>
      </c>
      <c r="N1725" t="inlineStr">
        <is>
          <t>全球前五大封測廠</t>
        </is>
      </c>
    </row>
    <row r="1726">
      <c r="A1726" t="n">
        <v>6240</v>
      </c>
      <c r="B1726" t="inlineStr">
        <is>
          <t>松崗</t>
        </is>
      </c>
      <c r="C1726" t="n">
        <v>18.3</v>
      </c>
      <c r="D1726" t="n">
        <v>17.9</v>
      </c>
      <c r="E1726" s="504" t="n">
        <v>-0.4</v>
      </c>
      <c r="F1726" s="505" t="n">
        <v>-2.19</v>
      </c>
      <c r="G1726" t="inlineStr">
        <is>
          <t>5.42萬</t>
        </is>
      </c>
      <c r="H1726" t="n">
        <v>3</v>
      </c>
      <c r="I1726" t="n">
        <v>298</v>
      </c>
      <c r="J1726" t="n">
        <v>2.29</v>
      </c>
      <c r="K1726" t="n">
        <v>18.3</v>
      </c>
      <c r="L1726" t="n">
        <v>17.9</v>
      </c>
      <c r="M1726" s="175" t="n">
        <v>0.01</v>
      </c>
      <c r="N1726" t="inlineStr">
        <is>
          <t>專注協助企業數位服務與轉型領域</t>
        </is>
      </c>
    </row>
    <row r="1727">
      <c r="A1727" t="n">
        <v>6241</v>
      </c>
      <c r="B1727" t="inlineStr">
        <is>
          <t>鑫永洋</t>
        </is>
      </c>
      <c r="C1727" t="n">
        <v>10.2</v>
      </c>
      <c r="D1727" t="n">
        <v>10.3</v>
      </c>
      <c r="E1727" s="504" t="n">
        <v>0.1</v>
      </c>
      <c r="F1727" s="505" t="n">
        <v>0.98</v>
      </c>
      <c r="G1727" t="inlineStr">
        <is>
          <t>181萬</t>
        </is>
      </c>
      <c r="H1727" t="n">
        <v>177</v>
      </c>
      <c r="I1727" t="n">
        <v>186</v>
      </c>
      <c r="J1727" t="n">
        <v>4.87</v>
      </c>
      <c r="K1727" t="n">
        <v>10.35</v>
      </c>
      <c r="L1727" t="n">
        <v>10.05</v>
      </c>
      <c r="M1727" s="175" t="n">
        <v>0.36</v>
      </c>
      <c r="N1727" t="inlineStr">
        <is>
          <t>無線網路通訊產品代工廠</t>
        </is>
      </c>
    </row>
    <row r="1728">
      <c r="A1728" t="n">
        <v>6242</v>
      </c>
      <c r="B1728" t="inlineStr">
        <is>
          <t>立康</t>
        </is>
      </c>
      <c r="C1728" t="n">
        <v>37.85</v>
      </c>
      <c r="D1728" t="n">
        <v>37.55</v>
      </c>
      <c r="E1728" s="504" t="n">
        <v>-0.35</v>
      </c>
      <c r="F1728" s="505" t="n">
        <v>-0.92</v>
      </c>
      <c r="G1728" t="inlineStr">
        <is>
          <t>97.8萬</t>
        </is>
      </c>
      <c r="H1728" t="n">
        <v>26</v>
      </c>
      <c r="I1728" t="n">
        <v>19</v>
      </c>
      <c r="J1728" t="n">
        <v>3.18</v>
      </c>
      <c r="K1728" t="n">
        <v>37.85</v>
      </c>
      <c r="L1728" t="n">
        <v>37.5</v>
      </c>
      <c r="M1728" s="175" t="n">
        <v>0.08</v>
      </c>
      <c r="N1728" t="inlineStr">
        <is>
          <t>中草藥生產及經營觀光工廠之廠商</t>
        </is>
      </c>
    </row>
    <row r="1729">
      <c r="A1729" t="n">
        <v>6243</v>
      </c>
      <c r="B1729" t="inlineStr">
        <is>
          <t>迅杰</t>
        </is>
      </c>
      <c r="C1729" t="n">
        <v>34.1</v>
      </c>
      <c r="D1729" t="n">
        <v>33.6</v>
      </c>
      <c r="E1729" s="504" t="n">
        <v>-0.25</v>
      </c>
      <c r="F1729" s="505" t="n">
        <v>-0.74</v>
      </c>
      <c r="G1729" t="inlineStr">
        <is>
          <t>1232萬</t>
        </is>
      </c>
      <c r="H1729" t="n">
        <v>368</v>
      </c>
      <c r="I1729" t="n">
        <v>363</v>
      </c>
      <c r="J1729" t="n">
        <v>4.53</v>
      </c>
      <c r="K1729" t="n">
        <v>34.25</v>
      </c>
      <c r="L1729" t="n">
        <v>32.85</v>
      </c>
      <c r="M1729" s="175" t="n">
        <v>0.8100000000000001</v>
      </c>
      <c r="N1729" t="inlineStr">
        <is>
          <t>全球第二大鍵盤控制IC設計供應商</t>
        </is>
      </c>
    </row>
    <row r="1730">
      <c r="A1730" t="n">
        <v>6244</v>
      </c>
      <c r="B1730" t="inlineStr">
        <is>
          <t>茂迪</t>
        </is>
      </c>
      <c r="C1730" t="n">
        <v>30.7</v>
      </c>
      <c r="D1730" t="n">
        <v>29.7</v>
      </c>
      <c r="E1730" s="504" t="n">
        <v>-0.9</v>
      </c>
      <c r="F1730" s="505" t="n">
        <v>-2.94</v>
      </c>
      <c r="G1730" t="inlineStr">
        <is>
          <t>3.18億</t>
        </is>
      </c>
      <c r="H1730" t="n">
        <v>10785</v>
      </c>
      <c r="I1730" t="n">
        <v>11466</v>
      </c>
      <c r="J1730" t="n">
        <v>38.7</v>
      </c>
      <c r="K1730" t="n">
        <v>30.8</v>
      </c>
      <c r="L1730" t="n">
        <v>28.6</v>
      </c>
      <c r="M1730" s="175" t="n">
        <v>2.79</v>
      </c>
      <c r="N1730" t="inlineStr">
        <is>
          <t>台灣太陽能電池模組大廠</t>
        </is>
      </c>
    </row>
    <row r="1731">
      <c r="A1731" t="n">
        <v>6245</v>
      </c>
      <c r="B1731" t="inlineStr">
        <is>
          <t>立端</t>
        </is>
      </c>
      <c r="C1731" t="n">
        <v>91.5</v>
      </c>
      <c r="D1731" t="n">
        <v>91.40000000000001</v>
      </c>
      <c r="E1731" s="504" t="n">
        <v>1.6</v>
      </c>
      <c r="F1731" s="505" t="n">
        <v>1.78</v>
      </c>
      <c r="G1731" t="inlineStr">
        <is>
          <t>1.47億</t>
        </is>
      </c>
      <c r="H1731" t="n">
        <v>1623</v>
      </c>
      <c r="I1731" t="n">
        <v>1894</v>
      </c>
      <c r="J1731" t="n">
        <v>14.66</v>
      </c>
      <c r="K1731" t="n">
        <v>91.59999999999999</v>
      </c>
      <c r="L1731" t="n">
        <v>88.90000000000001</v>
      </c>
      <c r="M1731" s="175" t="n">
        <v>1.11</v>
      </c>
      <c r="N1731" t="inlineStr">
        <is>
          <t>專攻網路安全設備廠商</t>
        </is>
      </c>
    </row>
    <row r="1732">
      <c r="A1732" t="n">
        <v>6246</v>
      </c>
      <c r="B1732" t="inlineStr">
        <is>
          <t>臺龍</t>
        </is>
      </c>
      <c r="C1732" t="n">
        <v>15.75</v>
      </c>
      <c r="D1732" t="n">
        <v>15.25</v>
      </c>
      <c r="E1732" s="504" t="n">
        <v>-0.1</v>
      </c>
      <c r="F1732" s="505" t="n">
        <v>-0.65</v>
      </c>
      <c r="G1732" t="inlineStr">
        <is>
          <t>39.9萬</t>
        </is>
      </c>
      <c r="H1732" t="n">
        <v>26</v>
      </c>
      <c r="I1732" t="n">
        <v>66</v>
      </c>
      <c r="J1732" t="n">
        <v>3.79</v>
      </c>
      <c r="K1732" t="n">
        <v>15.75</v>
      </c>
      <c r="L1732" t="n">
        <v>15.25</v>
      </c>
      <c r="M1732" s="175" t="n">
        <v>0.07000000000000001</v>
      </c>
      <c r="N1732" t="inlineStr">
        <is>
          <t>中小尺寸背光模組及LED燈條生產廠商</t>
        </is>
      </c>
    </row>
    <row r="1733">
      <c r="A1733" t="n">
        <v>6248</v>
      </c>
      <c r="B1733" t="inlineStr">
        <is>
          <t>沛波</t>
        </is>
      </c>
      <c r="C1733" t="n">
        <v>18.65</v>
      </c>
      <c r="D1733" t="n">
        <v>18.5</v>
      </c>
      <c r="E1733" s="504" t="n">
        <v>-0.05</v>
      </c>
      <c r="F1733" s="505" t="n">
        <v>-0.27</v>
      </c>
      <c r="G1733" t="inlineStr">
        <is>
          <t>129萬</t>
        </is>
      </c>
      <c r="H1733" t="n">
        <v>70</v>
      </c>
      <c r="I1733" t="n">
        <v>137</v>
      </c>
      <c r="J1733" t="n">
        <v>10</v>
      </c>
      <c r="K1733" t="n">
        <v>18.65</v>
      </c>
      <c r="L1733" t="n">
        <v>18.45</v>
      </c>
      <c r="M1733" s="175" t="n">
        <v>0.07000000000000001</v>
      </c>
      <c r="N1733" t="inlineStr">
        <is>
          <t>台鋼集團旗下專業鋼筋加工與配送通路廠</t>
        </is>
      </c>
    </row>
    <row r="1734">
      <c r="A1734" t="n">
        <v>6257</v>
      </c>
      <c r="B1734" t="inlineStr">
        <is>
          <t>矽格</t>
        </is>
      </c>
      <c r="C1734" t="n">
        <v>220.5</v>
      </c>
      <c r="D1734" t="n">
        <v>215</v>
      </c>
      <c r="E1734" s="504" t="n">
        <v>-4.5</v>
      </c>
      <c r="F1734" s="505" t="n">
        <v>-2.05</v>
      </c>
      <c r="G1734" t="inlineStr">
        <is>
          <t>28.0億</t>
        </is>
      </c>
      <c r="H1734" t="n">
        <v>12859</v>
      </c>
      <c r="I1734" t="n">
        <v>13218</v>
      </c>
      <c r="J1734" t="n">
        <v>48.39</v>
      </c>
      <c r="K1734" t="n">
        <v>227</v>
      </c>
      <c r="L1734" t="n">
        <v>213.5</v>
      </c>
      <c r="M1734" s="175" t="n">
        <v>2.66</v>
      </c>
      <c r="N1734" t="inlineStr">
        <is>
          <t>RF及混合IC專業測試廠商</t>
        </is>
      </c>
    </row>
    <row r="1735">
      <c r="A1735" t="n">
        <v>6259</v>
      </c>
      <c r="B1735" t="inlineStr">
        <is>
          <t>百徽</t>
        </is>
      </c>
      <c r="C1735" t="n">
        <v>26.6</v>
      </c>
      <c r="D1735" t="n">
        <v>26.6</v>
      </c>
      <c r="E1735" s="504" t="n">
        <v>0.05</v>
      </c>
      <c r="F1735" s="505" t="n">
        <v>0.19</v>
      </c>
      <c r="G1735" t="inlineStr">
        <is>
          <t>1307萬</t>
        </is>
      </c>
      <c r="H1735" t="n">
        <v>502</v>
      </c>
      <c r="I1735" t="n">
        <v>882</v>
      </c>
      <c r="J1735" t="n">
        <v>2.81</v>
      </c>
      <c r="K1735" t="n">
        <v>26.6</v>
      </c>
      <c r="L1735" t="n">
        <v>25.65</v>
      </c>
      <c r="M1735" s="175" t="n">
        <v>1.8</v>
      </c>
      <c r="N1735" t="inlineStr">
        <is>
          <t>主要代理電磁波防制元件和電源相關元件</t>
        </is>
      </c>
    </row>
    <row r="1736">
      <c r="A1736" t="n">
        <v>6261</v>
      </c>
      <c r="B1736" t="inlineStr">
        <is>
          <t>久元</t>
        </is>
      </c>
      <c r="C1736" t="n">
        <v>118.5</v>
      </c>
      <c r="D1736" t="n">
        <v>108</v>
      </c>
      <c r="E1736" s="504" t="n">
        <v>-10.5</v>
      </c>
      <c r="F1736" s="505" t="n">
        <v>-8.859999999999999</v>
      </c>
      <c r="G1736" t="inlineStr">
        <is>
          <t>7.95億</t>
        </is>
      </c>
      <c r="H1736" t="n">
        <v>7220</v>
      </c>
      <c r="I1736" t="n">
        <v>5279</v>
      </c>
      <c r="J1736" t="n">
        <v>12.85</v>
      </c>
      <c r="K1736" t="n">
        <v>118.5</v>
      </c>
      <c r="L1736" t="n">
        <v>107</v>
      </c>
      <c r="M1736" s="175" t="n">
        <v>5.62</v>
      </c>
      <c r="N1736" t="inlineStr">
        <is>
          <t>專業半導體及光電產品切割、研磨、挑揀、測試代工廠</t>
        </is>
      </c>
    </row>
    <row r="1737">
      <c r="A1737" t="n">
        <v>6263</v>
      </c>
      <c r="B1737" t="inlineStr">
        <is>
          <t>普萊德</t>
        </is>
      </c>
      <c r="C1737" t="n">
        <v>178.5</v>
      </c>
      <c r="D1737" t="n">
        <v>182</v>
      </c>
      <c r="E1737" s="504" t="n">
        <v>6.5</v>
      </c>
      <c r="F1737" s="505" t="n">
        <v>3.7</v>
      </c>
      <c r="G1737" t="inlineStr">
        <is>
          <t>1.44億</t>
        </is>
      </c>
      <c r="H1737" t="n">
        <v>803</v>
      </c>
      <c r="I1737" t="n">
        <v>347</v>
      </c>
      <c r="J1737" t="n">
        <v>6.25</v>
      </c>
      <c r="K1737" t="n">
        <v>184.5</v>
      </c>
      <c r="L1737" t="n">
        <v>173.5</v>
      </c>
      <c r="M1737" s="175" t="n">
        <v>1.28</v>
      </c>
      <c r="N1737" t="inlineStr">
        <is>
          <t>以PLANET品牌行銷的網通設備廠</t>
        </is>
      </c>
    </row>
    <row r="1738">
      <c r="A1738" t="n">
        <v>6264</v>
      </c>
      <c r="B1738" t="inlineStr">
        <is>
          <t>富裔</t>
        </is>
      </c>
      <c r="C1738" t="n">
        <v>6.05</v>
      </c>
      <c r="D1738" t="n">
        <v>6.05</v>
      </c>
      <c r="E1738" s="504" t="n">
        <v>-0.01</v>
      </c>
      <c r="F1738" s="505" t="n">
        <v>-0.17</v>
      </c>
      <c r="G1738" t="inlineStr">
        <is>
          <t>88.6萬</t>
        </is>
      </c>
      <c r="H1738" t="n">
        <v>147</v>
      </c>
      <c r="I1738" t="n">
        <v>89</v>
      </c>
      <c r="J1738" t="n">
        <v>13.64</v>
      </c>
      <c r="K1738" t="n">
        <v>6.06</v>
      </c>
      <c r="L1738" t="n">
        <v>5.92</v>
      </c>
      <c r="M1738" s="175" t="n">
        <v>0.11</v>
      </c>
      <c r="N1738" t="inlineStr">
        <is>
          <t>入主德士通，以雙北及基隆地區為主的營建公司</t>
        </is>
      </c>
    </row>
    <row r="1739">
      <c r="A1739" t="n">
        <v>6265</v>
      </c>
      <c r="B1739" t="inlineStr">
        <is>
          <t>方土昶</t>
        </is>
      </c>
      <c r="C1739" t="n">
        <v>56</v>
      </c>
      <c r="D1739" t="n">
        <v>61.6</v>
      </c>
      <c r="E1739" s="504" t="n">
        <v>5.6</v>
      </c>
      <c r="F1739" s="505" t="n">
        <v>10</v>
      </c>
      <c r="G1739" t="inlineStr">
        <is>
          <t>13.9億</t>
        </is>
      </c>
      <c r="H1739" t="n">
        <v>23322</v>
      </c>
      <c r="I1739" t="n">
        <v>15444</v>
      </c>
      <c r="J1739" t="n">
        <v>11.82</v>
      </c>
      <c r="K1739" t="n">
        <v>61.6</v>
      </c>
      <c r="L1739" t="n">
        <v>55.5</v>
      </c>
      <c r="M1739" s="175" t="n">
        <v>19.74</v>
      </c>
      <c r="N1739" t="inlineStr">
        <is>
          <t>記憶體元件代理及保健食品銷售商</t>
        </is>
      </c>
    </row>
    <row r="1740">
      <c r="A1740" t="n">
        <v>6266</v>
      </c>
      <c r="B1740" t="inlineStr">
        <is>
          <t>泰詠</t>
        </is>
      </c>
      <c r="C1740" t="n">
        <v>28.45</v>
      </c>
      <c r="D1740" t="n">
        <v>28.25</v>
      </c>
      <c r="E1740" s="504" t="n">
        <v>0.15</v>
      </c>
      <c r="F1740" s="505" t="n">
        <v>0.53</v>
      </c>
      <c r="G1740" t="inlineStr">
        <is>
          <t>1002萬</t>
        </is>
      </c>
      <c r="H1740" t="n">
        <v>355</v>
      </c>
      <c r="I1740" t="n">
        <v>479</v>
      </c>
      <c r="J1740" t="n">
        <v>15.39</v>
      </c>
      <c r="K1740" t="n">
        <v>28.5</v>
      </c>
      <c r="L1740" t="n">
        <v>28.05</v>
      </c>
      <c r="M1740" s="175" t="n">
        <v>0.23</v>
      </c>
      <c r="N1740" t="inlineStr">
        <is>
          <t>台灣專業SMT加工及組裝測試廠商</t>
        </is>
      </c>
    </row>
    <row r="1741">
      <c r="A1741" t="n">
        <v>6269</v>
      </c>
      <c r="B1741" t="inlineStr">
        <is>
          <t>台郡</t>
        </is>
      </c>
      <c r="C1741" t="n">
        <v>76</v>
      </c>
      <c r="D1741" t="n">
        <v>74.90000000000001</v>
      </c>
      <c r="E1741" s="504" t="n">
        <v>5.8</v>
      </c>
      <c r="F1741" s="505" t="n">
        <v>8.390000000000001</v>
      </c>
      <c r="G1741" t="inlineStr">
        <is>
          <t>31.3億</t>
        </is>
      </c>
      <c r="H1741" t="n">
        <v>42091</v>
      </c>
      <c r="I1741" t="n">
        <v>3345</v>
      </c>
      <c r="J1741" t="n">
        <v>32.38</v>
      </c>
      <c r="K1741" t="n">
        <v>76</v>
      </c>
      <c r="L1741" t="n">
        <v>70.5</v>
      </c>
      <c r="M1741" s="175" t="n">
        <v>13</v>
      </c>
      <c r="N1741" t="inlineStr">
        <is>
          <t>全球前十大軟板廠之一</t>
        </is>
      </c>
    </row>
    <row r="1742">
      <c r="A1742" t="n">
        <v>6270</v>
      </c>
      <c r="B1742" t="inlineStr">
        <is>
          <t>倍微</t>
        </is>
      </c>
      <c r="C1742" t="n">
        <v>28.5</v>
      </c>
      <c r="D1742" t="n">
        <v>29.05</v>
      </c>
      <c r="E1742" s="504" t="n">
        <v>0.9</v>
      </c>
      <c r="F1742" s="505" t="n">
        <v>3.2</v>
      </c>
      <c r="G1742" t="inlineStr">
        <is>
          <t>3786萬</t>
        </is>
      </c>
      <c r="H1742" t="n">
        <v>1323</v>
      </c>
      <c r="I1742" t="n">
        <v>630</v>
      </c>
      <c r="J1742" t="n">
        <v>7.21</v>
      </c>
      <c r="K1742" t="n">
        <v>29.25</v>
      </c>
      <c r="L1742" t="n">
        <v>27.95</v>
      </c>
      <c r="M1742" s="175" t="n">
        <v>1.83</v>
      </c>
      <c r="N1742" t="inlineStr">
        <is>
          <t>半導體電子零組件代理及韌體服務</t>
        </is>
      </c>
    </row>
    <row r="1743">
      <c r="A1743" t="n">
        <v>6271</v>
      </c>
      <c r="B1743" t="inlineStr">
        <is>
          <t>同欣電</t>
        </is>
      </c>
      <c r="C1743" t="n">
        <v>251.5</v>
      </c>
      <c r="D1743" t="n">
        <v>249.5</v>
      </c>
      <c r="E1743" s="504" t="n">
        <v>2</v>
      </c>
      <c r="F1743" s="505" t="n">
        <v>0.8100000000000001</v>
      </c>
      <c r="G1743" t="inlineStr">
        <is>
          <t>8.72億</t>
        </is>
      </c>
      <c r="H1743" t="n">
        <v>3529</v>
      </c>
      <c r="I1743" t="n">
        <v>10728</v>
      </c>
      <c r="J1743" t="n">
        <v>20.91</v>
      </c>
      <c r="K1743" t="n">
        <v>253.5</v>
      </c>
      <c r="L1743" t="n">
        <v>240</v>
      </c>
      <c r="M1743" s="175" t="n">
        <v>1.69</v>
      </c>
      <c r="N1743" t="inlineStr">
        <is>
          <t>台灣陶瓷基板製造龍頭</t>
        </is>
      </c>
    </row>
    <row r="1744">
      <c r="A1744" t="n">
        <v>6272</v>
      </c>
      <c r="B1744" t="inlineStr">
        <is>
          <t>驊陞</t>
        </is>
      </c>
      <c r="C1744" t="n">
        <v>37.45</v>
      </c>
      <c r="D1744" t="n">
        <v>38.4</v>
      </c>
      <c r="E1744" s="504" t="n">
        <v>3.45</v>
      </c>
      <c r="F1744" s="505" t="n">
        <v>9.869999999999999</v>
      </c>
      <c r="G1744" t="inlineStr">
        <is>
          <t>3010萬</t>
        </is>
      </c>
      <c r="H1744" t="n">
        <v>791</v>
      </c>
      <c r="I1744" t="n">
        <v>414</v>
      </c>
      <c r="J1744" t="n">
        <v>8.18</v>
      </c>
      <c r="K1744" t="n">
        <v>38.4</v>
      </c>
      <c r="L1744" t="n">
        <v>37</v>
      </c>
      <c r="M1744" s="175" t="n">
        <v>0.97</v>
      </c>
      <c r="N1744" t="inlineStr">
        <is>
          <t>3C、手持裝置、PC、STB用連接器生產廠</t>
        </is>
      </c>
    </row>
    <row r="1745">
      <c r="A1745" t="n">
        <v>6274</v>
      </c>
      <c r="B1745" t="inlineStr">
        <is>
          <t>台燿</t>
        </is>
      </c>
      <c r="C1745" t="n">
        <v>1700</v>
      </c>
      <c r="D1745" t="n">
        <v>1590</v>
      </c>
      <c r="E1745" s="504" t="n">
        <v>-115</v>
      </c>
      <c r="F1745" s="505" t="n">
        <v>-6.74</v>
      </c>
      <c r="G1745" t="inlineStr">
        <is>
          <t>120億</t>
        </is>
      </c>
      <c r="H1745" t="n">
        <v>7469</v>
      </c>
      <c r="I1745" t="n">
        <v>9079</v>
      </c>
      <c r="J1745" t="n">
        <v>29.14</v>
      </c>
      <c r="K1745" t="n">
        <v>1700</v>
      </c>
      <c r="L1745" t="n">
        <v>1565</v>
      </c>
      <c r="M1745" s="175" t="n">
        <v>2.59</v>
      </c>
      <c r="N1745" t="inlineStr">
        <is>
          <t>全球前十大銅箔基板廠之一</t>
        </is>
      </c>
    </row>
    <row r="1746">
      <c r="A1746" t="n">
        <v>6275</v>
      </c>
      <c r="B1746" t="inlineStr">
        <is>
          <t>元山</t>
        </is>
      </c>
      <c r="C1746" t="n">
        <v>52.6</v>
      </c>
      <c r="D1746" t="n">
        <v>51.8</v>
      </c>
      <c r="E1746" s="504" t="n">
        <v>-1.5</v>
      </c>
      <c r="F1746" s="505" t="n">
        <v>-2.81</v>
      </c>
      <c r="G1746" t="inlineStr">
        <is>
          <t>6842萬</t>
        </is>
      </c>
      <c r="H1746" t="n">
        <v>1324</v>
      </c>
      <c r="I1746" t="n">
        <v>1272</v>
      </c>
      <c r="J1746" t="n">
        <v>8.02</v>
      </c>
      <c r="K1746" t="n">
        <v>52.6</v>
      </c>
      <c r="L1746" t="n">
        <v>51</v>
      </c>
      <c r="M1746" s="175" t="n">
        <v>1.65</v>
      </c>
      <c r="N1746" t="inlineStr">
        <is>
          <t>知名散熱風扇大廠</t>
        </is>
      </c>
    </row>
    <row r="1747">
      <c r="A1747" t="n">
        <v>6276</v>
      </c>
      <c r="B1747" t="inlineStr">
        <is>
          <t>安鈦克</t>
        </is>
      </c>
      <c r="C1747" t="n">
        <v>28.3</v>
      </c>
      <c r="D1747" t="n">
        <v>27</v>
      </c>
      <c r="E1747" s="504" t="n">
        <v>-1.3</v>
      </c>
      <c r="F1747" s="505" t="n">
        <v>-4.59</v>
      </c>
      <c r="G1747" t="inlineStr">
        <is>
          <t>257萬</t>
        </is>
      </c>
      <c r="H1747" t="n">
        <v>92</v>
      </c>
      <c r="I1747" t="n">
        <v>76</v>
      </c>
      <c r="J1747" t="n">
        <v>2.2</v>
      </c>
      <c r="K1747" t="n">
        <v>28.9</v>
      </c>
      <c r="L1747" t="n">
        <v>27</v>
      </c>
      <c r="M1747" s="175" t="n">
        <v>0.42</v>
      </c>
      <c r="N1747" t="inlineStr">
        <is>
          <t>專注於電腦機殼與電源供應器的廠商</t>
        </is>
      </c>
    </row>
    <row r="1748">
      <c r="A1748" t="n">
        <v>6277</v>
      </c>
      <c r="B1748" t="inlineStr">
        <is>
          <t>宏正</t>
        </is>
      </c>
      <c r="C1748" t="n">
        <v>82.2</v>
      </c>
      <c r="D1748" t="n">
        <v>79.59999999999999</v>
      </c>
      <c r="E1748" s="504" t="n">
        <v>-1.4</v>
      </c>
      <c r="F1748" s="505" t="n">
        <v>-1.73</v>
      </c>
      <c r="G1748" t="inlineStr">
        <is>
          <t>7337萬</t>
        </is>
      </c>
      <c r="H1748" t="n">
        <v>908</v>
      </c>
      <c r="I1748" t="n">
        <v>661</v>
      </c>
      <c r="J1748" t="n">
        <v>11.95</v>
      </c>
      <c r="K1748" t="n">
        <v>84.09999999999999</v>
      </c>
      <c r="L1748" t="n">
        <v>78.59999999999999</v>
      </c>
      <c r="M1748" s="175" t="n">
        <v>0.76</v>
      </c>
      <c r="N1748" t="inlineStr">
        <is>
          <t>全球知名KVM製造商</t>
        </is>
      </c>
    </row>
    <row r="1749">
      <c r="A1749" t="n">
        <v>6278</v>
      </c>
      <c r="B1749" t="inlineStr">
        <is>
          <t>台表科</t>
        </is>
      </c>
      <c r="C1749" t="n">
        <v>220</v>
      </c>
      <c r="D1749" t="n">
        <v>214.5</v>
      </c>
      <c r="E1749" s="504" t="n">
        <v>-4.5</v>
      </c>
      <c r="F1749" s="505" t="n">
        <v>-2.05</v>
      </c>
      <c r="G1749" t="inlineStr">
        <is>
          <t>25.3億</t>
        </is>
      </c>
      <c r="H1749" t="n">
        <v>11949</v>
      </c>
      <c r="I1749" t="n">
        <v>16227</v>
      </c>
      <c r="J1749" t="n">
        <v>29.24</v>
      </c>
      <c r="K1749" t="n">
        <v>222.5</v>
      </c>
      <c r="L1749" t="n">
        <v>206</v>
      </c>
      <c r="M1749" s="175" t="n">
        <v>4.09</v>
      </c>
      <c r="N1749" t="inlineStr">
        <is>
          <t>全球知名光電產品之SMT代工廠</t>
        </is>
      </c>
    </row>
    <row r="1750">
      <c r="A1750" t="n">
        <v>6279</v>
      </c>
      <c r="B1750" t="inlineStr">
        <is>
          <t>胡連</t>
        </is>
      </c>
      <c r="C1750" t="n">
        <v>119</v>
      </c>
      <c r="D1750" t="n">
        <v>119</v>
      </c>
      <c r="E1750" s="504" t="n">
        <v>0</v>
      </c>
      <c r="F1750" s="505" t="n">
        <v>0</v>
      </c>
      <c r="G1750" t="inlineStr">
        <is>
          <t>8642萬</t>
        </is>
      </c>
      <c r="H1750" t="n">
        <v>734</v>
      </c>
      <c r="I1750" t="n">
        <v>1503</v>
      </c>
      <c r="J1750" t="n">
        <v>11.9</v>
      </c>
      <c r="K1750" t="n">
        <v>119.5</v>
      </c>
      <c r="L1750" t="n">
        <v>116.5</v>
      </c>
      <c r="M1750" s="175" t="n">
        <v>0.62</v>
      </c>
      <c r="N1750" t="inlineStr">
        <is>
          <t>兩岸最大汽車端子製造商</t>
        </is>
      </c>
    </row>
    <row r="1751">
      <c r="A1751" t="n">
        <v>6281</v>
      </c>
      <c r="B1751" t="inlineStr">
        <is>
          <t>全國電</t>
        </is>
      </c>
      <c r="C1751" t="n">
        <v>50.7</v>
      </c>
      <c r="D1751" t="n">
        <v>51.5</v>
      </c>
      <c r="E1751" s="504" t="n">
        <v>0.6</v>
      </c>
      <c r="F1751" s="505" t="n">
        <v>1.18</v>
      </c>
      <c r="G1751" t="inlineStr">
        <is>
          <t>597萬</t>
        </is>
      </c>
      <c r="H1751" t="n">
        <v>117</v>
      </c>
      <c r="I1751" t="n">
        <v>180</v>
      </c>
      <c r="J1751" t="n">
        <v>9.92</v>
      </c>
      <c r="K1751" t="n">
        <v>51.5</v>
      </c>
      <c r="L1751" t="n">
        <v>50.7</v>
      </c>
      <c r="M1751" s="175" t="n">
        <v>0.12</v>
      </c>
      <c r="N1751" t="inlineStr">
        <is>
          <t>台灣知名家電與3C通路賣場</t>
        </is>
      </c>
    </row>
    <row r="1752">
      <c r="A1752" t="n">
        <v>6282</v>
      </c>
      <c r="B1752" t="inlineStr">
        <is>
          <t>康舒</t>
        </is>
      </c>
      <c r="C1752" t="n">
        <v>65.5</v>
      </c>
      <c r="D1752" t="n">
        <v>63</v>
      </c>
      <c r="E1752" s="504" t="n">
        <v>-2.8</v>
      </c>
      <c r="F1752" s="505" t="n">
        <v>-4.26</v>
      </c>
      <c r="G1752" t="inlineStr">
        <is>
          <t>48.7億</t>
        </is>
      </c>
      <c r="H1752" t="n">
        <v>77108</v>
      </c>
      <c r="I1752" t="n">
        <v>76512</v>
      </c>
      <c r="J1752" t="n">
        <v>85.59999999999999</v>
      </c>
      <c r="K1752" t="n">
        <v>65.8</v>
      </c>
      <c r="L1752" t="n">
        <v>60.8</v>
      </c>
      <c r="M1752" s="175" t="n">
        <v>9.01</v>
      </c>
      <c r="N1752" t="inlineStr">
        <is>
          <t>金仁寶集團旗下電源供應器廠</t>
        </is>
      </c>
    </row>
    <row r="1753">
      <c r="A1753" t="n">
        <v>6283</v>
      </c>
      <c r="B1753" t="inlineStr">
        <is>
          <t>淳安</t>
        </is>
      </c>
      <c r="C1753" t="n">
        <v>25.3</v>
      </c>
      <c r="D1753" t="n">
        <v>25.2</v>
      </c>
      <c r="E1753" s="504" t="n">
        <v>0.1</v>
      </c>
      <c r="F1753" s="505" t="n">
        <v>0.4</v>
      </c>
      <c r="G1753" t="inlineStr">
        <is>
          <t>824萬</t>
        </is>
      </c>
      <c r="H1753" t="n">
        <v>328</v>
      </c>
      <c r="I1753" t="n">
        <v>409</v>
      </c>
      <c r="J1753" t="n">
        <v>14.9</v>
      </c>
      <c r="K1753" t="n">
        <v>25.5</v>
      </c>
      <c r="L1753" t="n">
        <v>24.8</v>
      </c>
      <c r="M1753" s="175" t="n">
        <v>0.24</v>
      </c>
      <c r="N1753" t="inlineStr">
        <is>
          <t>鍵盤導電薄膜與車載鏡頭製造商</t>
        </is>
      </c>
    </row>
    <row r="1754">
      <c r="A1754" t="n">
        <v>6284</v>
      </c>
      <c r="B1754" t="inlineStr">
        <is>
          <t>佳邦</t>
        </is>
      </c>
      <c r="C1754" t="n">
        <v>116</v>
      </c>
      <c r="D1754" t="n">
        <v>110</v>
      </c>
      <c r="E1754" s="504" t="n">
        <v>-6</v>
      </c>
      <c r="F1754" s="505" t="n">
        <v>-5.17</v>
      </c>
      <c r="G1754" t="inlineStr">
        <is>
          <t>10.6億</t>
        </is>
      </c>
      <c r="H1754" t="n">
        <v>9801</v>
      </c>
      <c r="I1754" t="n">
        <v>10433</v>
      </c>
      <c r="J1754" t="n">
        <v>14.9</v>
      </c>
      <c r="K1754" t="n">
        <v>116</v>
      </c>
      <c r="L1754" t="n">
        <v>104.5</v>
      </c>
      <c r="M1754" s="175" t="n">
        <v>6.58</v>
      </c>
      <c r="N1754" t="inlineStr">
        <is>
          <t>電子保護元件及天線產品之領導廠商</t>
        </is>
      </c>
    </row>
    <row r="1755">
      <c r="A1755" t="n">
        <v>6285</v>
      </c>
      <c r="B1755" t="inlineStr">
        <is>
          <t>啟碁</t>
        </is>
      </c>
      <c r="C1755" t="n">
        <v>315</v>
      </c>
      <c r="D1755" t="n">
        <v>306</v>
      </c>
      <c r="E1755" s="504" t="n">
        <v>-8</v>
      </c>
      <c r="F1755" s="505" t="n">
        <v>-2.55</v>
      </c>
      <c r="G1755" t="inlineStr">
        <is>
          <t>39.5億</t>
        </is>
      </c>
      <c r="H1755" t="n">
        <v>12844</v>
      </c>
      <c r="I1755" t="n">
        <v>25024</v>
      </c>
      <c r="J1755" t="n">
        <v>48.37</v>
      </c>
      <c r="K1755" t="n">
        <v>320.5</v>
      </c>
      <c r="L1755" t="n">
        <v>303.5</v>
      </c>
      <c r="M1755" s="175" t="n">
        <v>2.66</v>
      </c>
      <c r="N1755" t="inlineStr">
        <is>
          <t>緯創轉投資無線、衛星通訊產品大廠</t>
        </is>
      </c>
    </row>
    <row r="1756">
      <c r="A1756" t="n">
        <v>6290</v>
      </c>
      <c r="B1756" t="inlineStr">
        <is>
          <t>良維</t>
        </is>
      </c>
      <c r="C1756" t="n">
        <v>367</v>
      </c>
      <c r="D1756" t="n">
        <v>362.5</v>
      </c>
      <c r="E1756" s="504" t="n">
        <v>-4.5</v>
      </c>
      <c r="F1756" s="505" t="n">
        <v>-1.23</v>
      </c>
      <c r="G1756" t="inlineStr">
        <is>
          <t>23.2億</t>
        </is>
      </c>
      <c r="H1756" t="n">
        <v>6477</v>
      </c>
      <c r="I1756" t="n">
        <v>11456</v>
      </c>
      <c r="J1756" t="n">
        <v>16.95</v>
      </c>
      <c r="K1756" t="n">
        <v>368.5</v>
      </c>
      <c r="L1756" t="n">
        <v>350</v>
      </c>
      <c r="M1756" s="175" t="n">
        <v>3.82</v>
      </c>
      <c r="N1756" t="inlineStr">
        <is>
          <t>全球知名電源線及充電器轉接頭製造商</t>
        </is>
      </c>
    </row>
    <row r="1757">
      <c r="A1757" t="n">
        <v>6291</v>
      </c>
      <c r="B1757" t="inlineStr">
        <is>
          <t>沛亨</t>
        </is>
      </c>
      <c r="C1757" t="n">
        <v>650</v>
      </c>
      <c r="D1757" t="n">
        <v>620</v>
      </c>
      <c r="E1757" s="504" t="n">
        <v>-28</v>
      </c>
      <c r="F1757" s="505" t="n">
        <v>-4.32</v>
      </c>
      <c r="G1757" t="inlineStr">
        <is>
          <t>3.80億</t>
        </is>
      </c>
      <c r="H1757" t="n">
        <v>624</v>
      </c>
      <c r="I1757" t="n">
        <v>3152</v>
      </c>
      <c r="J1757" t="n">
        <v>4.2</v>
      </c>
      <c r="K1757" t="n">
        <v>657</v>
      </c>
      <c r="L1757" t="n">
        <v>591</v>
      </c>
      <c r="M1757" s="175" t="n">
        <v>1.49</v>
      </c>
      <c r="N1757" t="inlineStr">
        <is>
          <t>台灣老牌電源管理IC業者</t>
        </is>
      </c>
    </row>
    <row r="1758">
      <c r="A1758" t="n">
        <v>6292</v>
      </c>
      <c r="B1758" t="inlineStr">
        <is>
          <t>迅德</t>
        </is>
      </c>
      <c r="C1758" t="n">
        <v>67.3</v>
      </c>
      <c r="D1758" t="n">
        <v>63.3</v>
      </c>
      <c r="E1758" s="504" t="n">
        <v>-4.5</v>
      </c>
      <c r="F1758" s="505" t="n">
        <v>-6.64</v>
      </c>
      <c r="G1758" t="inlineStr">
        <is>
          <t>5836萬</t>
        </is>
      </c>
      <c r="H1758" t="n">
        <v>910</v>
      </c>
      <c r="I1758" t="n">
        <v>2052</v>
      </c>
      <c r="J1758" t="n">
        <v>4.66</v>
      </c>
      <c r="K1758" t="n">
        <v>67.3</v>
      </c>
      <c r="L1758" t="n">
        <v>61.2</v>
      </c>
      <c r="M1758" s="175" t="n">
        <v>1.95</v>
      </c>
      <c r="N1758" t="inlineStr">
        <is>
          <t>專注生產工業用變壓器產品之廠商</t>
        </is>
      </c>
    </row>
    <row r="1759">
      <c r="A1759" t="n">
        <v>6294</v>
      </c>
      <c r="B1759" t="inlineStr">
        <is>
          <t>智基</t>
        </is>
      </c>
      <c r="C1759" t="n">
        <v>27.25</v>
      </c>
      <c r="D1759" t="n">
        <v>27.15</v>
      </c>
      <c r="E1759" s="504" t="n">
        <v>-0.5</v>
      </c>
      <c r="F1759" s="505" t="n">
        <v>-1.81</v>
      </c>
      <c r="G1759" t="inlineStr">
        <is>
          <t>76.2萬</t>
        </is>
      </c>
      <c r="H1759" t="n">
        <v>28</v>
      </c>
      <c r="I1759" t="n">
        <v>33</v>
      </c>
      <c r="J1759" t="n">
        <v>2.6</v>
      </c>
      <c r="K1759" t="n">
        <v>27.4</v>
      </c>
      <c r="L1759" t="n">
        <v>27.15</v>
      </c>
      <c r="M1759" s="175" t="n">
        <v>0.11</v>
      </c>
      <c r="N1759" t="inlineStr">
        <is>
          <t>主要經營公職補習「志光」及升學補習「超級考試王」</t>
        </is>
      </c>
    </row>
    <row r="1760">
      <c r="A1760" t="n">
        <v>6405</v>
      </c>
      <c r="B1760" t="inlineStr">
        <is>
          <t>悅城</t>
        </is>
      </c>
      <c r="C1760" t="n">
        <v>80.3</v>
      </c>
      <c r="D1760" t="n">
        <v>75.8</v>
      </c>
      <c r="E1760" s="504" t="n">
        <v>-3.9</v>
      </c>
      <c r="F1760" s="505" t="n">
        <v>-4.89</v>
      </c>
      <c r="G1760" t="inlineStr">
        <is>
          <t>2950萬</t>
        </is>
      </c>
      <c r="H1760" t="n">
        <v>388</v>
      </c>
      <c r="I1760" t="n">
        <v>4886</v>
      </c>
      <c r="J1760" t="n">
        <v>6.58</v>
      </c>
      <c r="K1760" t="n">
        <v>80.3</v>
      </c>
      <c r="L1760" t="n">
        <v>73.90000000000001</v>
      </c>
      <c r="M1760" s="175" t="n">
        <v>0.59</v>
      </c>
      <c r="N1760" t="inlineStr">
        <is>
          <t>台灣光電玻璃薄化加工大廠</t>
        </is>
      </c>
    </row>
    <row r="1761">
      <c r="A1761" t="n">
        <v>6409</v>
      </c>
      <c r="B1761" t="inlineStr">
        <is>
          <t>旭隼</t>
        </is>
      </c>
      <c r="C1761" t="n">
        <v>712</v>
      </c>
      <c r="D1761" t="n">
        <v>742</v>
      </c>
      <c r="E1761" s="504" t="n">
        <v>29</v>
      </c>
      <c r="F1761" s="505" t="n">
        <v>4.07</v>
      </c>
      <c r="G1761" t="inlineStr">
        <is>
          <t>12.5億</t>
        </is>
      </c>
      <c r="H1761" t="n">
        <v>1700</v>
      </c>
      <c r="I1761" t="n">
        <v>1173</v>
      </c>
      <c r="J1761" t="n">
        <v>8.83</v>
      </c>
      <c r="K1761" t="n">
        <v>759</v>
      </c>
      <c r="L1761" t="n">
        <v>702</v>
      </c>
      <c r="M1761" s="175" t="n">
        <v>1.94</v>
      </c>
      <c r="N1761" t="inlineStr">
        <is>
          <t>台灣UPS及PV Inverter之ODM製造廠商</t>
        </is>
      </c>
    </row>
    <row r="1762">
      <c r="A1762" t="n">
        <v>6411</v>
      </c>
      <c r="B1762" t="inlineStr">
        <is>
          <t>晶焱</t>
        </is>
      </c>
      <c r="C1762" t="n">
        <v>106.5</v>
      </c>
      <c r="D1762" t="n">
        <v>100</v>
      </c>
      <c r="E1762" s="504" t="n">
        <v>-6.5</v>
      </c>
      <c r="F1762" s="505" t="n">
        <v>-6.1</v>
      </c>
      <c r="G1762" t="inlineStr">
        <is>
          <t>4.54億</t>
        </is>
      </c>
      <c r="H1762" t="n">
        <v>4512</v>
      </c>
      <c r="I1762" t="n">
        <v>6486</v>
      </c>
      <c r="J1762" t="n">
        <v>9.949999999999999</v>
      </c>
      <c r="K1762" t="n">
        <v>106.5</v>
      </c>
      <c r="L1762" t="n">
        <v>97.3</v>
      </c>
      <c r="M1762" s="175" t="n">
        <v>4.55</v>
      </c>
      <c r="N1762" t="inlineStr">
        <is>
          <t>台灣首家靜電放電防護IC設計公司</t>
        </is>
      </c>
    </row>
    <row r="1763">
      <c r="A1763" t="n">
        <v>6412</v>
      </c>
      <c r="B1763" t="inlineStr">
        <is>
          <t>群電</t>
        </is>
      </c>
      <c r="C1763" t="n">
        <v>106.5</v>
      </c>
      <c r="D1763" t="n">
        <v>104</v>
      </c>
      <c r="E1763" s="504" t="n">
        <v>-2</v>
      </c>
      <c r="F1763" s="505" t="n">
        <v>-1.89</v>
      </c>
      <c r="G1763" t="inlineStr">
        <is>
          <t>6.69億</t>
        </is>
      </c>
      <c r="H1763" t="n">
        <v>6449</v>
      </c>
      <c r="I1763" t="n">
        <v>3757</v>
      </c>
      <c r="J1763" t="n">
        <v>40.08</v>
      </c>
      <c r="K1763" t="n">
        <v>108.5</v>
      </c>
      <c r="L1763" t="n">
        <v>101.5</v>
      </c>
      <c r="M1763" s="175" t="n">
        <v>1.61</v>
      </c>
      <c r="N1763" t="inlineStr">
        <is>
          <t>台灣前三大PC電源供應器廠</t>
        </is>
      </c>
    </row>
    <row r="1764">
      <c r="A1764" t="n">
        <v>6414</v>
      </c>
      <c r="B1764" t="inlineStr">
        <is>
          <t>樺漢</t>
        </is>
      </c>
      <c r="C1764" t="n">
        <v>382.5</v>
      </c>
      <c r="D1764" t="n">
        <v>383</v>
      </c>
      <c r="E1764" s="504" t="n">
        <v>7.5</v>
      </c>
      <c r="F1764" s="505" t="n">
        <v>2</v>
      </c>
      <c r="G1764" t="inlineStr">
        <is>
          <t>10.4億</t>
        </is>
      </c>
      <c r="H1764" t="n">
        <v>2716</v>
      </c>
      <c r="I1764" t="n">
        <v>1717</v>
      </c>
      <c r="J1764" t="n">
        <v>14.6</v>
      </c>
      <c r="K1764" t="n">
        <v>393</v>
      </c>
      <c r="L1764" t="n">
        <v>375</v>
      </c>
      <c r="M1764" s="175" t="n">
        <v>1.86</v>
      </c>
      <c r="N1764" t="inlineStr">
        <is>
          <t>鴻海轉投資之工業電腦廠</t>
        </is>
      </c>
    </row>
    <row r="1765">
      <c r="A1765" t="n">
        <v>6415</v>
      </c>
      <c r="B1765" t="inlineStr">
        <is>
          <t>矽力*-KY</t>
        </is>
      </c>
      <c r="C1765" t="n">
        <v>597</v>
      </c>
      <c r="D1765" t="n">
        <v>578</v>
      </c>
      <c r="E1765" s="504" t="n">
        <v>-28</v>
      </c>
      <c r="F1765" s="505" t="n">
        <v>-4.62</v>
      </c>
      <c r="G1765" t="inlineStr">
        <is>
          <t>37.2億</t>
        </is>
      </c>
      <c r="H1765" t="n">
        <v>6439</v>
      </c>
      <c r="I1765" t="n">
        <v>9381</v>
      </c>
      <c r="J1765" t="n">
        <v>9.720000000000001</v>
      </c>
      <c r="K1765" t="n">
        <v>598</v>
      </c>
      <c r="L1765" t="n">
        <v>564</v>
      </c>
      <c r="M1765" s="175" t="n">
        <v>1.66</v>
      </c>
      <c r="N1765" t="inlineStr">
        <is>
          <t>大陸電源管理晶片大廠</t>
        </is>
      </c>
    </row>
    <row r="1766">
      <c r="A1766" t="n">
        <v>6416</v>
      </c>
      <c r="B1766" t="inlineStr">
        <is>
          <t>瑞祺電通</t>
        </is>
      </c>
      <c r="C1766" t="n">
        <v>92.09999999999999</v>
      </c>
      <c r="D1766" t="n">
        <v>91.90000000000001</v>
      </c>
      <c r="E1766" s="504" t="n">
        <v>0.4</v>
      </c>
      <c r="F1766" s="505" t="n">
        <v>0.44</v>
      </c>
      <c r="G1766" t="inlineStr">
        <is>
          <t>2855萬</t>
        </is>
      </c>
      <c r="H1766" t="n">
        <v>312</v>
      </c>
      <c r="I1766" t="n">
        <v>450</v>
      </c>
      <c r="J1766" t="n">
        <v>7.33</v>
      </c>
      <c r="K1766" t="n">
        <v>92.3</v>
      </c>
      <c r="L1766" t="n">
        <v>90.7</v>
      </c>
      <c r="M1766" s="175" t="n">
        <v>0.43</v>
      </c>
      <c r="N1766" t="inlineStr">
        <is>
          <t>台灣網通資安設備龍頭大廠</t>
        </is>
      </c>
    </row>
    <row r="1767">
      <c r="A1767" t="n">
        <v>6417</v>
      </c>
      <c r="B1767" t="inlineStr">
        <is>
          <t>韋僑</t>
        </is>
      </c>
      <c r="C1767" t="n">
        <v>141</v>
      </c>
      <c r="D1767" t="n">
        <v>140</v>
      </c>
      <c r="E1767" s="504" t="n">
        <v>-1</v>
      </c>
      <c r="F1767" s="505" t="n">
        <v>-0.71</v>
      </c>
      <c r="G1767" t="inlineStr">
        <is>
          <t>1624萬</t>
        </is>
      </c>
      <c r="H1767" t="n">
        <v>118</v>
      </c>
      <c r="I1767" t="n">
        <v>276</v>
      </c>
      <c r="J1767" t="n">
        <v>4.23</v>
      </c>
      <c r="K1767" t="n">
        <v>141</v>
      </c>
      <c r="L1767" t="n">
        <v>136</v>
      </c>
      <c r="M1767" s="175" t="n">
        <v>0.28</v>
      </c>
      <c r="N1767" t="inlineStr">
        <is>
          <t>台灣RFID Tag製造商</t>
        </is>
      </c>
    </row>
    <row r="1768">
      <c r="A1768" t="n">
        <v>6418</v>
      </c>
      <c r="B1768" t="inlineStr">
        <is>
          <t>詠昇</t>
        </is>
      </c>
      <c r="C1768" t="n">
        <v>30.55</v>
      </c>
      <c r="D1768" t="n">
        <v>30.7</v>
      </c>
      <c r="E1768" s="504" t="n">
        <v>0.8</v>
      </c>
      <c r="F1768" s="505" t="n">
        <v>2.68</v>
      </c>
      <c r="G1768" t="inlineStr">
        <is>
          <t>560萬</t>
        </is>
      </c>
      <c r="H1768" t="n">
        <v>184</v>
      </c>
      <c r="I1768" t="n">
        <v>167</v>
      </c>
      <c r="J1768" t="n">
        <v>3.45</v>
      </c>
      <c r="K1768" t="n">
        <v>31.2</v>
      </c>
      <c r="L1768" t="n">
        <v>29.9</v>
      </c>
      <c r="M1768" s="175" t="n">
        <v>0.53</v>
      </c>
      <c r="N1768" t="inlineStr">
        <is>
          <t>各種應用之訊號連接器及傳輸線製造商</t>
        </is>
      </c>
    </row>
    <row r="1769">
      <c r="A1769" t="n">
        <v>6419</v>
      </c>
      <c r="B1769" t="inlineStr">
        <is>
          <t>京晨科</t>
        </is>
      </c>
      <c r="C1769" t="n">
        <v>141</v>
      </c>
      <c r="D1769" t="n">
        <v>149.5</v>
      </c>
      <c r="E1769" s="504" t="n">
        <v>7.5</v>
      </c>
      <c r="F1769" s="505" t="n">
        <v>5.28</v>
      </c>
      <c r="G1769" t="inlineStr">
        <is>
          <t>1.01億</t>
        </is>
      </c>
      <c r="H1769" t="n">
        <v>694</v>
      </c>
      <c r="I1769" t="n">
        <v>674</v>
      </c>
      <c r="J1769" t="n">
        <v>1.32</v>
      </c>
      <c r="K1769" t="n">
        <v>152</v>
      </c>
      <c r="L1769" t="n">
        <v>138</v>
      </c>
      <c r="M1769" s="175" t="n">
        <v>5.27</v>
      </c>
      <c r="N1769" t="inlineStr">
        <is>
          <t>台灣網路視訊監控系統商</t>
        </is>
      </c>
    </row>
    <row r="1770">
      <c r="A1770" t="n">
        <v>6423</v>
      </c>
      <c r="B1770" t="inlineStr">
        <is>
          <t>億而得</t>
        </is>
      </c>
      <c r="C1770" t="n">
        <v>93.8</v>
      </c>
      <c r="D1770" t="n">
        <v>92.59999999999999</v>
      </c>
      <c r="E1770" s="504" t="n">
        <v>-2.3</v>
      </c>
      <c r="F1770" s="505" t="n">
        <v>-2.42</v>
      </c>
      <c r="G1770" t="inlineStr">
        <is>
          <t>1682萬</t>
        </is>
      </c>
      <c r="H1770" t="n">
        <v>182</v>
      </c>
      <c r="I1770" t="n">
        <v>178</v>
      </c>
      <c r="J1770" t="n">
        <v>3.1</v>
      </c>
      <c r="K1770" t="n">
        <v>94.90000000000001</v>
      </c>
      <c r="L1770" t="n">
        <v>91.09999999999999</v>
      </c>
      <c r="M1770" s="175" t="n">
        <v>0.59</v>
      </c>
      <c r="N1770" t="inlineStr">
        <is>
          <t>台灣NVM MTP IP供應商</t>
        </is>
      </c>
    </row>
    <row r="1771">
      <c r="A1771" t="n">
        <v>6425</v>
      </c>
      <c r="B1771" t="inlineStr">
        <is>
          <t>易發</t>
        </is>
      </c>
      <c r="C1771" t="n">
        <v>93</v>
      </c>
      <c r="D1771" t="n">
        <v>88.09999999999999</v>
      </c>
      <c r="E1771" s="504" t="n">
        <v>-4.9</v>
      </c>
      <c r="F1771" s="505" t="n">
        <v>-5.27</v>
      </c>
      <c r="G1771" t="inlineStr">
        <is>
          <t>2.12億</t>
        </is>
      </c>
      <c r="H1771" t="n">
        <v>2369</v>
      </c>
      <c r="I1771" t="n">
        <v>5756</v>
      </c>
      <c r="J1771" t="n">
        <v>5.08</v>
      </c>
      <c r="K1771" t="n">
        <v>93</v>
      </c>
      <c r="L1771" t="n">
        <v>87.59999999999999</v>
      </c>
      <c r="M1771" s="175" t="n">
        <v>4.65</v>
      </c>
      <c r="N1771" t="inlineStr">
        <is>
          <t>深耕面板製程設備，並跨足半導體及動力電池設備之廠商</t>
        </is>
      </c>
    </row>
    <row r="1772">
      <c r="A1772" t="n">
        <v>6426</v>
      </c>
      <c r="B1772" t="inlineStr">
        <is>
          <t>統新</t>
        </is>
      </c>
      <c r="C1772" t="n">
        <v>271</v>
      </c>
      <c r="D1772" t="n">
        <v>259</v>
      </c>
      <c r="E1772" s="504" t="n">
        <v>-8</v>
      </c>
      <c r="F1772" s="505" t="n">
        <v>-3</v>
      </c>
      <c r="G1772" t="inlineStr">
        <is>
          <t>3.52億</t>
        </is>
      </c>
      <c r="H1772" t="n">
        <v>1339</v>
      </c>
      <c r="I1772" t="n">
        <v>2092</v>
      </c>
      <c r="J1772" t="n">
        <v>3.85</v>
      </c>
      <c r="K1772" t="n">
        <v>277</v>
      </c>
      <c r="L1772" t="n">
        <v>250.5</v>
      </c>
      <c r="M1772" s="175" t="n">
        <v>3.48</v>
      </c>
      <c r="N1772" t="inlineStr">
        <is>
          <t>台灣光通訊元件濾光片廠商</t>
        </is>
      </c>
    </row>
    <row r="1773">
      <c r="A1773" t="n">
        <v>6431</v>
      </c>
      <c r="B1773" t="inlineStr">
        <is>
          <t>光麗-KY</t>
        </is>
      </c>
      <c r="C1773" t="n">
        <v>19.25</v>
      </c>
      <c r="D1773" t="n">
        <v>18.65</v>
      </c>
      <c r="E1773" s="504" t="n">
        <v>-0.2</v>
      </c>
      <c r="F1773" s="505" t="n">
        <v>-1.06</v>
      </c>
      <c r="G1773" t="inlineStr">
        <is>
          <t>165萬</t>
        </is>
      </c>
      <c r="H1773" t="n">
        <v>90</v>
      </c>
      <c r="I1773" t="n">
        <v>157</v>
      </c>
      <c r="J1773" t="n">
        <v>8.609999999999999</v>
      </c>
      <c r="K1773" t="n">
        <v>19.25</v>
      </c>
      <c r="L1773" t="n">
        <v>18.15</v>
      </c>
      <c r="M1773" s="175" t="n">
        <v>0.18</v>
      </c>
      <c r="N1773" t="inlineStr">
        <is>
          <t>美妝保養品代工廠商</t>
        </is>
      </c>
    </row>
    <row r="1774">
      <c r="A1774" t="n">
        <v>6432</v>
      </c>
      <c r="B1774" t="inlineStr">
        <is>
          <t>今展科</t>
        </is>
      </c>
      <c r="C1774" t="n">
        <v>67</v>
      </c>
      <c r="D1774" t="n">
        <v>66</v>
      </c>
      <c r="E1774" s="504" t="n">
        <v>-2.1</v>
      </c>
      <c r="F1774" s="505" t="n">
        <v>-3.08</v>
      </c>
      <c r="G1774" t="inlineStr">
        <is>
          <t>1.99億</t>
        </is>
      </c>
      <c r="H1774" t="n">
        <v>3072</v>
      </c>
      <c r="I1774" t="n">
        <v>5145</v>
      </c>
      <c r="J1774" t="n">
        <v>3.44</v>
      </c>
      <c r="K1774" t="n">
        <v>67.40000000000001</v>
      </c>
      <c r="L1774" t="n">
        <v>63</v>
      </c>
      <c r="M1774" s="175" t="n">
        <v>8.94</v>
      </c>
      <c r="N1774" t="inlineStr">
        <is>
          <t>專業之電感供應商</t>
        </is>
      </c>
    </row>
    <row r="1775">
      <c r="A1775" t="n">
        <v>6435</v>
      </c>
      <c r="B1775" t="inlineStr">
        <is>
          <t>大中</t>
        </is>
      </c>
      <c r="C1775" t="n">
        <v>291.5</v>
      </c>
      <c r="D1775" t="n">
        <v>287</v>
      </c>
      <c r="E1775" s="504" t="n">
        <v>-2</v>
      </c>
      <c r="F1775" s="505" t="n">
        <v>-0.6899999999999999</v>
      </c>
      <c r="G1775" t="inlineStr">
        <is>
          <t>2.14億</t>
        </is>
      </c>
      <c r="H1775" t="n">
        <v>765</v>
      </c>
      <c r="I1775" t="n">
        <v>1681</v>
      </c>
      <c r="J1775" t="n">
        <v>3.75</v>
      </c>
      <c r="K1775" t="n">
        <v>291.5</v>
      </c>
      <c r="L1775" t="n">
        <v>275</v>
      </c>
      <c r="M1775" s="175" t="n">
        <v>2.04</v>
      </c>
      <c r="N1775" t="inlineStr">
        <is>
          <t>茂達旗下的功率半導體元件公司</t>
        </is>
      </c>
    </row>
    <row r="1776">
      <c r="A1776" t="n">
        <v>6438</v>
      </c>
      <c r="B1776" t="inlineStr">
        <is>
          <t>迅得</t>
        </is>
      </c>
      <c r="C1776" t="n">
        <v>170</v>
      </c>
      <c r="D1776" t="n">
        <v>164</v>
      </c>
      <c r="E1776" s="504" t="n">
        <v>-8.5</v>
      </c>
      <c r="F1776" s="505" t="n">
        <v>-4.93</v>
      </c>
      <c r="G1776" t="inlineStr">
        <is>
          <t>3.10億</t>
        </is>
      </c>
      <c r="H1776" t="n">
        <v>1877</v>
      </c>
      <c r="I1776" t="n">
        <v>1589</v>
      </c>
      <c r="J1776" t="n">
        <v>8.220000000000001</v>
      </c>
      <c r="K1776" t="n">
        <v>170.5</v>
      </c>
      <c r="L1776" t="n">
        <v>162.5</v>
      </c>
      <c r="M1776" s="175" t="n">
        <v>2.28</v>
      </c>
      <c r="N1776" t="inlineStr">
        <is>
          <t>主要為PCB相關之自動化設備供應商</t>
        </is>
      </c>
    </row>
    <row r="1777">
      <c r="A1777" t="n">
        <v>6441</v>
      </c>
      <c r="B1777" t="inlineStr">
        <is>
          <t>廣錠</t>
        </is>
      </c>
      <c r="C1777" t="n">
        <v>24.3</v>
      </c>
      <c r="D1777" t="n">
        <v>24</v>
      </c>
      <c r="E1777" s="504" t="n">
        <v>-0.3</v>
      </c>
      <c r="F1777" s="505" t="n">
        <v>-1.23</v>
      </c>
      <c r="G1777" t="inlineStr">
        <is>
          <t>493萬</t>
        </is>
      </c>
      <c r="H1777" t="n">
        <v>206</v>
      </c>
      <c r="I1777" t="n">
        <v>501</v>
      </c>
      <c r="J1777" t="n">
        <v>5.33</v>
      </c>
      <c r="K1777" t="n">
        <v>24.3</v>
      </c>
      <c r="L1777" t="n">
        <v>23.75</v>
      </c>
      <c r="M1777" s="175" t="n">
        <v>0.39</v>
      </c>
      <c r="N1777" t="inlineStr">
        <is>
          <t>廣積旗下博奕機台兼儲能系統公司</t>
        </is>
      </c>
    </row>
    <row r="1778">
      <c r="A1778" t="n">
        <v>6442</v>
      </c>
      <c r="B1778" t="inlineStr">
        <is>
          <t>光聖</t>
        </is>
      </c>
      <c r="C1778" t="n">
        <v>1925</v>
      </c>
      <c r="D1778" t="n">
        <v>1880</v>
      </c>
      <c r="E1778" s="504" t="n">
        <v>-5</v>
      </c>
      <c r="F1778" s="505" t="n">
        <v>-0.27</v>
      </c>
      <c r="G1778" t="inlineStr">
        <is>
          <t>44.4億</t>
        </is>
      </c>
      <c r="H1778" t="n">
        <v>2346</v>
      </c>
      <c r="I1778" t="n">
        <v>4609</v>
      </c>
      <c r="J1778" t="n">
        <v>8.15</v>
      </c>
      <c r="K1778" t="n">
        <v>1960</v>
      </c>
      <c r="L1778" t="n">
        <v>1860</v>
      </c>
      <c r="M1778" s="175" t="n">
        <v>3</v>
      </c>
      <c r="N1778" t="inlineStr">
        <is>
          <t>台灣光通訊元件製造商</t>
        </is>
      </c>
    </row>
    <row r="1779">
      <c r="A1779" t="n">
        <v>6443</v>
      </c>
      <c r="B1779" t="inlineStr">
        <is>
          <t>元晶</t>
        </is>
      </c>
      <c r="C1779" t="n">
        <v>42.65</v>
      </c>
      <c r="D1779" t="n">
        <v>42.55</v>
      </c>
      <c r="E1779" s="504" t="n">
        <v>0.45</v>
      </c>
      <c r="F1779" s="505" t="n">
        <v>1.07</v>
      </c>
      <c r="G1779" t="inlineStr">
        <is>
          <t>13.1億</t>
        </is>
      </c>
      <c r="H1779" t="n">
        <v>30941</v>
      </c>
      <c r="I1779" t="n">
        <v>23667</v>
      </c>
      <c r="J1779" t="n">
        <v>51.28</v>
      </c>
      <c r="K1779" t="n">
        <v>43.5</v>
      </c>
      <c r="L1779" t="n">
        <v>40.9</v>
      </c>
      <c r="M1779" s="175" t="n">
        <v>6.03</v>
      </c>
      <c r="N1779" t="inlineStr">
        <is>
          <t>台灣太陽能模組龍頭廠</t>
        </is>
      </c>
    </row>
    <row r="1780">
      <c r="A1780" t="n">
        <v>6446</v>
      </c>
      <c r="B1780" t="inlineStr">
        <is>
          <t>藥華藥</t>
        </is>
      </c>
      <c r="C1780" t="n">
        <v>962</v>
      </c>
      <c r="D1780" t="n">
        <v>902</v>
      </c>
      <c r="E1780" s="504" t="n">
        <v>-60</v>
      </c>
      <c r="F1780" s="505" t="n">
        <v>-6.24</v>
      </c>
      <c r="G1780" t="inlineStr">
        <is>
          <t>35.6億</t>
        </is>
      </c>
      <c r="H1780" t="n">
        <v>3880</v>
      </c>
      <c r="I1780" t="n">
        <v>3832</v>
      </c>
      <c r="J1780" t="n">
        <v>37.99</v>
      </c>
      <c r="K1780" t="n">
        <v>965</v>
      </c>
      <c r="L1780" t="n">
        <v>900</v>
      </c>
      <c r="M1780" s="175" t="n">
        <v>1.02</v>
      </c>
      <c r="N1780" t="inlineStr">
        <is>
          <t>罕見真性紅血球增生症藥物研發廠商</t>
        </is>
      </c>
    </row>
    <row r="1781">
      <c r="A1781" t="n">
        <v>6449</v>
      </c>
      <c r="B1781" t="inlineStr">
        <is>
          <t>鈺邦</t>
        </is>
      </c>
      <c r="C1781" t="n">
        <v>402</v>
      </c>
      <c r="D1781" t="n">
        <v>372</v>
      </c>
      <c r="E1781" s="504" t="n">
        <v>-39</v>
      </c>
      <c r="F1781" s="505" t="n">
        <v>-9.49</v>
      </c>
      <c r="G1781" t="inlineStr">
        <is>
          <t>3.45億</t>
        </is>
      </c>
      <c r="H1781" t="n">
        <v>919</v>
      </c>
      <c r="I1781" t="n">
        <v>569</v>
      </c>
      <c r="J1781" t="n">
        <v>9.19</v>
      </c>
      <c r="K1781" t="n">
        <v>402</v>
      </c>
      <c r="L1781" t="n">
        <v>370</v>
      </c>
      <c r="M1781" s="175" t="n">
        <v>1</v>
      </c>
      <c r="N1781" t="inlineStr">
        <is>
          <t>全球前三大固態電容廠之一</t>
        </is>
      </c>
    </row>
    <row r="1782">
      <c r="A1782" t="n">
        <v>6451</v>
      </c>
      <c r="B1782" t="inlineStr">
        <is>
          <t>訊芯-KY</t>
        </is>
      </c>
      <c r="C1782" t="n">
        <v>656</v>
      </c>
      <c r="D1782" t="n">
        <v>659</v>
      </c>
      <c r="E1782" s="504" t="n">
        <v>32</v>
      </c>
      <c r="F1782" s="505" t="n">
        <v>5.1</v>
      </c>
      <c r="G1782" t="inlineStr">
        <is>
          <t>71.0億</t>
        </is>
      </c>
      <c r="H1782" t="n">
        <v>10518</v>
      </c>
      <c r="I1782" t="n">
        <v>6469</v>
      </c>
      <c r="J1782" t="n">
        <v>11.22</v>
      </c>
      <c r="K1782" t="n">
        <v>689</v>
      </c>
      <c r="L1782" t="n">
        <v>645</v>
      </c>
      <c r="M1782" s="175" t="n">
        <v>9.68</v>
      </c>
      <c r="N1782" t="inlineStr">
        <is>
          <t>鴻海集團轉投資系統模組封裝廠</t>
        </is>
      </c>
    </row>
    <row r="1783">
      <c r="A1783" t="n">
        <v>6456</v>
      </c>
      <c r="B1783" t="inlineStr">
        <is>
          <t>GIS-KY</t>
        </is>
      </c>
      <c r="C1783" t="n">
        <v>84</v>
      </c>
      <c r="D1783" t="n">
        <v>82.90000000000001</v>
      </c>
      <c r="E1783" s="504" t="n">
        <v>-1</v>
      </c>
      <c r="F1783" s="505" t="n">
        <v>-1.19</v>
      </c>
      <c r="G1783" t="inlineStr">
        <is>
          <t>20.7億</t>
        </is>
      </c>
      <c r="H1783" t="n">
        <v>25151</v>
      </c>
      <c r="I1783" t="n">
        <v>29459</v>
      </c>
      <c r="J1783" t="n">
        <v>33.79</v>
      </c>
      <c r="K1783" t="n">
        <v>86.40000000000001</v>
      </c>
      <c r="L1783" t="n">
        <v>79.90000000000001</v>
      </c>
      <c r="M1783" s="175" t="n">
        <v>7.44</v>
      </c>
      <c r="N1783" t="inlineStr">
        <is>
          <t>鴻海集團旗下觸控面板模組廠</t>
        </is>
      </c>
    </row>
    <row r="1784">
      <c r="A1784" t="n">
        <v>6461</v>
      </c>
      <c r="B1784" t="inlineStr">
        <is>
          <t>益得</t>
        </is>
      </c>
      <c r="C1784" t="n">
        <v>16.4</v>
      </c>
      <c r="D1784" t="n">
        <v>16.8</v>
      </c>
      <c r="E1784" s="504" t="n">
        <v>1.5</v>
      </c>
      <c r="F1784" s="505" t="n">
        <v>9.800000000000001</v>
      </c>
      <c r="G1784" t="inlineStr">
        <is>
          <t>532萬</t>
        </is>
      </c>
      <c r="H1784" t="n">
        <v>322</v>
      </c>
      <c r="I1784" t="n">
        <v>244</v>
      </c>
      <c r="J1784" t="n">
        <v>17.84</v>
      </c>
      <c r="K1784" t="n">
        <v>16.8</v>
      </c>
      <c r="L1784" t="n">
        <v>15.85</v>
      </c>
      <c r="M1784" s="175" t="n">
        <v>0.18</v>
      </c>
      <c r="N1784" t="inlineStr">
        <is>
          <t>健喬旗下哮喘定量噴霧吸入劑研發廠</t>
        </is>
      </c>
    </row>
    <row r="1785">
      <c r="A1785" t="n">
        <v>6462</v>
      </c>
      <c r="B1785" t="inlineStr">
        <is>
          <t>神盾</t>
        </is>
      </c>
      <c r="C1785" t="n">
        <v>123</v>
      </c>
      <c r="D1785" t="n">
        <v>122.5</v>
      </c>
      <c r="E1785" s="504" t="n">
        <v>-0.5</v>
      </c>
      <c r="F1785" s="505" t="n">
        <v>-0.41</v>
      </c>
      <c r="G1785" t="inlineStr">
        <is>
          <t>2.78億</t>
        </is>
      </c>
      <c r="H1785" t="n">
        <v>2263</v>
      </c>
      <c r="I1785" t="n">
        <v>4656</v>
      </c>
      <c r="J1785" t="n">
        <v>9.130000000000001</v>
      </c>
      <c r="K1785" t="n">
        <v>125</v>
      </c>
      <c r="L1785" t="n">
        <v>121</v>
      </c>
      <c r="M1785" s="175" t="n">
        <v>2.48</v>
      </c>
      <c r="N1785" t="inlineStr">
        <is>
          <t>台灣指紋辨識晶片龍頭</t>
        </is>
      </c>
    </row>
    <row r="1786">
      <c r="A1786" t="n">
        <v>6464</v>
      </c>
      <c r="B1786" t="inlineStr">
        <is>
          <t>台數科</t>
        </is>
      </c>
      <c r="C1786" t="n">
        <v>78</v>
      </c>
      <c r="D1786" t="n">
        <v>78</v>
      </c>
      <c r="E1786" s="504" t="n">
        <v>0</v>
      </c>
      <c r="F1786" s="505" t="n">
        <v>0</v>
      </c>
      <c r="G1786" t="inlineStr">
        <is>
          <t>39.0萬</t>
        </is>
      </c>
      <c r="H1786" t="n">
        <v>5</v>
      </c>
      <c r="I1786" t="n">
        <v>62</v>
      </c>
      <c r="J1786" t="n">
        <v>12.88</v>
      </c>
      <c r="K1786" t="n">
        <v>78</v>
      </c>
      <c r="L1786" t="n">
        <v>77.90000000000001</v>
      </c>
      <c r="M1786" s="175" t="n">
        <v>0</v>
      </c>
      <c r="N1786" t="inlineStr">
        <is>
          <t>台灣唯一由本土有線電視業者成立的多系統經營者</t>
        </is>
      </c>
    </row>
    <row r="1787">
      <c r="A1787" t="n">
        <v>6465</v>
      </c>
      <c r="B1787" t="inlineStr">
        <is>
          <t>威潤</t>
        </is>
      </c>
      <c r="C1787" t="n">
        <v>49.35</v>
      </c>
      <c r="D1787" t="n">
        <v>50.2</v>
      </c>
      <c r="E1787" s="504" t="n">
        <v>1.75</v>
      </c>
      <c r="F1787" s="505" t="n">
        <v>3.61</v>
      </c>
      <c r="G1787" t="inlineStr">
        <is>
          <t>1364萬</t>
        </is>
      </c>
      <c r="H1787" t="n">
        <v>277</v>
      </c>
      <c r="I1787" t="n">
        <v>359</v>
      </c>
      <c r="J1787" t="n">
        <v>4.71</v>
      </c>
      <c r="K1787" t="n">
        <v>50.8</v>
      </c>
      <c r="L1787" t="n">
        <v>48</v>
      </c>
      <c r="M1787" s="175" t="n">
        <v>0.59</v>
      </c>
      <c r="N1787" t="inlineStr">
        <is>
          <t>以自有品牌「ATrack」行銷衛星定位監控系統廠商</t>
        </is>
      </c>
    </row>
    <row r="1788">
      <c r="A1788" t="n">
        <v>6469</v>
      </c>
      <c r="B1788" t="inlineStr">
        <is>
          <t>大樹</t>
        </is>
      </c>
      <c r="C1788" t="n">
        <v>71.5</v>
      </c>
      <c r="D1788" t="n">
        <v>72.5</v>
      </c>
      <c r="E1788" s="504" t="n">
        <v>1</v>
      </c>
      <c r="F1788" s="505" t="n">
        <v>1.4</v>
      </c>
      <c r="G1788" t="inlineStr">
        <is>
          <t>4352萬</t>
        </is>
      </c>
      <c r="H1788" t="n">
        <v>607</v>
      </c>
      <c r="I1788" t="n">
        <v>606</v>
      </c>
      <c r="J1788" t="n">
        <v>15.01</v>
      </c>
      <c r="K1788" t="n">
        <v>72.5</v>
      </c>
      <c r="L1788" t="n">
        <v>71</v>
      </c>
      <c r="M1788" s="175" t="n">
        <v>0.4</v>
      </c>
      <c r="N1788" t="inlineStr">
        <is>
          <t>台灣連鎖藥局龍頭</t>
        </is>
      </c>
    </row>
    <row r="1789">
      <c r="A1789" t="n">
        <v>6470</v>
      </c>
      <c r="B1789" t="inlineStr">
        <is>
          <t>宇智</t>
        </is>
      </c>
      <c r="C1789" t="n">
        <v>49.2</v>
      </c>
      <c r="D1789" t="n">
        <v>49.55</v>
      </c>
      <c r="E1789" s="504" t="n">
        <v>0.6</v>
      </c>
      <c r="F1789" s="505" t="n">
        <v>1.23</v>
      </c>
      <c r="G1789" t="inlineStr">
        <is>
          <t>726萬</t>
        </is>
      </c>
      <c r="H1789" t="n">
        <v>148</v>
      </c>
      <c r="I1789" t="n">
        <v>111</v>
      </c>
      <c r="J1789" t="n">
        <v>3.77</v>
      </c>
      <c r="K1789" t="n">
        <v>49.8</v>
      </c>
      <c r="L1789" t="n">
        <v>48.5</v>
      </c>
      <c r="M1789" s="175" t="n">
        <v>0.39</v>
      </c>
      <c r="N1789" t="inlineStr">
        <is>
          <t>無線網路設備廠商</t>
        </is>
      </c>
    </row>
    <row r="1790">
      <c r="A1790" t="n">
        <v>6472</v>
      </c>
      <c r="B1790" t="inlineStr">
        <is>
          <t>保瑞</t>
        </is>
      </c>
      <c r="C1790" t="n">
        <v>356.5</v>
      </c>
      <c r="D1790" t="n">
        <v>350</v>
      </c>
      <c r="E1790" s="504" t="n">
        <v>-6.5</v>
      </c>
      <c r="F1790" s="505" t="n">
        <v>-1.82</v>
      </c>
      <c r="G1790" t="inlineStr">
        <is>
          <t>2.41億</t>
        </is>
      </c>
      <c r="H1790" t="n">
        <v>685</v>
      </c>
      <c r="I1790" t="n">
        <v>1314</v>
      </c>
      <c r="J1790" t="n">
        <v>12.8</v>
      </c>
      <c r="K1790" t="n">
        <v>362</v>
      </c>
      <c r="L1790" t="n">
        <v>348</v>
      </c>
      <c r="M1790" s="175" t="n">
        <v>0.54</v>
      </c>
      <c r="N1790" t="inlineStr">
        <is>
          <t>台灣最大CDMO代工廠，且為利基學名藥研發公司</t>
        </is>
      </c>
    </row>
    <row r="1791">
      <c r="A1791" t="n">
        <v>6474</v>
      </c>
      <c r="B1791" t="inlineStr">
        <is>
          <t>華豫寧</t>
        </is>
      </c>
      <c r="C1791" t="n">
        <v>38.2</v>
      </c>
      <c r="D1791" t="n">
        <v>38.35</v>
      </c>
      <c r="E1791" s="504" t="n">
        <v>0.5</v>
      </c>
      <c r="F1791" s="505" t="n">
        <v>1.32</v>
      </c>
      <c r="G1791" t="inlineStr">
        <is>
          <t>390萬</t>
        </is>
      </c>
      <c r="H1791" t="n">
        <v>102</v>
      </c>
      <c r="I1791" t="n">
        <v>88</v>
      </c>
      <c r="J1791" t="n">
        <v>5.25</v>
      </c>
      <c r="K1791" t="n">
        <v>39.1</v>
      </c>
      <c r="L1791" t="n">
        <v>37.9</v>
      </c>
      <c r="M1791" s="175" t="n">
        <v>0.19</v>
      </c>
      <c r="N1791" t="inlineStr">
        <is>
          <t>主要代理MCU及電子鎖廠商</t>
        </is>
      </c>
    </row>
    <row r="1792">
      <c r="A1792" t="n">
        <v>6477</v>
      </c>
      <c r="B1792" t="inlineStr">
        <is>
          <t>安集</t>
        </is>
      </c>
      <c r="C1792" t="n">
        <v>34.3</v>
      </c>
      <c r="D1792" t="n">
        <v>33.65</v>
      </c>
      <c r="E1792" s="504" t="n">
        <v>-0.6</v>
      </c>
      <c r="F1792" s="505" t="n">
        <v>-1.75</v>
      </c>
      <c r="G1792" t="inlineStr">
        <is>
          <t>2794萬</t>
        </is>
      </c>
      <c r="H1792" t="n">
        <v>830</v>
      </c>
      <c r="I1792" t="n">
        <v>642</v>
      </c>
      <c r="J1792" t="n">
        <v>12.38</v>
      </c>
      <c r="K1792" t="n">
        <v>34.55</v>
      </c>
      <c r="L1792" t="n">
        <v>33.2</v>
      </c>
      <c r="M1792" s="175" t="n">
        <v>0.67</v>
      </c>
      <c r="N1792" t="inlineStr">
        <is>
          <t>台灣太陽能電池模組製造商</t>
        </is>
      </c>
    </row>
    <row r="1793">
      <c r="A1793" t="n">
        <v>6482</v>
      </c>
      <c r="B1793" t="inlineStr">
        <is>
          <t>弘煜科</t>
        </is>
      </c>
      <c r="C1793" t="n">
        <v>28.65</v>
      </c>
      <c r="D1793" t="n">
        <v>29.95</v>
      </c>
      <c r="E1793" s="504" t="n">
        <v>1.35</v>
      </c>
      <c r="F1793" s="505" t="n">
        <v>4.72</v>
      </c>
      <c r="G1793" t="inlineStr">
        <is>
          <t>120萬</t>
        </is>
      </c>
      <c r="H1793" t="n">
        <v>40</v>
      </c>
      <c r="I1793" t="n">
        <v>20</v>
      </c>
      <c r="J1793" t="n">
        <v>2.86</v>
      </c>
      <c r="K1793" t="n">
        <v>31</v>
      </c>
      <c r="L1793" t="n">
        <v>28.65</v>
      </c>
      <c r="M1793" s="175" t="n">
        <v>0.14</v>
      </c>
      <c r="N1793" t="inlineStr">
        <is>
          <t>智冠、宇峻轉投資的網頁及手機遊戲廠</t>
        </is>
      </c>
    </row>
    <row r="1794">
      <c r="A1794" t="n">
        <v>6485</v>
      </c>
      <c r="B1794" t="inlineStr">
        <is>
          <t>點序</t>
        </is>
      </c>
      <c r="C1794" t="n">
        <v>117</v>
      </c>
      <c r="D1794" t="n">
        <v>116.5</v>
      </c>
      <c r="E1794" s="504" t="n">
        <v>1</v>
      </c>
      <c r="F1794" s="505" t="n">
        <v>0.87</v>
      </c>
      <c r="G1794" t="inlineStr">
        <is>
          <t>10.8億</t>
        </is>
      </c>
      <c r="H1794" t="n">
        <v>9172</v>
      </c>
      <c r="I1794" t="n">
        <v>3626</v>
      </c>
      <c r="J1794" t="n">
        <v>4.74</v>
      </c>
      <c r="K1794" t="n">
        <v>123</v>
      </c>
      <c r="L1794" t="n">
        <v>112</v>
      </c>
      <c r="M1794" s="175" t="n">
        <v>19.36</v>
      </c>
      <c r="N1794" t="inlineStr">
        <is>
          <t>金士頓轉投資之快閃記憶體控制IC設計廠商</t>
        </is>
      </c>
    </row>
    <row r="1795">
      <c r="A1795" t="n">
        <v>6486</v>
      </c>
      <c r="B1795" t="inlineStr">
        <is>
          <t>互動</t>
        </is>
      </c>
      <c r="C1795" t="n">
        <v>82.5</v>
      </c>
      <c r="D1795" t="n">
        <v>82.59999999999999</v>
      </c>
      <c r="E1795" s="504" t="n">
        <v>0.1</v>
      </c>
      <c r="F1795" s="505" t="n">
        <v>0.12</v>
      </c>
      <c r="G1795" t="inlineStr">
        <is>
          <t>924萬</t>
        </is>
      </c>
      <c r="H1795" t="n">
        <v>112</v>
      </c>
      <c r="I1795" t="n">
        <v>130</v>
      </c>
      <c r="J1795" t="n">
        <v>5.09</v>
      </c>
      <c r="K1795" t="n">
        <v>83</v>
      </c>
      <c r="L1795" t="n">
        <v>82.2</v>
      </c>
      <c r="M1795" s="175" t="n">
        <v>0.22</v>
      </c>
      <c r="N1795" t="inlineStr">
        <is>
          <t>仲琦旗下電信寬頻網路系統整合規劃廠商</t>
        </is>
      </c>
    </row>
    <row r="1796">
      <c r="A1796" t="n">
        <v>6488</v>
      </c>
      <c r="B1796" t="inlineStr">
        <is>
          <t>環球晶</t>
        </is>
      </c>
      <c r="C1796" t="n">
        <v>951</v>
      </c>
      <c r="D1796" t="n">
        <v>940</v>
      </c>
      <c r="E1796" s="504" t="n">
        <v>-10</v>
      </c>
      <c r="F1796" s="505" t="n">
        <v>-1.05</v>
      </c>
      <c r="G1796" t="inlineStr">
        <is>
          <t>19.1億</t>
        </is>
      </c>
      <c r="H1796" t="n">
        <v>2018</v>
      </c>
      <c r="I1796" t="n">
        <v>14469</v>
      </c>
      <c r="J1796" t="n">
        <v>47.81</v>
      </c>
      <c r="K1796" t="n">
        <v>967</v>
      </c>
      <c r="L1796" t="n">
        <v>923</v>
      </c>
      <c r="M1796" s="175" t="n">
        <v>0.42</v>
      </c>
      <c r="N1796" t="inlineStr">
        <is>
          <t>全球第三大、台灣最大的矽晶圓廠商，從中美晶分割成立</t>
        </is>
      </c>
    </row>
    <row r="1797">
      <c r="A1797" t="n">
        <v>6491</v>
      </c>
      <c r="B1797" t="inlineStr">
        <is>
          <t>晶碩</t>
        </is>
      </c>
      <c r="C1797" t="n">
        <v>325</v>
      </c>
      <c r="D1797" t="n">
        <v>324.5</v>
      </c>
      <c r="E1797" s="504" t="n">
        <v>2</v>
      </c>
      <c r="F1797" s="505" t="n">
        <v>0.62</v>
      </c>
      <c r="G1797" t="inlineStr">
        <is>
          <t>1.05億</t>
        </is>
      </c>
      <c r="H1797" t="n">
        <v>326</v>
      </c>
      <c r="I1797" t="n">
        <v>705</v>
      </c>
      <c r="J1797" t="n">
        <v>7.8</v>
      </c>
      <c r="K1797" t="n">
        <v>325</v>
      </c>
      <c r="L1797" t="n">
        <v>320</v>
      </c>
      <c r="M1797" s="175" t="n">
        <v>0.42</v>
      </c>
      <c r="N1797" t="inlineStr">
        <is>
          <t>和碩集團旗下隱形眼鏡公司</t>
        </is>
      </c>
    </row>
    <row r="1798">
      <c r="A1798" t="n">
        <v>6492</v>
      </c>
      <c r="B1798" t="inlineStr">
        <is>
          <t>生華科</t>
        </is>
      </c>
      <c r="C1798" t="n">
        <v>45</v>
      </c>
      <c r="D1798" t="n">
        <v>43.9</v>
      </c>
      <c r="E1798" s="504" t="n">
        <v>-1.25</v>
      </c>
      <c r="F1798" s="505" t="n">
        <v>-2.77</v>
      </c>
      <c r="G1798" t="inlineStr">
        <is>
          <t>1225萬</t>
        </is>
      </c>
      <c r="H1798" t="n">
        <v>280</v>
      </c>
      <c r="I1798" t="n">
        <v>276</v>
      </c>
      <c r="J1798" t="n">
        <v>8.99</v>
      </c>
      <c r="K1798" t="n">
        <v>45</v>
      </c>
      <c r="L1798" t="n">
        <v>43.5</v>
      </c>
      <c r="M1798" s="175" t="n">
        <v>0.31</v>
      </c>
      <c r="N1798" t="inlineStr">
        <is>
          <t>小分子抗癌新藥研發廠</t>
        </is>
      </c>
    </row>
    <row r="1799">
      <c r="A1799" t="n">
        <v>6494</v>
      </c>
      <c r="B1799" t="inlineStr">
        <is>
          <t>九齊</t>
        </is>
      </c>
      <c r="C1799" t="n">
        <v>57.2</v>
      </c>
      <c r="D1799" t="n">
        <v>57</v>
      </c>
      <c r="E1799" s="504" t="n">
        <v>-0.2</v>
      </c>
      <c r="F1799" s="505" t="n">
        <v>-0.35</v>
      </c>
      <c r="G1799" t="inlineStr">
        <is>
          <t>1467萬</t>
        </is>
      </c>
      <c r="H1799" t="n">
        <v>260</v>
      </c>
      <c r="I1799" t="n">
        <v>477</v>
      </c>
      <c r="J1799" t="n">
        <v>3.16</v>
      </c>
      <c r="K1799" t="n">
        <v>57.4</v>
      </c>
      <c r="L1799" t="n">
        <v>55.7</v>
      </c>
      <c r="M1799" s="175" t="n">
        <v>0.82</v>
      </c>
      <c r="N1799" t="inlineStr">
        <is>
          <t>新唐轉投資的語音控制IC及MCU設計公司</t>
        </is>
      </c>
    </row>
    <row r="1800">
      <c r="A1800" t="n">
        <v>6496</v>
      </c>
      <c r="B1800" t="inlineStr">
        <is>
          <t>科懋</t>
        </is>
      </c>
      <c r="C1800" t="n">
        <v>24.1</v>
      </c>
      <c r="D1800" t="n">
        <v>23.8</v>
      </c>
      <c r="E1800" s="504" t="n">
        <v>-0.3</v>
      </c>
      <c r="F1800" s="505" t="n">
        <v>-1.24</v>
      </c>
      <c r="G1800" t="inlineStr">
        <is>
          <t>21.6萬</t>
        </is>
      </c>
      <c r="H1800" t="n">
        <v>9</v>
      </c>
      <c r="I1800" t="n">
        <v>30</v>
      </c>
      <c r="J1800" t="n">
        <v>4.74</v>
      </c>
      <c r="K1800" t="n">
        <v>24.1</v>
      </c>
      <c r="L1800" t="n">
        <v>23.8</v>
      </c>
      <c r="M1800" s="175" t="n">
        <v>0.02</v>
      </c>
      <c r="N1800" t="inlineStr">
        <is>
          <t>代理藥品及檢驗試劑，並開發解毒劑之公司</t>
        </is>
      </c>
    </row>
    <row r="1801">
      <c r="A1801" t="n">
        <v>6498</v>
      </c>
      <c r="B1801" t="inlineStr">
        <is>
          <t>久禾光</t>
        </is>
      </c>
      <c r="C1801" t="n">
        <v>108</v>
      </c>
      <c r="D1801" t="n">
        <v>103.5</v>
      </c>
      <c r="E1801" s="504" t="n">
        <v>-2</v>
      </c>
      <c r="F1801" s="505" t="n">
        <v>-1.9</v>
      </c>
      <c r="G1801" t="inlineStr">
        <is>
          <t>2523萬</t>
        </is>
      </c>
      <c r="H1801" t="n">
        <v>243</v>
      </c>
      <c r="I1801" t="n">
        <v>243</v>
      </c>
      <c r="J1801" t="n">
        <v>4.72</v>
      </c>
      <c r="K1801" t="n">
        <v>108</v>
      </c>
      <c r="L1801" t="n">
        <v>101</v>
      </c>
      <c r="M1801" s="175" t="n">
        <v>0.52</v>
      </c>
      <c r="N1801" t="inlineStr">
        <is>
          <t>台灣光學塑膠鏡片、鏡頭及模組製造商</t>
        </is>
      </c>
    </row>
    <row r="1802">
      <c r="A1802" t="n">
        <v>6499</v>
      </c>
      <c r="B1802" t="inlineStr">
        <is>
          <t>益安</t>
        </is>
      </c>
      <c r="C1802" t="n">
        <v>82.5</v>
      </c>
      <c r="D1802" t="n">
        <v>83.5</v>
      </c>
      <c r="E1802" s="504" t="n">
        <v>0.2</v>
      </c>
      <c r="F1802" s="505" t="n">
        <v>0.24</v>
      </c>
      <c r="G1802" t="inlineStr">
        <is>
          <t>4436萬</t>
        </is>
      </c>
      <c r="H1802" t="n">
        <v>534</v>
      </c>
      <c r="I1802" t="n">
        <v>524</v>
      </c>
      <c r="J1802" t="n">
        <v>9.69</v>
      </c>
      <c r="K1802" t="n">
        <v>85.40000000000001</v>
      </c>
      <c r="L1802" t="n">
        <v>81.90000000000001</v>
      </c>
      <c r="M1802" s="175" t="n">
        <v>0.55</v>
      </c>
      <c r="N1802" t="inlineStr">
        <is>
          <t>內視鏡、心導管及手術用侵入性設備研發廠商</t>
        </is>
      </c>
    </row>
    <row r="1803">
      <c r="A1803" t="n">
        <v>6504</v>
      </c>
      <c r="B1803" t="inlineStr">
        <is>
          <t>南六</t>
        </is>
      </c>
      <c r="C1803" t="n">
        <v>36.35</v>
      </c>
      <c r="D1803" t="n">
        <v>36.3</v>
      </c>
      <c r="E1803" s="504" t="n">
        <v>-0.2</v>
      </c>
      <c r="F1803" s="505" t="n">
        <v>-0.55</v>
      </c>
      <c r="G1803" t="inlineStr">
        <is>
          <t>465萬</t>
        </is>
      </c>
      <c r="H1803" t="n">
        <v>127</v>
      </c>
      <c r="I1803" t="n">
        <v>115</v>
      </c>
      <c r="J1803" t="n">
        <v>7.26</v>
      </c>
      <c r="K1803" t="n">
        <v>37.5</v>
      </c>
      <c r="L1803" t="n">
        <v>36.3</v>
      </c>
      <c r="M1803" s="175" t="n">
        <v>0.17</v>
      </c>
      <c r="N1803" t="inlineStr">
        <is>
          <t>亞洲最大的水針不織布廠商之一</t>
        </is>
      </c>
    </row>
    <row r="1804">
      <c r="A1804" t="n">
        <v>6505</v>
      </c>
      <c r="B1804" t="inlineStr">
        <is>
          <t>台塑化</t>
        </is>
      </c>
      <c r="C1804" t="n">
        <v>53.4</v>
      </c>
      <c r="D1804" t="n">
        <v>54.5</v>
      </c>
      <c r="E1804" s="504" t="n">
        <v>1.2</v>
      </c>
      <c r="F1804" s="505" t="n">
        <v>2.25</v>
      </c>
      <c r="G1804" t="inlineStr">
        <is>
          <t>6.74億</t>
        </is>
      </c>
      <c r="H1804" t="n">
        <v>12583</v>
      </c>
      <c r="I1804" t="n">
        <v>9353</v>
      </c>
      <c r="J1804" t="n">
        <v>952.6</v>
      </c>
      <c r="K1804" t="n">
        <v>54.7</v>
      </c>
      <c r="L1804" t="n">
        <v>52.9</v>
      </c>
      <c r="M1804" s="175" t="n">
        <v>0.13</v>
      </c>
      <c r="N1804" t="inlineStr">
        <is>
          <t>台灣最大的民營輕油裂解廠</t>
        </is>
      </c>
    </row>
    <row r="1805">
      <c r="A1805" t="n">
        <v>6506</v>
      </c>
      <c r="B1805" t="inlineStr">
        <is>
          <t>雙邦</t>
        </is>
      </c>
      <c r="C1805" t="n">
        <v>19.6</v>
      </c>
      <c r="D1805" t="n">
        <v>20.6</v>
      </c>
      <c r="E1805" s="504" t="n">
        <v>1.15</v>
      </c>
      <c r="F1805" s="505" t="n">
        <v>5.91</v>
      </c>
      <c r="G1805" t="inlineStr">
        <is>
          <t>1340萬</t>
        </is>
      </c>
      <c r="H1805" t="n">
        <v>666</v>
      </c>
      <c r="I1805" t="n">
        <v>244</v>
      </c>
      <c r="J1805" t="n">
        <v>8.24</v>
      </c>
      <c r="K1805" t="n">
        <v>20.8</v>
      </c>
      <c r="L1805" t="n">
        <v>19.4</v>
      </c>
      <c r="M1805" s="175" t="n">
        <v>0.8100000000000001</v>
      </c>
      <c r="N1805" t="inlineStr">
        <is>
          <t>塗佈貼合加工及特用化學原料供應商</t>
        </is>
      </c>
    </row>
    <row r="1806">
      <c r="A1806" t="n">
        <v>6508</v>
      </c>
      <c r="B1806" t="inlineStr">
        <is>
          <t>惠光</t>
        </is>
      </c>
      <c r="C1806" t="n">
        <v>23.2</v>
      </c>
      <c r="D1806" t="n">
        <v>23.15</v>
      </c>
      <c r="E1806" s="504" t="n">
        <v>0</v>
      </c>
      <c r="F1806" s="505" t="n">
        <v>0</v>
      </c>
      <c r="G1806" t="inlineStr">
        <is>
          <t>267萬</t>
        </is>
      </c>
      <c r="H1806" t="n">
        <v>115</v>
      </c>
      <c r="I1806" t="n">
        <v>96</v>
      </c>
      <c r="J1806" t="n">
        <v>8.65</v>
      </c>
      <c r="K1806" t="n">
        <v>23.25</v>
      </c>
      <c r="L1806" t="n">
        <v>23.1</v>
      </c>
      <c r="M1806" s="175" t="n">
        <v>0.13</v>
      </c>
      <c r="N1806" t="inlineStr">
        <is>
          <t>台灣第二大農藥及全球第三大地工膜廠商</t>
        </is>
      </c>
    </row>
    <row r="1807">
      <c r="A1807" t="n">
        <v>6509</v>
      </c>
      <c r="B1807" t="inlineStr">
        <is>
          <t>聚和</t>
        </is>
      </c>
      <c r="C1807" t="n">
        <v>52</v>
      </c>
      <c r="D1807" t="n">
        <v>49.5</v>
      </c>
      <c r="E1807" s="504" t="n">
        <v>-2</v>
      </c>
      <c r="F1807" s="505" t="n">
        <v>-3.88</v>
      </c>
      <c r="G1807" t="inlineStr">
        <is>
          <t>2.22億</t>
        </is>
      </c>
      <c r="H1807" t="n">
        <v>4482</v>
      </c>
      <c r="I1807" t="n">
        <v>3394</v>
      </c>
      <c r="J1807" t="n">
        <v>19.65</v>
      </c>
      <c r="K1807" t="n">
        <v>52</v>
      </c>
      <c r="L1807" t="n">
        <v>48.6</v>
      </c>
      <c r="M1807" s="175" t="n">
        <v>2.28</v>
      </c>
      <c r="N1807" t="inlineStr">
        <is>
          <t>全球前三大自黏便條紙商、知名造紙化學品廠</t>
        </is>
      </c>
    </row>
    <row r="1808">
      <c r="A1808" t="n">
        <v>6510</v>
      </c>
      <c r="B1808" t="inlineStr">
        <is>
          <t>精測</t>
        </is>
      </c>
      <c r="C1808" t="n">
        <v>3365</v>
      </c>
      <c r="D1808" t="n">
        <v>3215</v>
      </c>
      <c r="E1808" s="504" t="n">
        <v>-75</v>
      </c>
      <c r="F1808" s="505" t="n">
        <v>-2.28</v>
      </c>
      <c r="G1808" t="inlineStr">
        <is>
          <t>19.8億</t>
        </is>
      </c>
      <c r="H1808" t="n">
        <v>609</v>
      </c>
      <c r="I1808" t="n">
        <v>844</v>
      </c>
      <c r="J1808" t="n">
        <v>3.29</v>
      </c>
      <c r="K1808" t="n">
        <v>3365</v>
      </c>
      <c r="L1808" t="n">
        <v>3165</v>
      </c>
      <c r="M1808" s="175" t="n">
        <v>1.86</v>
      </c>
      <c r="N1808" t="inlineStr">
        <is>
          <t>中華電信旗下晶圓測試介面板廠</t>
        </is>
      </c>
    </row>
    <row r="1809">
      <c r="A1809" t="n">
        <v>6512</v>
      </c>
      <c r="B1809" t="inlineStr">
        <is>
          <t>啟發電</t>
        </is>
      </c>
      <c r="C1809" t="n">
        <v>19.05</v>
      </c>
      <c r="D1809" t="n">
        <v>19.05</v>
      </c>
      <c r="E1809" s="504" t="n">
        <v>0</v>
      </c>
      <c r="F1809" s="505" t="n">
        <v>0</v>
      </c>
      <c r="G1809" t="inlineStr">
        <is>
          <t>19.1萬</t>
        </is>
      </c>
      <c r="H1809" t="n">
        <v>10</v>
      </c>
      <c r="I1809" t="n">
        <v>13</v>
      </c>
      <c r="J1809" t="n">
        <v>2.53</v>
      </c>
      <c r="K1809" t="n">
        <v>19.1</v>
      </c>
      <c r="L1809" t="n">
        <v>19.05</v>
      </c>
      <c r="M1809" s="175" t="n">
        <v>0.04</v>
      </c>
      <c r="N1809" t="inlineStr">
        <is>
          <t>專業影音訊號延長器、分配器及處理器廠商</t>
        </is>
      </c>
    </row>
    <row r="1810">
      <c r="A1810" t="n">
        <v>6515</v>
      </c>
      <c r="B1810" t="inlineStr">
        <is>
          <t>穎崴</t>
        </is>
      </c>
      <c r="C1810" t="n">
        <v>8655</v>
      </c>
      <c r="D1810" t="n">
        <v>8080</v>
      </c>
      <c r="E1810" s="504" t="n">
        <v>-625</v>
      </c>
      <c r="F1810" s="505" t="n">
        <v>-7.18</v>
      </c>
      <c r="G1810" t="inlineStr">
        <is>
          <t>50.6億</t>
        </is>
      </c>
      <c r="H1810" t="n">
        <v>618</v>
      </c>
      <c r="I1810" t="n">
        <v>533</v>
      </c>
      <c r="J1810" t="n">
        <v>3.61</v>
      </c>
      <c r="K1810" t="n">
        <v>8700</v>
      </c>
      <c r="L1810" t="n">
        <v>7895</v>
      </c>
      <c r="M1810" s="175" t="n">
        <v>1.71</v>
      </c>
      <c r="N1810" t="inlineStr">
        <is>
          <t>全球IC測試座龍頭</t>
        </is>
      </c>
    </row>
    <row r="1811">
      <c r="A1811" t="n">
        <v>6516</v>
      </c>
      <c r="B1811" t="inlineStr">
        <is>
          <t>勤崴國際</t>
        </is>
      </c>
      <c r="C1811" t="n">
        <v>57.6</v>
      </c>
      <c r="D1811" t="n">
        <v>58.2</v>
      </c>
      <c r="E1811" s="504" t="n">
        <v>0.1</v>
      </c>
      <c r="F1811" s="505" t="n">
        <v>0.17</v>
      </c>
      <c r="G1811" t="inlineStr">
        <is>
          <t>829萬</t>
        </is>
      </c>
      <c r="H1811" t="n">
        <v>144</v>
      </c>
      <c r="I1811" t="n">
        <v>136</v>
      </c>
      <c r="J1811" t="n">
        <v>5.63</v>
      </c>
      <c r="K1811" t="n">
        <v>58.6</v>
      </c>
      <c r="L1811" t="n">
        <v>56.9</v>
      </c>
      <c r="M1811" s="175" t="n">
        <v>0.26</v>
      </c>
      <c r="N1811" t="inlineStr">
        <is>
          <t>中華電旗下台灣最大圖資公司</t>
        </is>
      </c>
    </row>
    <row r="1812">
      <c r="A1812" t="n">
        <v>6517</v>
      </c>
      <c r="B1812" t="inlineStr">
        <is>
          <t>保勝光學</t>
        </is>
      </c>
      <c r="C1812" t="n">
        <v>60.6</v>
      </c>
      <c r="D1812" t="n">
        <v>60</v>
      </c>
      <c r="E1812" s="504" t="n">
        <v>-0.5</v>
      </c>
      <c r="F1812" s="505" t="n">
        <v>-0.83</v>
      </c>
      <c r="G1812" t="inlineStr">
        <is>
          <t>864萬</t>
        </is>
      </c>
      <c r="H1812" t="n">
        <v>145</v>
      </c>
      <c r="I1812" t="n">
        <v>265</v>
      </c>
      <c r="J1812" t="n">
        <v>3.06</v>
      </c>
      <c r="K1812" t="n">
        <v>60.8</v>
      </c>
      <c r="L1812" t="n">
        <v>59.2</v>
      </c>
      <c r="M1812" s="175" t="n">
        <v>0.47</v>
      </c>
      <c r="N1812" t="inlineStr">
        <is>
          <t>台灣第一家光學鏡片製造廠</t>
        </is>
      </c>
    </row>
    <row r="1813">
      <c r="A1813" t="n">
        <v>6523</v>
      </c>
      <c r="B1813" t="inlineStr">
        <is>
          <t>達爾膚</t>
        </is>
      </c>
      <c r="C1813" t="n">
        <v>97.5</v>
      </c>
      <c r="D1813" t="n">
        <v>98</v>
      </c>
      <c r="E1813" s="504" t="n">
        <v>0.3</v>
      </c>
      <c r="F1813" s="505" t="n">
        <v>0.31</v>
      </c>
      <c r="G1813" t="inlineStr">
        <is>
          <t>623萬</t>
        </is>
      </c>
      <c r="H1813" t="n">
        <v>64</v>
      </c>
      <c r="I1813" t="n">
        <v>40</v>
      </c>
      <c r="J1813" t="n">
        <v>4.5</v>
      </c>
      <c r="K1813" t="n">
        <v>98</v>
      </c>
      <c r="L1813" t="n">
        <v>97</v>
      </c>
      <c r="M1813" s="175" t="n">
        <v>0.14</v>
      </c>
      <c r="N1813" t="inlineStr">
        <is>
          <t>台灣第一大醫美品牌DR.WU</t>
        </is>
      </c>
    </row>
    <row r="1814">
      <c r="A1814" t="n">
        <v>6525</v>
      </c>
      <c r="B1814" t="inlineStr">
        <is>
          <t>捷敏-KY</t>
        </is>
      </c>
      <c r="C1814" t="n">
        <v>120.5</v>
      </c>
      <c r="D1814" t="n">
        <v>119.5</v>
      </c>
      <c r="E1814" s="504" t="n">
        <v>-1</v>
      </c>
      <c r="F1814" s="505" t="n">
        <v>-0.83</v>
      </c>
      <c r="G1814" t="inlineStr">
        <is>
          <t>1.64億</t>
        </is>
      </c>
      <c r="H1814" t="n">
        <v>1386</v>
      </c>
      <c r="I1814" t="n">
        <v>2992</v>
      </c>
      <c r="J1814" t="n">
        <v>12.9</v>
      </c>
      <c r="K1814" t="n">
        <v>122</v>
      </c>
      <c r="L1814" t="n">
        <v>116</v>
      </c>
      <c r="M1814" s="175" t="n">
        <v>1.07</v>
      </c>
      <c r="N1814" t="inlineStr">
        <is>
          <t>全球前三大專業功率半導體封測企業</t>
        </is>
      </c>
    </row>
    <row r="1815">
      <c r="A1815" t="n">
        <v>6526</v>
      </c>
      <c r="B1815" t="inlineStr">
        <is>
          <t>達發</t>
        </is>
      </c>
      <c r="C1815" t="n">
        <v>684</v>
      </c>
      <c r="D1815" t="n">
        <v>714</v>
      </c>
      <c r="E1815" s="504" t="n">
        <v>41</v>
      </c>
      <c r="F1815" s="505" t="n">
        <v>6.09</v>
      </c>
      <c r="G1815" t="inlineStr">
        <is>
          <t>16.6億</t>
        </is>
      </c>
      <c r="H1815" t="n">
        <v>2381</v>
      </c>
      <c r="I1815" t="n">
        <v>1365</v>
      </c>
      <c r="J1815" t="n">
        <v>16.75</v>
      </c>
      <c r="K1815" t="n">
        <v>715</v>
      </c>
      <c r="L1815" t="n">
        <v>678</v>
      </c>
      <c r="M1815" s="175" t="n">
        <v>1.42</v>
      </c>
      <c r="N1815" t="inlineStr">
        <is>
          <t>聯發科旗下無線通訊與固網通訊之晶片設計公司</t>
        </is>
      </c>
    </row>
    <row r="1816">
      <c r="A1816" t="n">
        <v>6527</v>
      </c>
      <c r="B1816" t="inlineStr">
        <is>
          <t>明達醫</t>
        </is>
      </c>
      <c r="C1816" t="n">
        <v>69.8</v>
      </c>
      <c r="D1816" t="n">
        <v>70.5</v>
      </c>
      <c r="E1816" s="504" t="n">
        <v>0.5</v>
      </c>
      <c r="F1816" s="505" t="n">
        <v>0.71</v>
      </c>
      <c r="G1816" t="inlineStr">
        <is>
          <t>575萬</t>
        </is>
      </c>
      <c r="H1816" t="n">
        <v>82</v>
      </c>
      <c r="I1816" t="n">
        <v>39</v>
      </c>
      <c r="J1816" t="n">
        <v>2.55</v>
      </c>
      <c r="K1816" t="n">
        <v>71</v>
      </c>
      <c r="L1816" t="n">
        <v>67.8</v>
      </c>
      <c r="M1816" s="175" t="n">
        <v>0.32</v>
      </c>
      <c r="N1816" t="inlineStr">
        <is>
          <t>眼科診斷型儀器研發及組裝廠商</t>
        </is>
      </c>
    </row>
    <row r="1817">
      <c r="A1817" t="n">
        <v>6530</v>
      </c>
      <c r="B1817" t="inlineStr">
        <is>
          <t>創威</t>
        </is>
      </c>
      <c r="C1817" t="n">
        <v>110</v>
      </c>
      <c r="D1817" t="n">
        <v>109</v>
      </c>
      <c r="E1817" s="504" t="n">
        <v>2</v>
      </c>
      <c r="F1817" s="505" t="n">
        <v>1.87</v>
      </c>
      <c r="G1817" t="inlineStr">
        <is>
          <t>2.16億</t>
        </is>
      </c>
      <c r="H1817" t="n">
        <v>1942</v>
      </c>
      <c r="I1817" t="n">
        <v>1451</v>
      </c>
      <c r="J1817" t="n">
        <v>3.38</v>
      </c>
      <c r="K1817" t="n">
        <v>115</v>
      </c>
      <c r="L1817" t="n">
        <v>107</v>
      </c>
      <c r="M1817" s="175" t="n">
        <v>5.75</v>
      </c>
      <c r="N1817" t="inlineStr">
        <is>
          <t>主要生產熱插拔式及固定式光收發模組</t>
        </is>
      </c>
    </row>
    <row r="1818">
      <c r="A1818" t="n">
        <v>6531</v>
      </c>
      <c r="B1818" t="inlineStr">
        <is>
          <t>愛普*</t>
        </is>
      </c>
      <c r="C1818" t="n">
        <v>1140</v>
      </c>
      <c r="D1818" t="n">
        <v>1075</v>
      </c>
      <c r="E1818" s="504" t="n">
        <v>-50</v>
      </c>
      <c r="F1818" s="505" t="n">
        <v>-4.44</v>
      </c>
      <c r="G1818" t="inlineStr">
        <is>
          <t>70.2億</t>
        </is>
      </c>
      <c r="H1818" t="n">
        <v>6436</v>
      </c>
      <c r="I1818" t="n">
        <v>11466</v>
      </c>
      <c r="J1818" t="n">
        <v>8.140000000000001</v>
      </c>
      <c r="K1818" t="n">
        <v>1155</v>
      </c>
      <c r="L1818" t="n">
        <v>1045</v>
      </c>
      <c r="M1818" s="175" t="n">
        <v>3.96</v>
      </c>
      <c r="N1818" t="inlineStr">
        <is>
          <t>從事行動記憶體IC設計及IP設計的公司</t>
        </is>
      </c>
    </row>
    <row r="1819">
      <c r="A1819" t="n">
        <v>6532</v>
      </c>
      <c r="B1819" t="inlineStr">
        <is>
          <t>瑞耘</t>
        </is>
      </c>
      <c r="C1819" t="n">
        <v>101.5</v>
      </c>
      <c r="D1819" t="n">
        <v>97.90000000000001</v>
      </c>
      <c r="E1819" s="504" t="n">
        <v>-3.1</v>
      </c>
      <c r="F1819" s="505" t="n">
        <v>-3.07</v>
      </c>
      <c r="G1819" t="inlineStr">
        <is>
          <t>1.13億</t>
        </is>
      </c>
      <c r="H1819" t="n">
        <v>1144</v>
      </c>
      <c r="I1819" t="n">
        <v>1161</v>
      </c>
      <c r="J1819" t="n">
        <v>3.74</v>
      </c>
      <c r="K1819" t="n">
        <v>103</v>
      </c>
      <c r="L1819" t="n">
        <v>95.59999999999999</v>
      </c>
      <c r="M1819" s="175" t="n">
        <v>3.06</v>
      </c>
      <c r="N1819" t="inlineStr">
        <is>
          <t>半導體前段製程設備及零件供應商</t>
        </is>
      </c>
    </row>
    <row r="1820">
      <c r="A1820" t="n">
        <v>6533</v>
      </c>
      <c r="B1820" t="inlineStr">
        <is>
          <t>晶心科</t>
        </is>
      </c>
      <c r="C1820" t="n">
        <v>225</v>
      </c>
      <c r="D1820" t="n">
        <v>241</v>
      </c>
      <c r="E1820" s="504" t="n">
        <v>20</v>
      </c>
      <c r="F1820" s="505" t="n">
        <v>9.050000000000001</v>
      </c>
      <c r="G1820" t="inlineStr">
        <is>
          <t>6.58億</t>
        </is>
      </c>
      <c r="H1820" t="n">
        <v>2777</v>
      </c>
      <c r="I1820" t="n">
        <v>737</v>
      </c>
      <c r="J1820" t="n">
        <v>5.07</v>
      </c>
      <c r="K1820" t="n">
        <v>243</v>
      </c>
      <c r="L1820" t="n">
        <v>223.5</v>
      </c>
      <c r="M1820" s="175" t="n">
        <v>5.48</v>
      </c>
      <c r="N1820" t="inlineStr">
        <is>
          <t>聯發科旗下嵌入式微處理器核心IP設計公司</t>
        </is>
      </c>
    </row>
    <row r="1821">
      <c r="A1821" t="n">
        <v>6535</v>
      </c>
      <c r="B1821" t="inlineStr">
        <is>
          <t>順藥</t>
        </is>
      </c>
      <c r="C1821" t="n">
        <v>126</v>
      </c>
      <c r="D1821" t="n">
        <v>121.5</v>
      </c>
      <c r="E1821" s="504" t="n">
        <v>-2.5</v>
      </c>
      <c r="F1821" s="505" t="n">
        <v>-2.02</v>
      </c>
      <c r="G1821" t="inlineStr">
        <is>
          <t>4365萬</t>
        </is>
      </c>
      <c r="H1821" t="n">
        <v>358</v>
      </c>
      <c r="I1821" t="n">
        <v>291</v>
      </c>
      <c r="J1821" t="n">
        <v>16.78</v>
      </c>
      <c r="K1821" t="n">
        <v>126</v>
      </c>
      <c r="L1821" t="n">
        <v>120.5</v>
      </c>
      <c r="M1821" s="175" t="n">
        <v>0.21</v>
      </c>
      <c r="N1821" t="inlineStr">
        <is>
          <t>晟德旗下新藥研發公司</t>
        </is>
      </c>
    </row>
    <row r="1822">
      <c r="A1822" t="n">
        <v>6538</v>
      </c>
      <c r="B1822" t="inlineStr">
        <is>
          <t>倉和</t>
        </is>
      </c>
      <c r="C1822" t="n">
        <v>126</v>
      </c>
      <c r="D1822" t="n">
        <v>129</v>
      </c>
      <c r="E1822" s="504" t="n">
        <v>3</v>
      </c>
      <c r="F1822" s="505" t="n">
        <v>2.38</v>
      </c>
      <c r="G1822" t="inlineStr">
        <is>
          <t>5408萬</t>
        </is>
      </c>
      <c r="H1822" t="n">
        <v>435</v>
      </c>
      <c r="I1822" t="n">
        <v>787</v>
      </c>
      <c r="J1822" t="n">
        <v>3.8</v>
      </c>
      <c r="K1822" t="n">
        <v>129</v>
      </c>
      <c r="L1822" t="n">
        <v>123</v>
      </c>
      <c r="M1822" s="175" t="n">
        <v>1.14</v>
      </c>
      <c r="N1822" t="inlineStr">
        <is>
          <t>國內最大的太陽能精密網版廠</t>
        </is>
      </c>
    </row>
    <row r="1823">
      <c r="A1823" t="n">
        <v>6541</v>
      </c>
      <c r="B1823" t="inlineStr">
        <is>
          <t>泰福-KY</t>
        </is>
      </c>
      <c r="C1823" t="n">
        <v>41.35</v>
      </c>
      <c r="D1823" t="n">
        <v>41.85</v>
      </c>
      <c r="E1823" s="504" t="n">
        <v>0.45</v>
      </c>
      <c r="F1823" s="505" t="n">
        <v>1.09</v>
      </c>
      <c r="G1823" t="inlineStr">
        <is>
          <t>2931萬</t>
        </is>
      </c>
      <c r="H1823" t="n">
        <v>708</v>
      </c>
      <c r="I1823" t="n">
        <v>509</v>
      </c>
      <c r="J1823" t="n">
        <v>26.5</v>
      </c>
      <c r="K1823" t="n">
        <v>42.4</v>
      </c>
      <c r="L1823" t="n">
        <v>40.3</v>
      </c>
      <c r="M1823" s="175" t="n">
        <v>0.27</v>
      </c>
      <c r="N1823" t="inlineStr">
        <is>
          <t>免疫、癌症等領域生物相似藥及新藥研發</t>
        </is>
      </c>
    </row>
    <row r="1824">
      <c r="A1824" t="n">
        <v>6542</v>
      </c>
      <c r="B1824" t="inlineStr">
        <is>
          <t>隆中</t>
        </is>
      </c>
      <c r="C1824" t="n">
        <v>45</v>
      </c>
      <c r="D1824" t="n">
        <v>45</v>
      </c>
      <c r="E1824" s="504" t="n">
        <v>-1.15</v>
      </c>
      <c r="F1824" s="505" t="n">
        <v>-2.49</v>
      </c>
      <c r="G1824" t="inlineStr">
        <is>
          <t>4.50萬</t>
        </is>
      </c>
      <c r="H1824" t="n">
        <v>1</v>
      </c>
      <c r="I1824" t="n">
        <v>9</v>
      </c>
      <c r="J1824" t="n">
        <v>4.2</v>
      </c>
      <c r="K1824" t="n">
        <v>45</v>
      </c>
      <c r="L1824" t="n">
        <v>45</v>
      </c>
      <c r="M1824" s="175" t="n">
        <v>0</v>
      </c>
      <c r="N1824" t="inlineStr">
        <is>
          <t>台灣手機遊戲開發及代理商</t>
        </is>
      </c>
    </row>
    <row r="1825">
      <c r="A1825" t="n">
        <v>6546</v>
      </c>
      <c r="B1825" t="inlineStr">
        <is>
          <t>正基</t>
        </is>
      </c>
      <c r="C1825" t="n">
        <v>85.40000000000001</v>
      </c>
      <c r="D1825" t="n">
        <v>83.09999999999999</v>
      </c>
      <c r="E1825" s="504" t="n">
        <v>-2.3</v>
      </c>
      <c r="F1825" s="505" t="n">
        <v>-2.69</v>
      </c>
      <c r="G1825" t="inlineStr">
        <is>
          <t>1.04億</t>
        </is>
      </c>
      <c r="H1825" t="n">
        <v>1254</v>
      </c>
      <c r="I1825" t="n">
        <v>2015</v>
      </c>
      <c r="J1825" t="n">
        <v>6.68</v>
      </c>
      <c r="K1825" t="n">
        <v>86.3</v>
      </c>
      <c r="L1825" t="n">
        <v>81.5</v>
      </c>
      <c r="M1825" s="175" t="n">
        <v>1.88</v>
      </c>
      <c r="N1825" t="inlineStr">
        <is>
          <t>正文轉投資的無線通訊模組廠</t>
        </is>
      </c>
    </row>
    <row r="1826">
      <c r="A1826" t="n">
        <v>6547</v>
      </c>
      <c r="B1826" t="inlineStr">
        <is>
          <t>高端疫苗</t>
        </is>
      </c>
      <c r="C1826" t="n">
        <v>46.05</v>
      </c>
      <c r="D1826" t="n">
        <v>45.05</v>
      </c>
      <c r="E1826" s="504" t="n">
        <v>-0.95</v>
      </c>
      <c r="F1826" s="505" t="n">
        <v>-2.07</v>
      </c>
      <c r="G1826" t="inlineStr">
        <is>
          <t>6902萬</t>
        </is>
      </c>
      <c r="H1826" t="n">
        <v>1536</v>
      </c>
      <c r="I1826" t="n">
        <v>1924</v>
      </c>
      <c r="J1826" t="n">
        <v>32.87</v>
      </c>
      <c r="K1826" t="n">
        <v>46.1</v>
      </c>
      <c r="L1826" t="n">
        <v>44.9</v>
      </c>
      <c r="M1826" s="175" t="n">
        <v>0.47</v>
      </c>
      <c r="N1826" t="inlineStr">
        <is>
          <t>專注於疫苗及生物製劑開發的生技新藥公司</t>
        </is>
      </c>
    </row>
    <row r="1827">
      <c r="A1827" t="n">
        <v>6548</v>
      </c>
      <c r="B1827" t="inlineStr">
        <is>
          <t>長科*</t>
        </is>
      </c>
      <c r="C1827" t="n">
        <v>77.5</v>
      </c>
      <c r="D1827" t="n">
        <v>81.09999999999999</v>
      </c>
      <c r="E1827" s="504" t="n">
        <v>6.1</v>
      </c>
      <c r="F1827" s="505" t="n">
        <v>8.130000000000001</v>
      </c>
      <c r="G1827" t="inlineStr">
        <is>
          <t>27.1億</t>
        </is>
      </c>
      <c r="H1827" t="n">
        <v>33940</v>
      </c>
      <c r="I1827" t="n">
        <v>24527</v>
      </c>
      <c r="J1827" t="n">
        <v>3.8</v>
      </c>
      <c r="K1827" t="n">
        <v>82.5</v>
      </c>
      <c r="L1827" t="n">
        <v>74.09999999999999</v>
      </c>
      <c r="M1827" s="175" t="n">
        <v>3.57</v>
      </c>
      <c r="N1827" t="inlineStr">
        <is>
          <t>長華電材旗下之封測導線架大廠</t>
        </is>
      </c>
    </row>
    <row r="1828">
      <c r="A1828" t="n">
        <v>6550</v>
      </c>
      <c r="B1828" t="inlineStr">
        <is>
          <t>北極星藥業-KY</t>
        </is>
      </c>
      <c r="C1828" t="n">
        <v>13</v>
      </c>
      <c r="D1828" t="n">
        <v>13.3</v>
      </c>
      <c r="E1828" s="504" t="n">
        <v>0.2</v>
      </c>
      <c r="F1828" s="505" t="n">
        <v>1.53</v>
      </c>
      <c r="G1828" t="inlineStr">
        <is>
          <t>2529萬</t>
        </is>
      </c>
      <c r="H1828" t="n">
        <v>1915</v>
      </c>
      <c r="I1828" t="n">
        <v>5443</v>
      </c>
      <c r="J1828" t="n">
        <v>89.48</v>
      </c>
      <c r="K1828" t="n">
        <v>13.5</v>
      </c>
      <c r="L1828" t="n">
        <v>12.85</v>
      </c>
      <c r="M1828" s="175" t="n">
        <v>0.25</v>
      </c>
      <c r="N1828" t="inlineStr">
        <is>
          <t>聚焦標靶抗癌新藥研發</t>
        </is>
      </c>
    </row>
    <row r="1829">
      <c r="A1829" t="n">
        <v>6552</v>
      </c>
      <c r="B1829" t="inlineStr">
        <is>
          <t>易華電</t>
        </is>
      </c>
      <c r="C1829" t="n">
        <v>33.65</v>
      </c>
      <c r="D1829" t="n">
        <v>34.55</v>
      </c>
      <c r="E1829" s="504" t="n">
        <v>0.9</v>
      </c>
      <c r="F1829" s="505" t="n">
        <v>2.67</v>
      </c>
      <c r="G1829" t="inlineStr">
        <is>
          <t>1885萬</t>
        </is>
      </c>
      <c r="H1829" t="n">
        <v>558</v>
      </c>
      <c r="I1829" t="n">
        <v>1316</v>
      </c>
      <c r="J1829" t="n">
        <v>8.300000000000001</v>
      </c>
      <c r="K1829" t="n">
        <v>34.9</v>
      </c>
      <c r="L1829" t="n">
        <v>33.05</v>
      </c>
      <c r="M1829" s="175" t="n">
        <v>0.67</v>
      </c>
      <c r="N1829" t="inlineStr">
        <is>
          <t>長華轉投資之面板驅動IC用高階軟性基板廠</t>
        </is>
      </c>
    </row>
    <row r="1830">
      <c r="A1830" t="n">
        <v>6556</v>
      </c>
      <c r="B1830" t="inlineStr">
        <is>
          <t>勝品</t>
        </is>
      </c>
      <c r="C1830" t="n">
        <v>73</v>
      </c>
      <c r="D1830" t="n">
        <v>71</v>
      </c>
      <c r="E1830" s="504" t="n">
        <v>-1.7</v>
      </c>
      <c r="F1830" s="505" t="n">
        <v>-2.34</v>
      </c>
      <c r="G1830" t="inlineStr">
        <is>
          <t>64.9萬</t>
        </is>
      </c>
      <c r="H1830" t="n">
        <v>9</v>
      </c>
      <c r="I1830" t="n">
        <v>14</v>
      </c>
      <c r="J1830" t="n">
        <v>2.88</v>
      </c>
      <c r="K1830" t="n">
        <v>73</v>
      </c>
      <c r="L1830" t="n">
        <v>71</v>
      </c>
      <c r="M1830" s="175" t="n">
        <v>0.03</v>
      </c>
      <c r="N1830" t="inlineStr">
        <is>
          <t>佳世達轉投資專業監控攝影機製造商</t>
        </is>
      </c>
    </row>
    <row r="1831">
      <c r="A1831" t="n">
        <v>6558</v>
      </c>
      <c r="B1831" t="inlineStr">
        <is>
          <t>興能高</t>
        </is>
      </c>
      <c r="C1831" t="n">
        <v>34.75</v>
      </c>
      <c r="D1831" t="n">
        <v>33.1</v>
      </c>
      <c r="E1831" s="504" t="n">
        <v>-1.25</v>
      </c>
      <c r="F1831" s="505" t="n">
        <v>-3.64</v>
      </c>
      <c r="G1831" t="inlineStr">
        <is>
          <t>5063萬</t>
        </is>
      </c>
      <c r="H1831" t="n">
        <v>1530</v>
      </c>
      <c r="I1831" t="n">
        <v>1611</v>
      </c>
      <c r="J1831" t="n">
        <v>9.380000000000001</v>
      </c>
      <c r="K1831" t="n">
        <v>34.75</v>
      </c>
      <c r="L1831" t="n">
        <v>32.8</v>
      </c>
      <c r="M1831" s="175" t="n">
        <v>1.77</v>
      </c>
      <c r="N1831" t="inlineStr">
        <is>
          <t>以穿載式應用為主的鋰電池廠商</t>
        </is>
      </c>
    </row>
    <row r="1832">
      <c r="A1832" t="n">
        <v>6560</v>
      </c>
      <c r="B1832" t="inlineStr">
        <is>
          <t>欣普羅</t>
        </is>
      </c>
      <c r="C1832" t="n">
        <v>38.05</v>
      </c>
      <c r="D1832" t="n">
        <v>39.95</v>
      </c>
      <c r="E1832" s="504" t="n">
        <v>1.95</v>
      </c>
      <c r="F1832" s="505" t="n">
        <v>5.13</v>
      </c>
      <c r="G1832" t="inlineStr">
        <is>
          <t>4300萬</t>
        </is>
      </c>
      <c r="H1832" t="n">
        <v>1058</v>
      </c>
      <c r="I1832" t="n">
        <v>103</v>
      </c>
      <c r="J1832" t="n">
        <v>3.25</v>
      </c>
      <c r="K1832" t="n">
        <v>41.8</v>
      </c>
      <c r="L1832" t="n">
        <v>37.85</v>
      </c>
      <c r="M1832" s="175" t="n">
        <v>3.26</v>
      </c>
      <c r="N1832" t="inlineStr">
        <is>
          <t>台灣影音安控產品廠商</t>
        </is>
      </c>
    </row>
    <row r="1833">
      <c r="A1833" t="n">
        <v>6561</v>
      </c>
      <c r="B1833" t="inlineStr">
        <is>
          <t>是方</t>
        </is>
      </c>
      <c r="C1833" t="n">
        <v>364</v>
      </c>
      <c r="D1833" t="n">
        <v>366</v>
      </c>
      <c r="E1833" s="504" t="n">
        <v>5</v>
      </c>
      <c r="F1833" s="505" t="n">
        <v>1.39</v>
      </c>
      <c r="G1833" t="inlineStr">
        <is>
          <t>1.11億</t>
        </is>
      </c>
      <c r="H1833" t="n">
        <v>305</v>
      </c>
      <c r="I1833" t="n">
        <v>153</v>
      </c>
      <c r="J1833" t="n">
        <v>7.8</v>
      </c>
      <c r="K1833" t="n">
        <v>373</v>
      </c>
      <c r="L1833" t="n">
        <v>360.5</v>
      </c>
      <c r="M1833" s="175" t="n">
        <v>0.39</v>
      </c>
      <c r="N1833" t="inlineStr">
        <is>
          <t>中華電轉投資之台灣最大IDC機房營運商</t>
        </is>
      </c>
    </row>
    <row r="1834">
      <c r="A1834" t="n">
        <v>6568</v>
      </c>
      <c r="B1834" t="inlineStr">
        <is>
          <t>宏觀</t>
        </is>
      </c>
      <c r="C1834" t="n">
        <v>238.5</v>
      </c>
      <c r="D1834" t="n">
        <v>220.5</v>
      </c>
      <c r="E1834" s="504" t="n">
        <v>-18</v>
      </c>
      <c r="F1834" s="505" t="n">
        <v>-7.55</v>
      </c>
      <c r="G1834" t="inlineStr">
        <is>
          <t>2.11億</t>
        </is>
      </c>
      <c r="H1834" t="n">
        <v>949</v>
      </c>
      <c r="I1834" t="n">
        <v>774</v>
      </c>
      <c r="J1834" t="n">
        <v>3.08</v>
      </c>
      <c r="K1834" t="n">
        <v>238.5</v>
      </c>
      <c r="L1834" t="n">
        <v>215</v>
      </c>
      <c r="M1834" s="175" t="n">
        <v>3.08</v>
      </c>
      <c r="N1834" t="inlineStr">
        <is>
          <t>全球前三大矽晶調諧器晶片供應商</t>
        </is>
      </c>
    </row>
    <row r="1835">
      <c r="A1835" t="n">
        <v>6569</v>
      </c>
      <c r="B1835" t="inlineStr">
        <is>
          <t>醫揚</t>
        </is>
      </c>
      <c r="C1835" t="n">
        <v>104.5</v>
      </c>
      <c r="D1835" t="n">
        <v>101</v>
      </c>
      <c r="E1835" s="504" t="n">
        <v>-1.5</v>
      </c>
      <c r="F1835" s="505" t="n">
        <v>-1.46</v>
      </c>
      <c r="G1835" t="inlineStr">
        <is>
          <t>304萬</t>
        </is>
      </c>
      <c r="H1835" t="n">
        <v>30</v>
      </c>
      <c r="I1835" t="n">
        <v>114</v>
      </c>
      <c r="J1835" t="n">
        <v>3.91</v>
      </c>
      <c r="K1835" t="n">
        <v>104.5</v>
      </c>
      <c r="L1835" t="n">
        <v>101</v>
      </c>
      <c r="M1835" s="175" t="n">
        <v>0.08</v>
      </c>
      <c r="N1835" t="inlineStr">
        <is>
          <t>研揚轉投資醫療用工業電腦公司</t>
        </is>
      </c>
    </row>
    <row r="1836">
      <c r="A1836" t="n">
        <v>6570</v>
      </c>
      <c r="B1836" t="inlineStr">
        <is>
          <t>維田</t>
        </is>
      </c>
      <c r="C1836" t="n">
        <v>60</v>
      </c>
      <c r="D1836" t="n">
        <v>57.9</v>
      </c>
      <c r="E1836" s="504" t="n">
        <v>-2.6</v>
      </c>
      <c r="F1836" s="505" t="n">
        <v>-4.3</v>
      </c>
      <c r="G1836" t="inlineStr">
        <is>
          <t>1986萬</t>
        </is>
      </c>
      <c r="H1836" t="n">
        <v>340</v>
      </c>
      <c r="I1836" t="n">
        <v>1323</v>
      </c>
      <c r="J1836" t="n">
        <v>3.71</v>
      </c>
      <c r="K1836" t="n">
        <v>60</v>
      </c>
      <c r="L1836" t="n">
        <v>57.5</v>
      </c>
      <c r="M1836" s="175" t="n">
        <v>0.92</v>
      </c>
      <c r="N1836" t="inlineStr">
        <is>
          <t>以嵌入式系統為主之工業電腦廠商</t>
        </is>
      </c>
    </row>
    <row r="1837">
      <c r="A1837" t="n">
        <v>6573</v>
      </c>
      <c r="B1837" t="inlineStr">
        <is>
          <t>虹揚-KY</t>
        </is>
      </c>
      <c r="C1837" t="n">
        <v>15.75</v>
      </c>
      <c r="D1837" t="n">
        <v>17.3</v>
      </c>
      <c r="E1837" s="504" t="n">
        <v>1.55</v>
      </c>
      <c r="F1837" s="505" t="n">
        <v>9.84</v>
      </c>
      <c r="G1837" t="inlineStr">
        <is>
          <t>2445萬</t>
        </is>
      </c>
      <c r="H1837" t="n">
        <v>1486</v>
      </c>
      <c r="I1837" t="n">
        <v>1197</v>
      </c>
      <c r="J1837" t="n">
        <v>8.050000000000001</v>
      </c>
      <c r="K1837" t="n">
        <v>17.3</v>
      </c>
      <c r="L1837" t="n">
        <v>15.75</v>
      </c>
      <c r="M1837" s="175" t="n">
        <v>1.85</v>
      </c>
      <c r="N1837" t="inlineStr">
        <is>
          <t>二極體及橋式整流器製造商</t>
        </is>
      </c>
    </row>
    <row r="1838">
      <c r="A1838" t="n">
        <v>6574</v>
      </c>
      <c r="B1838" t="inlineStr">
        <is>
          <t>霈方</t>
        </is>
      </c>
      <c r="C1838" t="n">
        <v>115</v>
      </c>
      <c r="D1838" t="n">
        <v>110</v>
      </c>
      <c r="E1838" s="504" t="n">
        <v>-5.5</v>
      </c>
      <c r="F1838" s="505" t="n">
        <v>-4.76</v>
      </c>
      <c r="G1838" t="inlineStr">
        <is>
          <t>913萬</t>
        </is>
      </c>
      <c r="H1838" t="n">
        <v>83</v>
      </c>
      <c r="I1838" t="n">
        <v>95</v>
      </c>
      <c r="J1838" t="n">
        <v>2.2</v>
      </c>
      <c r="K1838" t="n">
        <v>115</v>
      </c>
      <c r="L1838" t="n">
        <v>109</v>
      </c>
      <c r="M1838" s="175" t="n">
        <v>0.38</v>
      </c>
      <c r="N1838" t="inlineStr">
        <is>
          <t>台灣保養品集團</t>
        </is>
      </c>
    </row>
    <row r="1839">
      <c r="A1839" t="n">
        <v>6576</v>
      </c>
      <c r="B1839" t="inlineStr">
        <is>
          <t>逸達</t>
        </is>
      </c>
      <c r="C1839" t="n">
        <v>77</v>
      </c>
      <c r="D1839" t="n">
        <v>76</v>
      </c>
      <c r="E1839" s="504" t="n">
        <v>-0.8</v>
      </c>
      <c r="F1839" s="505" t="n">
        <v>-1.04</v>
      </c>
      <c r="G1839" t="inlineStr">
        <is>
          <t>851萬</t>
        </is>
      </c>
      <c r="H1839" t="n">
        <v>112</v>
      </c>
      <c r="I1839" t="n">
        <v>154</v>
      </c>
      <c r="J1839" t="n">
        <v>15.75</v>
      </c>
      <c r="K1839" t="n">
        <v>77</v>
      </c>
      <c r="L1839" t="n">
        <v>75.59999999999999</v>
      </c>
      <c r="M1839" s="175" t="n">
        <v>0.07000000000000001</v>
      </c>
      <c r="N1839" t="inlineStr">
        <is>
          <t>新劑型配方新藥研發廠</t>
        </is>
      </c>
    </row>
    <row r="1840">
      <c r="A1840" t="n">
        <v>6577</v>
      </c>
      <c r="B1840" t="inlineStr">
        <is>
          <t>勁豐</t>
        </is>
      </c>
      <c r="C1840" t="n">
        <v>80</v>
      </c>
      <c r="D1840" t="n">
        <v>80.09999999999999</v>
      </c>
      <c r="E1840" s="504" t="n">
        <v>-0.3</v>
      </c>
      <c r="F1840" s="505" t="n">
        <v>-0.37</v>
      </c>
      <c r="G1840" t="inlineStr">
        <is>
          <t>353萬</t>
        </is>
      </c>
      <c r="H1840" t="n">
        <v>44</v>
      </c>
      <c r="I1840" t="n">
        <v>46</v>
      </c>
      <c r="J1840" t="n">
        <v>6.01</v>
      </c>
      <c r="K1840" t="n">
        <v>80.40000000000001</v>
      </c>
      <c r="L1840" t="n">
        <v>80</v>
      </c>
      <c r="M1840" s="175" t="n">
        <v>0.07000000000000001</v>
      </c>
      <c r="N1840" t="inlineStr">
        <is>
          <t>豐藝轉投資工業電腦及醫療應用顯示器廠商</t>
        </is>
      </c>
    </row>
    <row r="1841">
      <c r="A1841" t="n">
        <v>6578</v>
      </c>
      <c r="B1841" t="inlineStr">
        <is>
          <t>達邦蛋白</t>
        </is>
      </c>
      <c r="C1841" t="n">
        <v>16.45</v>
      </c>
      <c r="D1841" t="n">
        <v>16.6</v>
      </c>
      <c r="E1841" s="504" t="n">
        <v>0.25</v>
      </c>
      <c r="F1841" s="505" t="n">
        <v>1.53</v>
      </c>
      <c r="G1841" t="inlineStr">
        <is>
          <t>133萬</t>
        </is>
      </c>
      <c r="H1841" t="n">
        <v>81</v>
      </c>
      <c r="I1841" t="n">
        <v>114</v>
      </c>
      <c r="J1841" t="n">
        <v>7.19</v>
      </c>
      <c r="K1841" t="n">
        <v>16.7</v>
      </c>
      <c r="L1841" t="n">
        <v>16.35</v>
      </c>
      <c r="M1841" s="175" t="n">
        <v>0.11</v>
      </c>
      <c r="N1841" t="inlineStr">
        <is>
          <t>亞洲唯一具有微生物醱酵技術的飼料廠商</t>
        </is>
      </c>
    </row>
    <row r="1842">
      <c r="A1842" t="n">
        <v>6579</v>
      </c>
      <c r="B1842" t="inlineStr">
        <is>
          <t>研揚</t>
        </is>
      </c>
      <c r="C1842" t="n">
        <v>168</v>
      </c>
      <c r="D1842" t="n">
        <v>169.5</v>
      </c>
      <c r="E1842" s="504" t="n">
        <v>2</v>
      </c>
      <c r="F1842" s="505" t="n">
        <v>1.19</v>
      </c>
      <c r="G1842" t="inlineStr">
        <is>
          <t>1.42億</t>
        </is>
      </c>
      <c r="H1842" t="n">
        <v>847</v>
      </c>
      <c r="I1842" t="n">
        <v>1524</v>
      </c>
      <c r="J1842" t="n">
        <v>16.95</v>
      </c>
      <c r="K1842" t="n">
        <v>170.5</v>
      </c>
      <c r="L1842" t="n">
        <v>164</v>
      </c>
      <c r="M1842" s="175" t="n">
        <v>0.5</v>
      </c>
      <c r="N1842" t="inlineStr">
        <is>
          <t>華碩、廣積轉投資工業電腦廠</t>
        </is>
      </c>
    </row>
    <row r="1843">
      <c r="A1843" t="n">
        <v>6581</v>
      </c>
      <c r="B1843" t="inlineStr">
        <is>
          <t>鋼聯</t>
        </is>
      </c>
      <c r="C1843" t="n">
        <v>113</v>
      </c>
      <c r="D1843" t="n">
        <v>112.5</v>
      </c>
      <c r="E1843" s="504" t="n">
        <v>-0.5</v>
      </c>
      <c r="F1843" s="505" t="n">
        <v>-0.44</v>
      </c>
      <c r="G1843" t="inlineStr">
        <is>
          <t>372萬</t>
        </is>
      </c>
      <c r="H1843" t="n">
        <v>33</v>
      </c>
      <c r="I1843" t="n">
        <v>75</v>
      </c>
      <c r="J1843" t="n">
        <v>11.13</v>
      </c>
      <c r="K1843" t="n">
        <v>113.5</v>
      </c>
      <c r="L1843" t="n">
        <v>112</v>
      </c>
      <c r="M1843" s="175" t="n">
        <v>0.03</v>
      </c>
      <c r="N1843" t="inlineStr">
        <is>
          <t>亞洲最大電弧爐集塵灰之鋅資源回收廠</t>
        </is>
      </c>
    </row>
    <row r="1844">
      <c r="A1844" t="n">
        <v>6582</v>
      </c>
      <c r="B1844" t="inlineStr">
        <is>
          <t>申豐</t>
        </is>
      </c>
      <c r="C1844" t="n">
        <v>31.45</v>
      </c>
      <c r="D1844" t="n">
        <v>31.5</v>
      </c>
      <c r="E1844" s="504" t="n">
        <v>0.05</v>
      </c>
      <c r="F1844" s="505" t="n">
        <v>0.16</v>
      </c>
      <c r="G1844" t="inlineStr">
        <is>
          <t>208萬</t>
        </is>
      </c>
      <c r="H1844" t="n">
        <v>66</v>
      </c>
      <c r="I1844" t="n">
        <v>81</v>
      </c>
      <c r="J1844" t="n">
        <v>10.62</v>
      </c>
      <c r="K1844" t="n">
        <v>31.7</v>
      </c>
      <c r="L1844" t="n">
        <v>31.05</v>
      </c>
      <c r="M1844" s="175" t="n">
        <v>0.06</v>
      </c>
      <c r="N1844" t="inlineStr">
        <is>
          <t>永豐餘旗下合成乳膠廠，全球前7大NBR乳膠廠</t>
        </is>
      </c>
    </row>
    <row r="1845">
      <c r="A1845" t="n">
        <v>6584</v>
      </c>
      <c r="B1845" t="inlineStr">
        <is>
          <t>南俊國際</t>
        </is>
      </c>
      <c r="C1845" t="n">
        <v>731</v>
      </c>
      <c r="D1845" t="n">
        <v>658</v>
      </c>
      <c r="E1845" s="504" t="n">
        <v>-73</v>
      </c>
      <c r="F1845" s="505" t="n">
        <v>-9.99</v>
      </c>
      <c r="G1845" t="inlineStr">
        <is>
          <t>16.3億</t>
        </is>
      </c>
      <c r="H1845" t="n">
        <v>2413</v>
      </c>
      <c r="I1845" t="n">
        <v>1888</v>
      </c>
      <c r="J1845" t="n">
        <v>7.09</v>
      </c>
      <c r="K1845" t="n">
        <v>731</v>
      </c>
      <c r="L1845" t="n">
        <v>658</v>
      </c>
      <c r="M1845" s="175" t="n">
        <v>3.42</v>
      </c>
      <c r="N1845" t="inlineStr">
        <is>
          <t>專業鋼珠滑軌之製造廠商</t>
        </is>
      </c>
    </row>
    <row r="1846">
      <c r="A1846" t="n">
        <v>6585</v>
      </c>
      <c r="B1846" t="inlineStr">
        <is>
          <t>鼎基</t>
        </is>
      </c>
      <c r="C1846" t="n">
        <v>99.8</v>
      </c>
      <c r="D1846" t="n">
        <v>102</v>
      </c>
      <c r="E1846" s="504" t="n">
        <v>4</v>
      </c>
      <c r="F1846" s="505" t="n">
        <v>4.08</v>
      </c>
      <c r="G1846" t="inlineStr">
        <is>
          <t>5328萬</t>
        </is>
      </c>
      <c r="H1846" t="n">
        <v>519</v>
      </c>
      <c r="I1846" t="n">
        <v>166</v>
      </c>
      <c r="J1846" t="n">
        <v>7.21</v>
      </c>
      <c r="K1846" t="n">
        <v>104.5</v>
      </c>
      <c r="L1846" t="n">
        <v>98.09999999999999</v>
      </c>
      <c r="M1846" s="175" t="n">
        <v>0.72</v>
      </c>
      <c r="N1846" t="inlineStr">
        <is>
          <t>全球前三大TPU產品生產商</t>
        </is>
      </c>
    </row>
    <row r="1847">
      <c r="A1847" t="n">
        <v>6588</v>
      </c>
      <c r="B1847" t="inlineStr">
        <is>
          <t>東典光電</t>
        </is>
      </c>
      <c r="C1847" t="n">
        <v>109</v>
      </c>
      <c r="D1847" t="n">
        <v>111</v>
      </c>
      <c r="E1847" s="504" t="n">
        <v>3.5</v>
      </c>
      <c r="F1847" s="505" t="n">
        <v>3.26</v>
      </c>
      <c r="G1847" t="inlineStr">
        <is>
          <t>2.24億</t>
        </is>
      </c>
      <c r="H1847" t="n">
        <v>2011</v>
      </c>
      <c r="I1847" t="n">
        <v>1456</v>
      </c>
      <c r="J1847" t="n">
        <v>3.47</v>
      </c>
      <c r="K1847" t="n">
        <v>116.5</v>
      </c>
      <c r="L1847" t="n">
        <v>108</v>
      </c>
      <c r="M1847" s="175" t="n">
        <v>5.8</v>
      </c>
      <c r="N1847" t="inlineStr">
        <is>
          <t>台灣光通訊元件濾光片廠商</t>
        </is>
      </c>
    </row>
    <row r="1848">
      <c r="A1848" t="n">
        <v>6589</v>
      </c>
      <c r="B1848" t="inlineStr">
        <is>
          <t>台康生技</t>
        </is>
      </c>
      <c r="C1848" t="n">
        <v>44</v>
      </c>
      <c r="D1848" t="n">
        <v>44.05</v>
      </c>
      <c r="E1848" s="504" t="n">
        <v>0.05</v>
      </c>
      <c r="F1848" s="505" t="n">
        <v>0.11</v>
      </c>
      <c r="G1848" t="inlineStr">
        <is>
          <t>5165萬</t>
        </is>
      </c>
      <c r="H1848" t="n">
        <v>1186</v>
      </c>
      <c r="I1848" t="n">
        <v>2441</v>
      </c>
      <c r="J1848" t="n">
        <v>30.82</v>
      </c>
      <c r="K1848" t="n">
        <v>44.3</v>
      </c>
      <c r="L1848" t="n">
        <v>43</v>
      </c>
      <c r="M1848" s="175" t="n">
        <v>0.47</v>
      </c>
      <c r="N1848" t="inlineStr">
        <is>
          <t>台灣生技藥品委託開發生產服務廠商</t>
        </is>
      </c>
    </row>
    <row r="1849">
      <c r="A1849" t="n">
        <v>6590</v>
      </c>
      <c r="B1849" t="inlineStr">
        <is>
          <t>普鴻</t>
        </is>
      </c>
      <c r="C1849" t="n">
        <v>65.2</v>
      </c>
      <c r="D1849" t="n">
        <v>65.59999999999999</v>
      </c>
      <c r="E1849" s="504" t="n">
        <v>-0.4</v>
      </c>
      <c r="F1849" s="505" t="n">
        <v>-0.61</v>
      </c>
      <c r="G1849" t="inlineStr">
        <is>
          <t>85.1萬</t>
        </is>
      </c>
      <c r="H1849" t="n">
        <v>13</v>
      </c>
      <c r="I1849" t="n">
        <v>21</v>
      </c>
      <c r="J1849" t="n">
        <v>2.5</v>
      </c>
      <c r="K1849" t="n">
        <v>65.59999999999999</v>
      </c>
      <c r="L1849" t="n">
        <v>65.2</v>
      </c>
      <c r="M1849" s="175" t="n">
        <v>0.05</v>
      </c>
      <c r="N1849" t="inlineStr">
        <is>
          <t>台灣金融支付加解密解決方案最大供應商</t>
        </is>
      </c>
    </row>
    <row r="1850">
      <c r="A1850" t="n">
        <v>6591</v>
      </c>
      <c r="B1850" t="inlineStr">
        <is>
          <t>動力-KY</t>
        </is>
      </c>
      <c r="C1850" t="n">
        <v>58.8</v>
      </c>
      <c r="D1850" t="n">
        <v>59</v>
      </c>
      <c r="E1850" s="504" t="n">
        <v>0.8</v>
      </c>
      <c r="F1850" s="505" t="n">
        <v>1.37</v>
      </c>
      <c r="G1850" t="inlineStr">
        <is>
          <t>3604萬</t>
        </is>
      </c>
      <c r="H1850" t="n">
        <v>615</v>
      </c>
      <c r="I1850" t="n">
        <v>649</v>
      </c>
      <c r="J1850" t="n">
        <v>4.11</v>
      </c>
      <c r="K1850" t="n">
        <v>59.3</v>
      </c>
      <c r="L1850" t="n">
        <v>58</v>
      </c>
      <c r="M1850" s="175" t="n">
        <v>1.5</v>
      </c>
      <c r="N1850" t="inlineStr">
        <is>
          <t>電競PC散熱風扇供應商</t>
        </is>
      </c>
    </row>
    <row r="1851">
      <c r="A1851" t="n">
        <v>6592</v>
      </c>
      <c r="B1851" t="inlineStr">
        <is>
          <t>和潤企業</t>
        </is>
      </c>
      <c r="C1851" t="n">
        <v>61.4</v>
      </c>
      <c r="D1851" t="n">
        <v>62.3</v>
      </c>
      <c r="E1851" s="504" t="n">
        <v>0.9</v>
      </c>
      <c r="F1851" s="505" t="n">
        <v>1.47</v>
      </c>
      <c r="G1851" t="inlineStr">
        <is>
          <t>8623萬</t>
        </is>
      </c>
      <c r="H1851" t="n">
        <v>1392</v>
      </c>
      <c r="I1851" t="n">
        <v>816</v>
      </c>
      <c r="J1851" t="n">
        <v>62.32</v>
      </c>
      <c r="K1851" t="n">
        <v>62.5</v>
      </c>
      <c r="L1851" t="n">
        <v>61</v>
      </c>
      <c r="M1851" s="175" t="n">
        <v>0.22</v>
      </c>
      <c r="N1851" t="inlineStr">
        <is>
          <t>和泰旗下車輛融資及租賃公司</t>
        </is>
      </c>
    </row>
    <row r="1852">
      <c r="A1852" t="n">
        <v>6593</v>
      </c>
      <c r="B1852" t="inlineStr">
        <is>
          <t>台灣銘板</t>
        </is>
      </c>
      <c r="C1852" t="n">
        <v>35.15</v>
      </c>
      <c r="D1852" t="n">
        <v>35.05</v>
      </c>
      <c r="E1852" s="504" t="n">
        <v>-0.1</v>
      </c>
      <c r="F1852" s="505" t="n">
        <v>-0.28</v>
      </c>
      <c r="G1852" t="inlineStr">
        <is>
          <t>255萬</t>
        </is>
      </c>
      <c r="H1852" t="n">
        <v>73</v>
      </c>
      <c r="I1852" t="n">
        <v>78</v>
      </c>
      <c r="J1852" t="n">
        <v>3.19</v>
      </c>
      <c r="K1852" t="n">
        <v>35.15</v>
      </c>
      <c r="L1852" t="n">
        <v>34.65</v>
      </c>
      <c r="M1852" s="175" t="n">
        <v>0.23</v>
      </c>
      <c r="N1852" t="inlineStr">
        <is>
          <t>專業信用卡製卡廠商</t>
        </is>
      </c>
    </row>
    <row r="1853">
      <c r="A1853" t="n">
        <v>6596</v>
      </c>
      <c r="B1853" t="inlineStr">
        <is>
          <t>寬宏藝術</t>
        </is>
      </c>
      <c r="C1853" t="n">
        <v>98.5</v>
      </c>
      <c r="D1853" t="n">
        <v>97</v>
      </c>
      <c r="E1853" s="504" t="n">
        <v>-0.3</v>
      </c>
      <c r="F1853" s="505" t="n">
        <v>-0.31</v>
      </c>
      <c r="G1853" t="inlineStr">
        <is>
          <t>1712萬</t>
        </is>
      </c>
      <c r="H1853" t="n">
        <v>177</v>
      </c>
      <c r="I1853" t="n">
        <v>211</v>
      </c>
      <c r="J1853" t="n">
        <v>3.8</v>
      </c>
      <c r="K1853" t="n">
        <v>98.5</v>
      </c>
      <c r="L1853" t="n">
        <v>96.3</v>
      </c>
      <c r="M1853" s="175" t="n">
        <v>0.47</v>
      </c>
      <c r="N1853" t="inlineStr">
        <is>
          <t>從事國內外演唱會、藝文活動之主辦與代理</t>
        </is>
      </c>
    </row>
    <row r="1854">
      <c r="A1854" t="n">
        <v>6597</v>
      </c>
      <c r="B1854" t="inlineStr">
        <is>
          <t>立誠</t>
        </is>
      </c>
      <c r="C1854" t="n">
        <v>71</v>
      </c>
      <c r="D1854" t="n">
        <v>71.09999999999999</v>
      </c>
      <c r="E1854" s="504" t="n">
        <v>-1.9</v>
      </c>
      <c r="F1854" s="505" t="n">
        <v>-2.6</v>
      </c>
      <c r="G1854" t="inlineStr">
        <is>
          <t>99.4萬</t>
        </is>
      </c>
      <c r="H1854" t="n">
        <v>14</v>
      </c>
      <c r="I1854" t="n">
        <v>14</v>
      </c>
      <c r="J1854" t="n">
        <v>3</v>
      </c>
      <c r="K1854" t="n">
        <v>71.09999999999999</v>
      </c>
      <c r="L1854" t="n">
        <v>70.90000000000001</v>
      </c>
      <c r="M1854" s="175" t="n">
        <v>0.05</v>
      </c>
      <c r="N1854" t="inlineStr">
        <is>
          <t>一詮轉投資之LED陶瓷基板廠</t>
        </is>
      </c>
    </row>
    <row r="1855">
      <c r="A1855" t="n">
        <v>6598</v>
      </c>
      <c r="B1855" t="inlineStr">
        <is>
          <t>ABC-KY</t>
        </is>
      </c>
      <c r="C1855" t="n">
        <v>24.2</v>
      </c>
      <c r="D1855" t="n">
        <v>24.3</v>
      </c>
      <c r="E1855" s="504" t="n">
        <v>0.1</v>
      </c>
      <c r="F1855" s="505" t="n">
        <v>0.41</v>
      </c>
      <c r="G1855" t="inlineStr">
        <is>
          <t>339萬</t>
        </is>
      </c>
      <c r="H1855" t="n">
        <v>140</v>
      </c>
      <c r="I1855" t="n">
        <v>225</v>
      </c>
      <c r="J1855" t="n">
        <v>10.28</v>
      </c>
      <c r="K1855" t="n">
        <v>24.45</v>
      </c>
      <c r="L1855" t="n">
        <v>23.95</v>
      </c>
      <c r="M1855" s="175" t="n">
        <v>0.14</v>
      </c>
      <c r="N1855" t="inlineStr">
        <is>
          <t>創新數位生物條碼技術大廠</t>
        </is>
      </c>
    </row>
    <row r="1856">
      <c r="A1856" t="n">
        <v>6603</v>
      </c>
      <c r="B1856" t="inlineStr">
        <is>
          <t>富強鑫</t>
        </is>
      </c>
      <c r="C1856" t="n">
        <v>25.2</v>
      </c>
      <c r="D1856" t="n">
        <v>23.8</v>
      </c>
      <c r="E1856" s="504" t="n">
        <v>-1.1</v>
      </c>
      <c r="F1856" s="505" t="n">
        <v>-4.42</v>
      </c>
      <c r="G1856" t="inlineStr">
        <is>
          <t>4599萬</t>
        </is>
      </c>
      <c r="H1856" t="n">
        <v>1909</v>
      </c>
      <c r="I1856" t="n">
        <v>3455</v>
      </c>
      <c r="J1856" t="n">
        <v>16.74</v>
      </c>
      <c r="K1856" t="n">
        <v>25.25</v>
      </c>
      <c r="L1856" t="n">
        <v>23.6</v>
      </c>
      <c r="M1856" s="175" t="n">
        <v>1.14</v>
      </c>
      <c r="N1856" t="inlineStr">
        <is>
          <t>台灣塑膠射出機領導廠商</t>
        </is>
      </c>
    </row>
    <row r="1857">
      <c r="A1857" t="n">
        <v>6605</v>
      </c>
      <c r="B1857" t="inlineStr">
        <is>
          <t>帝寶</t>
        </is>
      </c>
      <c r="C1857" t="n">
        <v>141.5</v>
      </c>
      <c r="D1857" t="n">
        <v>142.5</v>
      </c>
      <c r="E1857" s="504" t="n">
        <v>1</v>
      </c>
      <c r="F1857" s="505" t="n">
        <v>0.71</v>
      </c>
      <c r="G1857" t="inlineStr">
        <is>
          <t>1.57億</t>
        </is>
      </c>
      <c r="H1857" t="n">
        <v>1115</v>
      </c>
      <c r="I1857" t="n">
        <v>1471</v>
      </c>
      <c r="J1857" t="n">
        <v>16.58</v>
      </c>
      <c r="K1857" t="n">
        <v>142.5</v>
      </c>
      <c r="L1857" t="n">
        <v>139</v>
      </c>
      <c r="M1857" s="175" t="n">
        <v>0.67</v>
      </c>
      <c r="N1857" t="inlineStr">
        <is>
          <t>全球AM車燈龍頭企業</t>
        </is>
      </c>
    </row>
    <row r="1858">
      <c r="A1858" t="n">
        <v>6606</v>
      </c>
      <c r="B1858" t="inlineStr">
        <is>
          <t>建德工業</t>
        </is>
      </c>
      <c r="C1858" t="n">
        <v>26.3</v>
      </c>
      <c r="D1858" t="n">
        <v>26.7</v>
      </c>
      <c r="E1858" s="504" t="n">
        <v>0.35</v>
      </c>
      <c r="F1858" s="505" t="n">
        <v>1.33</v>
      </c>
      <c r="G1858" t="inlineStr">
        <is>
          <t>1458萬</t>
        </is>
      </c>
      <c r="H1858" t="n">
        <v>556</v>
      </c>
      <c r="I1858" t="n">
        <v>289</v>
      </c>
      <c r="J1858" t="n">
        <v>11.03</v>
      </c>
      <c r="K1858" t="n">
        <v>26.7</v>
      </c>
      <c r="L1858" t="n">
        <v>25.95</v>
      </c>
      <c r="M1858" s="175" t="n">
        <v>0.5</v>
      </c>
      <c r="N1858" t="inlineStr">
        <is>
          <t>全球專業的磨床工具機廠商</t>
        </is>
      </c>
    </row>
    <row r="1859">
      <c r="A1859" t="n">
        <v>6609</v>
      </c>
      <c r="B1859" t="inlineStr">
        <is>
          <t>瀧澤科</t>
        </is>
      </c>
      <c r="C1859" t="n">
        <v>48.05</v>
      </c>
      <c r="D1859" t="n">
        <v>47.2</v>
      </c>
      <c r="E1859" s="504" t="n">
        <v>-0.65</v>
      </c>
      <c r="F1859" s="505" t="n">
        <v>-1.36</v>
      </c>
      <c r="G1859" t="inlineStr">
        <is>
          <t>4932萬</t>
        </is>
      </c>
      <c r="H1859" t="n">
        <v>1056</v>
      </c>
      <c r="I1859" t="n">
        <v>1558</v>
      </c>
      <c r="J1859" t="n">
        <v>7.25</v>
      </c>
      <c r="K1859" t="n">
        <v>48.05</v>
      </c>
      <c r="L1859" t="n">
        <v>45.8</v>
      </c>
      <c r="M1859" s="175" t="n">
        <v>1.46</v>
      </c>
      <c r="N1859" t="inlineStr">
        <is>
          <t>中日合資工具機生產廠商，以CNC車床為主</t>
        </is>
      </c>
    </row>
    <row r="1860">
      <c r="A1860" t="n">
        <v>6612</v>
      </c>
      <c r="B1860" t="inlineStr">
        <is>
          <t>奈米醫材</t>
        </is>
      </c>
      <c r="C1860" t="n">
        <v>73</v>
      </c>
      <c r="D1860" t="n">
        <v>72.3</v>
      </c>
      <c r="E1860" s="504" t="n">
        <v>-0.2</v>
      </c>
      <c r="F1860" s="505" t="n">
        <v>-0.28</v>
      </c>
      <c r="G1860" t="inlineStr">
        <is>
          <t>131萬</t>
        </is>
      </c>
      <c r="H1860" t="n">
        <v>18</v>
      </c>
      <c r="I1860" t="n">
        <v>55</v>
      </c>
      <c r="J1860" t="n">
        <v>4.75</v>
      </c>
      <c r="K1860" t="n">
        <v>73</v>
      </c>
      <c r="L1860" t="n">
        <v>72.3</v>
      </c>
      <c r="M1860" s="175" t="n">
        <v>0.04</v>
      </c>
      <c r="N1860" t="inlineStr">
        <is>
          <t>人工水晶體及其植入系統製造商</t>
        </is>
      </c>
    </row>
    <row r="1861">
      <c r="A1861" t="n">
        <v>6613</v>
      </c>
      <c r="B1861" t="inlineStr">
        <is>
          <t>朋億*</t>
        </is>
      </c>
      <c r="C1861" t="n">
        <v>261</v>
      </c>
      <c r="D1861" t="n">
        <v>257.5</v>
      </c>
      <c r="E1861" s="504" t="n">
        <v>-3.5</v>
      </c>
      <c r="F1861" s="505" t="n">
        <v>-1.34</v>
      </c>
      <c r="G1861" t="inlineStr">
        <is>
          <t>5323萬</t>
        </is>
      </c>
      <c r="H1861" t="n">
        <v>206</v>
      </c>
      <c r="I1861" t="n">
        <v>366</v>
      </c>
      <c r="J1861" t="n">
        <v>3.89</v>
      </c>
      <c r="K1861" t="n">
        <v>263.5</v>
      </c>
      <c r="L1861" t="n">
        <v>255.5</v>
      </c>
      <c r="M1861" s="175" t="n">
        <v>0.26</v>
      </c>
      <c r="N1861" t="inlineStr">
        <is>
          <t>聖暉旗下，經營半導體廠務設備製造</t>
        </is>
      </c>
    </row>
    <row r="1862">
      <c r="A1862" t="n">
        <v>6614</v>
      </c>
      <c r="B1862" t="inlineStr">
        <is>
          <t>資拓宏宇</t>
        </is>
      </c>
      <c r="C1862" t="n">
        <v>40.1</v>
      </c>
      <c r="D1862" t="n">
        <v>40</v>
      </c>
      <c r="E1862" s="504" t="n">
        <v>0</v>
      </c>
      <c r="F1862" s="505" t="n">
        <v>0</v>
      </c>
      <c r="G1862" t="inlineStr">
        <is>
          <t>396萬</t>
        </is>
      </c>
      <c r="H1862" t="n">
        <v>99</v>
      </c>
      <c r="I1862" t="n">
        <v>121</v>
      </c>
      <c r="J1862" t="n">
        <v>8.07</v>
      </c>
      <c r="K1862" t="n">
        <v>40.3</v>
      </c>
      <c r="L1862" t="n">
        <v>39.7</v>
      </c>
      <c r="M1862" s="175" t="n">
        <v>0.12</v>
      </c>
      <c r="N1862" t="inlineStr">
        <is>
          <t>中華電信轉投資，資訊系統建置與整合服務公司</t>
        </is>
      </c>
    </row>
    <row r="1863">
      <c r="A1863" t="n">
        <v>6615</v>
      </c>
      <c r="B1863" t="inlineStr">
        <is>
          <t>慧智</t>
        </is>
      </c>
      <c r="C1863" t="n">
        <v>32.8</v>
      </c>
      <c r="D1863" t="n">
        <v>32.9</v>
      </c>
      <c r="E1863" s="504" t="n">
        <v>0.1</v>
      </c>
      <c r="F1863" s="505" t="n">
        <v>0.3</v>
      </c>
      <c r="G1863" t="inlineStr">
        <is>
          <t>39.4萬</t>
        </is>
      </c>
      <c r="H1863" t="n">
        <v>12</v>
      </c>
      <c r="I1863" t="n">
        <v>27</v>
      </c>
      <c r="J1863" t="n">
        <v>2.16</v>
      </c>
      <c r="K1863" t="n">
        <v>32.9</v>
      </c>
      <c r="L1863" t="n">
        <v>32.8</v>
      </c>
      <c r="M1863" s="175" t="n">
        <v>0.06</v>
      </c>
      <c r="N1863" t="inlineStr">
        <is>
          <t>台灣基因檢測產業領導廠商</t>
        </is>
      </c>
    </row>
    <row r="1864">
      <c r="A1864" t="n">
        <v>6616</v>
      </c>
      <c r="B1864" t="inlineStr">
        <is>
          <t>特昇-KY</t>
        </is>
      </c>
      <c r="C1864" t="n">
        <v>9</v>
      </c>
      <c r="D1864" t="n">
        <v>9.15</v>
      </c>
      <c r="E1864" s="504" t="n">
        <v>0.16</v>
      </c>
      <c r="F1864" s="505" t="n">
        <v>1.78</v>
      </c>
      <c r="G1864" t="inlineStr">
        <is>
          <t>63.5萬</t>
        </is>
      </c>
      <c r="H1864" t="n">
        <v>70</v>
      </c>
      <c r="I1864" t="n">
        <v>78</v>
      </c>
      <c r="J1864" t="n">
        <v>3.55</v>
      </c>
      <c r="K1864" t="n">
        <v>9.19</v>
      </c>
      <c r="L1864" t="n">
        <v>9</v>
      </c>
      <c r="M1864" s="175" t="n">
        <v>0.2</v>
      </c>
      <c r="N1864" t="inlineStr">
        <is>
          <t>馬來西亞前五大木製寢室傢俱公司</t>
        </is>
      </c>
    </row>
    <row r="1865">
      <c r="A1865" t="n">
        <v>6617</v>
      </c>
      <c r="B1865" t="inlineStr">
        <is>
          <t>共信-KY</t>
        </is>
      </c>
      <c r="C1865" t="n">
        <v>69.90000000000001</v>
      </c>
      <c r="D1865" t="n">
        <v>69.2</v>
      </c>
      <c r="E1865" s="504" t="n">
        <v>0.2</v>
      </c>
      <c r="F1865" s="505" t="n">
        <v>0.29</v>
      </c>
      <c r="G1865" t="inlineStr">
        <is>
          <t>1284萬</t>
        </is>
      </c>
      <c r="H1865" t="n">
        <v>186</v>
      </c>
      <c r="I1865" t="n">
        <v>458</v>
      </c>
      <c r="J1865" t="n">
        <v>12.75</v>
      </c>
      <c r="K1865" t="n">
        <v>69.90000000000001</v>
      </c>
      <c r="L1865" t="n">
        <v>68.09999999999999</v>
      </c>
      <c r="M1865" s="175" t="n">
        <v>0.15</v>
      </c>
      <c r="N1865" t="inlineStr">
        <is>
          <t>聚焦腫瘤精準治療之抗癌新藥公司</t>
        </is>
      </c>
    </row>
    <row r="1866">
      <c r="A1866" t="n">
        <v>6620</v>
      </c>
      <c r="B1866" t="inlineStr">
        <is>
          <t>漢達</t>
        </is>
      </c>
      <c r="C1866" t="n">
        <v>72.2</v>
      </c>
      <c r="D1866" t="n">
        <v>71.2</v>
      </c>
      <c r="E1866" s="504" t="n">
        <v>-0.9</v>
      </c>
      <c r="F1866" s="505" t="n">
        <v>-1.25</v>
      </c>
      <c r="G1866" t="inlineStr">
        <is>
          <t>1646萬</t>
        </is>
      </c>
      <c r="H1866" t="n">
        <v>231</v>
      </c>
      <c r="I1866" t="n">
        <v>342</v>
      </c>
      <c r="J1866" t="n">
        <v>17</v>
      </c>
      <c r="K1866" t="n">
        <v>72.2</v>
      </c>
      <c r="L1866" t="n">
        <v>71.2</v>
      </c>
      <c r="M1866" s="175" t="n">
        <v>0.14</v>
      </c>
      <c r="N1866" t="inlineStr">
        <is>
          <t>特殊學名藥與新藥研發廠</t>
        </is>
      </c>
    </row>
    <row r="1867">
      <c r="A1867" t="n">
        <v>6624</v>
      </c>
      <c r="B1867" t="inlineStr">
        <is>
          <t>萬年清</t>
        </is>
      </c>
      <c r="C1867" t="n">
        <v>39</v>
      </c>
      <c r="D1867" t="n">
        <v>39.1</v>
      </c>
      <c r="E1867" s="504" t="n">
        <v>-0.6</v>
      </c>
      <c r="F1867" s="505" t="n">
        <v>-1.51</v>
      </c>
      <c r="G1867" t="inlineStr">
        <is>
          <t>289萬</t>
        </is>
      </c>
      <c r="H1867" t="n">
        <v>75</v>
      </c>
      <c r="I1867" t="n">
        <v>50</v>
      </c>
      <c r="J1867" t="n">
        <v>2.26</v>
      </c>
      <c r="K1867" t="n">
        <v>39.95</v>
      </c>
      <c r="L1867" t="n">
        <v>39</v>
      </c>
      <c r="M1867" s="175" t="n">
        <v>0.33</v>
      </c>
      <c r="N1867" t="inlineStr">
        <is>
          <t>從事工業用水與廢水處理之統包工程</t>
        </is>
      </c>
    </row>
    <row r="1868">
      <c r="A1868" t="n">
        <v>6625</v>
      </c>
      <c r="B1868" t="inlineStr">
        <is>
          <t>必應</t>
        </is>
      </c>
      <c r="C1868" t="n">
        <v>73.59999999999999</v>
      </c>
      <c r="D1868" t="n">
        <v>73.59999999999999</v>
      </c>
      <c r="E1868" s="504" t="n">
        <v>0</v>
      </c>
      <c r="F1868" s="505" t="n">
        <v>0</v>
      </c>
      <c r="G1868" t="inlineStr">
        <is>
          <t>1099萬</t>
        </is>
      </c>
      <c r="H1868" t="n">
        <v>149</v>
      </c>
      <c r="I1868" t="n">
        <v>169</v>
      </c>
      <c r="J1868" t="n">
        <v>5.8</v>
      </c>
      <c r="K1868" t="n">
        <v>74.3</v>
      </c>
      <c r="L1868" t="n">
        <v>73.3</v>
      </c>
      <c r="M1868" s="175" t="n">
        <v>0.26</v>
      </c>
      <c r="N1868" t="inlineStr">
        <is>
          <t>台灣最大的娛樂影音活動製作公司</t>
        </is>
      </c>
    </row>
    <row r="1869">
      <c r="A1869" t="n">
        <v>6629</v>
      </c>
      <c r="B1869" t="inlineStr">
        <is>
          <t>泰金-KY</t>
        </is>
      </c>
      <c r="C1869" t="n">
        <v>116</v>
      </c>
      <c r="D1869" t="n">
        <v>118</v>
      </c>
      <c r="E1869" s="504" t="n">
        <v>2</v>
      </c>
      <c r="F1869" s="505" t="n">
        <v>1.72</v>
      </c>
      <c r="G1869" t="inlineStr">
        <is>
          <t>733萬</t>
        </is>
      </c>
      <c r="H1869" t="n">
        <v>63</v>
      </c>
      <c r="I1869" t="n">
        <v>122</v>
      </c>
      <c r="J1869" t="n">
        <v>3.84</v>
      </c>
      <c r="K1869" t="n">
        <v>118.5</v>
      </c>
      <c r="L1869" t="n">
        <v>115</v>
      </c>
      <c r="M1869" s="175" t="n">
        <v>0.16</v>
      </c>
      <c r="N1869" t="inlineStr">
        <is>
          <t>泰國家飾鑄件大廠</t>
        </is>
      </c>
    </row>
    <row r="1870">
      <c r="A1870" t="n">
        <v>6637</v>
      </c>
      <c r="B1870" t="inlineStr">
        <is>
          <t>醫影</t>
        </is>
      </c>
      <c r="C1870" t="n">
        <v>66.40000000000001</v>
      </c>
      <c r="D1870" t="n">
        <v>67.7</v>
      </c>
      <c r="E1870" s="504" t="n">
        <v>1.3</v>
      </c>
      <c r="F1870" s="505" t="n">
        <v>1.96</v>
      </c>
      <c r="G1870" t="inlineStr">
        <is>
          <t>154萬</t>
        </is>
      </c>
      <c r="H1870" t="n">
        <v>23</v>
      </c>
      <c r="I1870" t="n">
        <v>34</v>
      </c>
      <c r="J1870" t="n">
        <v>2.68</v>
      </c>
      <c r="K1870" t="n">
        <v>67.8</v>
      </c>
      <c r="L1870" t="n">
        <v>66.40000000000001</v>
      </c>
      <c r="M1870" s="175" t="n">
        <v>0.09</v>
      </c>
      <c r="N1870" t="inlineStr">
        <is>
          <t>專攻影像醫學設備代理商，主要代理GE醫學設備</t>
        </is>
      </c>
    </row>
    <row r="1871">
      <c r="A1871" t="n">
        <v>6640</v>
      </c>
      <c r="B1871" t="inlineStr">
        <is>
          <t>均華</t>
        </is>
      </c>
      <c r="C1871" t="n">
        <v>1315</v>
      </c>
      <c r="D1871" t="n">
        <v>1285</v>
      </c>
      <c r="E1871" s="504" t="n">
        <v>-30</v>
      </c>
      <c r="F1871" s="505" t="n">
        <v>-2.28</v>
      </c>
      <c r="G1871" t="inlineStr">
        <is>
          <t>3.48億</t>
        </is>
      </c>
      <c r="H1871" t="n">
        <v>272</v>
      </c>
      <c r="I1871" t="n">
        <v>447</v>
      </c>
      <c r="J1871" t="n">
        <v>2.85</v>
      </c>
      <c r="K1871" t="n">
        <v>1315</v>
      </c>
      <c r="L1871" t="n">
        <v>1265</v>
      </c>
      <c r="M1871" s="175" t="n">
        <v>0.95</v>
      </c>
      <c r="N1871" t="inlineStr">
        <is>
          <t>均豪旗下，從事半導體封裝設備的製造</t>
        </is>
      </c>
    </row>
    <row r="1872">
      <c r="A1872" t="n">
        <v>6641</v>
      </c>
      <c r="B1872" t="inlineStr">
        <is>
          <t>基士德-KY</t>
        </is>
      </c>
      <c r="C1872" t="n">
        <v>18.7</v>
      </c>
      <c r="D1872" t="n">
        <v>18.3</v>
      </c>
      <c r="E1872" s="504" t="n">
        <v>-0.3</v>
      </c>
      <c r="F1872" s="505" t="n">
        <v>-1.61</v>
      </c>
      <c r="G1872" t="inlineStr">
        <is>
          <t>60.6萬</t>
        </is>
      </c>
      <c r="H1872" t="n">
        <v>34</v>
      </c>
      <c r="I1872" t="n">
        <v>59</v>
      </c>
      <c r="J1872" t="n">
        <v>3.65</v>
      </c>
      <c r="K1872" t="n">
        <v>18.7</v>
      </c>
      <c r="L1872" t="n">
        <v>18.15</v>
      </c>
      <c r="M1872" s="175" t="n">
        <v>0.09</v>
      </c>
      <c r="N1872" t="inlineStr">
        <is>
          <t>大陸水處理環保設備與技術服務綜合服務商</t>
        </is>
      </c>
    </row>
    <row r="1873">
      <c r="A1873" t="n">
        <v>6642</v>
      </c>
      <c r="B1873" t="inlineStr">
        <is>
          <t>富致</t>
        </is>
      </c>
      <c r="C1873" t="n">
        <v>85.2</v>
      </c>
      <c r="D1873" t="n">
        <v>84.2</v>
      </c>
      <c r="E1873" s="504" t="n">
        <v>-0.8</v>
      </c>
      <c r="F1873" s="505" t="n">
        <v>-0.9399999999999999</v>
      </c>
      <c r="G1873" t="inlineStr">
        <is>
          <t>7845萬</t>
        </is>
      </c>
      <c r="H1873" t="n">
        <v>941</v>
      </c>
      <c r="I1873" t="n">
        <v>2454</v>
      </c>
      <c r="J1873" t="n">
        <v>3.74</v>
      </c>
      <c r="K1873" t="n">
        <v>85.7</v>
      </c>
      <c r="L1873" t="n">
        <v>82</v>
      </c>
      <c r="M1873" s="175" t="n">
        <v>2.52</v>
      </c>
      <c r="N1873" t="inlineStr">
        <is>
          <t>台灣PPTC自復式保險絲製造商</t>
        </is>
      </c>
    </row>
    <row r="1874">
      <c r="A1874" t="n">
        <v>6643</v>
      </c>
      <c r="B1874" t="inlineStr">
        <is>
          <t>M31</t>
        </is>
      </c>
      <c r="C1874" t="n">
        <v>588</v>
      </c>
      <c r="D1874" t="n">
        <v>577</v>
      </c>
      <c r="E1874" s="504" t="n">
        <v>1</v>
      </c>
      <c r="F1874" s="505" t="n">
        <v>0.17</v>
      </c>
      <c r="G1874" t="inlineStr">
        <is>
          <t>3.42億</t>
        </is>
      </c>
      <c r="H1874" t="n">
        <v>593</v>
      </c>
      <c r="I1874" t="n">
        <v>906</v>
      </c>
      <c r="J1874" t="n">
        <v>4.21</v>
      </c>
      <c r="K1874" t="n">
        <v>590</v>
      </c>
      <c r="L1874" t="n">
        <v>561</v>
      </c>
      <c r="M1874" s="175" t="n">
        <v>1.42</v>
      </c>
      <c r="N1874" t="inlineStr">
        <is>
          <t>主攻高速傳輸的矽智材廠商</t>
        </is>
      </c>
    </row>
    <row r="1875">
      <c r="A1875" t="n">
        <v>6649</v>
      </c>
      <c r="B1875" t="inlineStr">
        <is>
          <t>台生材</t>
        </is>
      </c>
      <c r="C1875" t="n">
        <v>38.05</v>
      </c>
      <c r="D1875" t="n">
        <v>38.4</v>
      </c>
      <c r="E1875" s="504" t="n">
        <v>0.35</v>
      </c>
      <c r="F1875" s="505" t="n">
        <v>0.92</v>
      </c>
      <c r="G1875" t="inlineStr">
        <is>
          <t>65.1萬</t>
        </is>
      </c>
      <c r="H1875" t="n">
        <v>17</v>
      </c>
      <c r="I1875" t="n">
        <v>75</v>
      </c>
      <c r="J1875" t="n">
        <v>4.2</v>
      </c>
      <c r="K1875" t="n">
        <v>38.4</v>
      </c>
      <c r="L1875" t="n">
        <v>38</v>
      </c>
      <c r="M1875" s="175" t="n">
        <v>0.04</v>
      </c>
      <c r="N1875" t="inlineStr">
        <is>
          <t>主要從事泡沫式人工腦膜研發</t>
        </is>
      </c>
    </row>
    <row r="1876">
      <c r="A1876" t="n">
        <v>6651</v>
      </c>
      <c r="B1876" t="inlineStr">
        <is>
          <t>全宇昕</t>
        </is>
      </c>
      <c r="C1876" t="n">
        <v>141.5</v>
      </c>
      <c r="D1876" t="n">
        <v>140.5</v>
      </c>
      <c r="E1876" s="504" t="n">
        <v>-1</v>
      </c>
      <c r="F1876" s="505" t="n">
        <v>-0.71</v>
      </c>
      <c r="G1876" t="inlineStr">
        <is>
          <t>3810萬</t>
        </is>
      </c>
      <c r="H1876" t="n">
        <v>272</v>
      </c>
      <c r="I1876" t="n">
        <v>722</v>
      </c>
      <c r="J1876" t="n">
        <v>3.46</v>
      </c>
      <c r="K1876" t="n">
        <v>143</v>
      </c>
      <c r="L1876" t="n">
        <v>137.5</v>
      </c>
      <c r="M1876" s="175" t="n">
        <v>0.79</v>
      </c>
      <c r="N1876" t="inlineStr">
        <is>
          <t>分離式半導體元件廠</t>
        </is>
      </c>
    </row>
    <row r="1877">
      <c r="A1877" t="n">
        <v>6654</v>
      </c>
      <c r="B1877" t="inlineStr">
        <is>
          <t>天正國際</t>
        </is>
      </c>
      <c r="C1877" t="n">
        <v>185.5</v>
      </c>
      <c r="D1877" t="n">
        <v>170</v>
      </c>
      <c r="E1877" s="504" t="n">
        <v>1</v>
      </c>
      <c r="F1877" s="505" t="n">
        <v>0.59</v>
      </c>
      <c r="G1877" t="inlineStr">
        <is>
          <t>7571萬</t>
        </is>
      </c>
      <c r="H1877" t="n">
        <v>420</v>
      </c>
      <c r="I1877" t="n">
        <v>314</v>
      </c>
      <c r="J1877" t="n">
        <v>3.73</v>
      </c>
      <c r="K1877" t="n">
        <v>185.5</v>
      </c>
      <c r="L1877" t="n">
        <v>170</v>
      </c>
      <c r="M1877" s="175" t="n">
        <v>1.03</v>
      </c>
      <c r="N1877" t="inlineStr">
        <is>
          <t>專業的被動元件自動化生產設備商</t>
        </is>
      </c>
    </row>
    <row r="1878">
      <c r="A1878" t="n">
        <v>6655</v>
      </c>
      <c r="B1878" t="inlineStr">
        <is>
          <t>科定</t>
        </is>
      </c>
      <c r="C1878" t="n">
        <v>130.5</v>
      </c>
      <c r="D1878" t="n">
        <v>130</v>
      </c>
      <c r="E1878" s="504" t="n">
        <v>-0.5</v>
      </c>
      <c r="F1878" s="505" t="n">
        <v>-0.38</v>
      </c>
      <c r="G1878" t="inlineStr">
        <is>
          <t>208萬</t>
        </is>
      </c>
      <c r="H1878" t="n">
        <v>16</v>
      </c>
      <c r="I1878" t="n">
        <v>12</v>
      </c>
      <c r="J1878" t="n">
        <v>8.06</v>
      </c>
      <c r="K1878" t="n">
        <v>133</v>
      </c>
      <c r="L1878" t="n">
        <v>129.5</v>
      </c>
      <c r="M1878" s="175" t="n">
        <v>0.02</v>
      </c>
      <c r="N1878" t="inlineStr">
        <is>
          <t>主要從事木製板材之製造商</t>
        </is>
      </c>
    </row>
    <row r="1879">
      <c r="A1879" t="n">
        <v>6657</v>
      </c>
      <c r="B1879" t="inlineStr">
        <is>
          <t>華安</t>
        </is>
      </c>
      <c r="C1879" t="n">
        <v>39.9</v>
      </c>
      <c r="D1879" t="n">
        <v>38.55</v>
      </c>
      <c r="E1879" s="504" t="n">
        <v>0.5</v>
      </c>
      <c r="F1879" s="505" t="n">
        <v>1.31</v>
      </c>
      <c r="G1879" t="inlineStr">
        <is>
          <t>1247萬</t>
        </is>
      </c>
      <c r="H1879" t="n">
        <v>325</v>
      </c>
      <c r="I1879" t="n">
        <v>255</v>
      </c>
      <c r="J1879" t="n">
        <v>8.880000000000001</v>
      </c>
      <c r="K1879" t="n">
        <v>39.9</v>
      </c>
      <c r="L1879" t="n">
        <v>37.8</v>
      </c>
      <c r="M1879" s="175" t="n">
        <v>0.37</v>
      </c>
      <c r="N1879" t="inlineStr">
        <is>
          <t>小分子新藥研發廠</t>
        </is>
      </c>
    </row>
    <row r="1880">
      <c r="A1880" t="n">
        <v>6658</v>
      </c>
      <c r="B1880" t="inlineStr">
        <is>
          <t>聯策</t>
        </is>
      </c>
      <c r="C1880" t="n">
        <v>208.5</v>
      </c>
      <c r="D1880" t="n">
        <v>202</v>
      </c>
      <c r="E1880" s="504" t="n">
        <v>-5.5</v>
      </c>
      <c r="F1880" s="505" t="n">
        <v>-2.65</v>
      </c>
      <c r="G1880" t="inlineStr">
        <is>
          <t>2.16億</t>
        </is>
      </c>
      <c r="H1880" t="n">
        <v>1058</v>
      </c>
      <c r="I1880" t="n">
        <v>1897</v>
      </c>
      <c r="J1880" t="n">
        <v>3.64</v>
      </c>
      <c r="K1880" t="n">
        <v>209</v>
      </c>
      <c r="L1880" t="n">
        <v>201</v>
      </c>
      <c r="M1880" s="175" t="n">
        <v>2.91</v>
      </c>
      <c r="N1880" t="inlineStr">
        <is>
          <t>電路板外觀檢測領域知名企業</t>
        </is>
      </c>
    </row>
    <row r="1881">
      <c r="A1881" t="n">
        <v>6661</v>
      </c>
      <c r="B1881" t="inlineStr">
        <is>
          <t>威健生技</t>
        </is>
      </c>
      <c r="C1881" t="n">
        <v>16.5</v>
      </c>
      <c r="D1881" t="n">
        <v>16.2</v>
      </c>
      <c r="E1881" s="504" t="n">
        <v>-0.4</v>
      </c>
      <c r="F1881" s="505" t="n">
        <v>-2.41</v>
      </c>
      <c r="G1881" t="inlineStr">
        <is>
          <t>9.85萬</t>
        </is>
      </c>
      <c r="H1881" t="n">
        <v>6</v>
      </c>
      <c r="I1881" t="n">
        <v>10</v>
      </c>
      <c r="J1881" t="n">
        <v>2.33</v>
      </c>
      <c r="K1881" t="n">
        <v>16.5</v>
      </c>
      <c r="L1881" t="n">
        <v>16.2</v>
      </c>
      <c r="M1881" s="175" t="n">
        <v>0.03</v>
      </c>
      <c r="N1881" t="inlineStr">
        <is>
          <t>台灣第一家獲得生物晶片檢測雙認證之公司</t>
        </is>
      </c>
    </row>
    <row r="1882">
      <c r="A1882" t="n">
        <v>6662</v>
      </c>
      <c r="B1882" t="inlineStr">
        <is>
          <t>樂斯科</t>
        </is>
      </c>
      <c r="C1882" t="n">
        <v>28.8</v>
      </c>
      <c r="D1882" t="n">
        <v>28.8</v>
      </c>
      <c r="E1882" s="504" t="n">
        <v>0</v>
      </c>
      <c r="F1882" s="505" t="n">
        <v>0</v>
      </c>
      <c r="G1882" t="inlineStr">
        <is>
          <t>2.88萬</t>
        </is>
      </c>
      <c r="H1882" t="n">
        <v>1</v>
      </c>
      <c r="I1882" t="n">
        <v>17</v>
      </c>
      <c r="J1882" t="n">
        <v>2.56</v>
      </c>
      <c r="K1882" t="n">
        <v>28.8</v>
      </c>
      <c r="L1882" t="n">
        <v>28.8</v>
      </c>
      <c r="M1882" s="175" t="n">
        <v>0</v>
      </c>
      <c r="N1882" t="inlineStr">
        <is>
          <t>台灣知名實驗鼠繁殖中心</t>
        </is>
      </c>
    </row>
    <row r="1883">
      <c r="A1883" t="n">
        <v>6664</v>
      </c>
      <c r="B1883" t="inlineStr">
        <is>
          <t>群翊</t>
        </is>
      </c>
      <c r="C1883" t="n">
        <v>433</v>
      </c>
      <c r="D1883" t="n">
        <v>409</v>
      </c>
      <c r="E1883" s="504" t="n">
        <v>-20.5</v>
      </c>
      <c r="F1883" s="505" t="n">
        <v>-4.77</v>
      </c>
      <c r="G1883" t="inlineStr">
        <is>
          <t>3.86億</t>
        </is>
      </c>
      <c r="H1883" t="n">
        <v>939</v>
      </c>
      <c r="I1883" t="n">
        <v>1523</v>
      </c>
      <c r="J1883" t="n">
        <v>6.08</v>
      </c>
      <c r="K1883" t="n">
        <v>433</v>
      </c>
      <c r="L1883" t="n">
        <v>405</v>
      </c>
      <c r="M1883" s="175" t="n">
        <v>1.54</v>
      </c>
      <c r="N1883" t="inlineStr">
        <is>
          <t>全球最大PCB塗佈烘烤設備廠商</t>
        </is>
      </c>
    </row>
    <row r="1884">
      <c r="A1884" t="n">
        <v>6666</v>
      </c>
      <c r="B1884" t="inlineStr">
        <is>
          <t>羅麗芬-KY</t>
        </is>
      </c>
      <c r="C1884" t="n">
        <v>40.55</v>
      </c>
      <c r="D1884" t="n">
        <v>39.75</v>
      </c>
      <c r="E1884" s="504" t="n">
        <v>-0.2</v>
      </c>
      <c r="F1884" s="505" t="n">
        <v>-0.5</v>
      </c>
      <c r="G1884" t="inlineStr">
        <is>
          <t>83.9萬</t>
        </is>
      </c>
      <c r="H1884" t="n">
        <v>21</v>
      </c>
      <c r="I1884" t="n">
        <v>19</v>
      </c>
      <c r="J1884" t="n">
        <v>4.74</v>
      </c>
      <c r="K1884" t="n">
        <v>40.55</v>
      </c>
      <c r="L1884" t="n">
        <v>39.75</v>
      </c>
      <c r="M1884" s="175" t="n">
        <v>0.04</v>
      </c>
      <c r="N1884" t="inlineStr">
        <is>
          <t>銷售以面部類為主的大陸美妝品牌公司</t>
        </is>
      </c>
    </row>
    <row r="1885">
      <c r="A1885" t="n">
        <v>6667</v>
      </c>
      <c r="B1885" t="inlineStr">
        <is>
          <t>信紘科</t>
        </is>
      </c>
      <c r="C1885" t="n">
        <v>276</v>
      </c>
      <c r="D1885" t="n">
        <v>269.5</v>
      </c>
      <c r="E1885" s="504" t="n">
        <v>-9</v>
      </c>
      <c r="F1885" s="505" t="n">
        <v>-3.23</v>
      </c>
      <c r="G1885" t="inlineStr">
        <is>
          <t>2.45億</t>
        </is>
      </c>
      <c r="H1885" t="n">
        <v>914</v>
      </c>
      <c r="I1885" t="n">
        <v>1847</v>
      </c>
      <c r="J1885" t="n">
        <v>4.93</v>
      </c>
      <c r="K1885" t="n">
        <v>277.5</v>
      </c>
      <c r="L1885" t="n">
        <v>265</v>
      </c>
      <c r="M1885" s="175" t="n">
        <v>1.85</v>
      </c>
      <c r="N1885" t="inlineStr">
        <is>
          <t>高科技廠務工程及製程設備領域之專業廠商</t>
        </is>
      </c>
    </row>
    <row r="1886">
      <c r="A1886" t="n">
        <v>6668</v>
      </c>
      <c r="B1886" t="inlineStr">
        <is>
          <t>中揚光</t>
        </is>
      </c>
      <c r="C1886" t="n">
        <v>40.3</v>
      </c>
      <c r="D1886" t="n">
        <v>39.1</v>
      </c>
      <c r="E1886" s="504" t="n">
        <v>-1.2</v>
      </c>
      <c r="F1886" s="505" t="n">
        <v>-2.98</v>
      </c>
      <c r="G1886" t="inlineStr">
        <is>
          <t>2182萬</t>
        </is>
      </c>
      <c r="H1886" t="n">
        <v>556</v>
      </c>
      <c r="I1886" t="n">
        <v>1004</v>
      </c>
      <c r="J1886" t="n">
        <v>10.71</v>
      </c>
      <c r="K1886" t="n">
        <v>40.3</v>
      </c>
      <c r="L1886" t="n">
        <v>38.85</v>
      </c>
      <c r="M1886" s="175" t="n">
        <v>0.7</v>
      </c>
      <c r="N1886" t="inlineStr">
        <is>
          <t>鴻海集團轉投資的光學鏡片模具廠</t>
        </is>
      </c>
    </row>
    <row r="1887">
      <c r="A1887" t="n">
        <v>6669</v>
      </c>
      <c r="B1887" t="inlineStr">
        <is>
          <t>緯穎</t>
        </is>
      </c>
      <c r="C1887" t="n">
        <v>5580</v>
      </c>
      <c r="D1887" t="n">
        <v>5475</v>
      </c>
      <c r="E1887" s="504" t="n">
        <v>-40</v>
      </c>
      <c r="F1887" s="505" t="n">
        <v>-0.73</v>
      </c>
      <c r="G1887" t="inlineStr">
        <is>
          <t>95.2億</t>
        </is>
      </c>
      <c r="H1887" t="n">
        <v>1735</v>
      </c>
      <c r="I1887" t="n">
        <v>2469</v>
      </c>
      <c r="J1887" t="n">
        <v>18.59</v>
      </c>
      <c r="K1887" t="n">
        <v>5675</v>
      </c>
      <c r="L1887" t="n">
        <v>5315</v>
      </c>
      <c r="M1887" s="175" t="n">
        <v>0.93</v>
      </c>
      <c r="N1887" t="inlineStr">
        <is>
          <t>緯創轉投資之大型雲端資料中心硬體供應商</t>
        </is>
      </c>
    </row>
    <row r="1888">
      <c r="A1888" t="n">
        <v>6670</v>
      </c>
      <c r="B1888" t="inlineStr">
        <is>
          <t>復盛應用</t>
        </is>
      </c>
      <c r="C1888" t="n">
        <v>273.5</v>
      </c>
      <c r="D1888" t="n">
        <v>278.5</v>
      </c>
      <c r="E1888" s="504" t="n">
        <v>6.5</v>
      </c>
      <c r="F1888" s="505" t="n">
        <v>2.39</v>
      </c>
      <c r="G1888" t="inlineStr">
        <is>
          <t>1.86億</t>
        </is>
      </c>
      <c r="H1888" t="n">
        <v>677</v>
      </c>
      <c r="I1888" t="n">
        <v>604</v>
      </c>
      <c r="J1888" t="n">
        <v>13.94</v>
      </c>
      <c r="K1888" t="n">
        <v>278.5</v>
      </c>
      <c r="L1888" t="n">
        <v>269.5</v>
      </c>
      <c r="M1888" s="175" t="n">
        <v>0.49</v>
      </c>
      <c r="N1888" t="inlineStr">
        <is>
          <t>全球最大之高爾夫球桿頭製造商</t>
        </is>
      </c>
    </row>
    <row r="1889">
      <c r="A1889" t="n">
        <v>6671</v>
      </c>
      <c r="B1889" t="inlineStr">
        <is>
          <t>三能-KY</t>
        </is>
      </c>
      <c r="C1889" t="n">
        <v>26.95</v>
      </c>
      <c r="D1889" t="n">
        <v>26.8</v>
      </c>
      <c r="E1889" s="504" t="n">
        <v>-0.4</v>
      </c>
      <c r="F1889" s="505" t="n">
        <v>-1.47</v>
      </c>
      <c r="G1889" t="inlineStr">
        <is>
          <t>145萬</t>
        </is>
      </c>
      <c r="H1889" t="n">
        <v>54</v>
      </c>
      <c r="I1889" t="n">
        <v>251</v>
      </c>
      <c r="J1889" t="n">
        <v>6.08</v>
      </c>
      <c r="K1889" t="n">
        <v>27</v>
      </c>
      <c r="L1889" t="n">
        <v>26.7</v>
      </c>
      <c r="M1889" s="175" t="n">
        <v>0.09</v>
      </c>
      <c r="N1889" t="inlineStr">
        <is>
          <t>專業烘培器具製造商</t>
        </is>
      </c>
    </row>
    <row r="1890">
      <c r="A1890" t="n">
        <v>6672</v>
      </c>
      <c r="B1890" t="inlineStr">
        <is>
          <t>騰輝電子-KY</t>
        </is>
      </c>
      <c r="C1890" t="n">
        <v>220</v>
      </c>
      <c r="D1890" t="n">
        <v>215.5</v>
      </c>
      <c r="E1890" s="504" t="n">
        <v>-4.5</v>
      </c>
      <c r="F1890" s="505" t="n">
        <v>-2.05</v>
      </c>
      <c r="G1890" t="inlineStr">
        <is>
          <t>9.13億</t>
        </is>
      </c>
      <c r="H1890" t="n">
        <v>4257</v>
      </c>
      <c r="I1890" t="n">
        <v>7611</v>
      </c>
      <c r="J1890" t="n">
        <v>7.46</v>
      </c>
      <c r="K1890" t="n">
        <v>221</v>
      </c>
      <c r="L1890" t="n">
        <v>211.5</v>
      </c>
      <c r="M1890" s="175" t="n">
        <v>5.96</v>
      </c>
      <c r="N1890" t="inlineStr">
        <is>
          <t>於大陸生產的台資銅箔基板廠</t>
        </is>
      </c>
    </row>
    <row r="1891">
      <c r="A1891" t="n">
        <v>6674</v>
      </c>
      <c r="B1891" t="inlineStr">
        <is>
          <t>鋐寶科技</t>
        </is>
      </c>
      <c r="C1891" t="n">
        <v>18.25</v>
      </c>
      <c r="D1891" t="n">
        <v>18.05</v>
      </c>
      <c r="E1891" s="504" t="n">
        <v>-0.1</v>
      </c>
      <c r="F1891" s="505" t="n">
        <v>-0.55</v>
      </c>
      <c r="G1891" t="inlineStr">
        <is>
          <t>103萬</t>
        </is>
      </c>
      <c r="H1891" t="n">
        <v>57</v>
      </c>
      <c r="I1891" t="n">
        <v>42</v>
      </c>
      <c r="J1891" t="n">
        <v>6.86</v>
      </c>
      <c r="K1891" t="n">
        <v>18.35</v>
      </c>
      <c r="L1891" t="n">
        <v>17.8</v>
      </c>
      <c r="M1891" s="175" t="n">
        <v>0.08</v>
      </c>
      <c r="N1891" t="inlineStr">
        <is>
          <t>仁寶轉投資之Cable CPE廠商</t>
        </is>
      </c>
    </row>
    <row r="1892">
      <c r="A1892" t="n">
        <v>6679</v>
      </c>
      <c r="B1892" t="inlineStr">
        <is>
          <t>鈺太</t>
        </is>
      </c>
      <c r="C1892" t="n">
        <v>310</v>
      </c>
      <c r="D1892" t="n">
        <v>298.5</v>
      </c>
      <c r="E1892" s="504" t="n">
        <v>-6.5</v>
      </c>
      <c r="F1892" s="505" t="n">
        <v>-2.13</v>
      </c>
      <c r="G1892" t="inlineStr">
        <is>
          <t>1.77億</t>
        </is>
      </c>
      <c r="H1892" t="n">
        <v>592</v>
      </c>
      <c r="I1892" t="n">
        <v>585</v>
      </c>
      <c r="J1892" t="n">
        <v>5.5</v>
      </c>
      <c r="K1892" t="n">
        <v>312.5</v>
      </c>
      <c r="L1892" t="n">
        <v>293.5</v>
      </c>
      <c r="M1892" s="175" t="n">
        <v>1.08</v>
      </c>
      <c r="N1892" t="inlineStr">
        <is>
          <t>台灣MEMS麥克風晶片龍頭</t>
        </is>
      </c>
    </row>
    <row r="1893">
      <c r="A1893" t="n">
        <v>6680</v>
      </c>
      <c r="B1893" t="inlineStr">
        <is>
          <t>鑫創電子</t>
        </is>
      </c>
      <c r="C1893" t="n">
        <v>56.2</v>
      </c>
      <c r="D1893" t="n">
        <v>56.2</v>
      </c>
      <c r="E1893" s="504" t="n">
        <v>-1.6</v>
      </c>
      <c r="F1893" s="505" t="n">
        <v>-2.77</v>
      </c>
      <c r="G1893" t="inlineStr">
        <is>
          <t>5.62萬</t>
        </is>
      </c>
      <c r="H1893" t="n">
        <v>1</v>
      </c>
      <c r="I1893" t="n">
        <v>5</v>
      </c>
      <c r="J1893" t="n">
        <v>2.4</v>
      </c>
      <c r="K1893" t="n">
        <v>56.2</v>
      </c>
      <c r="L1893" t="n">
        <v>56.2</v>
      </c>
      <c r="M1893" s="175" t="n">
        <v>0</v>
      </c>
      <c r="N1893" t="inlineStr">
        <is>
          <t>智能交通車載電腦系統製造商</t>
        </is>
      </c>
    </row>
    <row r="1894">
      <c r="A1894" t="n">
        <v>6683</v>
      </c>
      <c r="B1894" t="inlineStr">
        <is>
          <t>雍智科技</t>
        </is>
      </c>
      <c r="C1894" t="n">
        <v>1725</v>
      </c>
      <c r="D1894" t="n">
        <v>1745</v>
      </c>
      <c r="E1894" s="504" t="n">
        <v>30</v>
      </c>
      <c r="F1894" s="505" t="n">
        <v>1.75</v>
      </c>
      <c r="G1894" t="inlineStr">
        <is>
          <t>16.3億</t>
        </is>
      </c>
      <c r="H1894" t="n">
        <v>952</v>
      </c>
      <c r="I1894" t="n">
        <v>1398</v>
      </c>
      <c r="J1894" t="n">
        <v>2.76</v>
      </c>
      <c r="K1894" t="n">
        <v>1770</v>
      </c>
      <c r="L1894" t="n">
        <v>1660</v>
      </c>
      <c r="M1894" s="175" t="n">
        <v>3.45</v>
      </c>
      <c r="N1894" t="inlineStr">
        <is>
          <t>台灣IC測試設備材料供應商</t>
        </is>
      </c>
    </row>
    <row r="1895">
      <c r="A1895" t="n">
        <v>6684</v>
      </c>
      <c r="B1895" t="inlineStr">
        <is>
          <t>安格</t>
        </is>
      </c>
      <c r="C1895" t="n">
        <v>44.9</v>
      </c>
      <c r="D1895" t="n">
        <v>44.9</v>
      </c>
      <c r="E1895" s="504" t="n">
        <v>0.6</v>
      </c>
      <c r="F1895" s="505" t="n">
        <v>1.35</v>
      </c>
      <c r="G1895" t="inlineStr">
        <is>
          <t>1178萬</t>
        </is>
      </c>
      <c r="H1895" t="n">
        <v>264</v>
      </c>
      <c r="I1895" t="n">
        <v>245</v>
      </c>
      <c r="J1895" t="n">
        <v>4.46</v>
      </c>
      <c r="K1895" t="n">
        <v>45.25</v>
      </c>
      <c r="L1895" t="n">
        <v>43.95</v>
      </c>
      <c r="M1895" s="175" t="n">
        <v>0.59</v>
      </c>
      <c r="N1895" t="inlineStr">
        <is>
          <t>安國旗下的多媒體視訊轉換控制晶片廠</t>
        </is>
      </c>
    </row>
    <row r="1896">
      <c r="A1896" t="n">
        <v>6689</v>
      </c>
      <c r="B1896" t="inlineStr">
        <is>
          <t>伊雲谷</t>
        </is>
      </c>
      <c r="C1896" t="n">
        <v>73.59999999999999</v>
      </c>
      <c r="D1896" t="n">
        <v>74</v>
      </c>
      <c r="E1896" s="504" t="n">
        <v>2.5</v>
      </c>
      <c r="F1896" s="505" t="n">
        <v>3.5</v>
      </c>
      <c r="G1896" t="inlineStr">
        <is>
          <t>1.92億</t>
        </is>
      </c>
      <c r="H1896" t="n">
        <v>2572</v>
      </c>
      <c r="I1896" t="n">
        <v>309</v>
      </c>
      <c r="J1896" t="n">
        <v>6.8</v>
      </c>
      <c r="K1896" t="n">
        <v>77.09999999999999</v>
      </c>
      <c r="L1896" t="n">
        <v>72.7</v>
      </c>
      <c r="M1896" s="175" t="n">
        <v>3.78</v>
      </c>
      <c r="N1896" t="inlineStr">
        <is>
          <t>台灣雲端託管服務龍頭廠商</t>
        </is>
      </c>
    </row>
    <row r="1897">
      <c r="A1897" t="n">
        <v>6690</v>
      </c>
      <c r="B1897" t="inlineStr">
        <is>
          <t>安碁資訊</t>
        </is>
      </c>
      <c r="C1897" t="n">
        <v>187</v>
      </c>
      <c r="D1897" t="n">
        <v>187.5</v>
      </c>
      <c r="E1897" s="504" t="n">
        <v>0</v>
      </c>
      <c r="F1897" s="505" t="n">
        <v>0</v>
      </c>
      <c r="G1897" t="inlineStr">
        <is>
          <t>1.12億</t>
        </is>
      </c>
      <c r="H1897" t="n">
        <v>599</v>
      </c>
      <c r="I1897" t="n">
        <v>196</v>
      </c>
      <c r="J1897" t="n">
        <v>3</v>
      </c>
      <c r="K1897" t="n">
        <v>193.5</v>
      </c>
      <c r="L1897" t="n">
        <v>184</v>
      </c>
      <c r="M1897" s="175" t="n">
        <v>2</v>
      </c>
      <c r="N1897" t="inlineStr">
        <is>
          <t>宏碁旗下資訊安全管理服務廠</t>
        </is>
      </c>
    </row>
    <row r="1898">
      <c r="A1898" t="n">
        <v>6691</v>
      </c>
      <c r="B1898" t="inlineStr">
        <is>
          <t>洋基工程</t>
        </is>
      </c>
      <c r="C1898" t="n">
        <v>650</v>
      </c>
      <c r="D1898" t="n">
        <v>644</v>
      </c>
      <c r="E1898" s="504" t="n">
        <v>-4</v>
      </c>
      <c r="F1898" s="505" t="n">
        <v>-0.62</v>
      </c>
      <c r="G1898" t="inlineStr">
        <is>
          <t>2.05億</t>
        </is>
      </c>
      <c r="H1898" t="n">
        <v>320</v>
      </c>
      <c r="I1898" t="n">
        <v>765</v>
      </c>
      <c r="J1898" t="n">
        <v>12.15</v>
      </c>
      <c r="K1898" t="n">
        <v>650</v>
      </c>
      <c r="L1898" t="n">
        <v>635</v>
      </c>
      <c r="M1898" s="175" t="n">
        <v>0.26</v>
      </c>
      <c r="N1898" t="inlineStr">
        <is>
          <t>高科技廠房無塵室統包及節能工程服務商</t>
        </is>
      </c>
    </row>
    <row r="1899">
      <c r="A1899" t="n">
        <v>6692</v>
      </c>
      <c r="B1899" t="inlineStr">
        <is>
          <t>進能服</t>
        </is>
      </c>
      <c r="C1899" t="n">
        <v>25.35</v>
      </c>
      <c r="D1899" t="n">
        <v>25.2</v>
      </c>
      <c r="E1899" s="504" t="n">
        <v>-0.2</v>
      </c>
      <c r="F1899" s="505" t="n">
        <v>-0.79</v>
      </c>
      <c r="G1899" t="inlineStr">
        <is>
          <t>101萬</t>
        </is>
      </c>
      <c r="H1899" t="n">
        <v>40</v>
      </c>
      <c r="I1899" t="n">
        <v>60</v>
      </c>
      <c r="J1899" t="n">
        <v>5.88</v>
      </c>
      <c r="K1899" t="n">
        <v>25.35</v>
      </c>
      <c r="L1899" t="n">
        <v>25.05</v>
      </c>
      <c r="M1899" s="175" t="n">
        <v>0.07000000000000001</v>
      </c>
      <c r="N1899" t="inlineStr">
        <is>
          <t>一體化太陽光電發電系統服務商</t>
        </is>
      </c>
    </row>
    <row r="1900">
      <c r="A1900" t="n">
        <v>6693</v>
      </c>
      <c r="B1900" t="inlineStr">
        <is>
          <t>廣閎科</t>
        </is>
      </c>
      <c r="C1900" t="n">
        <v>153.5</v>
      </c>
      <c r="D1900" t="n">
        <v>148</v>
      </c>
      <c r="E1900" s="504" t="n">
        <v>-4</v>
      </c>
      <c r="F1900" s="505" t="n">
        <v>-2.63</v>
      </c>
      <c r="G1900" t="inlineStr">
        <is>
          <t>1.48億</t>
        </is>
      </c>
      <c r="H1900" t="n">
        <v>999</v>
      </c>
      <c r="I1900" t="n">
        <v>1337</v>
      </c>
      <c r="J1900" t="n">
        <v>4.57</v>
      </c>
      <c r="K1900" t="n">
        <v>153.5</v>
      </c>
      <c r="L1900" t="n">
        <v>145</v>
      </c>
      <c r="M1900" s="175" t="n">
        <v>2.19</v>
      </c>
      <c r="N1900" t="inlineStr">
        <is>
          <t>茂迪轉投資功率半導體元件設計公司</t>
        </is>
      </c>
    </row>
    <row r="1901">
      <c r="A1901" t="n">
        <v>6695</v>
      </c>
      <c r="B1901" t="inlineStr">
        <is>
          <t>芯鼎</t>
        </is>
      </c>
      <c r="C1901" t="n">
        <v>57.7</v>
      </c>
      <c r="D1901" t="n">
        <v>55</v>
      </c>
      <c r="E1901" s="504" t="n">
        <v>-2.2</v>
      </c>
      <c r="F1901" s="505" t="n">
        <v>-3.85</v>
      </c>
      <c r="G1901" t="inlineStr">
        <is>
          <t>1.09億</t>
        </is>
      </c>
      <c r="H1901" t="n">
        <v>1976</v>
      </c>
      <c r="I1901" t="n">
        <v>4958</v>
      </c>
      <c r="J1901" t="n">
        <v>10.67</v>
      </c>
      <c r="K1901" t="n">
        <v>57.8</v>
      </c>
      <c r="L1901" t="n">
        <v>54.2</v>
      </c>
      <c r="M1901" s="175" t="n">
        <v>2.29</v>
      </c>
      <c r="N1901" t="inlineStr">
        <is>
          <t>凌陽旗下影像及視訊處理IC設計公司</t>
        </is>
      </c>
    </row>
    <row r="1902">
      <c r="A1902" t="n">
        <v>6697</v>
      </c>
      <c r="B1902" t="inlineStr">
        <is>
          <t>東捷資訊</t>
        </is>
      </c>
      <c r="C1902" t="n">
        <v>44.6</v>
      </c>
      <c r="D1902" t="n">
        <v>46.3</v>
      </c>
      <c r="E1902" s="504" t="n">
        <v>2.6</v>
      </c>
      <c r="F1902" s="505" t="n">
        <v>5.95</v>
      </c>
      <c r="G1902" t="inlineStr">
        <is>
          <t>1836萬</t>
        </is>
      </c>
      <c r="H1902" t="n">
        <v>408</v>
      </c>
      <c r="I1902" t="n">
        <v>100</v>
      </c>
      <c r="J1902" t="n">
        <v>2.73</v>
      </c>
      <c r="K1902" t="n">
        <v>46.6</v>
      </c>
      <c r="L1902" t="n">
        <v>43.5</v>
      </c>
      <c r="M1902" s="175" t="n">
        <v>1.49</v>
      </c>
      <c r="N1902" t="inlineStr">
        <is>
          <t>東元旗下ERP整合規劃廠</t>
        </is>
      </c>
    </row>
    <row r="1903">
      <c r="A1903" t="n">
        <v>6698</v>
      </c>
      <c r="B1903" t="inlineStr">
        <is>
          <t>旭暉應材</t>
        </is>
      </c>
      <c r="C1903" t="n">
        <v>41.2</v>
      </c>
      <c r="D1903" t="n">
        <v>43.45</v>
      </c>
      <c r="E1903" s="504" t="n">
        <v>3.95</v>
      </c>
      <c r="F1903" s="505" t="n">
        <v>10</v>
      </c>
      <c r="G1903" t="inlineStr">
        <is>
          <t>2.93億</t>
        </is>
      </c>
      <c r="H1903" t="n">
        <v>7054</v>
      </c>
      <c r="I1903" t="n">
        <v>2521</v>
      </c>
      <c r="J1903" t="n">
        <v>6.64</v>
      </c>
      <c r="K1903" t="n">
        <v>43.45</v>
      </c>
      <c r="L1903" t="n">
        <v>37.75</v>
      </c>
      <c r="M1903" s="175" t="n">
        <v>10.63</v>
      </c>
      <c r="N1903" t="inlineStr">
        <is>
          <t>高精細金屬遮罩、微波及半導體零件生產商</t>
        </is>
      </c>
    </row>
    <row r="1904">
      <c r="A1904" t="n">
        <v>6703</v>
      </c>
      <c r="B1904" t="inlineStr">
        <is>
          <t>軒郁</t>
        </is>
      </c>
      <c r="C1904" t="n">
        <v>109.5</v>
      </c>
      <c r="D1904" t="n">
        <v>110</v>
      </c>
      <c r="E1904" s="504" t="n">
        <v>0.5</v>
      </c>
      <c r="F1904" s="505" t="n">
        <v>0.46</v>
      </c>
      <c r="G1904" t="inlineStr">
        <is>
          <t>360萬</t>
        </is>
      </c>
      <c r="H1904" t="n">
        <v>33</v>
      </c>
      <c r="I1904" t="n">
        <v>65</v>
      </c>
      <c r="J1904" t="n">
        <v>3.3</v>
      </c>
      <c r="K1904" t="n">
        <v>110</v>
      </c>
      <c r="L1904" t="n">
        <v>108.5</v>
      </c>
      <c r="M1904" s="175" t="n">
        <v>0.1</v>
      </c>
      <c r="N1904" t="inlineStr">
        <is>
          <t>銷售以面膜為主的美妝品牌公司</t>
        </is>
      </c>
    </row>
    <row r="1905">
      <c r="A1905" t="n">
        <v>6706</v>
      </c>
      <c r="B1905" t="inlineStr">
        <is>
          <t>惠特</t>
        </is>
      </c>
      <c r="C1905" t="n">
        <v>217</v>
      </c>
      <c r="D1905" t="n">
        <v>207</v>
      </c>
      <c r="E1905" s="504" t="n">
        <v>-9.5</v>
      </c>
      <c r="F1905" s="505" t="n">
        <v>-4.39</v>
      </c>
      <c r="G1905" t="inlineStr">
        <is>
          <t>16.7億</t>
        </is>
      </c>
      <c r="H1905" t="n">
        <v>7887</v>
      </c>
      <c r="I1905" t="n">
        <v>13828</v>
      </c>
      <c r="J1905" t="n">
        <v>7.85</v>
      </c>
      <c r="K1905" t="n">
        <v>222.5</v>
      </c>
      <c r="L1905" t="n">
        <v>205</v>
      </c>
      <c r="M1905" s="175" t="n">
        <v>10.04</v>
      </c>
      <c r="N1905" t="inlineStr">
        <is>
          <t>全球最大LED點測分選設備商</t>
        </is>
      </c>
    </row>
    <row r="1906">
      <c r="A1906" t="n">
        <v>6708</v>
      </c>
      <c r="B1906" t="inlineStr">
        <is>
          <t>天擎</t>
        </is>
      </c>
      <c r="C1906" t="n">
        <v>41</v>
      </c>
      <c r="D1906" t="n">
        <v>40.85</v>
      </c>
      <c r="E1906" s="504" t="n">
        <v>-0.25</v>
      </c>
      <c r="F1906" s="505" t="n">
        <v>-0.61</v>
      </c>
      <c r="G1906" t="inlineStr">
        <is>
          <t>195萬</t>
        </is>
      </c>
      <c r="H1906" t="n">
        <v>48</v>
      </c>
      <c r="I1906" t="n">
        <v>57</v>
      </c>
      <c r="J1906" t="n">
        <v>2.9</v>
      </c>
      <c r="K1906" t="n">
        <v>41.15</v>
      </c>
      <c r="L1906" t="n">
        <v>40.25</v>
      </c>
      <c r="M1906" s="175" t="n">
        <v>0.17</v>
      </c>
      <c r="N1906" t="inlineStr">
        <is>
          <t>台灣從事嬰兒監控、車用監控及安防視頻網路監控IC廠</t>
        </is>
      </c>
    </row>
    <row r="1907">
      <c r="A1907" t="n">
        <v>6712</v>
      </c>
      <c r="B1907" t="inlineStr">
        <is>
          <t>長聖</t>
        </is>
      </c>
      <c r="C1907" t="n">
        <v>140</v>
      </c>
      <c r="D1907" t="n">
        <v>138</v>
      </c>
      <c r="E1907" s="504" t="n">
        <v>2</v>
      </c>
      <c r="F1907" s="505" t="n">
        <v>1.47</v>
      </c>
      <c r="G1907" t="inlineStr">
        <is>
          <t>6777萬</t>
        </is>
      </c>
      <c r="H1907" t="n">
        <v>488</v>
      </c>
      <c r="I1907" t="n">
        <v>279</v>
      </c>
      <c r="J1907" t="n">
        <v>10.18</v>
      </c>
      <c r="K1907" t="n">
        <v>140.5</v>
      </c>
      <c r="L1907" t="n">
        <v>137.5</v>
      </c>
      <c r="M1907" s="175" t="n">
        <v>0.48</v>
      </c>
      <c r="N1907" t="inlineStr">
        <is>
          <t>專注於細胞療法新藥研發</t>
        </is>
      </c>
    </row>
    <row r="1908">
      <c r="A1908" t="n">
        <v>6715</v>
      </c>
      <c r="B1908" t="inlineStr">
        <is>
          <t>嘉基</t>
        </is>
      </c>
      <c r="C1908" t="n">
        <v>443.5</v>
      </c>
      <c r="D1908" t="n">
        <v>437.5</v>
      </c>
      <c r="E1908" s="504" t="n">
        <v>-15.5</v>
      </c>
      <c r="F1908" s="505" t="n">
        <v>-3.42</v>
      </c>
      <c r="G1908" t="inlineStr">
        <is>
          <t>1.12億</t>
        </is>
      </c>
      <c r="H1908" t="n">
        <v>254</v>
      </c>
      <c r="I1908" t="n">
        <v>501</v>
      </c>
      <c r="J1908" t="n">
        <v>6.8</v>
      </c>
      <c r="K1908" t="n">
        <v>453</v>
      </c>
      <c r="L1908" t="n">
        <v>431</v>
      </c>
      <c r="M1908" s="175" t="n">
        <v>0.38</v>
      </c>
      <c r="N1908" t="inlineStr">
        <is>
          <t>嘉澤轉投資之高速連接線器廠商</t>
        </is>
      </c>
    </row>
    <row r="1909">
      <c r="A1909" t="n">
        <v>6716</v>
      </c>
      <c r="B1909" t="inlineStr">
        <is>
          <t>應廣</t>
        </is>
      </c>
      <c r="C1909" t="n">
        <v>104</v>
      </c>
      <c r="D1909" t="n">
        <v>106.5</v>
      </c>
      <c r="E1909" s="504" t="n">
        <v>3.5</v>
      </c>
      <c r="F1909" s="505" t="n">
        <v>3.4</v>
      </c>
      <c r="G1909" t="inlineStr">
        <is>
          <t>9148萬</t>
        </is>
      </c>
      <c r="H1909" t="n">
        <v>885</v>
      </c>
      <c r="I1909" t="n">
        <v>1858</v>
      </c>
      <c r="J1909" t="n">
        <v>3.02</v>
      </c>
      <c r="K1909" t="n">
        <v>107.5</v>
      </c>
      <c r="L1909" t="n">
        <v>100.5</v>
      </c>
      <c r="M1909" s="175" t="n">
        <v>2.92</v>
      </c>
      <c r="N1909" t="inlineStr">
        <is>
          <t>台灣散熱風扇微控制器龍頭廠</t>
        </is>
      </c>
    </row>
    <row r="1910">
      <c r="A1910" t="n">
        <v>6719</v>
      </c>
      <c r="B1910" t="inlineStr">
        <is>
          <t>力智</t>
        </is>
      </c>
      <c r="C1910" t="n">
        <v>244.5</v>
      </c>
      <c r="D1910" t="n">
        <v>240.5</v>
      </c>
      <c r="E1910" s="504" t="n">
        <v>-3</v>
      </c>
      <c r="F1910" s="505" t="n">
        <v>-1.23</v>
      </c>
      <c r="G1910" t="inlineStr">
        <is>
          <t>5.50億</t>
        </is>
      </c>
      <c r="H1910" t="n">
        <v>2314</v>
      </c>
      <c r="I1910" t="n">
        <v>5235</v>
      </c>
      <c r="J1910" t="n">
        <v>10.55</v>
      </c>
      <c r="K1910" t="n">
        <v>245</v>
      </c>
      <c r="L1910" t="n">
        <v>232</v>
      </c>
      <c r="M1910" s="175" t="n">
        <v>2.74</v>
      </c>
      <c r="N1910" t="inlineStr">
        <is>
          <t>華碩轉投資的電源管理IC設計公司</t>
        </is>
      </c>
    </row>
    <row r="1911">
      <c r="A1911" t="n">
        <v>6720</v>
      </c>
      <c r="B1911" t="inlineStr">
        <is>
          <t>久昌</t>
        </is>
      </c>
      <c r="C1911" t="n">
        <v>150.5</v>
      </c>
      <c r="D1911" t="n">
        <v>150.5</v>
      </c>
      <c r="E1911" s="504" t="n">
        <v>4</v>
      </c>
      <c r="F1911" s="505" t="n">
        <v>2.73</v>
      </c>
      <c r="G1911" t="inlineStr">
        <is>
          <t>1324萬</t>
        </is>
      </c>
      <c r="H1911" t="n">
        <v>88</v>
      </c>
      <c r="I1911" t="n">
        <v>127</v>
      </c>
      <c r="J1911" t="n">
        <v>3.02</v>
      </c>
      <c r="K1911" t="n">
        <v>154.5</v>
      </c>
      <c r="L1911" t="n">
        <v>147</v>
      </c>
      <c r="M1911" s="175" t="n">
        <v>0.29</v>
      </c>
      <c r="N1911" t="inlineStr">
        <is>
          <t>台灣霍爾IC及電源管理晶片供應商</t>
        </is>
      </c>
    </row>
    <row r="1912">
      <c r="A1912" t="n">
        <v>6721</v>
      </c>
      <c r="B1912" t="inlineStr">
        <is>
          <t>信實</t>
        </is>
      </c>
      <c r="C1912" t="n">
        <v>59</v>
      </c>
      <c r="D1912" t="n">
        <v>59.5</v>
      </c>
      <c r="E1912" s="504" t="n">
        <v>0.5</v>
      </c>
      <c r="F1912" s="505" t="n">
        <v>0.85</v>
      </c>
      <c r="G1912" t="inlineStr">
        <is>
          <t>47.3萬</t>
        </is>
      </c>
      <c r="H1912" t="n">
        <v>8</v>
      </c>
      <c r="I1912" t="n">
        <v>3</v>
      </c>
      <c r="J1912" t="n">
        <v>2.25</v>
      </c>
      <c r="K1912" t="n">
        <v>59.5</v>
      </c>
      <c r="L1912" t="n">
        <v>58.5</v>
      </c>
      <c r="M1912" s="175" t="n">
        <v>0.04</v>
      </c>
      <c r="N1912" t="inlineStr">
        <is>
          <t>主要為國內運輸機構及公家機關提供清潔、機電及保全服務</t>
        </is>
      </c>
    </row>
    <row r="1913">
      <c r="A1913" t="n">
        <v>6722</v>
      </c>
      <c r="B1913" t="inlineStr">
        <is>
          <t>輝創</t>
        </is>
      </c>
      <c r="C1913" t="n">
        <v>37.5</v>
      </c>
      <c r="D1913" t="n">
        <v>40.9</v>
      </c>
      <c r="E1913" s="504" t="n">
        <v>3.4</v>
      </c>
      <c r="F1913" s="505" t="n">
        <v>9.07</v>
      </c>
      <c r="G1913" t="inlineStr">
        <is>
          <t>1518萬</t>
        </is>
      </c>
      <c r="H1913" t="n">
        <v>383</v>
      </c>
      <c r="I1913" t="n">
        <v>134</v>
      </c>
      <c r="J1913" t="n">
        <v>8.84</v>
      </c>
      <c r="K1913" t="n">
        <v>41</v>
      </c>
      <c r="L1913" t="n">
        <v>37.5</v>
      </c>
      <c r="M1913" s="175" t="n">
        <v>0.43</v>
      </c>
      <c r="N1913" t="inlineStr">
        <is>
          <t>汽車電裝配備製造廠</t>
        </is>
      </c>
    </row>
    <row r="1914">
      <c r="A1914" t="n">
        <v>6725</v>
      </c>
      <c r="B1914" t="inlineStr">
        <is>
          <t>矽科宏晟</t>
        </is>
      </c>
      <c r="C1914" t="n">
        <v>334</v>
      </c>
      <c r="D1914" t="n">
        <v>327.5</v>
      </c>
      <c r="E1914" s="504" t="n">
        <v>2</v>
      </c>
      <c r="F1914" s="505" t="n">
        <v>0.61</v>
      </c>
      <c r="G1914" t="inlineStr">
        <is>
          <t>9235萬</t>
        </is>
      </c>
      <c r="H1914" t="n">
        <v>282</v>
      </c>
      <c r="I1914" t="n">
        <v>561</v>
      </c>
      <c r="J1914" t="n">
        <v>3.71</v>
      </c>
      <c r="K1914" t="n">
        <v>336</v>
      </c>
      <c r="L1914" t="n">
        <v>324</v>
      </c>
      <c r="M1914" s="175" t="n">
        <v>0.76</v>
      </c>
      <c r="N1914" t="inlineStr">
        <is>
          <t>化學藥品供應系統的領導商</t>
        </is>
      </c>
    </row>
    <row r="1915">
      <c r="A1915" t="n">
        <v>6727</v>
      </c>
      <c r="B1915" t="inlineStr">
        <is>
          <t>亞泰金屬</t>
        </is>
      </c>
      <c r="C1915" t="n">
        <v>550</v>
      </c>
      <c r="D1915" t="n">
        <v>536</v>
      </c>
      <c r="E1915" s="504" t="n">
        <v>-20</v>
      </c>
      <c r="F1915" s="505" t="n">
        <v>-3.6</v>
      </c>
      <c r="G1915" t="inlineStr">
        <is>
          <t>8.84億</t>
        </is>
      </c>
      <c r="H1915" t="n">
        <v>1628</v>
      </c>
      <c r="I1915" t="n">
        <v>2772</v>
      </c>
      <c r="J1915" t="n">
        <v>2.69</v>
      </c>
      <c r="K1915" t="n">
        <v>581</v>
      </c>
      <c r="L1915" t="n">
        <v>520</v>
      </c>
      <c r="M1915" s="175" t="n">
        <v>6.06</v>
      </c>
      <c r="N1915" t="inlineStr">
        <is>
          <t>全球知名的銅箔基板高階含浸設備製造商</t>
        </is>
      </c>
    </row>
    <row r="1916">
      <c r="A1916" t="n">
        <v>6728</v>
      </c>
      <c r="B1916" t="inlineStr">
        <is>
          <t>上洋</t>
        </is>
      </c>
      <c r="C1916" t="n">
        <v>112</v>
      </c>
      <c r="D1916" t="n">
        <v>115</v>
      </c>
      <c r="E1916" s="504" t="n">
        <v>2.5</v>
      </c>
      <c r="F1916" s="505" t="n">
        <v>2.22</v>
      </c>
      <c r="G1916" t="inlineStr">
        <is>
          <t>2021萬</t>
        </is>
      </c>
      <c r="H1916" t="n">
        <v>177</v>
      </c>
      <c r="I1916" t="n">
        <v>39</v>
      </c>
      <c r="J1916" t="n">
        <v>3.01</v>
      </c>
      <c r="K1916" t="n">
        <v>117</v>
      </c>
      <c r="L1916" t="n">
        <v>112</v>
      </c>
      <c r="M1916" s="175" t="n">
        <v>0.59</v>
      </c>
      <c r="N1916" t="inlineStr">
        <is>
          <t>商用洗衣設備與家電產品代理商</t>
        </is>
      </c>
    </row>
    <row r="1917">
      <c r="A1917" t="n">
        <v>6730</v>
      </c>
      <c r="B1917" t="inlineStr">
        <is>
          <t>常廣</t>
        </is>
      </c>
      <c r="C1917" t="n">
        <v>34.1</v>
      </c>
      <c r="D1917" t="n">
        <v>35</v>
      </c>
      <c r="E1917" s="504" t="n">
        <v>0.6</v>
      </c>
      <c r="F1917" s="505" t="n">
        <v>1.74</v>
      </c>
      <c r="G1917" t="inlineStr">
        <is>
          <t>31.3萬</t>
        </is>
      </c>
      <c r="H1917" t="n">
        <v>9</v>
      </c>
      <c r="I1917" t="n">
        <v>85</v>
      </c>
      <c r="J1917" t="n">
        <v>3.63</v>
      </c>
      <c r="K1917" t="n">
        <v>35</v>
      </c>
      <c r="L1917" t="n">
        <v>34.1</v>
      </c>
      <c r="M1917" s="175" t="n">
        <v>0.02</v>
      </c>
      <c r="N1917" t="inlineStr">
        <is>
          <t>微創手術耗材及器械製造商</t>
        </is>
      </c>
    </row>
    <row r="1918">
      <c r="A1918" t="n">
        <v>6732</v>
      </c>
      <c r="B1918" t="inlineStr">
        <is>
          <t>昇佳電子</t>
        </is>
      </c>
      <c r="C1918" t="n">
        <v>174</v>
      </c>
      <c r="D1918" t="n">
        <v>173</v>
      </c>
      <c r="E1918" s="504" t="n">
        <v>-1</v>
      </c>
      <c r="F1918" s="505" t="n">
        <v>-0.57</v>
      </c>
      <c r="G1918" t="inlineStr">
        <is>
          <t>4793萬</t>
        </is>
      </c>
      <c r="H1918" t="n">
        <v>280</v>
      </c>
      <c r="I1918" t="n">
        <v>476</v>
      </c>
      <c r="J1918" t="n">
        <v>4.89</v>
      </c>
      <c r="K1918" t="n">
        <v>174</v>
      </c>
      <c r="L1918" t="n">
        <v>169</v>
      </c>
      <c r="M1918" s="175" t="n">
        <v>0.57</v>
      </c>
      <c r="N1918" t="inlineStr">
        <is>
          <t>矽創旗下以感測器為主的IC設計公司</t>
        </is>
      </c>
    </row>
    <row r="1919">
      <c r="A1919" t="n">
        <v>6733</v>
      </c>
      <c r="B1919" t="inlineStr">
        <is>
          <t>博晟生醫</t>
        </is>
      </c>
      <c r="C1919" t="n">
        <v>26</v>
      </c>
      <c r="D1919" t="n">
        <v>25.85</v>
      </c>
      <c r="E1919" s="504" t="n">
        <v>-0.2</v>
      </c>
      <c r="F1919" s="505" t="n">
        <v>-0.77</v>
      </c>
      <c r="G1919" t="inlineStr">
        <is>
          <t>653萬</t>
        </is>
      </c>
      <c r="H1919" t="n">
        <v>255</v>
      </c>
      <c r="I1919" t="n">
        <v>357</v>
      </c>
      <c r="J1919" t="n">
        <v>13.43</v>
      </c>
      <c r="K1919" t="n">
        <v>26</v>
      </c>
      <c r="L1919" t="n">
        <v>25.45</v>
      </c>
      <c r="M1919" s="175" t="n">
        <v>0.19</v>
      </c>
      <c r="N1919" t="inlineStr">
        <is>
          <t>晟德旗下生物性骨材研發廠</t>
        </is>
      </c>
    </row>
    <row r="1920">
      <c r="A1920" t="n">
        <v>6735</v>
      </c>
      <c r="B1920" t="inlineStr">
        <is>
          <t>美達科技</t>
        </is>
      </c>
      <c r="C1920" t="n">
        <v>104</v>
      </c>
      <c r="D1920" t="n">
        <v>99.59999999999999</v>
      </c>
      <c r="E1920" s="504" t="n">
        <v>-4.4</v>
      </c>
      <c r="F1920" s="505" t="n">
        <v>-4.23</v>
      </c>
      <c r="G1920" t="inlineStr">
        <is>
          <t>1.06億</t>
        </is>
      </c>
      <c r="H1920" t="n">
        <v>1070</v>
      </c>
      <c r="I1920" t="n">
        <v>876</v>
      </c>
      <c r="J1920" t="n">
        <v>4.62</v>
      </c>
      <c r="K1920" t="n">
        <v>104</v>
      </c>
      <c r="L1920" t="n">
        <v>97.09999999999999</v>
      </c>
      <c r="M1920" s="175" t="n">
        <v>2.32</v>
      </c>
      <c r="N1920" t="inlineStr">
        <is>
          <t>半導體類比暨混合訊號IC測試設備知名廠商</t>
        </is>
      </c>
    </row>
    <row r="1921">
      <c r="A1921" t="n">
        <v>6739</v>
      </c>
      <c r="B1921" t="inlineStr">
        <is>
          <t>竹陞科技</t>
        </is>
      </c>
      <c r="C1921" t="n">
        <v>1260</v>
      </c>
      <c r="D1921" t="n">
        <v>1285</v>
      </c>
      <c r="E1921" s="504" t="n">
        <v>30</v>
      </c>
      <c r="F1921" s="505" t="n">
        <v>2.39</v>
      </c>
      <c r="G1921" t="inlineStr">
        <is>
          <t>1.99億</t>
        </is>
      </c>
      <c r="H1921" t="n">
        <v>156</v>
      </c>
      <c r="I1921" t="n">
        <v>270</v>
      </c>
      <c r="J1921" t="n">
        <v>2.34</v>
      </c>
      <c r="K1921" t="n">
        <v>1300</v>
      </c>
      <c r="L1921" t="n">
        <v>1245</v>
      </c>
      <c r="M1921" s="175" t="n">
        <v>0.67</v>
      </c>
      <c r="N1921" t="inlineStr">
        <is>
          <t>半導體智能化系統整合廠</t>
        </is>
      </c>
    </row>
    <row r="1922">
      <c r="A1922" t="n">
        <v>6741</v>
      </c>
      <c r="B1922" t="inlineStr">
        <is>
          <t>91APP*-KY</t>
        </is>
      </c>
      <c r="C1922" t="n">
        <v>64.90000000000001</v>
      </c>
      <c r="D1922" t="n">
        <v>64.2</v>
      </c>
      <c r="E1922" s="504" t="n">
        <v>-0.1</v>
      </c>
      <c r="F1922" s="505" t="n">
        <v>-0.16</v>
      </c>
      <c r="G1922" t="inlineStr">
        <is>
          <t>1280萬</t>
        </is>
      </c>
      <c r="H1922" t="n">
        <v>201</v>
      </c>
      <c r="I1922" t="n">
        <v>466</v>
      </c>
      <c r="J1922" t="n">
        <v>6.03</v>
      </c>
      <c r="K1922" t="n">
        <v>65.40000000000001</v>
      </c>
      <c r="L1922" t="n">
        <v>63.1</v>
      </c>
      <c r="M1922" s="175" t="n">
        <v>0.17</v>
      </c>
      <c r="N1922" t="inlineStr">
        <is>
          <t>台灣知名虛實融合(OMO)新零售服務商</t>
        </is>
      </c>
    </row>
    <row r="1923">
      <c r="A1923" t="n">
        <v>6742</v>
      </c>
      <c r="B1923" t="inlineStr">
        <is>
          <t>澤米</t>
        </is>
      </c>
      <c r="C1923" t="n">
        <v>61.2</v>
      </c>
      <c r="D1923" t="n">
        <v>59.1</v>
      </c>
      <c r="E1923" s="504" t="n">
        <v>-1.2</v>
      </c>
      <c r="F1923" s="505" t="n">
        <v>-1.99</v>
      </c>
      <c r="G1923" t="inlineStr">
        <is>
          <t>5607萬</t>
        </is>
      </c>
      <c r="H1923" t="n">
        <v>930</v>
      </c>
      <c r="I1923" t="n">
        <v>899</v>
      </c>
      <c r="J1923" t="n">
        <v>7.13</v>
      </c>
      <c r="K1923" t="n">
        <v>61.8</v>
      </c>
      <c r="L1923" t="n">
        <v>58.8</v>
      </c>
      <c r="M1923" s="175" t="n">
        <v>1.3</v>
      </c>
      <c r="N1923" t="inlineStr">
        <is>
          <t>光學鍍膜及半導體鍍膜公司</t>
        </is>
      </c>
    </row>
    <row r="1924">
      <c r="A1924" t="n">
        <v>6743</v>
      </c>
      <c r="B1924" t="inlineStr">
        <is>
          <t>安普新</t>
        </is>
      </c>
      <c r="C1924" t="n">
        <v>30.25</v>
      </c>
      <c r="D1924" t="n">
        <v>29.9</v>
      </c>
      <c r="E1924" s="504" t="n">
        <v>-0.15</v>
      </c>
      <c r="F1924" s="505" t="n">
        <v>-0.5</v>
      </c>
      <c r="G1924" t="inlineStr">
        <is>
          <t>1321萬</t>
        </is>
      </c>
      <c r="H1924" t="n">
        <v>446</v>
      </c>
      <c r="I1924" t="n">
        <v>545</v>
      </c>
      <c r="J1924" t="n">
        <v>15</v>
      </c>
      <c r="K1924" t="n">
        <v>30.25</v>
      </c>
      <c r="L1924" t="n">
        <v>29.2</v>
      </c>
      <c r="M1924" s="175" t="n">
        <v>0.3</v>
      </c>
      <c r="N1924" t="inlineStr">
        <is>
          <t>音樂娛樂或電競用耳機製造商</t>
        </is>
      </c>
    </row>
    <row r="1925">
      <c r="A1925" t="n">
        <v>6751</v>
      </c>
      <c r="B1925" t="inlineStr">
        <is>
          <t>智聯服務</t>
        </is>
      </c>
      <c r="C1925" t="n">
        <v>51.4</v>
      </c>
      <c r="D1925" t="n">
        <v>50.9</v>
      </c>
      <c r="E1925" s="504" t="n">
        <v>0.4</v>
      </c>
      <c r="F1925" s="505" t="n">
        <v>0.79</v>
      </c>
      <c r="G1925" t="inlineStr">
        <is>
          <t>333萬</t>
        </is>
      </c>
      <c r="H1925" t="n">
        <v>66</v>
      </c>
      <c r="I1925" t="n">
        <v>43</v>
      </c>
      <c r="J1925" t="n">
        <v>2.22</v>
      </c>
      <c r="K1925" t="n">
        <v>51.4</v>
      </c>
      <c r="L1925" t="n">
        <v>49.05</v>
      </c>
      <c r="M1925" s="175" t="n">
        <v>0.3</v>
      </c>
      <c r="N1925" t="inlineStr">
        <is>
          <t>宏碁旗下IT規劃整合及服務廠</t>
        </is>
      </c>
    </row>
    <row r="1926">
      <c r="A1926" t="n">
        <v>6752</v>
      </c>
      <c r="B1926" t="inlineStr">
        <is>
          <t>叡揚</t>
        </is>
      </c>
      <c r="C1926" t="n">
        <v>108</v>
      </c>
      <c r="D1926" t="n">
        <v>107.5</v>
      </c>
      <c r="E1926" s="504" t="n">
        <v>1</v>
      </c>
      <c r="F1926" s="505" t="n">
        <v>0.9399999999999999</v>
      </c>
      <c r="G1926" t="inlineStr">
        <is>
          <t>2118萬</t>
        </is>
      </c>
      <c r="H1926" t="n">
        <v>194</v>
      </c>
      <c r="I1926" t="n">
        <v>95</v>
      </c>
      <c r="J1926" t="n">
        <v>3.71</v>
      </c>
      <c r="K1926" t="n">
        <v>113.5</v>
      </c>
      <c r="L1926" t="n">
        <v>107</v>
      </c>
      <c r="M1926" s="175" t="n">
        <v>0.52</v>
      </c>
      <c r="N1926" t="inlineStr">
        <is>
          <t>企業e化應用軟體開發與服務廠</t>
        </is>
      </c>
    </row>
    <row r="1927">
      <c r="A1927" t="n">
        <v>6753</v>
      </c>
      <c r="B1927" t="inlineStr">
        <is>
          <t>龍德造船</t>
        </is>
      </c>
      <c r="C1927" t="n">
        <v>130</v>
      </c>
      <c r="D1927" t="n">
        <v>125.5</v>
      </c>
      <c r="E1927" s="504" t="n">
        <v>-4.5</v>
      </c>
      <c r="F1927" s="505" t="n">
        <v>-3.46</v>
      </c>
      <c r="G1927" t="inlineStr">
        <is>
          <t>1.20億</t>
        </is>
      </c>
      <c r="H1927" t="n">
        <v>951</v>
      </c>
      <c r="I1927" t="n">
        <v>1320</v>
      </c>
      <c r="J1927" t="n">
        <v>11.73</v>
      </c>
      <c r="K1927" t="n">
        <v>130</v>
      </c>
      <c r="L1927" t="n">
        <v>125</v>
      </c>
      <c r="M1927" s="175" t="n">
        <v>0.8100000000000001</v>
      </c>
      <c r="N1927" t="inlineStr">
        <is>
          <t>台灣民營造船業者</t>
        </is>
      </c>
    </row>
    <row r="1928">
      <c r="A1928" t="n">
        <v>6754</v>
      </c>
      <c r="B1928" t="inlineStr">
        <is>
          <t>匯僑設計</t>
        </is>
      </c>
      <c r="C1928" t="n">
        <v>46.6</v>
      </c>
      <c r="D1928" t="n">
        <v>45.75</v>
      </c>
      <c r="E1928" s="504" t="n">
        <v>-0.8</v>
      </c>
      <c r="F1928" s="505" t="n">
        <v>-1.72</v>
      </c>
      <c r="G1928" t="inlineStr">
        <is>
          <t>188萬</t>
        </is>
      </c>
      <c r="H1928" t="n">
        <v>41</v>
      </c>
      <c r="I1928" t="n">
        <v>45</v>
      </c>
      <c r="J1928" t="n">
        <v>6.6</v>
      </c>
      <c r="K1928" t="n">
        <v>46.6</v>
      </c>
      <c r="L1928" t="n">
        <v>45</v>
      </c>
      <c r="M1928" s="175" t="n">
        <v>0.06</v>
      </c>
      <c r="N1928" t="inlineStr">
        <is>
          <t>主要從事建築室內設計及裝潢裝修工程</t>
        </is>
      </c>
    </row>
    <row r="1929">
      <c r="A1929" t="n">
        <v>6756</v>
      </c>
      <c r="B1929" t="inlineStr">
        <is>
          <t>威鋒電子</t>
        </is>
      </c>
      <c r="C1929" t="n">
        <v>99</v>
      </c>
      <c r="D1929" t="n">
        <v>102.5</v>
      </c>
      <c r="E1929" s="504" t="n">
        <v>4</v>
      </c>
      <c r="F1929" s="505" t="n">
        <v>4.06</v>
      </c>
      <c r="G1929" t="inlineStr">
        <is>
          <t>6247萬</t>
        </is>
      </c>
      <c r="H1929" t="n">
        <v>616</v>
      </c>
      <c r="I1929" t="n">
        <v>518</v>
      </c>
      <c r="J1929" t="n">
        <v>7</v>
      </c>
      <c r="K1929" t="n">
        <v>104.5</v>
      </c>
      <c r="L1929" t="n">
        <v>99</v>
      </c>
      <c r="M1929" s="175" t="n">
        <v>0.88</v>
      </c>
      <c r="N1929" t="inlineStr">
        <is>
          <t>威盛旗下USB高速傳輸控制晶片廠</t>
        </is>
      </c>
    </row>
    <row r="1930">
      <c r="A1930" t="n">
        <v>6757</v>
      </c>
      <c r="B1930" t="inlineStr">
        <is>
          <t>台灣虎航</t>
        </is>
      </c>
      <c r="C1930" t="n">
        <v>59.1</v>
      </c>
      <c r="D1930" t="n">
        <v>56.4</v>
      </c>
      <c r="E1930" s="504" t="n">
        <v>-2.5</v>
      </c>
      <c r="F1930" s="505" t="n">
        <v>-4.24</v>
      </c>
      <c r="G1930" t="inlineStr">
        <is>
          <t>3.30億</t>
        </is>
      </c>
      <c r="H1930" t="n">
        <v>5872</v>
      </c>
      <c r="I1930" t="n">
        <v>1961</v>
      </c>
      <c r="J1930" t="n">
        <v>45.95</v>
      </c>
      <c r="K1930" t="n">
        <v>59.1</v>
      </c>
      <c r="L1930" t="n">
        <v>55.5</v>
      </c>
      <c r="M1930" s="175" t="n">
        <v>1.28</v>
      </c>
      <c r="N1930" t="inlineStr">
        <is>
          <t>華航旗下的廉價航空公司</t>
        </is>
      </c>
    </row>
    <row r="1931">
      <c r="A1931" t="n">
        <v>6761</v>
      </c>
      <c r="B1931" t="inlineStr">
        <is>
          <t>穩得</t>
        </is>
      </c>
      <c r="C1931" t="n">
        <v>213</v>
      </c>
      <c r="D1931" t="n">
        <v>203.5</v>
      </c>
      <c r="E1931" s="504" t="n">
        <v>-9.5</v>
      </c>
      <c r="F1931" s="505" t="n">
        <v>-4.46</v>
      </c>
      <c r="G1931" t="inlineStr">
        <is>
          <t>1.49億</t>
        </is>
      </c>
      <c r="H1931" t="n">
        <v>730</v>
      </c>
      <c r="I1931" t="n">
        <v>1962</v>
      </c>
      <c r="J1931" t="n">
        <v>3.5</v>
      </c>
      <c r="K1931" t="n">
        <v>213</v>
      </c>
      <c r="L1931" t="n">
        <v>201.5</v>
      </c>
      <c r="M1931" s="175" t="n">
        <v>2.09</v>
      </c>
      <c r="N1931" t="inlineStr">
        <is>
          <t>國內知名的EMC一站式服務商</t>
        </is>
      </c>
    </row>
    <row r="1932">
      <c r="A1932" t="n">
        <v>6762</v>
      </c>
      <c r="B1932" t="inlineStr">
        <is>
          <t>達亞</t>
        </is>
      </c>
      <c r="C1932" t="inlineStr">
        <is>
          <t>--</t>
        </is>
      </c>
      <c r="D1932" t="inlineStr">
        <is>
          <t>--</t>
        </is>
      </c>
      <c r="E1932" s="504" t="inlineStr">
        <is>
          <t>--</t>
        </is>
      </c>
      <c r="F1932" s="505" t="inlineStr">
        <is>
          <t>--</t>
        </is>
      </c>
      <c r="G1932" t="inlineStr">
        <is>
          <t>--</t>
        </is>
      </c>
      <c r="H1932" t="n">
        <v>0</v>
      </c>
      <c r="I1932" t="n">
        <v>8</v>
      </c>
      <c r="J1932" t="n">
        <v>3.52</v>
      </c>
      <c r="K1932" t="inlineStr">
        <is>
          <t>--</t>
        </is>
      </c>
      <c r="L1932" t="inlineStr">
        <is>
          <t>--</t>
        </is>
      </c>
      <c r="M1932" s="175" t="n">
        <v>0</v>
      </c>
      <c r="N1932" t="inlineStr">
        <is>
          <t>以二類、三類醫療器材及零組件研究開發與設計代工廠</t>
        </is>
      </c>
    </row>
    <row r="1933">
      <c r="A1933" t="n">
        <v>6763</v>
      </c>
      <c r="B1933" t="inlineStr">
        <is>
          <t>綠界科技*</t>
        </is>
      </c>
      <c r="C1933" t="n">
        <v>44.35</v>
      </c>
      <c r="D1933" t="n">
        <v>44.7</v>
      </c>
      <c r="E1933" s="504" t="n">
        <v>0.25</v>
      </c>
      <c r="F1933" s="505" t="n">
        <v>0.5600000000000001</v>
      </c>
      <c r="G1933" t="inlineStr">
        <is>
          <t>2361萬</t>
        </is>
      </c>
      <c r="H1933" t="n">
        <v>530</v>
      </c>
      <c r="I1933" t="n">
        <v>678</v>
      </c>
      <c r="J1933" t="n">
        <v>1.84</v>
      </c>
      <c r="K1933" t="n">
        <v>45.25</v>
      </c>
      <c r="L1933" t="n">
        <v>44</v>
      </c>
      <c r="M1933" s="175" t="n">
        <v>0.29</v>
      </c>
      <c r="N1933" t="inlineStr">
        <is>
          <t>歐買尬旗下第三方支付平台</t>
        </is>
      </c>
    </row>
    <row r="1934">
      <c r="A1934" t="n">
        <v>6767</v>
      </c>
      <c r="B1934" t="inlineStr">
        <is>
          <t>台微醫</t>
        </is>
      </c>
      <c r="C1934" t="n">
        <v>25</v>
      </c>
      <c r="D1934" t="n">
        <v>25.75</v>
      </c>
      <c r="E1934" s="504" t="n">
        <v>-0.15</v>
      </c>
      <c r="F1934" s="505" t="n">
        <v>-0.58</v>
      </c>
      <c r="G1934" t="inlineStr">
        <is>
          <t>203萬</t>
        </is>
      </c>
      <c r="H1934" t="n">
        <v>80</v>
      </c>
      <c r="I1934" t="n">
        <v>15</v>
      </c>
      <c r="J1934" t="n">
        <v>3.92</v>
      </c>
      <c r="K1934" t="n">
        <v>25.9</v>
      </c>
      <c r="L1934" t="n">
        <v>25</v>
      </c>
      <c r="M1934" s="175" t="n">
        <v>0.2</v>
      </c>
      <c r="N1934" t="inlineStr">
        <is>
          <t>鐿鈦旗下脊椎融合手術產品供應商</t>
        </is>
      </c>
    </row>
    <row r="1935">
      <c r="A1935" t="n">
        <v>6768</v>
      </c>
      <c r="B1935" t="inlineStr">
        <is>
          <t>志強-KY</t>
        </is>
      </c>
      <c r="C1935" t="n">
        <v>87.3</v>
      </c>
      <c r="D1935" t="n">
        <v>94</v>
      </c>
      <c r="E1935" s="504" t="n">
        <v>7</v>
      </c>
      <c r="F1935" s="505" t="n">
        <v>8.050000000000001</v>
      </c>
      <c r="G1935" t="inlineStr">
        <is>
          <t>2.17億</t>
        </is>
      </c>
      <c r="H1935" t="n">
        <v>2350</v>
      </c>
      <c r="I1935" t="n">
        <v>486</v>
      </c>
      <c r="J1935" t="n">
        <v>20.01</v>
      </c>
      <c r="K1935" t="n">
        <v>94.8</v>
      </c>
      <c r="L1935" t="n">
        <v>86.7</v>
      </c>
      <c r="M1935" s="175" t="n">
        <v>1.17</v>
      </c>
      <c r="N1935" t="inlineStr">
        <is>
          <t>足球鞋代工製造龍頭大廠</t>
        </is>
      </c>
    </row>
    <row r="1936">
      <c r="A1936" t="n">
        <v>6770</v>
      </c>
      <c r="B1936" t="inlineStr">
        <is>
          <t>力積電</t>
        </is>
      </c>
      <c r="C1936" t="n">
        <v>87</v>
      </c>
      <c r="D1936" t="n">
        <v>85.90000000000001</v>
      </c>
      <c r="E1936" s="504" t="n">
        <v>-1.1</v>
      </c>
      <c r="F1936" s="505" t="n">
        <v>-1.26</v>
      </c>
      <c r="G1936" t="inlineStr">
        <is>
          <t>84.9億</t>
        </is>
      </c>
      <c r="H1936" t="n">
        <v>99567</v>
      </c>
      <c r="I1936" t="n">
        <v>622572</v>
      </c>
      <c r="J1936" t="n">
        <v>427.99</v>
      </c>
      <c r="K1936" t="n">
        <v>88.59999999999999</v>
      </c>
      <c r="L1936" t="n">
        <v>83.7</v>
      </c>
      <c r="M1936" s="175" t="n">
        <v>2.35</v>
      </c>
      <c r="N1936" t="inlineStr">
        <is>
          <t>全球前十大晶圓代工廠之一</t>
        </is>
      </c>
    </row>
    <row r="1937">
      <c r="A1937" t="n">
        <v>6776</v>
      </c>
      <c r="B1937" t="inlineStr">
        <is>
          <t>展碁國際</t>
        </is>
      </c>
      <c r="C1937" t="n">
        <v>60.1</v>
      </c>
      <c r="D1937" t="n">
        <v>61.2</v>
      </c>
      <c r="E1937" s="504" t="n">
        <v>1.2</v>
      </c>
      <c r="F1937" s="505" t="n">
        <v>2</v>
      </c>
      <c r="G1937" t="inlineStr">
        <is>
          <t>5252萬</t>
        </is>
      </c>
      <c r="H1937" t="n">
        <v>865</v>
      </c>
      <c r="I1937" t="n">
        <v>458</v>
      </c>
      <c r="J1937" t="n">
        <v>9.16</v>
      </c>
      <c r="K1937" t="n">
        <v>61.4</v>
      </c>
      <c r="L1937" t="n">
        <v>60</v>
      </c>
      <c r="M1937" s="175" t="n">
        <v>0.9399999999999999</v>
      </c>
      <c r="N1937" t="inlineStr">
        <is>
          <t>台灣第二大電子通路代理商</t>
        </is>
      </c>
    </row>
    <row r="1938">
      <c r="A1938" t="n">
        <v>6781</v>
      </c>
      <c r="B1938" t="inlineStr">
        <is>
          <t>AES-KY</t>
        </is>
      </c>
      <c r="C1938" t="n">
        <v>1205</v>
      </c>
      <c r="D1938" t="n">
        <v>1130</v>
      </c>
      <c r="E1938" s="504" t="n">
        <v>-70</v>
      </c>
      <c r="F1938" s="505" t="n">
        <v>-5.83</v>
      </c>
      <c r="G1938" t="inlineStr">
        <is>
          <t>19.2億</t>
        </is>
      </c>
      <c r="H1938" t="n">
        <v>1685</v>
      </c>
      <c r="I1938" t="n">
        <v>1584</v>
      </c>
      <c r="J1938" t="n">
        <v>8.539999999999999</v>
      </c>
      <c r="K1938" t="n">
        <v>1205</v>
      </c>
      <c r="L1938" t="n">
        <v>1100</v>
      </c>
      <c r="M1938" s="175" t="n">
        <v>1.97</v>
      </c>
      <c r="N1938" t="inlineStr">
        <is>
          <t>新普轉投資之鋰電池模組製造商</t>
        </is>
      </c>
    </row>
    <row r="1939">
      <c r="A1939" t="n">
        <v>6782</v>
      </c>
      <c r="B1939" t="inlineStr">
        <is>
          <t>視陽</t>
        </is>
      </c>
      <c r="C1939" t="n">
        <v>194.5</v>
      </c>
      <c r="D1939" t="n">
        <v>194</v>
      </c>
      <c r="E1939" s="504" t="n">
        <v>-1</v>
      </c>
      <c r="F1939" s="505" t="n">
        <v>-0.51</v>
      </c>
      <c r="G1939" t="inlineStr">
        <is>
          <t>6590萬</t>
        </is>
      </c>
      <c r="H1939" t="n">
        <v>340</v>
      </c>
      <c r="I1939" t="n">
        <v>301</v>
      </c>
      <c r="J1939" t="n">
        <v>6.3</v>
      </c>
      <c r="K1939" t="n">
        <v>196</v>
      </c>
      <c r="L1939" t="n">
        <v>192</v>
      </c>
      <c r="M1939" s="175" t="n">
        <v>0.54</v>
      </c>
      <c r="N1939" t="inlineStr">
        <is>
          <t>明基材轉投資，為亞洲矽水膠隱形眼鏡代工龍頭</t>
        </is>
      </c>
    </row>
    <row r="1940">
      <c r="A1940" t="n">
        <v>6785</v>
      </c>
      <c r="B1940" t="inlineStr">
        <is>
          <t>昱展新藥</t>
        </is>
      </c>
      <c r="C1940" t="n">
        <v>122.5</v>
      </c>
      <c r="D1940" t="n">
        <v>119.5</v>
      </c>
      <c r="E1940" s="504" t="n">
        <v>-2.5</v>
      </c>
      <c r="F1940" s="505" t="n">
        <v>-2.05</v>
      </c>
      <c r="G1940" t="inlineStr">
        <is>
          <t>2074萬</t>
        </is>
      </c>
      <c r="H1940" t="n">
        <v>173</v>
      </c>
      <c r="I1940" t="n">
        <v>94</v>
      </c>
      <c r="J1940" t="n">
        <v>6.68</v>
      </c>
      <c r="K1940" t="n">
        <v>122.5</v>
      </c>
      <c r="L1940" t="n">
        <v>119</v>
      </c>
      <c r="M1940" s="175" t="n">
        <v>0.26</v>
      </c>
      <c r="N1940" t="inlineStr">
        <is>
          <t>開發治療鴉片類成癮症及難治型憂鬱症之長效藥物</t>
        </is>
      </c>
    </row>
    <row r="1941">
      <c r="A1941" t="n">
        <v>6788</v>
      </c>
      <c r="B1941" t="inlineStr">
        <is>
          <t>華景電</t>
        </is>
      </c>
      <c r="C1941" t="n">
        <v>412.5</v>
      </c>
      <c r="D1941" t="n">
        <v>401.5</v>
      </c>
      <c r="E1941" s="504" t="n">
        <v>-9</v>
      </c>
      <c r="F1941" s="505" t="n">
        <v>-2.19</v>
      </c>
      <c r="G1941" t="inlineStr">
        <is>
          <t>2.78億</t>
        </is>
      </c>
      <c r="H1941" t="n">
        <v>688</v>
      </c>
      <c r="I1941" t="n">
        <v>707</v>
      </c>
      <c r="J1941" t="n">
        <v>3.87</v>
      </c>
      <c r="K1941" t="n">
        <v>414.5</v>
      </c>
      <c r="L1941" t="n">
        <v>401</v>
      </c>
      <c r="M1941" s="175" t="n">
        <v>1.78</v>
      </c>
      <c r="N1941" t="inlineStr">
        <is>
          <t>國內晶圓製程AMC防治設備龍頭</t>
        </is>
      </c>
    </row>
    <row r="1942">
      <c r="A1942" t="n">
        <v>6789</v>
      </c>
      <c r="B1942" t="inlineStr">
        <is>
          <t>采鈺</t>
        </is>
      </c>
      <c r="C1942" t="n">
        <v>547</v>
      </c>
      <c r="D1942" t="n">
        <v>522</v>
      </c>
      <c r="E1942" s="504" t="n">
        <v>-25</v>
      </c>
      <c r="F1942" s="505" t="n">
        <v>-4.57</v>
      </c>
      <c r="G1942" t="inlineStr">
        <is>
          <t>17.1億</t>
        </is>
      </c>
      <c r="H1942" t="n">
        <v>3244</v>
      </c>
      <c r="I1942" t="n">
        <v>3436</v>
      </c>
      <c r="J1942" t="n">
        <v>31.83</v>
      </c>
      <c r="K1942" t="n">
        <v>547</v>
      </c>
      <c r="L1942" t="n">
        <v>515</v>
      </c>
      <c r="M1942" s="175" t="n">
        <v>1.02</v>
      </c>
      <c r="N1942" t="inlineStr">
        <is>
          <t>台積電旗下影像感測器後段製程生產企業</t>
        </is>
      </c>
    </row>
    <row r="1943">
      <c r="A1943" t="n">
        <v>6790</v>
      </c>
      <c r="B1943" t="inlineStr">
        <is>
          <t>永豐實</t>
        </is>
      </c>
      <c r="C1943" t="n">
        <v>39.5</v>
      </c>
      <c r="D1943" t="n">
        <v>39.65</v>
      </c>
      <c r="E1943" s="504" t="n">
        <v>0.15</v>
      </c>
      <c r="F1943" s="505" t="n">
        <v>0.38</v>
      </c>
      <c r="G1943" t="inlineStr">
        <is>
          <t>601萬</t>
        </is>
      </c>
      <c r="H1943" t="n">
        <v>152</v>
      </c>
      <c r="I1943" t="n">
        <v>200</v>
      </c>
      <c r="J1943" t="n">
        <v>26.71</v>
      </c>
      <c r="K1943" t="n">
        <v>39.65</v>
      </c>
      <c r="L1943" t="n">
        <v>39.45</v>
      </c>
      <c r="M1943" s="175" t="n">
        <v>0.06</v>
      </c>
      <c r="N1943" t="inlineStr">
        <is>
          <t>台灣家庭用紙龍頭製造商，為永豐餘旗下子公司</t>
        </is>
      </c>
    </row>
    <row r="1944">
      <c r="A1944" t="n">
        <v>6791</v>
      </c>
      <c r="B1944" t="inlineStr">
        <is>
          <t>虎門科技</t>
        </is>
      </c>
      <c r="C1944" t="n">
        <v>125</v>
      </c>
      <c r="D1944" t="n">
        <v>119</v>
      </c>
      <c r="E1944" s="504" t="n">
        <v>-6</v>
      </c>
      <c r="F1944" s="505" t="n">
        <v>-4.8</v>
      </c>
      <c r="G1944" t="inlineStr">
        <is>
          <t>3690萬</t>
        </is>
      </c>
      <c r="H1944" t="n">
        <v>310</v>
      </c>
      <c r="I1944" t="n">
        <v>105</v>
      </c>
      <c r="J1944" t="n">
        <v>2.08</v>
      </c>
      <c r="K1944" t="n">
        <v>125</v>
      </c>
      <c r="L1944" t="n">
        <v>114</v>
      </c>
      <c r="M1944" s="175" t="n">
        <v>1.49</v>
      </c>
      <c r="N1944" t="inlineStr">
        <is>
          <t>CAE、CPC導入暨顧問諮詢服務廠</t>
        </is>
      </c>
    </row>
    <row r="1945">
      <c r="A1945" t="n">
        <v>6792</v>
      </c>
      <c r="B1945" t="inlineStr">
        <is>
          <t>詠業</t>
        </is>
      </c>
      <c r="C1945" t="n">
        <v>72</v>
      </c>
      <c r="D1945" t="n">
        <v>70</v>
      </c>
      <c r="E1945" s="504" t="n">
        <v>-2</v>
      </c>
      <c r="F1945" s="505" t="n">
        <v>-2.78</v>
      </c>
      <c r="G1945" t="inlineStr">
        <is>
          <t>1150萬</t>
        </is>
      </c>
      <c r="H1945" t="n">
        <v>163</v>
      </c>
      <c r="I1945" t="n">
        <v>319</v>
      </c>
      <c r="J1945" t="n">
        <v>4.79</v>
      </c>
      <c r="K1945" t="n">
        <v>72</v>
      </c>
      <c r="L1945" t="n">
        <v>70</v>
      </c>
      <c r="M1945" s="175" t="n">
        <v>0.34</v>
      </c>
      <c r="N1945" t="inlineStr">
        <is>
          <t>達方轉投資的天線、壓電陶瓷元件、電路保護元件廠</t>
        </is>
      </c>
    </row>
    <row r="1946">
      <c r="A1946" t="n">
        <v>6794</v>
      </c>
      <c r="B1946" t="inlineStr">
        <is>
          <t>向榮生技</t>
        </is>
      </c>
      <c r="C1946" t="n">
        <v>82</v>
      </c>
      <c r="D1946" t="n">
        <v>82.8</v>
      </c>
      <c r="E1946" s="504" t="n">
        <v>0.1</v>
      </c>
      <c r="F1946" s="505" t="n">
        <v>0.12</v>
      </c>
      <c r="G1946" t="inlineStr">
        <is>
          <t>396萬</t>
        </is>
      </c>
      <c r="H1946" t="n">
        <v>48</v>
      </c>
      <c r="I1946" t="n">
        <v>54</v>
      </c>
      <c r="J1946" t="n">
        <v>6.37</v>
      </c>
      <c r="K1946" t="n">
        <v>84.7</v>
      </c>
      <c r="L1946" t="n">
        <v>81.09999999999999</v>
      </c>
      <c r="M1946" s="175" t="n">
        <v>0.1</v>
      </c>
      <c r="N1946" t="inlineStr">
        <is>
          <t>異體脂肪幹細胞新藥研發廠</t>
        </is>
      </c>
    </row>
    <row r="1947">
      <c r="A1947" t="n">
        <v>6796</v>
      </c>
      <c r="B1947" t="inlineStr">
        <is>
          <t>晉弘</t>
        </is>
      </c>
      <c r="C1947" t="n">
        <v>62</v>
      </c>
      <c r="D1947" t="n">
        <v>60.1</v>
      </c>
      <c r="E1947" s="504" t="n">
        <v>-1.8</v>
      </c>
      <c r="F1947" s="505" t="n">
        <v>-2.91</v>
      </c>
      <c r="G1947" t="inlineStr">
        <is>
          <t>851萬</t>
        </is>
      </c>
      <c r="H1947" t="n">
        <v>139</v>
      </c>
      <c r="I1947" t="n">
        <v>122</v>
      </c>
      <c r="J1947" t="n">
        <v>4.02</v>
      </c>
      <c r="K1947" t="n">
        <v>62.7</v>
      </c>
      <c r="L1947" t="n">
        <v>60</v>
      </c>
      <c r="M1947" s="175" t="n">
        <v>0.35</v>
      </c>
      <c r="N1947" t="inlineStr">
        <is>
          <t>醫療影像診斷系統解決方案供應商</t>
        </is>
      </c>
    </row>
    <row r="1948">
      <c r="A1948" t="n">
        <v>6799</v>
      </c>
      <c r="B1948" t="inlineStr">
        <is>
          <t>來頡</t>
        </is>
      </c>
      <c r="C1948" t="n">
        <v>107.5</v>
      </c>
      <c r="D1948" t="n">
        <v>104.5</v>
      </c>
      <c r="E1948" s="504" t="n">
        <v>-3</v>
      </c>
      <c r="F1948" s="505" t="n">
        <v>-2.79</v>
      </c>
      <c r="G1948" t="inlineStr">
        <is>
          <t>1.05億</t>
        </is>
      </c>
      <c r="H1948" t="n">
        <v>1007</v>
      </c>
      <c r="I1948" t="n">
        <v>2543</v>
      </c>
      <c r="J1948" t="n">
        <v>4.37</v>
      </c>
      <c r="K1948" t="n">
        <v>107.5</v>
      </c>
      <c r="L1948" t="n">
        <v>101</v>
      </c>
      <c r="M1948" s="175" t="n">
        <v>2.31</v>
      </c>
      <c r="N1948" t="inlineStr">
        <is>
          <t>台灣一家電源管理IC供應商</t>
        </is>
      </c>
    </row>
    <row r="1949">
      <c r="A1949" t="n">
        <v>6803</v>
      </c>
      <c r="B1949" t="inlineStr">
        <is>
          <t>崑鼎</t>
        </is>
      </c>
      <c r="C1949" t="n">
        <v>286</v>
      </c>
      <c r="D1949" t="n">
        <v>286.5</v>
      </c>
      <c r="E1949" s="504" t="n">
        <v>0</v>
      </c>
      <c r="F1949" s="505" t="n">
        <v>0</v>
      </c>
      <c r="G1949" t="inlineStr">
        <is>
          <t>2884萬</t>
        </is>
      </c>
      <c r="H1949" t="n">
        <v>101</v>
      </c>
      <c r="I1949" t="n">
        <v>122</v>
      </c>
      <c r="J1949" t="n">
        <v>7.28</v>
      </c>
      <c r="K1949" t="n">
        <v>286.5</v>
      </c>
      <c r="L1949" t="n">
        <v>285</v>
      </c>
      <c r="M1949" s="175" t="n">
        <v>0.14</v>
      </c>
      <c r="N1949" t="inlineStr">
        <is>
          <t>中鼎集團旗下，台灣知名廢棄物處理、焚化爐營運商</t>
        </is>
      </c>
    </row>
    <row r="1950">
      <c r="A1950" t="n">
        <v>6804</v>
      </c>
      <c r="B1950" t="inlineStr">
        <is>
          <t>明係</t>
        </is>
      </c>
      <c r="C1950" t="n">
        <v>16</v>
      </c>
      <c r="D1950" t="n">
        <v>15.95</v>
      </c>
      <c r="E1950" s="504" t="n">
        <v>-0.15</v>
      </c>
      <c r="F1950" s="505" t="n">
        <v>-0.93</v>
      </c>
      <c r="G1950" t="inlineStr">
        <is>
          <t>78.2萬</t>
        </is>
      </c>
      <c r="H1950" t="n">
        <v>49</v>
      </c>
      <c r="I1950" t="n">
        <v>36</v>
      </c>
      <c r="J1950" t="n">
        <v>4.75</v>
      </c>
      <c r="K1950" t="n">
        <v>16.1</v>
      </c>
      <c r="L1950" t="n">
        <v>15.85</v>
      </c>
      <c r="M1950" s="175" t="n">
        <v>0.1</v>
      </c>
      <c r="N1950" t="inlineStr">
        <is>
          <t>台灣自行車OEM/ODM公司</t>
        </is>
      </c>
    </row>
    <row r="1951">
      <c r="A1951" t="n">
        <v>6805</v>
      </c>
      <c r="B1951" t="inlineStr">
        <is>
          <t>富世達</t>
        </is>
      </c>
      <c r="C1951" t="n">
        <v>2150</v>
      </c>
      <c r="D1951" t="n">
        <v>2190</v>
      </c>
      <c r="E1951" s="504" t="n">
        <v>70</v>
      </c>
      <c r="F1951" s="505" t="n">
        <v>3.3</v>
      </c>
      <c r="G1951" t="inlineStr">
        <is>
          <t>93.8億</t>
        </is>
      </c>
      <c r="H1951" t="n">
        <v>4288</v>
      </c>
      <c r="I1951" t="n">
        <v>2842</v>
      </c>
      <c r="J1951" t="n">
        <v>6.86</v>
      </c>
      <c r="K1951" t="n">
        <v>2245</v>
      </c>
      <c r="L1951" t="n">
        <v>2100</v>
      </c>
      <c r="M1951" s="175" t="n">
        <v>6.26</v>
      </c>
      <c r="N1951" t="inlineStr">
        <is>
          <t>全球精密軸承製造領導商之一</t>
        </is>
      </c>
    </row>
    <row r="1952">
      <c r="A1952" t="n">
        <v>6806</v>
      </c>
      <c r="B1952" t="inlineStr">
        <is>
          <t>森崴能源</t>
        </is>
      </c>
      <c r="C1952" t="n">
        <v>8.109999999999999</v>
      </c>
      <c r="D1952" t="n">
        <v>7.72</v>
      </c>
      <c r="E1952" s="504" t="n">
        <v>0.34</v>
      </c>
      <c r="F1952" s="505" t="n">
        <v>4.61</v>
      </c>
      <c r="G1952" t="inlineStr">
        <is>
          <t>6613萬</t>
        </is>
      </c>
      <c r="H1952" t="n">
        <v>8272</v>
      </c>
      <c r="I1952" t="n">
        <v>4885</v>
      </c>
      <c r="J1952" t="n">
        <v>27.46</v>
      </c>
      <c r="K1952" t="n">
        <v>8.109999999999999</v>
      </c>
      <c r="L1952" t="n">
        <v>7.72</v>
      </c>
      <c r="M1952" s="175" t="n">
        <v>3.01</v>
      </c>
      <c r="N1952" t="inlineStr">
        <is>
          <t>正崴集團旗下，能源工程及整合服務商</t>
        </is>
      </c>
    </row>
    <row r="1953">
      <c r="A1953" t="n">
        <v>6807</v>
      </c>
      <c r="B1953" t="inlineStr">
        <is>
          <t>峰源-KY</t>
        </is>
      </c>
      <c r="C1953" t="n">
        <v>33.05</v>
      </c>
      <c r="D1953" t="n">
        <v>33.45</v>
      </c>
      <c r="E1953" s="504" t="n">
        <v>0</v>
      </c>
      <c r="F1953" s="505" t="n">
        <v>0</v>
      </c>
      <c r="G1953" t="inlineStr">
        <is>
          <t>39.8萬</t>
        </is>
      </c>
      <c r="H1953" t="n">
        <v>12</v>
      </c>
      <c r="I1953" t="n">
        <v>20</v>
      </c>
      <c r="J1953" t="n">
        <v>5.4</v>
      </c>
      <c r="K1953" t="n">
        <v>33.5</v>
      </c>
      <c r="L1953" t="n">
        <v>33</v>
      </c>
      <c r="M1953" s="175" t="n">
        <v>0.02</v>
      </c>
      <c r="N1953" t="inlineStr">
        <is>
          <t>室內傢俱研發生產銷售商</t>
        </is>
      </c>
    </row>
    <row r="1954">
      <c r="A1954" t="n">
        <v>6811</v>
      </c>
      <c r="B1954" t="inlineStr">
        <is>
          <t>宏碁資訊</t>
        </is>
      </c>
      <c r="C1954" t="n">
        <v>240</v>
      </c>
      <c r="D1954" t="n">
        <v>245</v>
      </c>
      <c r="E1954" s="504" t="n">
        <v>9</v>
      </c>
      <c r="F1954" s="505" t="n">
        <v>3.81</v>
      </c>
      <c r="G1954" t="inlineStr">
        <is>
          <t>2.77億</t>
        </is>
      </c>
      <c r="H1954" t="n">
        <v>1132</v>
      </c>
      <c r="I1954" t="n">
        <v>276</v>
      </c>
      <c r="J1954" t="n">
        <v>4.14</v>
      </c>
      <c r="K1954" t="n">
        <v>257</v>
      </c>
      <c r="L1954" t="n">
        <v>233</v>
      </c>
      <c r="M1954" s="175" t="n">
        <v>2.73</v>
      </c>
      <c r="N1954" t="inlineStr">
        <is>
          <t>宏碁旗下，企業數位轉型服務供應商</t>
        </is>
      </c>
    </row>
    <row r="1955">
      <c r="A1955" t="n">
        <v>6821</v>
      </c>
      <c r="B1955" t="inlineStr">
        <is>
          <t>聯寶</t>
        </is>
      </c>
      <c r="C1955" t="n">
        <v>69</v>
      </c>
      <c r="D1955" t="n">
        <v>69.90000000000001</v>
      </c>
      <c r="E1955" s="504" t="n">
        <v>0.9</v>
      </c>
      <c r="F1955" s="505" t="n">
        <v>1.3</v>
      </c>
      <c r="G1955" t="inlineStr">
        <is>
          <t>3607萬</t>
        </is>
      </c>
      <c r="H1955" t="n">
        <v>513</v>
      </c>
      <c r="I1955" t="n">
        <v>4474</v>
      </c>
      <c r="J1955" t="n">
        <v>3.29</v>
      </c>
      <c r="K1955" t="n">
        <v>71.8</v>
      </c>
      <c r="L1955" t="n">
        <v>68.90000000000001</v>
      </c>
      <c r="M1955" s="175" t="n">
        <v>1.56</v>
      </c>
      <c r="N1955" t="inlineStr">
        <is>
          <t>主要從事變壓器及電感器等磁性元件製造</t>
        </is>
      </c>
    </row>
    <row r="1956">
      <c r="A1956" t="n">
        <v>6823</v>
      </c>
      <c r="B1956" t="inlineStr">
        <is>
          <t>濾能</t>
        </is>
      </c>
      <c r="C1956" t="n">
        <v>74.40000000000001</v>
      </c>
      <c r="D1956" t="n">
        <v>73.90000000000001</v>
      </c>
      <c r="E1956" s="504" t="n">
        <v>-0.1</v>
      </c>
      <c r="F1956" s="505" t="n">
        <v>-0.14</v>
      </c>
      <c r="G1956" t="inlineStr">
        <is>
          <t>1182萬</t>
        </is>
      </c>
      <c r="H1956" t="n">
        <v>162</v>
      </c>
      <c r="I1956" t="n">
        <v>306</v>
      </c>
      <c r="J1956" t="n">
        <v>3.05</v>
      </c>
      <c r="K1956" t="n">
        <v>74.40000000000001</v>
      </c>
      <c r="L1956" t="n">
        <v>71.8</v>
      </c>
      <c r="M1956" s="175" t="n">
        <v>0.53</v>
      </c>
      <c r="N1956" t="inlineStr">
        <is>
          <t>半導體先進製程關鍵耗材供應商</t>
        </is>
      </c>
    </row>
    <row r="1957">
      <c r="A1957" t="n">
        <v>6829</v>
      </c>
      <c r="B1957" t="inlineStr">
        <is>
          <t>千附精密</t>
        </is>
      </c>
      <c r="C1957" t="n">
        <v>249</v>
      </c>
      <c r="D1957" t="n">
        <v>225</v>
      </c>
      <c r="E1957" s="504" t="n">
        <v>-20.5</v>
      </c>
      <c r="F1957" s="505" t="n">
        <v>-8.35</v>
      </c>
      <c r="G1957" t="inlineStr">
        <is>
          <t>7.08億</t>
        </is>
      </c>
      <c r="H1957" t="n">
        <v>3084</v>
      </c>
      <c r="I1957" t="n">
        <v>714</v>
      </c>
      <c r="J1957" t="n">
        <v>5.92</v>
      </c>
      <c r="K1957" t="n">
        <v>250</v>
      </c>
      <c r="L1957" t="n">
        <v>221</v>
      </c>
      <c r="M1957" s="175" t="n">
        <v>5.21</v>
      </c>
      <c r="N1957" t="inlineStr">
        <is>
          <t>精密零組件整合及半導體關鍵零組件製造商</t>
        </is>
      </c>
    </row>
    <row r="1958">
      <c r="A1958" t="n">
        <v>6830</v>
      </c>
      <c r="B1958" t="inlineStr">
        <is>
          <t>汎銓</t>
        </is>
      </c>
      <c r="C1958" t="n">
        <v>696</v>
      </c>
      <c r="D1958" t="n">
        <v>661</v>
      </c>
      <c r="E1958" s="504" t="n">
        <v>-22</v>
      </c>
      <c r="F1958" s="505" t="n">
        <v>-3.22</v>
      </c>
      <c r="G1958" t="inlineStr">
        <is>
          <t>10.7億</t>
        </is>
      </c>
      <c r="H1958" t="n">
        <v>1568</v>
      </c>
      <c r="I1958" t="n">
        <v>2345</v>
      </c>
      <c r="J1958" t="n">
        <v>5.34</v>
      </c>
      <c r="K1958" t="n">
        <v>704</v>
      </c>
      <c r="L1958" t="n">
        <v>660</v>
      </c>
      <c r="M1958" s="175" t="n">
        <v>3.03</v>
      </c>
      <c r="N1958" t="inlineStr">
        <is>
          <t>半導體材料分析服務龍頭</t>
        </is>
      </c>
    </row>
    <row r="1959">
      <c r="A1959" t="n">
        <v>6831</v>
      </c>
      <c r="B1959" t="inlineStr">
        <is>
          <t>邁科</t>
        </is>
      </c>
      <c r="C1959" t="n">
        <v>755</v>
      </c>
      <c r="D1959" t="n">
        <v>686</v>
      </c>
      <c r="E1959" s="504" t="n">
        <v>-76</v>
      </c>
      <c r="F1959" s="505" t="n">
        <v>-9.970000000000001</v>
      </c>
      <c r="G1959" t="inlineStr">
        <is>
          <t>22.8億</t>
        </is>
      </c>
      <c r="H1959" t="n">
        <v>3217</v>
      </c>
      <c r="I1959" t="n">
        <v>1385</v>
      </c>
      <c r="J1959" t="n">
        <v>6.75</v>
      </c>
      <c r="K1959" t="n">
        <v>755</v>
      </c>
      <c r="L1959" t="n">
        <v>686</v>
      </c>
      <c r="M1959" s="175" t="n">
        <v>4.77</v>
      </c>
      <c r="N1959" t="inlineStr">
        <is>
          <t>均溫板等散熱零組件及模組生產商</t>
        </is>
      </c>
    </row>
    <row r="1960">
      <c r="A1960" t="n">
        <v>6834</v>
      </c>
      <c r="B1960" t="inlineStr">
        <is>
          <t>天二科技</t>
        </is>
      </c>
      <c r="C1960" t="n">
        <v>72.5</v>
      </c>
      <c r="D1960" t="n">
        <v>73</v>
      </c>
      <c r="E1960" s="504" t="n">
        <v>-4</v>
      </c>
      <c r="F1960" s="505" t="n">
        <v>-5.19</v>
      </c>
      <c r="G1960" t="inlineStr">
        <is>
          <t>7747萬</t>
        </is>
      </c>
      <c r="H1960" t="n">
        <v>1067</v>
      </c>
      <c r="I1960" t="n">
        <v>1696</v>
      </c>
      <c r="J1960" t="n">
        <v>8.85</v>
      </c>
      <c r="K1960" t="n">
        <v>77.5</v>
      </c>
      <c r="L1960" t="n">
        <v>71</v>
      </c>
      <c r="M1960" s="175" t="n">
        <v>1.21</v>
      </c>
      <c r="N1960" t="inlineStr">
        <is>
          <t>被動元件貼片電阻製造商</t>
        </is>
      </c>
    </row>
    <row r="1961">
      <c r="A1961" t="n">
        <v>6835</v>
      </c>
      <c r="B1961" t="inlineStr">
        <is>
          <t>圓裕</t>
        </is>
      </c>
      <c r="C1961" t="n">
        <v>38.2</v>
      </c>
      <c r="D1961" t="n">
        <v>37.75</v>
      </c>
      <c r="E1961" s="504" t="n">
        <v>-0.45</v>
      </c>
      <c r="F1961" s="505" t="n">
        <v>-1.18</v>
      </c>
      <c r="G1961" t="inlineStr">
        <is>
          <t>804萬</t>
        </is>
      </c>
      <c r="H1961" t="n">
        <v>213</v>
      </c>
      <c r="I1961" t="n">
        <v>615</v>
      </c>
      <c r="J1961" t="n">
        <v>6.62</v>
      </c>
      <c r="K1961" t="n">
        <v>38.35</v>
      </c>
      <c r="L1961" t="n">
        <v>37.2</v>
      </c>
      <c r="M1961" s="175" t="n">
        <v>0.32</v>
      </c>
      <c r="N1961" t="inlineStr">
        <is>
          <t>台灣軟板及連接線組製造商</t>
        </is>
      </c>
    </row>
    <row r="1962">
      <c r="A1962" t="n">
        <v>6838</v>
      </c>
      <c r="B1962" t="inlineStr">
        <is>
          <t>台新藥</t>
        </is>
      </c>
      <c r="C1962" t="n">
        <v>25.45</v>
      </c>
      <c r="D1962" t="n">
        <v>25.85</v>
      </c>
      <c r="E1962" s="504" t="n">
        <v>0.7</v>
      </c>
      <c r="F1962" s="505" t="n">
        <v>2.78</v>
      </c>
      <c r="G1962" t="inlineStr">
        <is>
          <t>735萬</t>
        </is>
      </c>
      <c r="H1962" t="n">
        <v>283</v>
      </c>
      <c r="I1962" t="n">
        <v>189</v>
      </c>
      <c r="J1962" t="n">
        <v>15.1</v>
      </c>
      <c r="K1962" t="n">
        <v>26.75</v>
      </c>
      <c r="L1962" t="n">
        <v>25.4</v>
      </c>
      <c r="M1962" s="175" t="n">
        <v>0.19</v>
      </c>
      <c r="N1962" t="inlineStr">
        <is>
          <t>台耀旗下眼科、腫瘤和抗感染藥研發廠</t>
        </is>
      </c>
    </row>
    <row r="1963">
      <c r="A1963" t="n">
        <v>6840</v>
      </c>
      <c r="B1963" t="inlineStr">
        <is>
          <t>東研信超</t>
        </is>
      </c>
      <c r="C1963" t="n">
        <v>71.90000000000001</v>
      </c>
      <c r="D1963" t="n">
        <v>71.90000000000001</v>
      </c>
      <c r="E1963" s="504" t="n">
        <v>6.5</v>
      </c>
      <c r="F1963" s="505" t="n">
        <v>9.94</v>
      </c>
      <c r="G1963" t="inlineStr">
        <is>
          <t>2092萬</t>
        </is>
      </c>
      <c r="H1963" t="n">
        <v>291</v>
      </c>
      <c r="I1963" t="n">
        <v>129</v>
      </c>
      <c r="J1963" t="n">
        <v>3.08</v>
      </c>
      <c r="K1963" t="n">
        <v>71.90000000000001</v>
      </c>
      <c r="L1963" t="n">
        <v>71.90000000000001</v>
      </c>
      <c r="M1963" s="175" t="n">
        <v>0.95</v>
      </c>
      <c r="N1963" t="inlineStr">
        <is>
          <t>電子設備及電子產品的測試技術服務商</t>
        </is>
      </c>
    </row>
    <row r="1964">
      <c r="A1964" t="n">
        <v>6841</v>
      </c>
      <c r="B1964" t="inlineStr">
        <is>
          <t>長佳智能</t>
        </is>
      </c>
      <c r="C1964" t="n">
        <v>57.5</v>
      </c>
      <c r="D1964" t="n">
        <v>56.3</v>
      </c>
      <c r="E1964" s="504" t="n">
        <v>-0.1</v>
      </c>
      <c r="F1964" s="505" t="n">
        <v>-0.18</v>
      </c>
      <c r="G1964" t="inlineStr">
        <is>
          <t>1785萬</t>
        </is>
      </c>
      <c r="H1964" t="n">
        <v>317</v>
      </c>
      <c r="I1964" t="n">
        <v>411</v>
      </c>
      <c r="J1964" t="n">
        <v>9.52</v>
      </c>
      <c r="K1964" t="n">
        <v>57.5</v>
      </c>
      <c r="L1964" t="n">
        <v>55.9</v>
      </c>
      <c r="M1964" s="175" t="n">
        <v>0.33</v>
      </c>
      <c r="N1964" t="inlineStr">
        <is>
          <t>電腦分析輔助診斷系統供應商</t>
        </is>
      </c>
    </row>
    <row r="1965">
      <c r="A1965" t="n">
        <v>6843</v>
      </c>
      <c r="B1965" t="inlineStr">
        <is>
          <t>進典</t>
        </is>
      </c>
      <c r="C1965" t="n">
        <v>40.8</v>
      </c>
      <c r="D1965" t="n">
        <v>40.8</v>
      </c>
      <c r="E1965" s="504" t="n">
        <v>-0.1</v>
      </c>
      <c r="F1965" s="505" t="n">
        <v>-0.24</v>
      </c>
      <c r="G1965" t="inlineStr">
        <is>
          <t>81.7萬</t>
        </is>
      </c>
      <c r="H1965" t="n">
        <v>20</v>
      </c>
      <c r="I1965" t="n">
        <v>31</v>
      </c>
      <c r="J1965" t="n">
        <v>3.33</v>
      </c>
      <c r="K1965" t="n">
        <v>41</v>
      </c>
      <c r="L1965" t="n">
        <v>40.65</v>
      </c>
      <c r="M1965" s="175" t="n">
        <v>0.06</v>
      </c>
      <c r="N1965" t="inlineStr">
        <is>
          <t>高階工業閥門製造商</t>
        </is>
      </c>
    </row>
    <row r="1966">
      <c r="A1966" t="n">
        <v>6844</v>
      </c>
      <c r="B1966" t="inlineStr">
        <is>
          <t>諾貝兒</t>
        </is>
      </c>
      <c r="C1966" t="n">
        <v>63.5</v>
      </c>
      <c r="D1966" t="n">
        <v>64.09999999999999</v>
      </c>
      <c r="E1966" s="504" t="n">
        <v>-0.4</v>
      </c>
      <c r="F1966" s="505" t="n">
        <v>-0.62</v>
      </c>
      <c r="G1966" t="inlineStr">
        <is>
          <t>261萬</t>
        </is>
      </c>
      <c r="H1966" t="n">
        <v>41</v>
      </c>
      <c r="I1966" t="n">
        <v>32</v>
      </c>
      <c r="J1966" t="n">
        <v>3.74</v>
      </c>
      <c r="K1966" t="n">
        <v>64.09999999999999</v>
      </c>
      <c r="L1966" t="n">
        <v>63.1</v>
      </c>
      <c r="M1966" s="175" t="n">
        <v>0.11</v>
      </c>
      <c r="N1966" t="inlineStr">
        <is>
          <t>以「丁丁藥局」為品牌之連鎖藥妝及藥局通路業者</t>
        </is>
      </c>
    </row>
    <row r="1967">
      <c r="A1967" t="n">
        <v>6846</v>
      </c>
      <c r="B1967" t="inlineStr">
        <is>
          <t>綠茵</t>
        </is>
      </c>
      <c r="C1967" t="n">
        <v>66.8</v>
      </c>
      <c r="D1967" t="n">
        <v>67.09999999999999</v>
      </c>
      <c r="E1967" s="504" t="n">
        <v>-0.2</v>
      </c>
      <c r="F1967" s="505" t="n">
        <v>-0.3</v>
      </c>
      <c r="G1967" t="inlineStr">
        <is>
          <t>80.1萬</t>
        </is>
      </c>
      <c r="H1967" t="n">
        <v>12</v>
      </c>
      <c r="I1967" t="n">
        <v>23</v>
      </c>
      <c r="J1967" t="n">
        <v>2.71</v>
      </c>
      <c r="K1967" t="n">
        <v>67.09999999999999</v>
      </c>
      <c r="L1967" t="n">
        <v>66.5</v>
      </c>
      <c r="M1967" s="175" t="n">
        <v>0.04</v>
      </c>
      <c r="N1967" t="inlineStr">
        <is>
          <t>台灣保健食品原料製造商</t>
        </is>
      </c>
    </row>
    <row r="1968">
      <c r="A1968" t="n">
        <v>6855</v>
      </c>
      <c r="B1968" t="inlineStr">
        <is>
          <t>數泓科</t>
        </is>
      </c>
      <c r="C1968" t="n">
        <v>129</v>
      </c>
      <c r="D1968" t="n">
        <v>129</v>
      </c>
      <c r="E1968" s="504" t="n">
        <v>11.5</v>
      </c>
      <c r="F1968" s="505" t="n">
        <v>9.789999999999999</v>
      </c>
      <c r="G1968" t="inlineStr">
        <is>
          <t>632萬</t>
        </is>
      </c>
      <c r="H1968" t="n">
        <v>49</v>
      </c>
      <c r="I1968" t="n">
        <v>25</v>
      </c>
      <c r="J1968" t="n">
        <v>2.32</v>
      </c>
      <c r="K1968" t="n">
        <v>129</v>
      </c>
      <c r="L1968" t="n">
        <v>129</v>
      </c>
      <c r="M1968" s="175" t="n">
        <v>0.21</v>
      </c>
      <c r="N1968" t="inlineStr">
        <is>
          <t>台灣數位手工具領導者</t>
        </is>
      </c>
    </row>
    <row r="1969">
      <c r="A1969" t="n">
        <v>6856</v>
      </c>
      <c r="B1969" t="inlineStr">
        <is>
          <t>鑫傳</t>
        </is>
      </c>
      <c r="C1969" t="n">
        <v>49.3</v>
      </c>
      <c r="D1969" t="n">
        <v>50</v>
      </c>
      <c r="E1969" s="504" t="n">
        <v>0.7</v>
      </c>
      <c r="F1969" s="505" t="n">
        <v>1.42</v>
      </c>
      <c r="G1969" t="inlineStr">
        <is>
          <t>29.5萬</t>
        </is>
      </c>
      <c r="H1969" t="n">
        <v>6</v>
      </c>
      <c r="I1969" t="n">
        <v>4</v>
      </c>
      <c r="J1969" t="n">
        <v>2.82</v>
      </c>
      <c r="K1969" t="n">
        <v>50</v>
      </c>
      <c r="L1969" t="n">
        <v>49</v>
      </c>
      <c r="M1969" s="175" t="n">
        <v>0.02</v>
      </c>
      <c r="N1969" t="inlineStr">
        <is>
          <t>台數科轉投資衛星電視台、節目製作、電視購物公司</t>
        </is>
      </c>
    </row>
    <row r="1970">
      <c r="A1970" t="n">
        <v>6859</v>
      </c>
      <c r="B1970" t="inlineStr">
        <is>
          <t>伯特光</t>
        </is>
      </c>
      <c r="C1970" t="n">
        <v>131</v>
      </c>
      <c r="D1970" t="n">
        <v>128.5</v>
      </c>
      <c r="E1970" s="504" t="n">
        <v>-3.5</v>
      </c>
      <c r="F1970" s="505" t="n">
        <v>-2.65</v>
      </c>
      <c r="G1970" t="inlineStr">
        <is>
          <t>3353萬</t>
        </is>
      </c>
      <c r="H1970" t="n">
        <v>260</v>
      </c>
      <c r="I1970" t="n">
        <v>228</v>
      </c>
      <c r="J1970" t="n">
        <v>4.16</v>
      </c>
      <c r="K1970" t="n">
        <v>134.5</v>
      </c>
      <c r="L1970" t="n">
        <v>126</v>
      </c>
      <c r="M1970" s="175" t="n">
        <v>0.63</v>
      </c>
      <c r="N1970" t="inlineStr">
        <is>
          <t>台灣精密光學鏡片模具大廠</t>
        </is>
      </c>
    </row>
    <row r="1971">
      <c r="A1971" t="n">
        <v>6861</v>
      </c>
      <c r="B1971" t="inlineStr">
        <is>
          <t>睿生光電</t>
        </is>
      </c>
      <c r="C1971" t="n">
        <v>390</v>
      </c>
      <c r="D1971" t="n">
        <v>370</v>
      </c>
      <c r="E1971" s="504" t="n">
        <v>-26</v>
      </c>
      <c r="F1971" s="505" t="n">
        <v>-6.57</v>
      </c>
      <c r="G1971" t="inlineStr">
        <is>
          <t>11.0億</t>
        </is>
      </c>
      <c r="H1971" t="n">
        <v>2988</v>
      </c>
      <c r="I1971" t="n">
        <v>2205</v>
      </c>
      <c r="J1971" t="n">
        <v>4.16</v>
      </c>
      <c r="K1971" t="n">
        <v>395.5</v>
      </c>
      <c r="L1971" t="n">
        <v>356.5</v>
      </c>
      <c r="M1971" s="175" t="n">
        <v>7.18</v>
      </c>
      <c r="N1971" t="inlineStr">
        <is>
          <t>經營X光平板感測器產品</t>
        </is>
      </c>
    </row>
    <row r="1972">
      <c r="A1972" t="n">
        <v>6862</v>
      </c>
      <c r="B1972" t="inlineStr">
        <is>
          <t>三集瑞-KY</t>
        </is>
      </c>
      <c r="C1972" t="n">
        <v>211.5</v>
      </c>
      <c r="D1972" t="n">
        <v>199.5</v>
      </c>
      <c r="E1972" s="504" t="n">
        <v>-14.5</v>
      </c>
      <c r="F1972" s="505" t="n">
        <v>-6.78</v>
      </c>
      <c r="G1972" t="inlineStr">
        <is>
          <t>5.03億</t>
        </is>
      </c>
      <c r="H1972" t="n">
        <v>2522</v>
      </c>
      <c r="I1972" t="n">
        <v>2706</v>
      </c>
      <c r="J1972" t="n">
        <v>5</v>
      </c>
      <c r="K1972" t="n">
        <v>215</v>
      </c>
      <c r="L1972" t="n">
        <v>193.5</v>
      </c>
      <c r="M1972" s="175" t="n">
        <v>5.04</v>
      </c>
      <c r="N1972" t="inlineStr">
        <is>
          <t>台灣領先的電感器製造商之一</t>
        </is>
      </c>
    </row>
    <row r="1973">
      <c r="A1973" t="n">
        <v>6863</v>
      </c>
      <c r="B1973" t="inlineStr">
        <is>
          <t>永道-KY</t>
        </is>
      </c>
      <c r="C1973" t="n">
        <v>110.5</v>
      </c>
      <c r="D1973" t="n">
        <v>110</v>
      </c>
      <c r="E1973" s="504" t="n">
        <v>-0.5</v>
      </c>
      <c r="F1973" s="505" t="n">
        <v>-0.45</v>
      </c>
      <c r="G1973" t="inlineStr">
        <is>
          <t>1323萬</t>
        </is>
      </c>
      <c r="H1973" t="n">
        <v>121</v>
      </c>
      <c r="I1973" t="n">
        <v>126</v>
      </c>
      <c r="J1973" t="n">
        <v>7.49</v>
      </c>
      <c r="K1973" t="n">
        <v>112</v>
      </c>
      <c r="L1973" t="n">
        <v>107.5</v>
      </c>
      <c r="M1973" s="175" t="n">
        <v>0.16</v>
      </c>
      <c r="N1973" t="inlineStr">
        <is>
          <t>永豐餘旗下RFID標籤ODM廠</t>
        </is>
      </c>
    </row>
    <row r="1974">
      <c r="A1974" t="n">
        <v>6865</v>
      </c>
      <c r="B1974" t="inlineStr">
        <is>
          <t>偉康科技</t>
        </is>
      </c>
      <c r="C1974" t="n">
        <v>26.05</v>
      </c>
      <c r="D1974" t="n">
        <v>26.5</v>
      </c>
      <c r="E1974" s="504" t="n">
        <v>0.5</v>
      </c>
      <c r="F1974" s="505" t="n">
        <v>1.92</v>
      </c>
      <c r="G1974" t="inlineStr">
        <is>
          <t>183萬</t>
        </is>
      </c>
      <c r="H1974" t="n">
        <v>69</v>
      </c>
      <c r="I1974" t="n">
        <v>37</v>
      </c>
      <c r="J1974" t="n">
        <v>1.58</v>
      </c>
      <c r="K1974" t="n">
        <v>28</v>
      </c>
      <c r="L1974" t="n">
        <v>26</v>
      </c>
      <c r="M1974" s="175" t="n">
        <v>0.44</v>
      </c>
      <c r="N1974" t="inlineStr">
        <is>
          <t>金融業數位轉型解決方案供應商</t>
        </is>
      </c>
    </row>
    <row r="1975">
      <c r="A1975" t="n">
        <v>6869</v>
      </c>
      <c r="B1975" t="inlineStr">
        <is>
          <t>雲豹能源</t>
        </is>
      </c>
      <c r="C1975" t="n">
        <v>85.2</v>
      </c>
      <c r="D1975" t="n">
        <v>84.40000000000001</v>
      </c>
      <c r="E1975" s="504" t="n">
        <v>-0.9</v>
      </c>
      <c r="F1975" s="505" t="n">
        <v>-1.06</v>
      </c>
      <c r="G1975" t="inlineStr">
        <is>
          <t>7059萬</t>
        </is>
      </c>
      <c r="H1975" t="n">
        <v>839</v>
      </c>
      <c r="I1975" t="n">
        <v>1038</v>
      </c>
      <c r="J1975" t="n">
        <v>13.78</v>
      </c>
      <c r="K1975" t="n">
        <v>85.3</v>
      </c>
      <c r="L1975" t="n">
        <v>83.59999999999999</v>
      </c>
      <c r="M1975" s="175" t="n">
        <v>0.61</v>
      </c>
      <c r="N1975" t="inlineStr">
        <is>
          <t>再生能源一站式整合服務商</t>
        </is>
      </c>
    </row>
    <row r="1976">
      <c r="A1976" t="n">
        <v>6870</v>
      </c>
      <c r="B1976" t="inlineStr">
        <is>
          <t>騰雲</t>
        </is>
      </c>
      <c r="C1976" t="n">
        <v>321.5</v>
      </c>
      <c r="D1976" t="n">
        <v>321.5</v>
      </c>
      <c r="E1976" s="504" t="n">
        <v>29</v>
      </c>
      <c r="F1976" s="505" t="n">
        <v>9.91</v>
      </c>
      <c r="G1976" t="inlineStr">
        <is>
          <t>6044萬</t>
        </is>
      </c>
      <c r="H1976" t="n">
        <v>188</v>
      </c>
      <c r="I1976" t="n">
        <v>309</v>
      </c>
      <c r="J1976" t="n">
        <v>2.34</v>
      </c>
      <c r="K1976" t="n">
        <v>321.5</v>
      </c>
      <c r="L1976" t="n">
        <v>321.5</v>
      </c>
      <c r="M1976" s="175" t="n">
        <v>0.8</v>
      </c>
      <c r="N1976" t="inlineStr">
        <is>
          <t>台灣專業零售業一站式解決方案提供商</t>
        </is>
      </c>
    </row>
    <row r="1977">
      <c r="A1977" t="n">
        <v>6872</v>
      </c>
      <c r="B1977" t="inlineStr">
        <is>
          <t>浩宇生醫</t>
        </is>
      </c>
      <c r="C1977" t="n">
        <v>17.1</v>
      </c>
      <c r="D1977" t="n">
        <v>17.3</v>
      </c>
      <c r="E1977" s="504" t="n">
        <v>0.2</v>
      </c>
      <c r="F1977" s="505" t="n">
        <v>1.17</v>
      </c>
      <c r="G1977" t="inlineStr">
        <is>
          <t>75.1萬</t>
        </is>
      </c>
      <c r="H1977" t="n">
        <v>44</v>
      </c>
      <c r="I1977" t="n">
        <v>56</v>
      </c>
      <c r="J1977" t="n">
        <v>7.08</v>
      </c>
      <c r="K1977" t="n">
        <v>17.3</v>
      </c>
      <c r="L1977" t="n">
        <v>17</v>
      </c>
      <c r="M1977" s="175" t="n">
        <v>0.06</v>
      </c>
      <c r="N1977" t="inlineStr">
        <is>
          <t>聚焦式超音波及治療導引追蹤系統研發廠</t>
        </is>
      </c>
    </row>
    <row r="1978">
      <c r="A1978" t="n">
        <v>6873</v>
      </c>
      <c r="B1978" t="inlineStr">
        <is>
          <t>泓德能源</t>
        </is>
      </c>
      <c r="C1978" t="n">
        <v>90.3</v>
      </c>
      <c r="D1978" t="n">
        <v>90.2</v>
      </c>
      <c r="E1978" s="504" t="n">
        <v>0</v>
      </c>
      <c r="F1978" s="505" t="n">
        <v>0</v>
      </c>
      <c r="G1978" t="inlineStr">
        <is>
          <t>3606萬</t>
        </is>
      </c>
      <c r="H1978" t="n">
        <v>403</v>
      </c>
      <c r="I1978" t="n">
        <v>1014</v>
      </c>
      <c r="J1978" t="n">
        <v>14.26</v>
      </c>
      <c r="K1978" t="n">
        <v>90.3</v>
      </c>
      <c r="L1978" t="n">
        <v>89</v>
      </c>
      <c r="M1978" s="175" t="n">
        <v>0.28</v>
      </c>
      <c r="N1978" t="inlineStr">
        <is>
          <t>太陽能系統整合商</t>
        </is>
      </c>
    </row>
    <row r="1979">
      <c r="A1979" t="n">
        <v>6874</v>
      </c>
      <c r="B1979" t="inlineStr">
        <is>
          <t>倍力</t>
        </is>
      </c>
      <c r="C1979" t="n">
        <v>83</v>
      </c>
      <c r="D1979" t="n">
        <v>83.3</v>
      </c>
      <c r="E1979" s="504" t="n">
        <v>1.3</v>
      </c>
      <c r="F1979" s="505" t="n">
        <v>1.59</v>
      </c>
      <c r="G1979" t="inlineStr">
        <is>
          <t>1164萬</t>
        </is>
      </c>
      <c r="H1979" t="n">
        <v>139</v>
      </c>
      <c r="I1979" t="n">
        <v>66</v>
      </c>
      <c r="J1979" t="n">
        <v>2.2</v>
      </c>
      <c r="K1979" t="n">
        <v>86</v>
      </c>
      <c r="L1979" t="n">
        <v>82</v>
      </c>
      <c r="M1979" s="175" t="n">
        <v>0.63</v>
      </c>
      <c r="N1979" t="inlineStr">
        <is>
          <t>資通轉投資之企業軟體代理及開發廠</t>
        </is>
      </c>
    </row>
    <row r="1980">
      <c r="A1980" t="n">
        <v>6875</v>
      </c>
      <c r="B1980" t="inlineStr">
        <is>
          <t>國邑*</t>
        </is>
      </c>
      <c r="C1980" t="n">
        <v>35.55</v>
      </c>
      <c r="D1980" t="n">
        <v>35</v>
      </c>
      <c r="E1980" s="504" t="n">
        <v>-0.6</v>
      </c>
      <c r="F1980" s="505" t="n">
        <v>-1.69</v>
      </c>
      <c r="G1980" t="inlineStr">
        <is>
          <t>447萬</t>
        </is>
      </c>
      <c r="H1980" t="n">
        <v>127</v>
      </c>
      <c r="I1980" t="n">
        <v>147</v>
      </c>
      <c r="J1980" t="n">
        <v>6.46</v>
      </c>
      <c r="K1980" t="n">
        <v>36</v>
      </c>
      <c r="L1980" t="n">
        <v>35</v>
      </c>
      <c r="M1980" s="175" t="n">
        <v>0.1</v>
      </c>
      <c r="N1980" t="inlineStr">
        <is>
          <t>脂質體緩釋劑型肺高壓治療藥物研發廠</t>
        </is>
      </c>
    </row>
    <row r="1981">
      <c r="A1981" t="n">
        <v>6877</v>
      </c>
      <c r="B1981" t="inlineStr">
        <is>
          <t>鏵友益</t>
        </is>
      </c>
      <c r="C1981" t="n">
        <v>162</v>
      </c>
      <c r="D1981" t="n">
        <v>158</v>
      </c>
      <c r="E1981" s="504" t="n">
        <v>-4</v>
      </c>
      <c r="F1981" s="505" t="n">
        <v>-2.47</v>
      </c>
      <c r="G1981" t="inlineStr">
        <is>
          <t>5197萬</t>
        </is>
      </c>
      <c r="H1981" t="n">
        <v>333</v>
      </c>
      <c r="I1981" t="n">
        <v>634</v>
      </c>
      <c r="J1981" t="n">
        <v>4.7</v>
      </c>
      <c r="K1981" t="n">
        <v>162</v>
      </c>
      <c r="L1981" t="n">
        <v>152.5</v>
      </c>
      <c r="M1981" s="175" t="n">
        <v>0.71</v>
      </c>
      <c r="N1981" t="inlineStr">
        <is>
          <t>國內半導體及光電產業之檢測功能自動化設備供應商</t>
        </is>
      </c>
    </row>
    <row r="1982">
      <c r="A1982" t="n">
        <v>6881</v>
      </c>
      <c r="B1982" t="inlineStr">
        <is>
          <t>潤德</t>
        </is>
      </c>
      <c r="C1982" t="n">
        <v>259.5</v>
      </c>
      <c r="D1982" t="n">
        <v>268.5</v>
      </c>
      <c r="E1982" s="504" t="n">
        <v>1.5</v>
      </c>
      <c r="F1982" s="505" t="n">
        <v>0.5600000000000001</v>
      </c>
      <c r="G1982" t="inlineStr">
        <is>
          <t>611萬</t>
        </is>
      </c>
      <c r="H1982" t="n">
        <v>23</v>
      </c>
      <c r="I1982" t="n">
        <v>8</v>
      </c>
      <c r="J1982" t="n">
        <v>1.5</v>
      </c>
      <c r="K1982" t="n">
        <v>268.5</v>
      </c>
      <c r="L1982" t="n">
        <v>259.5</v>
      </c>
      <c r="M1982" s="175" t="n">
        <v>0.15</v>
      </c>
      <c r="N1982" t="inlineStr">
        <is>
          <t>潤泰材旗下室內裝修設計公司</t>
        </is>
      </c>
    </row>
    <row r="1983">
      <c r="A1983" t="n">
        <v>6884</v>
      </c>
      <c r="B1983" t="inlineStr">
        <is>
          <t>海柏特</t>
        </is>
      </c>
      <c r="C1983" t="n">
        <v>33.3</v>
      </c>
      <c r="D1983" t="n">
        <v>33.5</v>
      </c>
      <c r="E1983" s="504" t="n">
        <v>0.15</v>
      </c>
      <c r="F1983" s="505" t="n">
        <v>0.45</v>
      </c>
      <c r="G1983" t="inlineStr">
        <is>
          <t>80.2萬</t>
        </is>
      </c>
      <c r="H1983" t="n">
        <v>24</v>
      </c>
      <c r="I1983" t="n">
        <v>10</v>
      </c>
      <c r="J1983" t="n">
        <v>1.84</v>
      </c>
      <c r="K1983" t="n">
        <v>33.7</v>
      </c>
      <c r="L1983" t="n">
        <v>33.3</v>
      </c>
      <c r="M1983" s="175" t="n">
        <v>0.13</v>
      </c>
      <c r="N1983" t="inlineStr">
        <is>
          <t>宏碁旗下資訊產品售後服務提供商</t>
        </is>
      </c>
    </row>
    <row r="1984">
      <c r="A1984" t="n">
        <v>6885</v>
      </c>
      <c r="B1984" t="inlineStr">
        <is>
          <t>全福生技</t>
        </is>
      </c>
      <c r="C1984" t="n">
        <v>22.4</v>
      </c>
      <c r="D1984" t="n">
        <v>24.55</v>
      </c>
      <c r="E1984" s="504" t="n">
        <v>2.2</v>
      </c>
      <c r="F1984" s="505" t="n">
        <v>9.84</v>
      </c>
      <c r="G1984" t="inlineStr">
        <is>
          <t>2551萬</t>
        </is>
      </c>
      <c r="H1984" t="n">
        <v>1078</v>
      </c>
      <c r="I1984" t="n">
        <v>539</v>
      </c>
      <c r="J1984" t="n">
        <v>13.3</v>
      </c>
      <c r="K1984" t="n">
        <v>24.55</v>
      </c>
      <c r="L1984" t="n">
        <v>22.35</v>
      </c>
      <c r="M1984" s="175" t="n">
        <v>0.8100000000000001</v>
      </c>
      <c r="N1984" t="inlineStr">
        <is>
          <t>眼科疾病治療藥物研發廠</t>
        </is>
      </c>
    </row>
    <row r="1985">
      <c r="A1985" t="n">
        <v>6887</v>
      </c>
      <c r="B1985" t="inlineStr">
        <is>
          <t>寶綠特-KY</t>
        </is>
      </c>
      <c r="C1985" t="n">
        <v>36.95</v>
      </c>
      <c r="D1985" t="n">
        <v>36</v>
      </c>
      <c r="E1985" s="504" t="n">
        <v>-0.95</v>
      </c>
      <c r="F1985" s="505" t="n">
        <v>-2.57</v>
      </c>
      <c r="G1985" t="inlineStr">
        <is>
          <t>7.29萬</t>
        </is>
      </c>
      <c r="H1985" t="n">
        <v>2</v>
      </c>
      <c r="I1985" t="n">
        <v>69</v>
      </c>
      <c r="J1985" t="n">
        <v>7.42</v>
      </c>
      <c r="K1985" t="n">
        <v>36.95</v>
      </c>
      <c r="L1985" t="n">
        <v>36</v>
      </c>
      <c r="M1985" s="175" t="n">
        <v>0</v>
      </c>
      <c r="N1985" t="inlineStr">
        <is>
          <t>再生聚酯產業鍊資源與技術整合者</t>
        </is>
      </c>
    </row>
    <row r="1986">
      <c r="A1986" t="n">
        <v>6890</v>
      </c>
      <c r="B1986" t="inlineStr">
        <is>
          <t>來億-KY</t>
        </is>
      </c>
      <c r="C1986" t="n">
        <v>177.5</v>
      </c>
      <c r="D1986" t="n">
        <v>191.5</v>
      </c>
      <c r="E1986" s="504" t="n">
        <v>17</v>
      </c>
      <c r="F1986" s="505" t="n">
        <v>9.74</v>
      </c>
      <c r="G1986" t="inlineStr">
        <is>
          <t>4.57億</t>
        </is>
      </c>
      <c r="H1986" t="n">
        <v>2436</v>
      </c>
      <c r="I1986" t="n">
        <v>557</v>
      </c>
      <c r="J1986" t="n">
        <v>24.94</v>
      </c>
      <c r="K1986" t="n">
        <v>191.5</v>
      </c>
      <c r="L1986" t="n">
        <v>175.5</v>
      </c>
      <c r="M1986" s="175" t="n">
        <v>0.98</v>
      </c>
      <c r="N1986" t="inlineStr">
        <is>
          <t>專為國際品牌代工製造鞋廠</t>
        </is>
      </c>
    </row>
    <row r="1987">
      <c r="A1987" t="n">
        <v>6894</v>
      </c>
      <c r="B1987" t="inlineStr">
        <is>
          <t>衛司特</t>
        </is>
      </c>
      <c r="C1987" t="n">
        <v>418</v>
      </c>
      <c r="D1987" t="n">
        <v>399</v>
      </c>
      <c r="E1987" s="504" t="n">
        <v>-10</v>
      </c>
      <c r="F1987" s="505" t="n">
        <v>-2.44</v>
      </c>
      <c r="G1987" t="inlineStr">
        <is>
          <t>9641萬</t>
        </is>
      </c>
      <c r="H1987" t="n">
        <v>241</v>
      </c>
      <c r="I1987" t="n">
        <v>244</v>
      </c>
      <c r="J1987" t="n">
        <v>2.38</v>
      </c>
      <c r="K1987" t="n">
        <v>418</v>
      </c>
      <c r="L1987" t="n">
        <v>388</v>
      </c>
      <c r="M1987" s="175" t="n">
        <v>1.01</v>
      </c>
      <c r="N1987" t="inlineStr">
        <is>
          <t>聖暉轉投資PCB製程應用電解設備及耗材廠</t>
        </is>
      </c>
    </row>
    <row r="1988">
      <c r="A1988" t="n">
        <v>6895</v>
      </c>
      <c r="B1988" t="inlineStr">
        <is>
          <t>宏碩系統</t>
        </is>
      </c>
      <c r="C1988" t="n">
        <v>145</v>
      </c>
      <c r="D1988" t="n">
        <v>141</v>
      </c>
      <c r="E1988" s="504" t="n">
        <v>-5.5</v>
      </c>
      <c r="F1988" s="505" t="n">
        <v>-3.75</v>
      </c>
      <c r="G1988" t="inlineStr">
        <is>
          <t>1868萬</t>
        </is>
      </c>
      <c r="H1988" t="n">
        <v>132</v>
      </c>
      <c r="I1988" t="n">
        <v>120</v>
      </c>
      <c r="J1988" t="n">
        <v>3.41</v>
      </c>
      <c r="K1988" t="n">
        <v>145</v>
      </c>
      <c r="L1988" t="n">
        <v>140</v>
      </c>
      <c r="M1988" s="175" t="n">
        <v>0.39</v>
      </c>
      <c r="N1988" t="inlineStr">
        <is>
          <t>國內知名的高功率真空微波管製造商</t>
        </is>
      </c>
    </row>
    <row r="1989">
      <c r="A1989" t="n">
        <v>6899</v>
      </c>
      <c r="B1989" t="inlineStr">
        <is>
          <t>創為精密</t>
        </is>
      </c>
      <c r="C1989" t="n">
        <v>66.09999999999999</v>
      </c>
      <c r="D1989" t="n">
        <v>64.09999999999999</v>
      </c>
      <c r="E1989" s="504" t="n">
        <v>-2</v>
      </c>
      <c r="F1989" s="505" t="n">
        <v>-3.03</v>
      </c>
      <c r="G1989" t="inlineStr">
        <is>
          <t>1153萬</t>
        </is>
      </c>
      <c r="H1989" t="n">
        <v>181</v>
      </c>
      <c r="I1989" t="n">
        <v>422</v>
      </c>
      <c r="J1989" t="n">
        <v>4.24</v>
      </c>
      <c r="K1989" t="n">
        <v>66.09999999999999</v>
      </c>
      <c r="L1989" t="n">
        <v>62.1</v>
      </c>
      <c r="M1989" s="175" t="n">
        <v>0.43</v>
      </c>
      <c r="N1989" t="inlineStr">
        <is>
          <t>台灣專業的觸控面板製造商之一</t>
        </is>
      </c>
    </row>
    <row r="1990">
      <c r="A1990" t="n">
        <v>6901</v>
      </c>
      <c r="B1990" t="inlineStr">
        <is>
          <t>鑽石投資</t>
        </is>
      </c>
      <c r="C1990" t="n">
        <v>13</v>
      </c>
      <c r="D1990" t="n">
        <v>13.2</v>
      </c>
      <c r="E1990" s="504" t="n">
        <v>0.05</v>
      </c>
      <c r="F1990" s="505" t="n">
        <v>0.38</v>
      </c>
      <c r="G1990" t="inlineStr">
        <is>
          <t>1688萬</t>
        </is>
      </c>
      <c r="H1990" t="n">
        <v>1300</v>
      </c>
      <c r="I1990" t="n">
        <v>1971</v>
      </c>
      <c r="J1990" t="n">
        <v>85.29000000000001</v>
      </c>
      <c r="K1990" t="n">
        <v>13.25</v>
      </c>
      <c r="L1990" t="n">
        <v>12.8</v>
      </c>
      <c r="M1990" s="175" t="n">
        <v>0.15</v>
      </c>
      <c r="N1990" t="inlineStr">
        <is>
          <t>台灣大型永續型生技創投公司</t>
        </is>
      </c>
    </row>
    <row r="1991">
      <c r="A1991" t="n">
        <v>6902</v>
      </c>
      <c r="B1991" t="inlineStr">
        <is>
          <t>GOGOLOOK</t>
        </is>
      </c>
      <c r="C1991" t="n">
        <v>147</v>
      </c>
      <c r="D1991" t="n">
        <v>141.5</v>
      </c>
      <c r="E1991" s="504" t="n">
        <v>-5.5</v>
      </c>
      <c r="F1991" s="505" t="n">
        <v>-3.74</v>
      </c>
      <c r="G1991" t="inlineStr">
        <is>
          <t>3667萬</t>
        </is>
      </c>
      <c r="H1991" t="n">
        <v>260</v>
      </c>
      <c r="I1991" t="n">
        <v>434</v>
      </c>
      <c r="J1991" t="n">
        <v>3.55</v>
      </c>
      <c r="K1991" t="n">
        <v>147</v>
      </c>
      <c r="L1991" t="n">
        <v>137</v>
      </c>
      <c r="M1991" s="175" t="n">
        <v>0.74</v>
      </c>
      <c r="N1991" t="inlineStr">
        <is>
          <t>全球數位防詐及風險管理服務商</t>
        </is>
      </c>
    </row>
    <row r="1992">
      <c r="A1992" t="n">
        <v>6903</v>
      </c>
      <c r="B1992" t="inlineStr">
        <is>
          <t>巨漢</t>
        </is>
      </c>
      <c r="C1992" t="n">
        <v>405.5</v>
      </c>
      <c r="D1992" t="n">
        <v>392.5</v>
      </c>
      <c r="E1992" s="504" t="n">
        <v>-8.5</v>
      </c>
      <c r="F1992" s="505" t="n">
        <v>-2.12</v>
      </c>
      <c r="G1992" t="inlineStr">
        <is>
          <t>2.83億</t>
        </is>
      </c>
      <c r="H1992" t="n">
        <v>721</v>
      </c>
      <c r="I1992" t="n">
        <v>1321</v>
      </c>
      <c r="J1992" t="n">
        <v>6.67</v>
      </c>
      <c r="K1992" t="n">
        <v>405.5</v>
      </c>
      <c r="L1992" t="n">
        <v>386.5</v>
      </c>
      <c r="M1992" s="175" t="n">
        <v>1.08</v>
      </c>
      <c r="N1992" t="inlineStr">
        <is>
          <t>無塵室及機電空調之統包工程廠商</t>
        </is>
      </c>
    </row>
    <row r="1993">
      <c r="A1993" t="n">
        <v>6904</v>
      </c>
      <c r="B1993" t="inlineStr">
        <is>
          <t>伯鑫</t>
        </is>
      </c>
      <c r="C1993" t="n">
        <v>119</v>
      </c>
      <c r="D1993" t="n">
        <v>119</v>
      </c>
      <c r="E1993" s="504" t="n">
        <v>1</v>
      </c>
      <c r="F1993" s="505" t="n">
        <v>0.85</v>
      </c>
      <c r="G1993" t="inlineStr">
        <is>
          <t>11.9萬</t>
        </is>
      </c>
      <c r="H1993" t="n">
        <v>1</v>
      </c>
      <c r="I1993" t="n">
        <v>1</v>
      </c>
      <c r="J1993" t="n">
        <v>1.85</v>
      </c>
      <c r="K1993" t="n">
        <v>119</v>
      </c>
      <c r="L1993" t="n">
        <v>119</v>
      </c>
      <c r="M1993" s="175" t="n">
        <v>0.01</v>
      </c>
      <c r="N1993" t="inlineStr">
        <is>
          <t>國內活動扳手之專業領導製造廠</t>
        </is>
      </c>
    </row>
    <row r="1994">
      <c r="A1994" t="n">
        <v>6906</v>
      </c>
      <c r="B1994" t="inlineStr">
        <is>
          <t>現觀科</t>
        </is>
      </c>
      <c r="C1994" t="n">
        <v>104.5</v>
      </c>
      <c r="D1994" t="n">
        <v>101</v>
      </c>
      <c r="E1994" s="504" t="n">
        <v>-4</v>
      </c>
      <c r="F1994" s="505" t="n">
        <v>-3.81</v>
      </c>
      <c r="G1994" t="inlineStr">
        <is>
          <t>2002萬</t>
        </is>
      </c>
      <c r="H1994" t="n">
        <v>196</v>
      </c>
      <c r="I1994" t="n">
        <v>593</v>
      </c>
      <c r="J1994" t="n">
        <v>3.35</v>
      </c>
      <c r="K1994" t="n">
        <v>105</v>
      </c>
      <c r="L1994" t="n">
        <v>101</v>
      </c>
      <c r="M1994" s="175" t="n">
        <v>0.58</v>
      </c>
      <c r="N1994" t="inlineStr">
        <is>
          <t>專注與電信業者合作提供數據分析平台領域</t>
        </is>
      </c>
    </row>
    <row r="1995">
      <c r="A1995" t="n">
        <v>6907</v>
      </c>
      <c r="B1995" t="inlineStr">
        <is>
          <t>雅特力-KY</t>
        </is>
      </c>
      <c r="C1995" t="n">
        <v>131</v>
      </c>
      <c r="D1995" t="n">
        <v>127.5</v>
      </c>
      <c r="E1995" s="504" t="n">
        <v>-0.5</v>
      </c>
      <c r="F1995" s="505" t="n">
        <v>-0.39</v>
      </c>
      <c r="G1995" t="inlineStr">
        <is>
          <t>1.80億</t>
        </is>
      </c>
      <c r="H1995" t="n">
        <v>1421</v>
      </c>
      <c r="I1995" t="n">
        <v>1140</v>
      </c>
      <c r="J1995" t="n">
        <v>6.25</v>
      </c>
      <c r="K1995" t="n">
        <v>133</v>
      </c>
      <c r="L1995" t="n">
        <v>122</v>
      </c>
      <c r="M1995" s="175" t="n">
        <v>2.27</v>
      </c>
      <c r="N1995" t="inlineStr">
        <is>
          <t>智原旗下高效能微控制晶片設計公司</t>
        </is>
      </c>
    </row>
    <row r="1996">
      <c r="A1996" t="n">
        <v>6909</v>
      </c>
      <c r="B1996" t="inlineStr">
        <is>
          <t>創控</t>
        </is>
      </c>
      <c r="C1996" t="n">
        <v>53</v>
      </c>
      <c r="D1996" t="n">
        <v>51.3</v>
      </c>
      <c r="E1996" s="504" t="n">
        <v>-1.5</v>
      </c>
      <c r="F1996" s="505" t="n">
        <v>-2.84</v>
      </c>
      <c r="G1996" t="inlineStr">
        <is>
          <t>3272萬</t>
        </is>
      </c>
      <c r="H1996" t="n">
        <v>634</v>
      </c>
      <c r="I1996" t="n">
        <v>816</v>
      </c>
      <c r="J1996" t="n">
        <v>6.72</v>
      </c>
      <c r="K1996" t="n">
        <v>53.5</v>
      </c>
      <c r="L1996" t="n">
        <v>50.6</v>
      </c>
      <c r="M1996" s="175" t="n">
        <v>0.9399999999999999</v>
      </c>
      <c r="N1996" t="inlineStr">
        <is>
          <t>國內唯一自主開發的VOCs設備製造商</t>
        </is>
      </c>
    </row>
    <row r="1997">
      <c r="A1997" t="n">
        <v>6910</v>
      </c>
      <c r="B1997" t="inlineStr">
        <is>
          <t>德鴻</t>
        </is>
      </c>
      <c r="C1997" t="n">
        <v>29.05</v>
      </c>
      <c r="D1997" t="n">
        <v>28.55</v>
      </c>
      <c r="E1997" s="504" t="n">
        <v>-0.45</v>
      </c>
      <c r="F1997" s="505" t="n">
        <v>-1.55</v>
      </c>
      <c r="G1997" t="inlineStr">
        <is>
          <t>195萬</t>
        </is>
      </c>
      <c r="H1997" t="n">
        <v>68</v>
      </c>
      <c r="I1997" t="n">
        <v>46</v>
      </c>
      <c r="J1997" t="n">
        <v>3.05</v>
      </c>
      <c r="K1997" t="n">
        <v>29.15</v>
      </c>
      <c r="L1997" t="n">
        <v>28.3</v>
      </c>
      <c r="M1997" s="175" t="n">
        <v>0.22</v>
      </c>
      <c r="N1997" t="inlineStr">
        <is>
          <t>專注數位轉型、智能語音辨識、客戶心聲領域</t>
        </is>
      </c>
    </row>
    <row r="1998">
      <c r="A1998" t="n">
        <v>6913</v>
      </c>
      <c r="B1998" t="inlineStr">
        <is>
          <t>鴻呈</t>
        </is>
      </c>
      <c r="C1998" t="n">
        <v>141.5</v>
      </c>
      <c r="D1998" t="n">
        <v>135</v>
      </c>
      <c r="E1998" s="504" t="n">
        <v>-5</v>
      </c>
      <c r="F1998" s="505" t="n">
        <v>-3.57</v>
      </c>
      <c r="G1998" t="inlineStr">
        <is>
          <t>6560萬</t>
        </is>
      </c>
      <c r="H1998" t="n">
        <v>487</v>
      </c>
      <c r="I1998" t="n">
        <v>875</v>
      </c>
      <c r="J1998" t="n">
        <v>4.38</v>
      </c>
      <c r="K1998" t="n">
        <v>141.5</v>
      </c>
      <c r="L1998" t="n">
        <v>132.5</v>
      </c>
      <c r="M1998" s="175" t="n">
        <v>1.11</v>
      </c>
      <c r="N1998" t="inlineStr">
        <is>
          <t>全球線纜製造組裝規劃供應商</t>
        </is>
      </c>
    </row>
    <row r="1999">
      <c r="A1999" t="n">
        <v>6914</v>
      </c>
      <c r="B1999" t="inlineStr">
        <is>
          <t>阜爾運通</t>
        </is>
      </c>
      <c r="C1999" t="n">
        <v>141</v>
      </c>
      <c r="D1999" t="n">
        <v>142</v>
      </c>
      <c r="E1999" s="504" t="n">
        <v>1</v>
      </c>
      <c r="F1999" s="505" t="n">
        <v>0.71</v>
      </c>
      <c r="G1999" t="inlineStr">
        <is>
          <t>1162萬</t>
        </is>
      </c>
      <c r="H1999" t="n">
        <v>82</v>
      </c>
      <c r="I1999" t="n">
        <v>131</v>
      </c>
      <c r="J1999" t="n">
        <v>6.62</v>
      </c>
      <c r="K1999" t="n">
        <v>142.5</v>
      </c>
      <c r="L1999" t="n">
        <v>141</v>
      </c>
      <c r="M1999" s="175" t="n">
        <v>0.12</v>
      </c>
      <c r="N1999" t="inlineStr">
        <is>
          <t>主要從事停車場自動化設備製造及銷售、停車場收費及管理服務</t>
        </is>
      </c>
    </row>
    <row r="2000">
      <c r="A2000" t="n">
        <v>6916</v>
      </c>
      <c r="B2000" t="inlineStr">
        <is>
          <t>華凌</t>
        </is>
      </c>
      <c r="C2000" t="n">
        <v>18.2</v>
      </c>
      <c r="D2000" t="n">
        <v>18.4</v>
      </c>
      <c r="E2000" s="504" t="n">
        <v>-0.15</v>
      </c>
      <c r="F2000" s="505" t="n">
        <v>-0.8100000000000001</v>
      </c>
      <c r="G2000" t="inlineStr">
        <is>
          <t>65.6萬</t>
        </is>
      </c>
      <c r="H2000" t="n">
        <v>37</v>
      </c>
      <c r="I2000" t="n">
        <v>45</v>
      </c>
      <c r="J2000" t="n">
        <v>6.75</v>
      </c>
      <c r="K2000" t="n">
        <v>18.45</v>
      </c>
      <c r="L2000" t="n">
        <v>17.9</v>
      </c>
      <c r="M2000" s="175" t="n">
        <v>0.05</v>
      </c>
      <c r="N2000" t="inlineStr">
        <is>
          <t>液晶顯示器模組(LCM)生產銷售商</t>
        </is>
      </c>
    </row>
    <row r="2001">
      <c r="A2001" t="n">
        <v>6918</v>
      </c>
      <c r="B2001" t="inlineStr">
        <is>
          <t>愛派司</t>
        </is>
      </c>
      <c r="C2001" t="n">
        <v>73.59999999999999</v>
      </c>
      <c r="D2001" t="n">
        <v>73.7</v>
      </c>
      <c r="E2001" s="504" t="n">
        <v>0.2</v>
      </c>
      <c r="F2001" s="505" t="n">
        <v>0.27</v>
      </c>
      <c r="G2001" t="inlineStr">
        <is>
          <t>236萬</t>
        </is>
      </c>
      <c r="H2001" t="n">
        <v>32</v>
      </c>
      <c r="I2001" t="n">
        <v>45</v>
      </c>
      <c r="J2001" t="n">
        <v>3.46</v>
      </c>
      <c r="K2001" t="n">
        <v>74.09999999999999</v>
      </c>
      <c r="L2001" t="n">
        <v>73.3</v>
      </c>
      <c r="M2001" s="175" t="n">
        <v>0.09</v>
      </c>
      <c r="N2001" t="inlineStr">
        <is>
          <t>專注於亞洲專有骨板骨釘系統研發製造商</t>
        </is>
      </c>
    </row>
    <row r="2002">
      <c r="A2002" t="n">
        <v>6919</v>
      </c>
      <c r="B2002" t="inlineStr">
        <is>
          <t>康霈*</t>
        </is>
      </c>
      <c r="C2002" t="n">
        <v>98.59999999999999</v>
      </c>
      <c r="D2002" t="n">
        <v>96.8</v>
      </c>
      <c r="E2002" s="504" t="n">
        <v>-1.8</v>
      </c>
      <c r="F2002" s="505" t="n">
        <v>-1.83</v>
      </c>
      <c r="G2002" t="inlineStr">
        <is>
          <t>3.43億</t>
        </is>
      </c>
      <c r="H2002" t="n">
        <v>3532</v>
      </c>
      <c r="I2002" t="n">
        <v>6430</v>
      </c>
      <c r="J2002" t="n">
        <v>7.79</v>
      </c>
      <c r="K2002" t="n">
        <v>99.59999999999999</v>
      </c>
      <c r="L2002" t="n">
        <v>96.7</v>
      </c>
      <c r="M2002" s="175" t="n">
        <v>0.23</v>
      </c>
      <c r="N2002" t="inlineStr">
        <is>
          <t>專注醫美與慢性發炎疾病新藥開發公司</t>
        </is>
      </c>
    </row>
    <row r="2003">
      <c r="A2003" t="n">
        <v>6922</v>
      </c>
      <c r="B2003" t="inlineStr">
        <is>
          <t>宸曜</t>
        </is>
      </c>
      <c r="C2003" t="n">
        <v>208</v>
      </c>
      <c r="D2003" t="n">
        <v>197.5</v>
      </c>
      <c r="E2003" s="504" t="n">
        <v>-14.5</v>
      </c>
      <c r="F2003" s="505" t="n">
        <v>-6.84</v>
      </c>
      <c r="G2003" t="inlineStr">
        <is>
          <t>1.22億</t>
        </is>
      </c>
      <c r="H2003" t="n">
        <v>611</v>
      </c>
      <c r="I2003" t="n">
        <v>598</v>
      </c>
      <c r="J2003" t="n">
        <v>2.72</v>
      </c>
      <c r="K2003" t="n">
        <v>208</v>
      </c>
      <c r="L2003" t="n">
        <v>195</v>
      </c>
      <c r="M2003" s="175" t="n">
        <v>2.25</v>
      </c>
      <c r="N2003" t="inlineStr">
        <is>
          <t>台灣工業控制產品、應用電腦及工業電腦公司</t>
        </is>
      </c>
    </row>
    <row r="2004">
      <c r="A2004" t="n">
        <v>6923</v>
      </c>
      <c r="B2004" t="inlineStr">
        <is>
          <t>中台</t>
        </is>
      </c>
      <c r="C2004" t="n">
        <v>77.40000000000001</v>
      </c>
      <c r="D2004" t="n">
        <v>77.2</v>
      </c>
      <c r="E2004" s="504" t="n">
        <v>-0.1</v>
      </c>
      <c r="F2004" s="505" t="n">
        <v>-0.13</v>
      </c>
      <c r="G2004" t="inlineStr">
        <is>
          <t>748萬</t>
        </is>
      </c>
      <c r="H2004" t="n">
        <v>97</v>
      </c>
      <c r="I2004" t="n">
        <v>176</v>
      </c>
      <c r="J2004" t="n">
        <v>9.15</v>
      </c>
      <c r="K2004" t="n">
        <v>77.5</v>
      </c>
      <c r="L2004" t="n">
        <v>76.7</v>
      </c>
      <c r="M2004" s="175" t="n">
        <v>0.11</v>
      </c>
      <c r="N2004" t="inlineStr">
        <is>
          <t>可寧衛轉投資之國內首家廢光源處理廠</t>
        </is>
      </c>
    </row>
    <row r="2005">
      <c r="A2005" t="n">
        <v>6925</v>
      </c>
      <c r="B2005" t="inlineStr">
        <is>
          <t>意藍</t>
        </is>
      </c>
      <c r="C2005" t="n">
        <v>65.09999999999999</v>
      </c>
      <c r="D2005" t="n">
        <v>69</v>
      </c>
      <c r="E2005" s="504" t="n">
        <v>6.2</v>
      </c>
      <c r="F2005" s="505" t="n">
        <v>9.869999999999999</v>
      </c>
      <c r="G2005" t="inlineStr">
        <is>
          <t>4395萬</t>
        </is>
      </c>
      <c r="H2005" t="n">
        <v>645</v>
      </c>
      <c r="I2005" t="n">
        <v>161</v>
      </c>
      <c r="J2005" t="n">
        <v>2</v>
      </c>
      <c r="K2005" t="n">
        <v>69</v>
      </c>
      <c r="L2005" t="n">
        <v>65.09999999999999</v>
      </c>
      <c r="M2005" s="175" t="n">
        <v>3.23</v>
      </c>
      <c r="N2005" t="inlineStr">
        <is>
          <t>提供AI與大數據技術之智能數據服務提供商</t>
        </is>
      </c>
    </row>
    <row r="2006">
      <c r="A2006" t="n">
        <v>6928</v>
      </c>
      <c r="B2006" t="inlineStr">
        <is>
          <t>攸泰科技</t>
        </is>
      </c>
      <c r="C2006" t="n">
        <v>48.15</v>
      </c>
      <c r="D2006" t="n">
        <v>47.75</v>
      </c>
      <c r="E2006" s="504" t="n">
        <v>-0.45</v>
      </c>
      <c r="F2006" s="505" t="n">
        <v>-0.93</v>
      </c>
      <c r="G2006" t="inlineStr">
        <is>
          <t>785萬</t>
        </is>
      </c>
      <c r="H2006" t="n">
        <v>165</v>
      </c>
      <c r="I2006" t="n">
        <v>181</v>
      </c>
      <c r="J2006" t="n">
        <v>8.6</v>
      </c>
      <c r="K2006" t="n">
        <v>48.15</v>
      </c>
      <c r="L2006" t="n">
        <v>47</v>
      </c>
      <c r="M2006" s="175" t="n">
        <v>0.19</v>
      </c>
      <c r="N2006" t="inlineStr">
        <is>
          <t>大眾控轉投資工業電腦公司</t>
        </is>
      </c>
    </row>
    <row r="2007">
      <c r="A2007" t="n">
        <v>6929</v>
      </c>
      <c r="B2007" t="inlineStr">
        <is>
          <t>佑全</t>
        </is>
      </c>
      <c r="C2007" t="n">
        <v>21.8</v>
      </c>
      <c r="D2007" t="n">
        <v>22</v>
      </c>
      <c r="E2007" s="504" t="n">
        <v>-0.05</v>
      </c>
      <c r="F2007" s="505" t="n">
        <v>-0.23</v>
      </c>
      <c r="G2007" t="inlineStr">
        <is>
          <t>47.5萬</t>
        </is>
      </c>
      <c r="H2007" t="n">
        <v>22</v>
      </c>
      <c r="I2007" t="n">
        <v>14</v>
      </c>
      <c r="J2007" t="n">
        <v>4.51</v>
      </c>
      <c r="K2007" t="n">
        <v>22</v>
      </c>
      <c r="L2007" t="n">
        <v>21.05</v>
      </c>
      <c r="M2007" s="175" t="n">
        <v>0.05</v>
      </c>
      <c r="N2007" t="inlineStr">
        <is>
          <t>台灣大型連鎖藥局</t>
        </is>
      </c>
    </row>
    <row r="2008">
      <c r="A2008" t="n">
        <v>6931</v>
      </c>
      <c r="B2008" t="inlineStr">
        <is>
          <t>青松健康</t>
        </is>
      </c>
      <c r="C2008" t="n">
        <v>40</v>
      </c>
      <c r="D2008" t="n">
        <v>39.9</v>
      </c>
      <c r="E2008" s="504" t="n">
        <v>-0.1</v>
      </c>
      <c r="F2008" s="505" t="n">
        <v>-0.25</v>
      </c>
      <c r="G2008" t="inlineStr">
        <is>
          <t>234萬</t>
        </is>
      </c>
      <c r="H2008" t="n">
        <v>59</v>
      </c>
      <c r="I2008" t="n">
        <v>91</v>
      </c>
      <c r="J2008" t="n">
        <v>6.62</v>
      </c>
      <c r="K2008" t="n">
        <v>40</v>
      </c>
      <c r="L2008" t="n">
        <v>39.55</v>
      </c>
      <c r="M2008" s="175" t="n">
        <v>0.09</v>
      </c>
      <c r="N2008" t="inlineStr">
        <is>
          <t>台灣中部地區頗具規模之連鎖照顧服務機構</t>
        </is>
      </c>
    </row>
    <row r="2009">
      <c r="A2009" t="n">
        <v>6933</v>
      </c>
      <c r="B2009" t="inlineStr">
        <is>
          <t>AMAX-KY</t>
        </is>
      </c>
      <c r="C2009" t="n">
        <v>194.5</v>
      </c>
      <c r="D2009" t="n">
        <v>183</v>
      </c>
      <c r="E2009" s="504" t="n">
        <v>-6.5</v>
      </c>
      <c r="F2009" s="505" t="n">
        <v>-3.43</v>
      </c>
      <c r="G2009" t="inlineStr">
        <is>
          <t>2.83億</t>
        </is>
      </c>
      <c r="H2009" t="n">
        <v>1519</v>
      </c>
      <c r="I2009" t="n">
        <v>355</v>
      </c>
      <c r="J2009" t="n">
        <v>4.24</v>
      </c>
      <c r="K2009" t="n">
        <v>195</v>
      </c>
      <c r="L2009" t="n">
        <v>180</v>
      </c>
      <c r="M2009" s="175" t="n">
        <v>3.58</v>
      </c>
      <c r="N2009" t="inlineStr">
        <is>
          <t>提供AI高效能運算、高密度伺服器和存儲、液冷整機櫃解決方案</t>
        </is>
      </c>
    </row>
    <row r="2010">
      <c r="A2010" t="n">
        <v>6934</v>
      </c>
      <c r="B2010" t="inlineStr">
        <is>
          <t>心誠鎂</t>
        </is>
      </c>
      <c r="C2010" t="n">
        <v>72.59999999999999</v>
      </c>
      <c r="D2010" t="n">
        <v>71.90000000000001</v>
      </c>
      <c r="E2010" s="504" t="n">
        <v>-0.7</v>
      </c>
      <c r="F2010" s="505" t="n">
        <v>-0.96</v>
      </c>
      <c r="G2010" t="inlineStr">
        <is>
          <t>933萬</t>
        </is>
      </c>
      <c r="H2010" t="n">
        <v>127</v>
      </c>
      <c r="I2010" t="n">
        <v>72</v>
      </c>
      <c r="J2010" t="n">
        <v>3.6</v>
      </c>
      <c r="K2010" t="n">
        <v>75</v>
      </c>
      <c r="L2010" t="n">
        <v>71.90000000000001</v>
      </c>
      <c r="M2010" s="175" t="n">
        <v>0.35</v>
      </c>
      <c r="N2010" t="inlineStr">
        <is>
          <t>吸入式藥物遞送裝置研發及CDMO廠</t>
        </is>
      </c>
    </row>
    <row r="2011">
      <c r="A2011" t="n">
        <v>6936</v>
      </c>
      <c r="B2011" t="inlineStr">
        <is>
          <t>永鴻生技</t>
        </is>
      </c>
      <c r="C2011" t="n">
        <v>33.5</v>
      </c>
      <c r="D2011" t="n">
        <v>33.7</v>
      </c>
      <c r="E2011" s="504" t="n">
        <v>0.3</v>
      </c>
      <c r="F2011" s="505" t="n">
        <v>0.9</v>
      </c>
      <c r="G2011" t="inlineStr">
        <is>
          <t>194萬</t>
        </is>
      </c>
      <c r="H2011" t="n">
        <v>58</v>
      </c>
      <c r="I2011" t="n">
        <v>63</v>
      </c>
      <c r="J2011" t="n">
        <v>7.28</v>
      </c>
      <c r="K2011" t="n">
        <v>33.75</v>
      </c>
      <c r="L2011" t="n">
        <v>33.25</v>
      </c>
      <c r="M2011" s="175" t="n">
        <v>0.08</v>
      </c>
      <c r="N2011" t="inlineStr">
        <is>
          <t>永信轉投資，為台灣動保藥廠領導品牌之一</t>
        </is>
      </c>
    </row>
    <row r="2012">
      <c r="A2012" t="n">
        <v>6937</v>
      </c>
      <c r="B2012" t="inlineStr">
        <is>
          <t>天虹</t>
        </is>
      </c>
      <c r="C2012" t="n">
        <v>311.5</v>
      </c>
      <c r="D2012" t="n">
        <v>300.5</v>
      </c>
      <c r="E2012" s="504" t="n">
        <v>-10.5</v>
      </c>
      <c r="F2012" s="505" t="n">
        <v>-3.38</v>
      </c>
      <c r="G2012" t="inlineStr">
        <is>
          <t>2.09億</t>
        </is>
      </c>
      <c r="H2012" t="n">
        <v>695</v>
      </c>
      <c r="I2012" t="n">
        <v>1021</v>
      </c>
      <c r="J2012" t="n">
        <v>6.77</v>
      </c>
      <c r="K2012" t="n">
        <v>311.5</v>
      </c>
      <c r="L2012" t="n">
        <v>295.5</v>
      </c>
      <c r="M2012" s="175" t="n">
        <v>1.03</v>
      </c>
      <c r="N2012" t="inlineStr">
        <is>
          <t>國內關鍵半導體零組件主要供應商</t>
        </is>
      </c>
    </row>
    <row r="2013">
      <c r="A2013" t="n">
        <v>6944</v>
      </c>
      <c r="B2013" t="inlineStr">
        <is>
          <t>兆聯實業</t>
        </is>
      </c>
      <c r="C2013" t="n">
        <v>938</v>
      </c>
      <c r="D2013" t="n">
        <v>900</v>
      </c>
      <c r="E2013" s="504" t="n">
        <v>-32</v>
      </c>
      <c r="F2013" s="505" t="n">
        <v>-3.43</v>
      </c>
      <c r="G2013" t="inlineStr">
        <is>
          <t>7.05億</t>
        </is>
      </c>
      <c r="H2013" t="n">
        <v>774</v>
      </c>
      <c r="I2013" t="n">
        <v>728</v>
      </c>
      <c r="J2013" t="n">
        <v>7.67</v>
      </c>
      <c r="K2013" t="n">
        <v>938</v>
      </c>
      <c r="L2013" t="n">
        <v>899</v>
      </c>
      <c r="M2013" s="175" t="n">
        <v>1.01</v>
      </c>
      <c r="N2013" t="inlineStr">
        <is>
          <t>台灣純水及廢水回收系統規劃設計之工程公司</t>
        </is>
      </c>
    </row>
    <row r="2014">
      <c r="A2014" t="n">
        <v>6952</v>
      </c>
      <c r="B2014" t="inlineStr">
        <is>
          <t>大武山</t>
        </is>
      </c>
      <c r="C2014" t="n">
        <v>36.8</v>
      </c>
      <c r="D2014" t="n">
        <v>36.45</v>
      </c>
      <c r="E2014" s="504" t="n">
        <v>-0.55</v>
      </c>
      <c r="F2014" s="505" t="n">
        <v>-1.49</v>
      </c>
      <c r="G2014" t="inlineStr">
        <is>
          <t>69.7萬</t>
        </is>
      </c>
      <c r="H2014" t="n">
        <v>19</v>
      </c>
      <c r="I2014" t="n">
        <v>35</v>
      </c>
      <c r="J2014" t="n">
        <v>6.83</v>
      </c>
      <c r="K2014" t="n">
        <v>37</v>
      </c>
      <c r="L2014" t="n">
        <v>36.45</v>
      </c>
      <c r="M2014" s="175" t="n">
        <v>0.03</v>
      </c>
      <c r="N2014" t="inlineStr">
        <is>
          <t>台灣前三大雞蛋供應商之一</t>
        </is>
      </c>
    </row>
    <row r="2015">
      <c r="A2015" t="n">
        <v>6953</v>
      </c>
      <c r="B2015" t="inlineStr">
        <is>
          <t>家碩</t>
        </is>
      </c>
      <c r="C2015" t="n">
        <v>247.5</v>
      </c>
      <c r="D2015" t="n">
        <v>247.5</v>
      </c>
      <c r="E2015" s="504" t="n">
        <v>0.5</v>
      </c>
      <c r="F2015" s="505" t="n">
        <v>0.2</v>
      </c>
      <c r="G2015" t="inlineStr">
        <is>
          <t>1734萬</t>
        </is>
      </c>
      <c r="H2015" t="n">
        <v>71</v>
      </c>
      <c r="I2015" t="n">
        <v>150</v>
      </c>
      <c r="J2015" t="n">
        <v>3</v>
      </c>
      <c r="K2015" t="n">
        <v>248.5</v>
      </c>
      <c r="L2015" t="n">
        <v>240.5</v>
      </c>
      <c r="M2015" s="175" t="n">
        <v>0.24</v>
      </c>
      <c r="N2015" t="inlineStr">
        <is>
          <t>家登旗下的EUV光罩及傳載自動化之技術解決方案商</t>
        </is>
      </c>
    </row>
    <row r="2016">
      <c r="A2016" t="n">
        <v>6957</v>
      </c>
      <c r="B2016" t="inlineStr">
        <is>
          <t>裕慶-KY</t>
        </is>
      </c>
      <c r="C2016" t="n">
        <v>174</v>
      </c>
      <c r="D2016" t="n">
        <v>181</v>
      </c>
      <c r="E2016" s="504" t="n">
        <v>9.5</v>
      </c>
      <c r="F2016" s="505" t="n">
        <v>5.54</v>
      </c>
      <c r="G2016" t="inlineStr">
        <is>
          <t>6502萬</t>
        </is>
      </c>
      <c r="H2016" t="n">
        <v>367</v>
      </c>
      <c r="I2016" t="n">
        <v>156</v>
      </c>
      <c r="J2016" t="n">
        <v>5.55</v>
      </c>
      <c r="K2016" t="n">
        <v>181</v>
      </c>
      <c r="L2016" t="n">
        <v>174</v>
      </c>
      <c r="M2016" s="175" t="n">
        <v>0.66</v>
      </c>
      <c r="N2016" t="inlineStr">
        <is>
          <t>商用展示架及電動床機構件研發商</t>
        </is>
      </c>
    </row>
    <row r="2017">
      <c r="A2017" t="n">
        <v>6958</v>
      </c>
      <c r="B2017" t="inlineStr">
        <is>
          <t>日盛台駿</t>
        </is>
      </c>
      <c r="C2017" t="n">
        <v>17</v>
      </c>
      <c r="D2017" t="n">
        <v>17.45</v>
      </c>
      <c r="E2017" s="504" t="n">
        <v>0.05</v>
      </c>
      <c r="F2017" s="505" t="n">
        <v>0.29</v>
      </c>
      <c r="G2017" t="inlineStr">
        <is>
          <t>100.0萬</t>
        </is>
      </c>
      <c r="H2017" t="n">
        <v>58</v>
      </c>
      <c r="I2017" t="n">
        <v>77</v>
      </c>
      <c r="J2017" t="n">
        <v>40.13</v>
      </c>
      <c r="K2017" t="n">
        <v>17.5</v>
      </c>
      <c r="L2017" t="n">
        <v>17</v>
      </c>
      <c r="M2017" s="175" t="n">
        <v>0.01</v>
      </c>
      <c r="N2017" t="inlineStr">
        <is>
          <t>台灣第四大租賃業公司</t>
        </is>
      </c>
    </row>
    <row r="2018">
      <c r="A2018" t="n">
        <v>6961</v>
      </c>
      <c r="B2018" t="inlineStr">
        <is>
          <t>旅天下</t>
        </is>
      </c>
      <c r="C2018" t="n">
        <v>60.1</v>
      </c>
      <c r="D2018" t="n">
        <v>60.2</v>
      </c>
      <c r="E2018" s="504" t="n">
        <v>0</v>
      </c>
      <c r="F2018" s="505" t="n">
        <v>0</v>
      </c>
      <c r="G2018" t="inlineStr">
        <is>
          <t>222萬</t>
        </is>
      </c>
      <c r="H2018" t="n">
        <v>37</v>
      </c>
      <c r="I2018" t="n">
        <v>96</v>
      </c>
      <c r="J2018" t="n">
        <v>2.68</v>
      </c>
      <c r="K2018" t="n">
        <v>60.5</v>
      </c>
      <c r="L2018" t="n">
        <v>60</v>
      </c>
      <c r="M2018" s="175" t="n">
        <v>0.14</v>
      </c>
      <c r="N2018" t="inlineStr">
        <is>
          <t>雄獅集團旗下之旅遊服務提供商</t>
        </is>
      </c>
    </row>
    <row r="2019">
      <c r="A2019" t="n">
        <v>6962</v>
      </c>
      <c r="B2019" t="inlineStr">
        <is>
          <t>奕力-KY</t>
        </is>
      </c>
      <c r="C2019" t="n">
        <v>38.2</v>
      </c>
      <c r="D2019" t="n">
        <v>38.15</v>
      </c>
      <c r="E2019" s="504" t="n">
        <v>0.05</v>
      </c>
      <c r="F2019" s="505" t="n">
        <v>0.13</v>
      </c>
      <c r="G2019" t="inlineStr">
        <is>
          <t>1.55億</t>
        </is>
      </c>
      <c r="H2019" t="n">
        <v>4099</v>
      </c>
      <c r="I2019" t="n">
        <v>5107</v>
      </c>
      <c r="J2019" t="n">
        <v>49.24</v>
      </c>
      <c r="K2019" t="n">
        <v>38.25</v>
      </c>
      <c r="L2019" t="n">
        <v>37.25</v>
      </c>
      <c r="M2019" s="175" t="n">
        <v>0.83</v>
      </c>
      <c r="N2019" t="inlineStr">
        <is>
          <t>聯發科旗下顯示器驅動IC設計公司</t>
        </is>
      </c>
    </row>
    <row r="2020">
      <c r="A2020" t="n">
        <v>6965</v>
      </c>
      <c r="B2020" t="inlineStr">
        <is>
          <t>中傑-KY</t>
        </is>
      </c>
      <c r="C2020" t="n">
        <v>79</v>
      </c>
      <c r="D2020" t="n">
        <v>81</v>
      </c>
      <c r="E2020" s="504" t="n">
        <v>1.9</v>
      </c>
      <c r="F2020" s="505" t="n">
        <v>2.4</v>
      </c>
      <c r="G2020" t="inlineStr">
        <is>
          <t>1200萬</t>
        </is>
      </c>
      <c r="H2020" t="n">
        <v>149</v>
      </c>
      <c r="I2020" t="n">
        <v>81</v>
      </c>
      <c r="J2020" t="n">
        <v>15.63</v>
      </c>
      <c r="K2020" t="n">
        <v>81.5</v>
      </c>
      <c r="L2020" t="n">
        <v>79</v>
      </c>
      <c r="M2020" s="175" t="n">
        <v>0.1</v>
      </c>
      <c r="N2020" t="inlineStr">
        <is>
          <t>國際品牌代工製鞋廠</t>
        </is>
      </c>
    </row>
    <row r="2021">
      <c r="A2021" t="n">
        <v>6967</v>
      </c>
      <c r="B2021" t="inlineStr">
        <is>
          <t>汎瑋材料</t>
        </is>
      </c>
      <c r="C2021" t="n">
        <v>72</v>
      </c>
      <c r="D2021" t="n">
        <v>70</v>
      </c>
      <c r="E2021" s="504" t="n">
        <v>-0.9</v>
      </c>
      <c r="F2021" s="505" t="n">
        <v>-1.27</v>
      </c>
      <c r="G2021" t="inlineStr">
        <is>
          <t>549萬</t>
        </is>
      </c>
      <c r="H2021" t="n">
        <v>78</v>
      </c>
      <c r="I2021" t="n">
        <v>102</v>
      </c>
      <c r="J2021" t="n">
        <v>2.49</v>
      </c>
      <c r="K2021" t="n">
        <v>72</v>
      </c>
      <c r="L2021" t="n">
        <v>69.90000000000001</v>
      </c>
      <c r="M2021" s="175" t="n">
        <v>0.31</v>
      </c>
      <c r="N2021" t="inlineStr">
        <is>
          <t>電子功能性材料製造商兼經銷商</t>
        </is>
      </c>
    </row>
    <row r="2022">
      <c r="A2022" t="n">
        <v>6968</v>
      </c>
      <c r="B2022" t="inlineStr">
        <is>
          <t>萬達寵物</t>
        </is>
      </c>
      <c r="C2022" t="n">
        <v>42.8</v>
      </c>
      <c r="D2022" t="n">
        <v>42.6</v>
      </c>
      <c r="E2022" s="504" t="n">
        <v>-0.4</v>
      </c>
      <c r="F2022" s="505" t="n">
        <v>-0.93</v>
      </c>
      <c r="G2022" t="inlineStr">
        <is>
          <t>439萬</t>
        </is>
      </c>
      <c r="H2022" t="n">
        <v>103</v>
      </c>
      <c r="I2022" t="n">
        <v>129</v>
      </c>
      <c r="J2022" t="n">
        <v>4.94</v>
      </c>
      <c r="K2022" t="n">
        <v>43</v>
      </c>
      <c r="L2022" t="n">
        <v>42.45</v>
      </c>
      <c r="M2022" s="175" t="n">
        <v>0.21</v>
      </c>
      <c r="N2022" t="inlineStr">
        <is>
          <t>寵物食用品及寵物美容服務供應商</t>
        </is>
      </c>
    </row>
    <row r="2023">
      <c r="A2023" t="n">
        <v>6971</v>
      </c>
      <c r="B2023" t="inlineStr">
        <is>
          <t>惠民實業</t>
        </is>
      </c>
      <c r="C2023" t="n">
        <v>27.1</v>
      </c>
      <c r="D2023" t="n">
        <v>27.1</v>
      </c>
      <c r="E2023" s="504" t="n">
        <v>0.05</v>
      </c>
      <c r="F2023" s="505" t="n">
        <v>0.18</v>
      </c>
      <c r="G2023" t="inlineStr">
        <is>
          <t>86.5萬</t>
        </is>
      </c>
      <c r="H2023" t="n">
        <v>32</v>
      </c>
      <c r="I2023" t="n">
        <v>53</v>
      </c>
      <c r="J2023" t="n">
        <v>3.87</v>
      </c>
      <c r="K2023" t="n">
        <v>27.4</v>
      </c>
      <c r="L2023" t="n">
        <v>26.95</v>
      </c>
      <c r="M2023" s="175" t="n">
        <v>0.08</v>
      </c>
      <c r="N2023" t="inlineStr">
        <is>
          <t>從事污廢水處理操作維護、工程承攬之業者</t>
        </is>
      </c>
    </row>
    <row r="2024">
      <c r="A2024" t="n">
        <v>6982</v>
      </c>
      <c r="B2024" t="inlineStr">
        <is>
          <t>大井泵浦</t>
        </is>
      </c>
      <c r="C2024" t="n">
        <v>57.4</v>
      </c>
      <c r="D2024" t="n">
        <v>56</v>
      </c>
      <c r="E2024" s="504" t="n">
        <v>0.9</v>
      </c>
      <c r="F2024" s="505" t="n">
        <v>1.63</v>
      </c>
      <c r="G2024" t="inlineStr">
        <is>
          <t>507萬</t>
        </is>
      </c>
      <c r="H2024" t="n">
        <v>91</v>
      </c>
      <c r="I2024" t="n">
        <v>100</v>
      </c>
      <c r="J2024" t="n">
        <v>4.07</v>
      </c>
      <c r="K2024" t="n">
        <v>57.4</v>
      </c>
      <c r="L2024" t="n">
        <v>55.1</v>
      </c>
      <c r="M2024" s="175" t="n">
        <v>0.22</v>
      </c>
      <c r="N2024" t="inlineStr">
        <is>
          <t>台灣老牌的水泵產品銷售商</t>
        </is>
      </c>
    </row>
    <row r="2025">
      <c r="A2025" t="n">
        <v>6983</v>
      </c>
      <c r="B2025" t="inlineStr">
        <is>
          <t>華洋精機</t>
        </is>
      </c>
      <c r="C2025" t="n">
        <v>370.5</v>
      </c>
      <c r="D2025" t="n">
        <v>355</v>
      </c>
      <c r="E2025" s="504" t="n">
        <v>-15.5</v>
      </c>
      <c r="F2025" s="505" t="n">
        <v>-4.18</v>
      </c>
      <c r="G2025" t="inlineStr">
        <is>
          <t>8577萬</t>
        </is>
      </c>
      <c r="H2025" t="n">
        <v>241</v>
      </c>
      <c r="I2025" t="n">
        <v>412</v>
      </c>
      <c r="J2025" t="n">
        <v>1.8</v>
      </c>
      <c r="K2025" t="n">
        <v>370.5</v>
      </c>
      <c r="L2025" t="n">
        <v>345.5</v>
      </c>
      <c r="M2025" s="175" t="n">
        <v>1.34</v>
      </c>
      <c r="N2025" t="inlineStr">
        <is>
          <t>EUV光罩AOI微粒設備供應商</t>
        </is>
      </c>
    </row>
    <row r="2026">
      <c r="A2026" t="n">
        <v>6994</v>
      </c>
      <c r="B2026" t="inlineStr">
        <is>
          <t>富威電力</t>
        </is>
      </c>
      <c r="C2026" t="n">
        <v>65.5</v>
      </c>
      <c r="D2026" t="n">
        <v>62.8</v>
      </c>
      <c r="E2026" s="504" t="n">
        <v>-3.2</v>
      </c>
      <c r="F2026" s="505" t="n">
        <v>-4.85</v>
      </c>
      <c r="G2026" t="inlineStr">
        <is>
          <t>3973萬</t>
        </is>
      </c>
      <c r="H2026" t="n">
        <v>626</v>
      </c>
      <c r="I2026" t="n">
        <v>961</v>
      </c>
      <c r="J2026" t="n">
        <v>7.42</v>
      </c>
      <c r="K2026" t="n">
        <v>65.5</v>
      </c>
      <c r="L2026" t="n">
        <v>62.4</v>
      </c>
      <c r="M2026" s="175" t="n">
        <v>0.84</v>
      </c>
      <c r="N2026" t="inlineStr">
        <is>
          <t>森崴能源旗下綠電交易平台</t>
        </is>
      </c>
    </row>
    <row r="2027">
      <c r="A2027" t="n">
        <v>6996</v>
      </c>
      <c r="B2027" t="inlineStr">
        <is>
          <t>力領科技</t>
        </is>
      </c>
      <c r="C2027" t="n">
        <v>188.5</v>
      </c>
      <c r="D2027" t="n">
        <v>191.5</v>
      </c>
      <c r="E2027" s="504" t="n">
        <v>2</v>
      </c>
      <c r="F2027" s="505" t="n">
        <v>1.06</v>
      </c>
      <c r="G2027" t="inlineStr">
        <is>
          <t>2226萬</t>
        </is>
      </c>
      <c r="H2027" t="n">
        <v>118</v>
      </c>
      <c r="I2027" t="n">
        <v>203</v>
      </c>
      <c r="J2027" t="n">
        <v>4.2</v>
      </c>
      <c r="K2027" t="n">
        <v>191.5</v>
      </c>
      <c r="L2027" t="n">
        <v>187</v>
      </c>
      <c r="M2027" s="175" t="n">
        <v>0.28</v>
      </c>
      <c r="N2027" t="inlineStr">
        <is>
          <t>矽創旗下LCD驅動IC設計公司</t>
        </is>
      </c>
    </row>
    <row r="2028">
      <c r="A2028" t="n">
        <v>6997</v>
      </c>
      <c r="B2028" t="inlineStr">
        <is>
          <t>博弘</t>
        </is>
      </c>
      <c r="C2028" t="n">
        <v>77.5</v>
      </c>
      <c r="D2028" t="n">
        <v>72</v>
      </c>
      <c r="E2028" s="504" t="n">
        <v>-5.5</v>
      </c>
      <c r="F2028" s="505" t="n">
        <v>-7.1</v>
      </c>
      <c r="G2028" t="inlineStr">
        <is>
          <t>65.5萬</t>
        </is>
      </c>
      <c r="H2028" t="n">
        <v>9</v>
      </c>
      <c r="I2028" t="n">
        <v>13</v>
      </c>
      <c r="J2028" t="n">
        <v>2.21</v>
      </c>
      <c r="K2028" t="n">
        <v>77.5</v>
      </c>
      <c r="L2028" t="n">
        <v>70.5</v>
      </c>
      <c r="M2028" s="175" t="n">
        <v>0.04</v>
      </c>
      <c r="N2028" t="inlineStr">
        <is>
          <t>隸屬遠東集團，遠傳旗下之一站式雲端服務供應商</t>
        </is>
      </c>
    </row>
    <row r="2029">
      <c r="A2029" t="n">
        <v>7402</v>
      </c>
      <c r="B2029" t="inlineStr">
        <is>
          <t>邑錡</t>
        </is>
      </c>
      <c r="C2029" t="n">
        <v>104.5</v>
      </c>
      <c r="D2029" t="n">
        <v>101</v>
      </c>
      <c r="E2029" s="504" t="n">
        <v>-3</v>
      </c>
      <c r="F2029" s="505" t="n">
        <v>-2.88</v>
      </c>
      <c r="G2029" t="inlineStr">
        <is>
          <t>3813萬</t>
        </is>
      </c>
      <c r="H2029" t="n">
        <v>376</v>
      </c>
      <c r="I2029" t="n">
        <v>467</v>
      </c>
      <c r="J2029" t="n">
        <v>3.53</v>
      </c>
      <c r="K2029" t="n">
        <v>105.5</v>
      </c>
      <c r="L2029" t="n">
        <v>99.59999999999999</v>
      </c>
      <c r="M2029" s="175" t="n">
        <v>1.07</v>
      </c>
      <c r="N2029" t="inlineStr">
        <is>
          <t>以「Brinno」為品牌之縮時攝影機供應商</t>
        </is>
      </c>
    </row>
    <row r="2030">
      <c r="A2030" t="n">
        <v>7547</v>
      </c>
      <c r="B2030" t="inlineStr">
        <is>
          <t>碩網</t>
        </is>
      </c>
      <c r="C2030" t="n">
        <v>64</v>
      </c>
      <c r="D2030" t="n">
        <v>63.1</v>
      </c>
      <c r="E2030" s="504" t="n">
        <v>-0.3</v>
      </c>
      <c r="F2030" s="505" t="n">
        <v>-0.47</v>
      </c>
      <c r="G2030" t="inlineStr">
        <is>
          <t>775萬</t>
        </is>
      </c>
      <c r="H2030" t="n">
        <v>122</v>
      </c>
      <c r="I2030" t="n">
        <v>175</v>
      </c>
      <c r="J2030" t="n">
        <v>3.37</v>
      </c>
      <c r="K2030" t="n">
        <v>64.5</v>
      </c>
      <c r="L2030" t="n">
        <v>62.5</v>
      </c>
      <c r="M2030" s="175" t="n">
        <v>0.36</v>
      </c>
      <c r="N2030" t="inlineStr">
        <is>
          <t>金融業聊天機器人平台研發廠</t>
        </is>
      </c>
    </row>
    <row r="2031">
      <c r="A2031" t="n">
        <v>7556</v>
      </c>
      <c r="B2031" t="inlineStr">
        <is>
          <t>意德士</t>
        </is>
      </c>
      <c r="C2031" t="n">
        <v>287</v>
      </c>
      <c r="D2031" t="n">
        <v>272</v>
      </c>
      <c r="E2031" s="504" t="n">
        <v>-6.5</v>
      </c>
      <c r="F2031" s="505" t="n">
        <v>-2.33</v>
      </c>
      <c r="G2031" t="inlineStr">
        <is>
          <t>2753萬</t>
        </is>
      </c>
      <c r="H2031" t="n">
        <v>101</v>
      </c>
      <c r="I2031" t="n">
        <v>159</v>
      </c>
      <c r="J2031" t="n">
        <v>2.77</v>
      </c>
      <c r="K2031" t="n">
        <v>287</v>
      </c>
      <c r="L2031" t="n">
        <v>268</v>
      </c>
      <c r="M2031" s="175" t="n">
        <v>0.37</v>
      </c>
      <c r="N2031" t="inlineStr">
        <is>
          <t>半導體設備耗材供應商</t>
        </is>
      </c>
    </row>
    <row r="2032">
      <c r="A2032" t="n">
        <v>7584</v>
      </c>
      <c r="B2032" t="inlineStr">
        <is>
          <t>樂意</t>
        </is>
      </c>
      <c r="C2032" t="n">
        <v>24.25</v>
      </c>
      <c r="D2032" t="n">
        <v>23.6</v>
      </c>
      <c r="E2032" s="504" t="n">
        <v>0</v>
      </c>
      <c r="F2032" s="505" t="n">
        <v>0</v>
      </c>
      <c r="G2032" t="inlineStr">
        <is>
          <t>35.4萬</t>
        </is>
      </c>
      <c r="H2032" t="n">
        <v>15</v>
      </c>
      <c r="I2032" t="n">
        <v>35</v>
      </c>
      <c r="J2032" t="n">
        <v>1.65</v>
      </c>
      <c r="K2032" t="n">
        <v>24.25</v>
      </c>
      <c r="L2032" t="n">
        <v>23.25</v>
      </c>
      <c r="M2032" s="175" t="n">
        <v>0.09</v>
      </c>
      <c r="N2032" t="inlineStr">
        <is>
          <t>台灣知名遊戲代理營運商</t>
        </is>
      </c>
    </row>
    <row r="2033">
      <c r="A2033" t="n">
        <v>7642</v>
      </c>
      <c r="B2033" t="inlineStr">
        <is>
          <t>昶瑞機電</t>
        </is>
      </c>
      <c r="C2033" t="n">
        <v>66.7</v>
      </c>
      <c r="D2033" t="n">
        <v>65.90000000000001</v>
      </c>
      <c r="E2033" s="504" t="n">
        <v>-0.9</v>
      </c>
      <c r="F2033" s="505" t="n">
        <v>-1.35</v>
      </c>
      <c r="G2033" t="inlineStr">
        <is>
          <t>493萬</t>
        </is>
      </c>
      <c r="H2033" t="n">
        <v>75</v>
      </c>
      <c r="I2033" t="n">
        <v>26</v>
      </c>
      <c r="J2033" t="n">
        <v>3.02</v>
      </c>
      <c r="K2033" t="n">
        <v>66.7</v>
      </c>
      <c r="L2033" t="n">
        <v>65.40000000000001</v>
      </c>
      <c r="M2033" s="175" t="n">
        <v>0.25</v>
      </c>
      <c r="N2033" t="inlineStr">
        <is>
          <t>台灣直流馬達吊扇製造商</t>
        </is>
      </c>
    </row>
    <row r="2034">
      <c r="A2034" t="n">
        <v>7703</v>
      </c>
      <c r="B2034" t="inlineStr">
        <is>
          <t>銳澤</t>
        </is>
      </c>
      <c r="C2034" t="n">
        <v>208.5</v>
      </c>
      <c r="D2034" t="n">
        <v>205.5</v>
      </c>
      <c r="E2034" s="504" t="n">
        <v>-3</v>
      </c>
      <c r="F2034" s="505" t="n">
        <v>-1.44</v>
      </c>
      <c r="G2034" t="inlineStr">
        <is>
          <t>2744萬</t>
        </is>
      </c>
      <c r="H2034" t="n">
        <v>133</v>
      </c>
      <c r="I2034" t="n">
        <v>293</v>
      </c>
      <c r="J2034" t="n">
        <v>3.47</v>
      </c>
      <c r="K2034" t="n">
        <v>208.5</v>
      </c>
      <c r="L2034" t="n">
        <v>205</v>
      </c>
      <c r="M2034" s="175" t="n">
        <v>0.38</v>
      </c>
      <c r="N2034" t="inlineStr">
        <is>
          <t>朋億旗下，高科技產業廠務及製程設備廠商</t>
        </is>
      </c>
    </row>
    <row r="2035">
      <c r="A2035" t="n">
        <v>7704</v>
      </c>
      <c r="B2035" t="inlineStr">
        <is>
          <t>明遠精密</t>
        </is>
      </c>
      <c r="C2035" t="n">
        <v>62.4</v>
      </c>
      <c r="D2035" t="n">
        <v>61.5</v>
      </c>
      <c r="E2035" s="504" t="n">
        <v>-0.9</v>
      </c>
      <c r="F2035" s="505" t="n">
        <v>-1.44</v>
      </c>
      <c r="G2035" t="inlineStr">
        <is>
          <t>714萬</t>
        </is>
      </c>
      <c r="H2035" t="n">
        <v>117</v>
      </c>
      <c r="I2035" t="n">
        <v>259</v>
      </c>
      <c r="J2035" t="n">
        <v>3.38</v>
      </c>
      <c r="K2035" t="n">
        <v>62.4</v>
      </c>
      <c r="L2035" t="n">
        <v>60.3</v>
      </c>
      <c r="M2035" s="175" t="n">
        <v>0.35</v>
      </c>
      <c r="N2035" t="inlineStr">
        <is>
          <t>日揚旗下，臭氧產生器系統維修商</t>
        </is>
      </c>
    </row>
    <row r="2036">
      <c r="A2036" t="n">
        <v>7705</v>
      </c>
      <c r="B2036" t="inlineStr">
        <is>
          <t>三商餐飲</t>
        </is>
      </c>
      <c r="C2036" t="n">
        <v>31.4</v>
      </c>
      <c r="D2036" t="n">
        <v>31.25</v>
      </c>
      <c r="E2036" s="504" t="n">
        <v>-0.1</v>
      </c>
      <c r="F2036" s="505" t="n">
        <v>-0.32</v>
      </c>
      <c r="G2036" t="inlineStr">
        <is>
          <t>110萬</t>
        </is>
      </c>
      <c r="H2036" t="n">
        <v>35</v>
      </c>
      <c r="I2036" t="n">
        <v>149</v>
      </c>
      <c r="J2036" t="n">
        <v>6.61</v>
      </c>
      <c r="K2036" t="n">
        <v>31.45</v>
      </c>
      <c r="L2036" t="n">
        <v>31.2</v>
      </c>
      <c r="M2036" s="175" t="n">
        <v>0.05</v>
      </c>
      <c r="N2036" t="inlineStr">
        <is>
          <t>三商旗下，經營多品牌連鎖餐飲服務</t>
        </is>
      </c>
    </row>
    <row r="2037">
      <c r="A2037" t="n">
        <v>7708</v>
      </c>
      <c r="B2037" t="inlineStr">
        <is>
          <t>全家餐飲</t>
        </is>
      </c>
      <c r="C2037" t="n">
        <v>91.8</v>
      </c>
      <c r="D2037" t="n">
        <v>92</v>
      </c>
      <c r="E2037" s="504" t="n">
        <v>0.1</v>
      </c>
      <c r="F2037" s="505" t="n">
        <v>0.11</v>
      </c>
      <c r="G2037" t="inlineStr">
        <is>
          <t>138萬</t>
        </is>
      </c>
      <c r="H2037" t="n">
        <v>15</v>
      </c>
      <c r="I2037" t="n">
        <v>13</v>
      </c>
      <c r="J2037" t="n">
        <v>2.55</v>
      </c>
      <c r="K2037" t="n">
        <v>92</v>
      </c>
      <c r="L2037" t="n">
        <v>91.3</v>
      </c>
      <c r="M2037" s="175" t="n">
        <v>0.06</v>
      </c>
      <c r="N2037" t="inlineStr">
        <is>
          <t>全家旗下，從事連鎖餐飲服務</t>
        </is>
      </c>
    </row>
    <row r="2038">
      <c r="A2038" t="n">
        <v>7709</v>
      </c>
      <c r="B2038" t="inlineStr">
        <is>
          <t>榮田</t>
        </is>
      </c>
      <c r="C2038" t="n">
        <v>133.5</v>
      </c>
      <c r="D2038" t="n">
        <v>133.5</v>
      </c>
      <c r="E2038" s="504" t="n">
        <v>12</v>
      </c>
      <c r="F2038" s="505" t="n">
        <v>9.880000000000001</v>
      </c>
      <c r="G2038" t="inlineStr">
        <is>
          <t>2630萬</t>
        </is>
      </c>
      <c r="H2038" t="n">
        <v>198</v>
      </c>
      <c r="I2038" t="n">
        <v>375</v>
      </c>
      <c r="J2038" t="n">
        <v>3.91</v>
      </c>
      <c r="K2038" t="n">
        <v>133.5</v>
      </c>
      <c r="L2038" t="n">
        <v>133.5</v>
      </c>
      <c r="M2038" s="175" t="n">
        <v>0.51</v>
      </c>
      <c r="N2038" t="inlineStr">
        <is>
          <t>立式車床領導大廠</t>
        </is>
      </c>
    </row>
    <row r="2039">
      <c r="A2039" t="n">
        <v>7711</v>
      </c>
      <c r="B2039" t="inlineStr">
        <is>
          <t>永擎</t>
        </is>
      </c>
      <c r="C2039" t="n">
        <v>415.5</v>
      </c>
      <c r="D2039" t="n">
        <v>403.5</v>
      </c>
      <c r="E2039" s="504" t="n">
        <v>-9.5</v>
      </c>
      <c r="F2039" s="505" t="n">
        <v>-2.3</v>
      </c>
      <c r="G2039" t="inlineStr">
        <is>
          <t>4.24億</t>
        </is>
      </c>
      <c r="H2039" t="n">
        <v>1055</v>
      </c>
      <c r="I2039" t="n">
        <v>1033</v>
      </c>
      <c r="J2039" t="n">
        <v>7.17</v>
      </c>
      <c r="K2039" t="n">
        <v>418</v>
      </c>
      <c r="L2039" t="n">
        <v>390</v>
      </c>
      <c r="M2039" s="175" t="n">
        <v>1.47</v>
      </c>
      <c r="N2039" t="inlineStr">
        <is>
          <t>華擎轉投資伺服器主機板及伺服器整機系統公司</t>
        </is>
      </c>
    </row>
    <row r="2040">
      <c r="A2040" t="n">
        <v>7712</v>
      </c>
      <c r="B2040" t="inlineStr">
        <is>
          <t>博盛半導體</t>
        </is>
      </c>
      <c r="C2040" t="n">
        <v>162</v>
      </c>
      <c r="D2040" t="n">
        <v>158</v>
      </c>
      <c r="E2040" s="504" t="n">
        <v>-3.5</v>
      </c>
      <c r="F2040" s="505" t="n">
        <v>-2.17</v>
      </c>
      <c r="G2040" t="inlineStr">
        <is>
          <t>1.02億</t>
        </is>
      </c>
      <c r="H2040" t="n">
        <v>648</v>
      </c>
      <c r="I2040" t="n">
        <v>1793</v>
      </c>
      <c r="J2040" t="n">
        <v>3.26</v>
      </c>
      <c r="K2040" t="n">
        <v>166</v>
      </c>
      <c r="L2040" t="n">
        <v>155</v>
      </c>
      <c r="M2040" s="175" t="n">
        <v>1.99</v>
      </c>
      <c r="N2040" t="inlineStr">
        <is>
          <t>專業功率半導體元件及功率積體電路設計公司</t>
        </is>
      </c>
    </row>
    <row r="2041">
      <c r="A2041" t="n">
        <v>7713</v>
      </c>
      <c r="B2041" t="inlineStr">
        <is>
          <t>威力德生醫</t>
        </is>
      </c>
      <c r="C2041" t="n">
        <v>73.90000000000001</v>
      </c>
      <c r="D2041" t="n">
        <v>72.90000000000001</v>
      </c>
      <c r="E2041" s="504" t="n">
        <v>-1</v>
      </c>
      <c r="F2041" s="505" t="n">
        <v>-1.35</v>
      </c>
      <c r="G2041" t="inlineStr">
        <is>
          <t>644萬</t>
        </is>
      </c>
      <c r="H2041" t="n">
        <v>89</v>
      </c>
      <c r="I2041" t="n">
        <v>63</v>
      </c>
      <c r="J2041" t="n">
        <v>4.55</v>
      </c>
      <c r="K2041" t="n">
        <v>73.90000000000001</v>
      </c>
      <c r="L2041" t="n">
        <v>70.59999999999999</v>
      </c>
      <c r="M2041" s="175" t="n">
        <v>0.2</v>
      </c>
      <c r="N2041" t="inlineStr">
        <is>
          <t>主要代理經銷羅氏體外診斷之相關設備醫材廠</t>
        </is>
      </c>
    </row>
    <row r="2042">
      <c r="A2042" t="n">
        <v>7714</v>
      </c>
      <c r="B2042" t="inlineStr">
        <is>
          <t>創泓科技</t>
        </is>
      </c>
      <c r="C2042" t="n">
        <v>125</v>
      </c>
      <c r="D2042" t="n">
        <v>125</v>
      </c>
      <c r="E2042" s="504" t="n">
        <v>-0.5</v>
      </c>
      <c r="F2042" s="505" t="n">
        <v>-0.4</v>
      </c>
      <c r="G2042" t="inlineStr">
        <is>
          <t>1381萬</t>
        </is>
      </c>
      <c r="H2042" t="n">
        <v>112</v>
      </c>
      <c r="I2042" t="n">
        <v>116</v>
      </c>
      <c r="J2042" t="n">
        <v>2.1</v>
      </c>
      <c r="K2042" t="n">
        <v>125</v>
      </c>
      <c r="L2042" t="n">
        <v>121</v>
      </c>
      <c r="M2042" s="175" t="n">
        <v>0.53</v>
      </c>
      <c r="N2042" t="inlineStr">
        <is>
          <t>網路資安軟硬體代理商</t>
        </is>
      </c>
    </row>
    <row r="2043">
      <c r="A2043" t="n">
        <v>7715</v>
      </c>
      <c r="B2043" t="inlineStr">
        <is>
          <t>裕山</t>
        </is>
      </c>
      <c r="C2043" t="n">
        <v>28.2</v>
      </c>
      <c r="D2043" t="n">
        <v>28</v>
      </c>
      <c r="E2043" s="504" t="n">
        <v>0.05</v>
      </c>
      <c r="F2043" s="505" t="n">
        <v>0.18</v>
      </c>
      <c r="G2043" t="inlineStr">
        <is>
          <t>181萬</t>
        </is>
      </c>
      <c r="H2043" t="n">
        <v>65</v>
      </c>
      <c r="I2043" t="n">
        <v>71</v>
      </c>
      <c r="J2043" t="n">
        <v>3.27</v>
      </c>
      <c r="K2043" t="n">
        <v>28.2</v>
      </c>
      <c r="L2043" t="n">
        <v>27.8</v>
      </c>
      <c r="M2043" s="175" t="n">
        <v>0.2</v>
      </c>
      <c r="N2043" t="inlineStr">
        <is>
          <t>基士德轉投資之土壤及地下水污染整治工程服務商</t>
        </is>
      </c>
    </row>
    <row r="2044">
      <c r="A2044" t="n">
        <v>7716</v>
      </c>
      <c r="B2044" t="inlineStr">
        <is>
          <t>昱臺國際</t>
        </is>
      </c>
      <c r="C2044" t="inlineStr">
        <is>
          <t>--</t>
        </is>
      </c>
      <c r="D2044" t="inlineStr">
        <is>
          <t>--</t>
        </is>
      </c>
      <c r="E2044" s="504" t="inlineStr">
        <is>
          <t>--</t>
        </is>
      </c>
      <c r="F2044" s="505" t="inlineStr">
        <is>
          <t>--</t>
        </is>
      </c>
      <c r="G2044" t="inlineStr">
        <is>
          <t>--</t>
        </is>
      </c>
      <c r="H2044" t="n">
        <v>0</v>
      </c>
      <c r="I2044" t="n">
        <v>3</v>
      </c>
      <c r="J2044" t="n">
        <v>2.25</v>
      </c>
      <c r="K2044" t="inlineStr">
        <is>
          <t>--</t>
        </is>
      </c>
      <c r="L2044" t="inlineStr">
        <is>
          <t>--</t>
        </is>
      </c>
      <c r="M2044" s="175" t="n">
        <v>0</v>
      </c>
      <c r="N2044" t="inlineStr">
        <is>
          <t>主要提供貨物之海運承攬服務</t>
        </is>
      </c>
    </row>
    <row r="2045">
      <c r="A2045" t="n">
        <v>7717</v>
      </c>
      <c r="B2045" t="inlineStr">
        <is>
          <t>萊德光電-KY</t>
        </is>
      </c>
      <c r="C2045" t="n">
        <v>675</v>
      </c>
      <c r="D2045" t="n">
        <v>646</v>
      </c>
      <c r="E2045" s="504" t="n">
        <v>-23</v>
      </c>
      <c r="F2045" s="505" t="n">
        <v>-3.44</v>
      </c>
      <c r="G2045" t="inlineStr">
        <is>
          <t>2.07億</t>
        </is>
      </c>
      <c r="H2045" t="n">
        <v>315</v>
      </c>
      <c r="I2045" t="n">
        <v>490</v>
      </c>
      <c r="J2045" t="n">
        <v>2.48</v>
      </c>
      <c r="K2045" t="n">
        <v>688</v>
      </c>
      <c r="L2045" t="n">
        <v>636</v>
      </c>
      <c r="M2045" s="175" t="n">
        <v>1.27</v>
      </c>
      <c r="N2045" t="inlineStr">
        <is>
          <t>聚焦在利基型產品的光纖被動元件廠商</t>
        </is>
      </c>
    </row>
    <row r="2046">
      <c r="A2046" t="n">
        <v>7718</v>
      </c>
      <c r="B2046" t="inlineStr">
        <is>
          <t>友鋮</t>
        </is>
      </c>
      <c r="C2046" t="n">
        <v>51</v>
      </c>
      <c r="D2046" t="n">
        <v>49.6</v>
      </c>
      <c r="E2046" s="504" t="n">
        <v>-0.1</v>
      </c>
      <c r="F2046" s="505" t="n">
        <v>-0.2</v>
      </c>
      <c r="G2046" t="inlineStr">
        <is>
          <t>90.5萬</t>
        </is>
      </c>
      <c r="H2046" t="n">
        <v>18</v>
      </c>
      <c r="I2046" t="n">
        <v>37</v>
      </c>
      <c r="J2046" t="n">
        <v>4.64</v>
      </c>
      <c r="K2046" t="n">
        <v>51</v>
      </c>
      <c r="L2046" t="n">
        <v>49.6</v>
      </c>
      <c r="M2046" s="175" t="n">
        <v>0.04</v>
      </c>
      <c r="N2046" t="inlineStr">
        <is>
          <t>台灣車用與工業用扣件供應商</t>
        </is>
      </c>
    </row>
    <row r="2047">
      <c r="A2047" t="n">
        <v>7721</v>
      </c>
      <c r="B2047" t="inlineStr">
        <is>
          <t>微程式</t>
        </is>
      </c>
      <c r="C2047" t="n">
        <v>79.5</v>
      </c>
      <c r="D2047" t="n">
        <v>75.7</v>
      </c>
      <c r="E2047" s="504" t="n">
        <v>-4.3</v>
      </c>
      <c r="F2047" s="505" t="n">
        <v>-5.38</v>
      </c>
      <c r="G2047" t="inlineStr">
        <is>
          <t>8090萬</t>
        </is>
      </c>
      <c r="H2047" t="n">
        <v>1057</v>
      </c>
      <c r="I2047" t="n">
        <v>815</v>
      </c>
      <c r="J2047" t="n">
        <v>5.54</v>
      </c>
      <c r="K2047" t="n">
        <v>80</v>
      </c>
      <c r="L2047" t="n">
        <v>74.3</v>
      </c>
      <c r="M2047" s="175" t="n">
        <v>2.1</v>
      </c>
      <c r="N2047" t="inlineStr">
        <is>
          <t>IOT科技服務及電子支付設備供應商</t>
        </is>
      </c>
    </row>
    <row r="2048">
      <c r="A2048" t="n">
        <v>7722</v>
      </c>
      <c r="B2048" t="inlineStr">
        <is>
          <t>LINEPAY</t>
        </is>
      </c>
      <c r="C2048" t="n">
        <v>280</v>
      </c>
      <c r="D2048" t="n">
        <v>270.5</v>
      </c>
      <c r="E2048" s="504" t="n">
        <v>-9.5</v>
      </c>
      <c r="F2048" s="505" t="n">
        <v>-3.39</v>
      </c>
      <c r="G2048" t="inlineStr">
        <is>
          <t>5142萬</t>
        </is>
      </c>
      <c r="H2048" t="n">
        <v>189</v>
      </c>
      <c r="I2048" t="n">
        <v>140</v>
      </c>
      <c r="J2048" t="n">
        <v>6.8</v>
      </c>
      <c r="K2048" t="n">
        <v>280</v>
      </c>
      <c r="L2048" t="n">
        <v>268</v>
      </c>
      <c r="M2048" s="175" t="n">
        <v>0.28</v>
      </c>
      <c r="N2048" t="inlineStr">
        <is>
          <t>台灣行動支付領導品牌</t>
        </is>
      </c>
    </row>
    <row r="2049">
      <c r="A2049" t="n">
        <v>7723</v>
      </c>
      <c r="B2049" t="inlineStr">
        <is>
          <t>築間</t>
        </is>
      </c>
      <c r="C2049" t="n">
        <v>22.65</v>
      </c>
      <c r="D2049" t="n">
        <v>22.9</v>
      </c>
      <c r="E2049" s="504" t="n">
        <v>0.25</v>
      </c>
      <c r="F2049" s="505" t="n">
        <v>1.1</v>
      </c>
      <c r="G2049" t="inlineStr">
        <is>
          <t>319萬</t>
        </is>
      </c>
      <c r="H2049" t="n">
        <v>139</v>
      </c>
      <c r="I2049" t="n">
        <v>157</v>
      </c>
      <c r="J2049" t="n">
        <v>4.96</v>
      </c>
      <c r="K2049" t="n">
        <v>23.3</v>
      </c>
      <c r="L2049" t="n">
        <v>22.5</v>
      </c>
      <c r="M2049" s="175" t="n">
        <v>0.28</v>
      </c>
      <c r="N2049" t="inlineStr">
        <is>
          <t>台灣知名火鍋與燒肉連鎖餐飲企業</t>
        </is>
      </c>
    </row>
    <row r="2050">
      <c r="A2050" t="n">
        <v>7728</v>
      </c>
      <c r="B2050" t="inlineStr">
        <is>
          <t>光焱科技</t>
        </is>
      </c>
      <c r="C2050" t="n">
        <v>744</v>
      </c>
      <c r="D2050" t="n">
        <v>715</v>
      </c>
      <c r="E2050" s="504" t="n">
        <v>-25</v>
      </c>
      <c r="F2050" s="505" t="n">
        <v>-3.38</v>
      </c>
      <c r="G2050" t="inlineStr">
        <is>
          <t>6440萬</t>
        </is>
      </c>
      <c r="H2050" t="n">
        <v>89</v>
      </c>
      <c r="I2050" t="n">
        <v>155</v>
      </c>
      <c r="J2050" t="n">
        <v>1.39</v>
      </c>
      <c r="K2050" t="n">
        <v>746</v>
      </c>
      <c r="L2050" t="n">
        <v>714</v>
      </c>
      <c r="M2050" s="175" t="n">
        <v>0.64</v>
      </c>
      <c r="N2050" t="inlineStr">
        <is>
          <t>光電子晶片(PIC)檢測大廠</t>
        </is>
      </c>
    </row>
    <row r="2051">
      <c r="A2051" t="n">
        <v>7732</v>
      </c>
      <c r="B2051" t="inlineStr">
        <is>
          <t>金興精密</t>
        </is>
      </c>
      <c r="C2051" t="n">
        <v>36.3</v>
      </c>
      <c r="D2051" t="n">
        <v>36.1</v>
      </c>
      <c r="E2051" s="504" t="n">
        <v>0.05</v>
      </c>
      <c r="F2051" s="505" t="n">
        <v>0.14</v>
      </c>
      <c r="G2051" t="inlineStr">
        <is>
          <t>101萬</t>
        </is>
      </c>
      <c r="H2051" t="n">
        <v>28</v>
      </c>
      <c r="I2051" t="n">
        <v>30</v>
      </c>
      <c r="J2051" t="n">
        <v>6.47</v>
      </c>
      <c r="K2051" t="n">
        <v>36.3</v>
      </c>
      <c r="L2051" t="n">
        <v>35.75</v>
      </c>
      <c r="M2051" s="175" t="n">
        <v>0.04</v>
      </c>
      <c r="N2051" t="inlineStr">
        <is>
          <t>台灣車用散熱風扇、馬達、鼓風機製造商</t>
        </is>
      </c>
    </row>
    <row r="2052">
      <c r="A2052" t="n">
        <v>7734</v>
      </c>
      <c r="B2052" t="inlineStr">
        <is>
          <t>印能科技</t>
        </is>
      </c>
      <c r="C2052" t="n">
        <v>3425</v>
      </c>
      <c r="D2052" t="n">
        <v>3230</v>
      </c>
      <c r="E2052" s="504" t="n">
        <v>-185</v>
      </c>
      <c r="F2052" s="505" t="n">
        <v>-5.42</v>
      </c>
      <c r="G2052" t="inlineStr">
        <is>
          <t>3.92億</t>
        </is>
      </c>
      <c r="H2052" t="n">
        <v>120</v>
      </c>
      <c r="I2052" t="n">
        <v>325</v>
      </c>
      <c r="J2052" t="n">
        <v>2.8</v>
      </c>
      <c r="K2052" t="n">
        <v>3425</v>
      </c>
      <c r="L2052" t="n">
        <v>3230</v>
      </c>
      <c r="M2052" s="175" t="n">
        <v>0.43</v>
      </c>
      <c r="N2052" t="inlineStr">
        <is>
          <t>半導體封裝製程氣泡解決方案商</t>
        </is>
      </c>
    </row>
    <row r="2053">
      <c r="A2053" t="n">
        <v>7736</v>
      </c>
      <c r="B2053" t="inlineStr">
        <is>
          <t>虎山</t>
        </is>
      </c>
      <c r="C2053" t="n">
        <v>74.3</v>
      </c>
      <c r="D2053" t="n">
        <v>74</v>
      </c>
      <c r="E2053" s="504" t="n">
        <v>-0.3</v>
      </c>
      <c r="F2053" s="505" t="n">
        <v>-0.4</v>
      </c>
      <c r="G2053" t="inlineStr">
        <is>
          <t>66.5萬</t>
        </is>
      </c>
      <c r="H2053" t="n">
        <v>9</v>
      </c>
      <c r="I2053" t="n">
        <v>60</v>
      </c>
      <c r="J2053" t="n">
        <v>7.6</v>
      </c>
      <c r="K2053" t="n">
        <v>74.3</v>
      </c>
      <c r="L2053" t="n">
        <v>73.2</v>
      </c>
      <c r="M2053" s="175" t="n">
        <v>0.01</v>
      </c>
      <c r="N2053" t="inlineStr">
        <is>
          <t>全球AM車門把手產銷龍頭</t>
        </is>
      </c>
    </row>
    <row r="2054">
      <c r="A2054" t="n">
        <v>7738</v>
      </c>
      <c r="B2054" t="inlineStr">
        <is>
          <t>東聯互動</t>
        </is>
      </c>
      <c r="C2054" t="n">
        <v>180</v>
      </c>
      <c r="D2054" t="n">
        <v>171</v>
      </c>
      <c r="E2054" s="504" t="n">
        <v>-3</v>
      </c>
      <c r="F2054" s="505" t="n">
        <v>-1.72</v>
      </c>
      <c r="G2054" t="inlineStr">
        <is>
          <t>1009萬</t>
        </is>
      </c>
      <c r="H2054" t="n">
        <v>59</v>
      </c>
      <c r="I2054" t="n">
        <v>60</v>
      </c>
      <c r="J2054" t="n">
        <v>2.74</v>
      </c>
      <c r="K2054" t="n">
        <v>180</v>
      </c>
      <c r="L2054" t="n">
        <v>169</v>
      </c>
      <c r="M2054" s="175" t="n">
        <v>0.22</v>
      </c>
      <c r="N2054" t="inlineStr">
        <is>
          <t>為外籍工作者提供小額跨境匯兌服務</t>
        </is>
      </c>
    </row>
    <row r="2055">
      <c r="A2055" t="n">
        <v>7743</v>
      </c>
      <c r="B2055" t="inlineStr">
        <is>
          <t>金利食安</t>
        </is>
      </c>
      <c r="C2055" t="n">
        <v>19</v>
      </c>
      <c r="D2055" t="n">
        <v>19</v>
      </c>
      <c r="E2055" s="504" t="n">
        <v>-0.05</v>
      </c>
      <c r="F2055" s="505" t="n">
        <v>-0.26</v>
      </c>
      <c r="G2055" t="inlineStr">
        <is>
          <t>1.90萬</t>
        </is>
      </c>
      <c r="H2055" t="n">
        <v>1</v>
      </c>
      <c r="I2055" t="n">
        <v>16</v>
      </c>
      <c r="J2055" t="n">
        <v>3.65</v>
      </c>
      <c r="K2055" t="n">
        <v>19</v>
      </c>
      <c r="L2055" t="n">
        <v>19</v>
      </c>
      <c r="M2055" s="175" t="n">
        <v>0</v>
      </c>
      <c r="N2055" t="inlineStr">
        <is>
          <t>冷壓蔬果汁供應商</t>
        </is>
      </c>
    </row>
    <row r="2056">
      <c r="A2056" t="n">
        <v>7744</v>
      </c>
      <c r="B2056" t="inlineStr">
        <is>
          <t>崴寶</t>
        </is>
      </c>
      <c r="C2056" t="n">
        <v>515</v>
      </c>
      <c r="D2056" t="n">
        <v>500</v>
      </c>
      <c r="E2056" s="504" t="n">
        <v>3</v>
      </c>
      <c r="F2056" s="505" t="n">
        <v>0.6</v>
      </c>
      <c r="G2056" t="inlineStr">
        <is>
          <t>2.25億</t>
        </is>
      </c>
      <c r="H2056" t="n">
        <v>437</v>
      </c>
      <c r="I2056" t="n">
        <v>261</v>
      </c>
      <c r="J2056" t="n">
        <v>3.2</v>
      </c>
      <c r="K2056" t="n">
        <v>540</v>
      </c>
      <c r="L2056" t="n">
        <v>490</v>
      </c>
      <c r="M2056" s="175" t="n">
        <v>1.37</v>
      </c>
      <c r="N2056" t="inlineStr">
        <is>
          <t>機構整合解決方案服務商</t>
        </is>
      </c>
    </row>
    <row r="2057">
      <c r="A2057" t="n">
        <v>7747</v>
      </c>
      <c r="B2057" t="inlineStr">
        <is>
          <t>昕奇雲端</t>
        </is>
      </c>
      <c r="C2057" t="n">
        <v>128</v>
      </c>
      <c r="D2057" t="n">
        <v>128.5</v>
      </c>
      <c r="E2057" s="504" t="n">
        <v>0</v>
      </c>
      <c r="F2057" s="505" t="n">
        <v>0</v>
      </c>
      <c r="G2057" t="inlineStr">
        <is>
          <t>89.8萬</t>
        </is>
      </c>
      <c r="H2057" t="n">
        <v>7</v>
      </c>
      <c r="I2057" t="n">
        <v>2</v>
      </c>
      <c r="J2057" t="n">
        <v>2.74</v>
      </c>
      <c r="K2057" t="n">
        <v>128.5</v>
      </c>
      <c r="L2057" t="n">
        <v>128</v>
      </c>
      <c r="M2057" s="175" t="n">
        <v>0.03</v>
      </c>
      <c r="N2057" t="inlineStr">
        <is>
          <t>上奇轉投資雲端服務及網通資安公司</t>
        </is>
      </c>
    </row>
    <row r="2058">
      <c r="A2058" t="n">
        <v>7749</v>
      </c>
      <c r="B2058" t="inlineStr">
        <is>
          <t>意騰-KY</t>
        </is>
      </c>
      <c r="C2058" t="n">
        <v>507</v>
      </c>
      <c r="D2058" t="n">
        <v>491</v>
      </c>
      <c r="E2058" s="504" t="n">
        <v>-8</v>
      </c>
      <c r="F2058" s="505" t="n">
        <v>-1.6</v>
      </c>
      <c r="G2058" t="inlineStr">
        <is>
          <t>2.12億</t>
        </is>
      </c>
      <c r="H2058" t="n">
        <v>432</v>
      </c>
      <c r="I2058" t="n">
        <v>720</v>
      </c>
      <c r="J2058" t="n">
        <v>4.65</v>
      </c>
      <c r="K2058" t="n">
        <v>509</v>
      </c>
      <c r="L2058" t="n">
        <v>485.5</v>
      </c>
      <c r="M2058" s="175" t="n">
        <v>0.93</v>
      </c>
      <c r="N2058" t="inlineStr">
        <is>
          <t>AI聲學處理及語音識別ASIC及AI智財授權公司</t>
        </is>
      </c>
    </row>
    <row r="2059">
      <c r="A2059" t="n">
        <v>7750</v>
      </c>
      <c r="B2059" t="inlineStr">
        <is>
          <t>新代</t>
        </is>
      </c>
      <c r="C2059" t="n">
        <v>2280</v>
      </c>
      <c r="D2059" t="n">
        <v>2200</v>
      </c>
      <c r="E2059" s="504" t="n">
        <v>-50</v>
      </c>
      <c r="F2059" s="505" t="n">
        <v>-2.22</v>
      </c>
      <c r="G2059" t="inlineStr">
        <is>
          <t>10.2億</t>
        </is>
      </c>
      <c r="H2059" t="n">
        <v>455</v>
      </c>
      <c r="I2059" t="n">
        <v>603</v>
      </c>
      <c r="J2059" t="n">
        <v>7.18</v>
      </c>
      <c r="K2059" t="n">
        <v>2305</v>
      </c>
      <c r="L2059" t="n">
        <v>2200</v>
      </c>
      <c r="M2059" s="175" t="n">
        <v>0.63</v>
      </c>
      <c r="N2059" t="inlineStr">
        <is>
          <t>生產精密設備控制器為主的製造商</t>
        </is>
      </c>
    </row>
    <row r="2060">
      <c r="A2060" t="n">
        <v>7751</v>
      </c>
      <c r="B2060" t="inlineStr">
        <is>
          <t>竑騰</t>
        </is>
      </c>
      <c r="C2060" t="n">
        <v>1820</v>
      </c>
      <c r="D2060" t="n">
        <v>1670</v>
      </c>
      <c r="E2060" s="504" t="n">
        <v>-160</v>
      </c>
      <c r="F2060" s="505" t="n">
        <v>-8.74</v>
      </c>
      <c r="G2060" t="inlineStr">
        <is>
          <t>9.15億</t>
        </is>
      </c>
      <c r="H2060" t="n">
        <v>540</v>
      </c>
      <c r="I2060" t="n">
        <v>337</v>
      </c>
      <c r="J2060" t="n">
        <v>2.69</v>
      </c>
      <c r="K2060" t="n">
        <v>1860</v>
      </c>
      <c r="L2060" t="n">
        <v>1650</v>
      </c>
      <c r="M2060" s="175" t="n">
        <v>2.01</v>
      </c>
      <c r="N2060" t="inlineStr">
        <is>
          <t>半導體封裝及檢測設備製造商</t>
        </is>
      </c>
    </row>
    <row r="2061">
      <c r="A2061" t="n">
        <v>7753</v>
      </c>
      <c r="B2061" t="inlineStr">
        <is>
          <t>星亞</t>
        </is>
      </c>
      <c r="C2061" t="n">
        <v>43.65</v>
      </c>
      <c r="D2061" t="n">
        <v>43.15</v>
      </c>
      <c r="E2061" s="504" t="n">
        <v>-0.4</v>
      </c>
      <c r="F2061" s="505" t="n">
        <v>-0.92</v>
      </c>
      <c r="G2061" t="inlineStr">
        <is>
          <t>151萬</t>
        </is>
      </c>
      <c r="H2061" t="n">
        <v>35</v>
      </c>
      <c r="I2061" t="n">
        <v>58</v>
      </c>
      <c r="J2061" t="n">
        <v>2.5</v>
      </c>
      <c r="K2061" t="n">
        <v>43.7</v>
      </c>
      <c r="L2061" t="n">
        <v>42.65</v>
      </c>
      <c r="M2061" s="175" t="n">
        <v>0.14</v>
      </c>
      <c r="N2061" t="inlineStr">
        <is>
          <t>台亞旗下數位顯示系統及視覺燈光系統製造商</t>
        </is>
      </c>
    </row>
    <row r="2062">
      <c r="A2062" t="n">
        <v>7757</v>
      </c>
      <c r="B2062" t="inlineStr">
        <is>
          <t>金色三麥</t>
        </is>
      </c>
      <c r="C2062" t="n">
        <v>113</v>
      </c>
      <c r="D2062" t="n">
        <v>110</v>
      </c>
      <c r="E2062" s="504" t="n">
        <v>0</v>
      </c>
      <c r="F2062" s="505" t="n">
        <v>0</v>
      </c>
      <c r="G2062" t="inlineStr">
        <is>
          <t>956萬</t>
        </is>
      </c>
      <c r="H2062" t="n">
        <v>87</v>
      </c>
      <c r="I2062" t="n">
        <v>42</v>
      </c>
      <c r="J2062" t="n">
        <v>2.41</v>
      </c>
      <c r="K2062" t="n">
        <v>113</v>
      </c>
      <c r="L2062" t="n">
        <v>107.5</v>
      </c>
      <c r="M2062" s="175" t="n">
        <v>0.36</v>
      </c>
      <c r="N2062" t="inlineStr">
        <is>
          <t>主要經營精釀啤酒釀造及餐廳</t>
        </is>
      </c>
    </row>
    <row r="2063">
      <c r="A2063" t="n">
        <v>7760</v>
      </c>
      <c r="B2063" t="inlineStr">
        <is>
          <t>享溫馨</t>
        </is>
      </c>
      <c r="C2063" t="n">
        <v>31.45</v>
      </c>
      <c r="D2063" t="n">
        <v>31.95</v>
      </c>
      <c r="E2063" s="504" t="n">
        <v>-0.35</v>
      </c>
      <c r="F2063" s="505" t="n">
        <v>-1.08</v>
      </c>
      <c r="G2063" t="inlineStr">
        <is>
          <t>416萬</t>
        </is>
      </c>
      <c r="H2063" t="n">
        <v>132</v>
      </c>
      <c r="I2063" t="n">
        <v>169</v>
      </c>
      <c r="J2063" t="n">
        <v>6.6</v>
      </c>
      <c r="K2063" t="n">
        <v>31.95</v>
      </c>
      <c r="L2063" t="n">
        <v>31.25</v>
      </c>
      <c r="M2063" s="175" t="n">
        <v>0.2</v>
      </c>
      <c r="N2063" t="inlineStr">
        <is>
          <t>主要從事庭園式KTV及餐飲業務</t>
        </is>
      </c>
    </row>
    <row r="2064">
      <c r="A2064" t="n">
        <v>7765</v>
      </c>
      <c r="B2064" t="inlineStr">
        <is>
          <t>中華資安</t>
        </is>
      </c>
      <c r="C2064" t="n">
        <v>266.5</v>
      </c>
      <c r="D2064" t="n">
        <v>261.5</v>
      </c>
      <c r="E2064" s="504" t="n">
        <v>-9.5</v>
      </c>
      <c r="F2064" s="505" t="n">
        <v>-3.51</v>
      </c>
      <c r="G2064" t="inlineStr">
        <is>
          <t>4003萬</t>
        </is>
      </c>
      <c r="H2064" t="n">
        <v>153</v>
      </c>
      <c r="I2064" t="n">
        <v>165</v>
      </c>
      <c r="J2064" t="n">
        <v>4.07</v>
      </c>
      <c r="K2064" t="n">
        <v>271.5</v>
      </c>
      <c r="L2064" t="n">
        <v>259.5</v>
      </c>
      <c r="M2064" s="175" t="n">
        <v>0.38</v>
      </c>
      <c r="N2064" t="inlineStr">
        <is>
          <t>中華電信轉投資，資安專業服務公司</t>
        </is>
      </c>
    </row>
    <row r="2065">
      <c r="A2065" t="n">
        <v>7767</v>
      </c>
      <c r="B2065" t="inlineStr">
        <is>
          <t>仁大資訊</t>
        </is>
      </c>
      <c r="C2065" t="n">
        <v>41.5</v>
      </c>
      <c r="D2065" t="n">
        <v>41.95</v>
      </c>
      <c r="E2065" s="504" t="n">
        <v>0.35</v>
      </c>
      <c r="F2065" s="505" t="n">
        <v>0.84</v>
      </c>
      <c r="G2065" t="inlineStr">
        <is>
          <t>87.4萬</t>
        </is>
      </c>
      <c r="H2065" t="n">
        <v>21</v>
      </c>
      <c r="I2065" t="n">
        <v>55</v>
      </c>
      <c r="J2065" t="n">
        <v>3.01</v>
      </c>
      <c r="K2065" t="n">
        <v>41.95</v>
      </c>
      <c r="L2065" t="n">
        <v>41.35</v>
      </c>
      <c r="M2065" s="175" t="n">
        <v>0.07000000000000001</v>
      </c>
      <c r="N2065" t="inlineStr">
        <is>
          <t>一站式全方位資訊服務系統整合廠商</t>
        </is>
      </c>
    </row>
    <row r="2066">
      <c r="A2066" t="n">
        <v>7768</v>
      </c>
      <c r="B2066" t="inlineStr">
        <is>
          <t>頌勝科技</t>
        </is>
      </c>
      <c r="C2066" t="n">
        <v>421</v>
      </c>
      <c r="D2066" t="n">
        <v>428</v>
      </c>
      <c r="E2066" s="504" t="n">
        <v>12</v>
      </c>
      <c r="F2066" s="505" t="n">
        <v>2.88</v>
      </c>
      <c r="G2066" t="inlineStr">
        <is>
          <t>4.12億</t>
        </is>
      </c>
      <c r="H2066" t="n">
        <v>966</v>
      </c>
      <c r="I2066" t="n">
        <v>435</v>
      </c>
      <c r="J2066" t="n">
        <v>7.01</v>
      </c>
      <c r="K2066" t="n">
        <v>440</v>
      </c>
      <c r="L2066" t="n">
        <v>418.5</v>
      </c>
      <c r="M2066" s="175" t="n">
        <v>1.38</v>
      </c>
      <c r="N2066" t="inlineStr">
        <is>
          <t>從事半導體CMP研磨墊材料、醫療保健鞋墊等生產</t>
        </is>
      </c>
    </row>
    <row r="2067">
      <c r="A2067" t="n">
        <v>7769</v>
      </c>
      <c r="B2067" t="inlineStr">
        <is>
          <t>鴻勁</t>
        </is>
      </c>
      <c r="C2067" t="n">
        <v>7120</v>
      </c>
      <c r="D2067" t="n">
        <v>7175</v>
      </c>
      <c r="E2067" s="504" t="n">
        <v>-340</v>
      </c>
      <c r="F2067" s="505" t="n">
        <v>-4.52</v>
      </c>
      <c r="G2067" t="inlineStr">
        <is>
          <t>78.8億</t>
        </is>
      </c>
      <c r="H2067" t="n">
        <v>1090</v>
      </c>
      <c r="I2067" t="n">
        <v>1056</v>
      </c>
      <c r="J2067" t="n">
        <v>17.99</v>
      </c>
      <c r="K2067" t="n">
        <v>7480</v>
      </c>
      <c r="L2067" t="n">
        <v>7110</v>
      </c>
      <c r="M2067" s="175" t="n">
        <v>0.61</v>
      </c>
      <c r="N2067" t="inlineStr">
        <is>
          <t>國內知名的半導體IC測試設備供應商</t>
        </is>
      </c>
    </row>
    <row r="2068">
      <c r="A2068" t="n">
        <v>7770</v>
      </c>
      <c r="B2068" t="inlineStr">
        <is>
          <t>君曜</t>
        </is>
      </c>
      <c r="C2068" t="n">
        <v>43.15</v>
      </c>
      <c r="D2068" t="n">
        <v>44.05</v>
      </c>
      <c r="E2068" s="504" t="n">
        <v>0</v>
      </c>
      <c r="F2068" s="505" t="n">
        <v>0</v>
      </c>
      <c r="G2068" t="inlineStr">
        <is>
          <t>112萬</t>
        </is>
      </c>
      <c r="H2068" t="n">
        <v>26</v>
      </c>
      <c r="I2068" t="n">
        <v>50</v>
      </c>
      <c r="J2068" t="n">
        <v>3.01</v>
      </c>
      <c r="K2068" t="n">
        <v>44.05</v>
      </c>
      <c r="L2068" t="n">
        <v>42.6</v>
      </c>
      <c r="M2068" s="175" t="n">
        <v>0.09</v>
      </c>
      <c r="N2068" t="inlineStr">
        <is>
          <t>專攻高速傳輸介面及觸控IC設計公司</t>
        </is>
      </c>
    </row>
    <row r="2069">
      <c r="A2069" t="n">
        <v>7772</v>
      </c>
      <c r="B2069" t="inlineStr">
        <is>
          <t>耀穎</t>
        </is>
      </c>
      <c r="C2069" t="n">
        <v>150</v>
      </c>
      <c r="D2069" t="n">
        <v>143</v>
      </c>
      <c r="E2069" s="504" t="n">
        <v>-3.5</v>
      </c>
      <c r="F2069" s="505" t="n">
        <v>-2.39</v>
      </c>
      <c r="G2069" t="inlineStr">
        <is>
          <t>2259萬</t>
        </is>
      </c>
      <c r="H2069" t="n">
        <v>156</v>
      </c>
      <c r="I2069" t="n">
        <v>312</v>
      </c>
      <c r="J2069" t="n">
        <v>2.65</v>
      </c>
      <c r="K2069" t="n">
        <v>152.5</v>
      </c>
      <c r="L2069" t="n">
        <v>142</v>
      </c>
      <c r="M2069" s="175" t="n">
        <v>0.59</v>
      </c>
      <c r="N2069" t="inlineStr">
        <is>
          <t>半導體光學整合製造商</t>
        </is>
      </c>
    </row>
    <row r="2070">
      <c r="A2070" t="n">
        <v>7777</v>
      </c>
      <c r="B2070" t="inlineStr">
        <is>
          <t>能率亞洲</t>
        </is>
      </c>
      <c r="C2070" t="n">
        <v>43.75</v>
      </c>
      <c r="D2070" t="n">
        <v>41.05</v>
      </c>
      <c r="E2070" s="504" t="n">
        <v>-2.5</v>
      </c>
      <c r="F2070" s="505" t="n">
        <v>-5.74</v>
      </c>
      <c r="G2070" t="inlineStr">
        <is>
          <t>3.26億</t>
        </is>
      </c>
      <c r="H2070" t="n">
        <v>7708</v>
      </c>
      <c r="I2070" t="n">
        <v>9054</v>
      </c>
      <c r="J2070" t="n">
        <v>18.25</v>
      </c>
      <c r="K2070" t="n">
        <v>44.85</v>
      </c>
      <c r="L2070" t="n">
        <v>40</v>
      </c>
      <c r="M2070" s="175" t="n">
        <v>4.22</v>
      </c>
      <c r="N2070" t="inlineStr">
        <is>
          <t>台灣第二家掛牌的永續型創業投資公司</t>
        </is>
      </c>
    </row>
    <row r="2071">
      <c r="A2071" t="n">
        <v>7780</v>
      </c>
      <c r="B2071" t="inlineStr">
        <is>
          <t>大研生醫*</t>
        </is>
      </c>
      <c r="C2071" t="n">
        <v>17.6</v>
      </c>
      <c r="D2071" t="n">
        <v>17.55</v>
      </c>
      <c r="E2071" s="504" t="n">
        <v>-0.05</v>
      </c>
      <c r="F2071" s="505" t="n">
        <v>-0.28</v>
      </c>
      <c r="G2071" t="inlineStr">
        <is>
          <t>3257萬</t>
        </is>
      </c>
      <c r="H2071" t="n">
        <v>1854</v>
      </c>
      <c r="I2071" t="n">
        <v>2233</v>
      </c>
      <c r="J2071" t="n">
        <v>8.1</v>
      </c>
      <c r="K2071" t="n">
        <v>17.7</v>
      </c>
      <c r="L2071" t="n">
        <v>17.5</v>
      </c>
      <c r="M2071" s="175" t="n">
        <v>0.23</v>
      </c>
      <c r="N2071" t="inlineStr">
        <is>
          <t>尚凡旗下子公司，以生產保健食品為主</t>
        </is>
      </c>
    </row>
    <row r="2072">
      <c r="A2072" t="n">
        <v>7782</v>
      </c>
      <c r="B2072" t="inlineStr">
        <is>
          <t>光速火箭</t>
        </is>
      </c>
      <c r="C2072" t="n">
        <v>25.5</v>
      </c>
      <c r="D2072" t="n">
        <v>25.55</v>
      </c>
      <c r="E2072" s="504" t="n">
        <v>-0.1</v>
      </c>
      <c r="F2072" s="505" t="n">
        <v>-0.39</v>
      </c>
      <c r="G2072" t="inlineStr">
        <is>
          <t>48.2萬</t>
        </is>
      </c>
      <c r="H2072" t="n">
        <v>19</v>
      </c>
      <c r="I2072" t="n">
        <v>32</v>
      </c>
      <c r="J2072" t="n">
        <v>2.32</v>
      </c>
      <c r="K2072" t="n">
        <v>25.65</v>
      </c>
      <c r="L2072" t="n">
        <v>25.2</v>
      </c>
      <c r="M2072" s="175" t="n">
        <v>0.08</v>
      </c>
      <c r="N2072" t="inlineStr">
        <is>
          <t>專注自有香氛品牌、電商平台領域</t>
        </is>
      </c>
    </row>
    <row r="2073">
      <c r="A2073" t="n">
        <v>7786</v>
      </c>
      <c r="B2073" t="inlineStr">
        <is>
          <t>東方風能</t>
        </is>
      </c>
      <c r="C2073" t="n">
        <v>115</v>
      </c>
      <c r="D2073" t="n">
        <v>114</v>
      </c>
      <c r="E2073" s="504" t="n">
        <v>-1</v>
      </c>
      <c r="F2073" s="505" t="n">
        <v>-0.87</v>
      </c>
      <c r="G2073" t="inlineStr">
        <is>
          <t>3773萬</t>
        </is>
      </c>
      <c r="H2073" t="n">
        <v>332</v>
      </c>
      <c r="I2073" t="n">
        <v>276</v>
      </c>
      <c r="J2073" t="n">
        <v>17.6</v>
      </c>
      <c r="K2073" t="n">
        <v>115.5</v>
      </c>
      <c r="L2073" t="n">
        <v>113</v>
      </c>
      <c r="M2073" s="175" t="n">
        <v>0.19</v>
      </c>
      <c r="N2073" t="inlineStr">
        <is>
          <t>經營離岸風力發電相關工程</t>
        </is>
      </c>
    </row>
    <row r="2074">
      <c r="A2074" t="n">
        <v>7788</v>
      </c>
      <c r="B2074" t="inlineStr">
        <is>
          <t>松川精密</t>
        </is>
      </c>
      <c r="C2074" t="n">
        <v>190</v>
      </c>
      <c r="D2074" t="n">
        <v>182</v>
      </c>
      <c r="E2074" s="504" t="n">
        <v>-7.5</v>
      </c>
      <c r="F2074" s="505" t="n">
        <v>-3.96</v>
      </c>
      <c r="G2074" t="inlineStr">
        <is>
          <t>1.31億</t>
        </is>
      </c>
      <c r="H2074" t="n">
        <v>717</v>
      </c>
      <c r="I2074" t="n">
        <v>1386</v>
      </c>
      <c r="J2074" t="n">
        <v>7.97</v>
      </c>
      <c r="K2074" t="n">
        <v>190</v>
      </c>
      <c r="L2074" t="n">
        <v>178</v>
      </c>
      <c r="M2074" s="175" t="n">
        <v>0.9</v>
      </c>
      <c r="N2074" t="inlineStr">
        <is>
          <t>台灣最具規模的繼電器製造公司</t>
        </is>
      </c>
    </row>
    <row r="2075">
      <c r="A2075" t="n">
        <v>7791</v>
      </c>
      <c r="B2075" t="inlineStr">
        <is>
          <t>皇家可口</t>
        </is>
      </c>
      <c r="C2075" t="n">
        <v>68</v>
      </c>
      <c r="D2075" t="n">
        <v>67.5</v>
      </c>
      <c r="E2075" s="504" t="n">
        <v>-0.5</v>
      </c>
      <c r="F2075" s="505" t="n">
        <v>-0.74</v>
      </c>
      <c r="G2075" t="inlineStr">
        <is>
          <t>380萬</t>
        </is>
      </c>
      <c r="H2075" t="n">
        <v>59</v>
      </c>
      <c r="I2075" t="n">
        <v>113</v>
      </c>
      <c r="J2075" t="n">
        <v>8</v>
      </c>
      <c r="K2075" t="n">
        <v>68.2</v>
      </c>
      <c r="L2075" t="n">
        <v>67.5</v>
      </c>
      <c r="M2075" s="175" t="n">
        <v>0.07000000000000001</v>
      </c>
      <c r="N2075" t="inlineStr">
        <is>
          <t>南僑旗下冰品大廠</t>
        </is>
      </c>
    </row>
    <row r="2076">
      <c r="A2076" t="n">
        <v>7792</v>
      </c>
      <c r="B2076" t="inlineStr">
        <is>
          <t>安葆</t>
        </is>
      </c>
      <c r="C2076" t="n">
        <v>300</v>
      </c>
      <c r="D2076" t="n">
        <v>290.5</v>
      </c>
      <c r="E2076" s="504" t="n">
        <v>-4.5</v>
      </c>
      <c r="F2076" s="505" t="n">
        <v>-1.53</v>
      </c>
      <c r="G2076" t="inlineStr">
        <is>
          <t>5131萬</t>
        </is>
      </c>
      <c r="H2076" t="n">
        <v>176</v>
      </c>
      <c r="I2076" t="n">
        <v>315</v>
      </c>
      <c r="J2076" t="n">
        <v>4.67</v>
      </c>
      <c r="K2076" t="n">
        <v>303</v>
      </c>
      <c r="L2076" t="n">
        <v>285</v>
      </c>
      <c r="M2076" s="175" t="n">
        <v>0.38</v>
      </c>
      <c r="N2076" t="inlineStr">
        <is>
          <t>提供能源運用規劃及電力系統規劃解決方案</t>
        </is>
      </c>
    </row>
    <row r="2077">
      <c r="A2077" t="n">
        <v>7794</v>
      </c>
      <c r="B2077" t="inlineStr">
        <is>
          <t>宏碁智新</t>
        </is>
      </c>
      <c r="C2077" t="n">
        <v>30</v>
      </c>
      <c r="D2077" t="n">
        <v>32.75</v>
      </c>
      <c r="E2077" s="504" t="n">
        <v>2.95</v>
      </c>
      <c r="F2077" s="505" t="n">
        <v>9.9</v>
      </c>
      <c r="G2077" t="inlineStr">
        <is>
          <t>1124萬</t>
        </is>
      </c>
      <c r="H2077" t="n">
        <v>353</v>
      </c>
      <c r="I2077" t="n">
        <v>56</v>
      </c>
      <c r="J2077" t="n">
        <v>2.8</v>
      </c>
      <c r="K2077" t="n">
        <v>32.75</v>
      </c>
      <c r="L2077" t="n">
        <v>30</v>
      </c>
      <c r="M2077" s="175" t="n">
        <v>1.26</v>
      </c>
      <c r="N2077" t="inlineStr">
        <is>
          <t>宏碁旗下智慧空氣品質解決方案服務商</t>
        </is>
      </c>
    </row>
    <row r="2078">
      <c r="A2078" t="n">
        <v>7795</v>
      </c>
      <c r="B2078" t="inlineStr">
        <is>
          <t>長廣</t>
        </is>
      </c>
      <c r="C2078" t="n">
        <v>411.5</v>
      </c>
      <c r="D2078" t="n">
        <v>393.5</v>
      </c>
      <c r="E2078" s="504" t="n">
        <v>-16.5</v>
      </c>
      <c r="F2078" s="505" t="n">
        <v>-4.02</v>
      </c>
      <c r="G2078" t="inlineStr">
        <is>
          <t>1.40億</t>
        </is>
      </c>
      <c r="H2078" t="n">
        <v>353</v>
      </c>
      <c r="I2078" t="n">
        <v>457</v>
      </c>
      <c r="J2078" t="n">
        <v>7.88</v>
      </c>
      <c r="K2078" t="n">
        <v>411.5</v>
      </c>
      <c r="L2078" t="n">
        <v>385</v>
      </c>
      <c r="M2078" s="175" t="n">
        <v>0.45</v>
      </c>
      <c r="N2078" t="inlineStr">
        <is>
          <t>長興旗下，ABF載板真空壓膜領導商</t>
        </is>
      </c>
    </row>
    <row r="2079">
      <c r="A2079" t="n">
        <v>7799</v>
      </c>
      <c r="B2079" t="inlineStr">
        <is>
          <t>禾榮科</t>
        </is>
      </c>
      <c r="C2079" t="n">
        <v>331</v>
      </c>
      <c r="D2079" t="n">
        <v>326</v>
      </c>
      <c r="E2079" s="504" t="n">
        <v>-4</v>
      </c>
      <c r="F2079" s="505" t="n">
        <v>-1.21</v>
      </c>
      <c r="G2079" t="inlineStr">
        <is>
          <t>8184萬</t>
        </is>
      </c>
      <c r="H2079" t="n">
        <v>247</v>
      </c>
      <c r="I2079" t="n">
        <v>339</v>
      </c>
      <c r="J2079" t="n">
        <v>15.8</v>
      </c>
      <c r="K2079" t="n">
        <v>340.5</v>
      </c>
      <c r="L2079" t="n">
        <v>320.5</v>
      </c>
      <c r="M2079" s="175" t="n">
        <v>0.16</v>
      </c>
      <c r="N2079" t="inlineStr">
        <is>
          <t>台灣首家硼中子捕獲治療系統(AB-BNCT)供應商</t>
        </is>
      </c>
    </row>
    <row r="2080">
      <c r="A2080" t="n">
        <v>7805</v>
      </c>
      <c r="B2080" t="inlineStr">
        <is>
          <t>威聯通</t>
        </is>
      </c>
      <c r="C2080" t="n">
        <v>797</v>
      </c>
      <c r="D2080" t="n">
        <v>794</v>
      </c>
      <c r="E2080" s="504" t="n">
        <v>-5</v>
      </c>
      <c r="F2080" s="505" t="n">
        <v>-0.63</v>
      </c>
      <c r="G2080" t="inlineStr">
        <is>
          <t>7352萬</t>
        </is>
      </c>
      <c r="H2080" t="n">
        <v>93</v>
      </c>
      <c r="I2080" t="n">
        <v>179</v>
      </c>
      <c r="J2080" t="n">
        <v>3.31</v>
      </c>
      <c r="K2080" t="n">
        <v>802</v>
      </c>
      <c r="L2080" t="n">
        <v>780</v>
      </c>
      <c r="M2080" s="175" t="n">
        <v>0.28</v>
      </c>
      <c r="N2080" t="inlineStr">
        <is>
          <t>台灣知名網路儲存裝置(NAS)製造商</t>
        </is>
      </c>
    </row>
    <row r="2081">
      <c r="A2081" t="n">
        <v>7810</v>
      </c>
      <c r="B2081" t="inlineStr">
        <is>
          <t>捷創科技</t>
        </is>
      </c>
      <c r="C2081" t="n">
        <v>247</v>
      </c>
      <c r="D2081" t="n">
        <v>234.5</v>
      </c>
      <c r="E2081" s="504" t="n">
        <v>-9.5</v>
      </c>
      <c r="F2081" s="505" t="n">
        <v>-3.89</v>
      </c>
      <c r="G2081" t="inlineStr">
        <is>
          <t>4458萬</t>
        </is>
      </c>
      <c r="H2081" t="n">
        <v>189</v>
      </c>
      <c r="I2081" t="n">
        <v>209</v>
      </c>
      <c r="J2081" t="n">
        <v>2.03</v>
      </c>
      <c r="K2081" t="n">
        <v>247</v>
      </c>
      <c r="L2081" t="n">
        <v>231.5</v>
      </c>
      <c r="M2081" s="175" t="n">
        <v>0.93</v>
      </c>
      <c r="N2081" t="inlineStr">
        <is>
          <t>半導體設備銷售與工程技術服務商</t>
        </is>
      </c>
    </row>
    <row r="2082">
      <c r="A2082" t="n">
        <v>7811</v>
      </c>
      <c r="B2082" t="inlineStr">
        <is>
          <t>民盛</t>
        </is>
      </c>
      <c r="C2082" t="n">
        <v>79.3</v>
      </c>
      <c r="D2082" t="n">
        <v>80</v>
      </c>
      <c r="E2082" s="504" t="n">
        <v>0.7</v>
      </c>
      <c r="F2082" s="505" t="n">
        <v>0.88</v>
      </c>
      <c r="G2082" t="inlineStr">
        <is>
          <t>159萬</t>
        </is>
      </c>
      <c r="H2082" t="n">
        <v>20</v>
      </c>
      <c r="I2082" t="n">
        <v>46</v>
      </c>
      <c r="J2082" t="n">
        <v>3.34</v>
      </c>
      <c r="K2082" t="n">
        <v>80</v>
      </c>
      <c r="L2082" t="n">
        <v>79</v>
      </c>
      <c r="M2082" s="175" t="n">
        <v>0.06</v>
      </c>
      <c r="N2082" t="inlineStr">
        <is>
          <t>復盛應用轉投資運動功能性鞋及護具製造商</t>
        </is>
      </c>
    </row>
    <row r="2083">
      <c r="A2083" t="n">
        <v>7818</v>
      </c>
      <c r="B2083" t="inlineStr">
        <is>
          <t>溢泰實業</t>
        </is>
      </c>
      <c r="C2083" t="n">
        <v>65.7</v>
      </c>
      <c r="D2083" t="n">
        <v>65.7</v>
      </c>
      <c r="E2083" s="504" t="n">
        <v>0.2</v>
      </c>
      <c r="F2083" s="505" t="n">
        <v>0.31</v>
      </c>
      <c r="G2083" t="inlineStr">
        <is>
          <t>2104萬</t>
        </is>
      </c>
      <c r="H2083" t="n">
        <v>321</v>
      </c>
      <c r="I2083" t="n">
        <v>582</v>
      </c>
      <c r="J2083" t="n">
        <v>16.79</v>
      </c>
      <c r="K2083" t="n">
        <v>66</v>
      </c>
      <c r="L2083" t="n">
        <v>65</v>
      </c>
      <c r="M2083" s="175" t="n">
        <v>0.19</v>
      </c>
      <c r="N2083" t="inlineStr">
        <is>
          <t>從事水資源產品及戶外車載產品製造及銷售</t>
        </is>
      </c>
    </row>
    <row r="2084">
      <c r="A2084" t="n">
        <v>7819</v>
      </c>
      <c r="B2084" t="inlineStr">
        <is>
          <t>精誠金融</t>
        </is>
      </c>
      <c r="C2084" t="n">
        <v>45.95</v>
      </c>
      <c r="D2084" t="n">
        <v>48.65</v>
      </c>
      <c r="E2084" s="504" t="n">
        <v>2.9</v>
      </c>
      <c r="F2084" s="505" t="n">
        <v>6.34</v>
      </c>
      <c r="G2084" t="inlineStr">
        <is>
          <t>2565萬</t>
        </is>
      </c>
      <c r="H2084" t="n">
        <v>537</v>
      </c>
      <c r="I2084" t="n">
        <v>0</v>
      </c>
      <c r="J2084" t="n">
        <v>2.53</v>
      </c>
      <c r="K2084" t="n">
        <v>49.95</v>
      </c>
      <c r="L2084" t="n">
        <v>45.95</v>
      </c>
      <c r="M2084" s="175" t="n">
        <v>2.13</v>
      </c>
      <c r="N2084" t="inlineStr">
        <is>
          <t>精誠旗下，專注刷卡機設備及收單系統開發領域</t>
        </is>
      </c>
    </row>
    <row r="2085">
      <c r="A2085" t="n">
        <v>7820</v>
      </c>
      <c r="B2085" t="inlineStr">
        <is>
          <t>立盈</t>
        </is>
      </c>
      <c r="C2085" t="n">
        <v>126</v>
      </c>
      <c r="D2085" t="n">
        <v>122.5</v>
      </c>
      <c r="E2085" s="504" t="n">
        <v>-5</v>
      </c>
      <c r="F2085" s="505" t="n">
        <v>-3.92</v>
      </c>
      <c r="G2085" t="inlineStr">
        <is>
          <t>785萬</t>
        </is>
      </c>
      <c r="H2085" t="n">
        <v>64</v>
      </c>
      <c r="I2085" t="n">
        <v>107</v>
      </c>
      <c r="J2085" t="n">
        <v>3.78</v>
      </c>
      <c r="K2085" t="n">
        <v>126</v>
      </c>
      <c r="L2085" t="n">
        <v>121.5</v>
      </c>
      <c r="M2085" s="175" t="n">
        <v>0.17</v>
      </c>
      <c r="N2085" t="inlineStr">
        <is>
          <t>氟化鈣污泥處理及人造螢石銷售商</t>
        </is>
      </c>
    </row>
    <row r="2086">
      <c r="A2086" t="n">
        <v>7821</v>
      </c>
      <c r="B2086" t="inlineStr">
        <is>
          <t>神數</t>
        </is>
      </c>
      <c r="C2086" t="n">
        <v>46.8</v>
      </c>
      <c r="D2086" t="n">
        <v>46.05</v>
      </c>
      <c r="E2086" s="504" t="n">
        <v>-0.15</v>
      </c>
      <c r="F2086" s="505" t="n">
        <v>-0.32</v>
      </c>
      <c r="G2086" t="inlineStr">
        <is>
          <t>2062萬</t>
        </is>
      </c>
      <c r="H2086" t="n">
        <v>447</v>
      </c>
      <c r="I2086" t="n">
        <v>371</v>
      </c>
      <c r="J2086" t="n">
        <v>12.19</v>
      </c>
      <c r="K2086" t="n">
        <v>46.8</v>
      </c>
      <c r="L2086" t="n">
        <v>45.6</v>
      </c>
      <c r="M2086" s="175" t="n">
        <v>0.37</v>
      </c>
      <c r="N2086" t="inlineStr">
        <is>
          <t>聯華神通集團旗下，全球前三大車用電子品牌</t>
        </is>
      </c>
    </row>
    <row r="2087">
      <c r="A2087" t="n">
        <v>7822</v>
      </c>
      <c r="B2087" t="inlineStr">
        <is>
          <t>倍利科</t>
        </is>
      </c>
      <c r="C2087" t="n">
        <v>1100</v>
      </c>
      <c r="D2087" t="n">
        <v>1045</v>
      </c>
      <c r="E2087" s="504" t="n">
        <v>-50</v>
      </c>
      <c r="F2087" s="505" t="n">
        <v>-4.57</v>
      </c>
      <c r="G2087" t="inlineStr">
        <is>
          <t>2.09億</t>
        </is>
      </c>
      <c r="H2087" t="n">
        <v>199</v>
      </c>
      <c r="I2087" t="n">
        <v>384</v>
      </c>
      <c r="J2087" t="n">
        <v>4.56</v>
      </c>
      <c r="K2087" t="n">
        <v>1100</v>
      </c>
      <c r="L2087" t="n">
        <v>1030</v>
      </c>
      <c r="M2087" s="175" t="n">
        <v>0.44</v>
      </c>
      <c r="N2087" t="inlineStr">
        <is>
          <t>專注於光學檢測與量測設備的公司</t>
        </is>
      </c>
    </row>
    <row r="2088">
      <c r="A2088" t="n">
        <v>7828</v>
      </c>
      <c r="B2088" t="inlineStr">
        <is>
          <t>創新服務</t>
        </is>
      </c>
      <c r="C2088" t="n">
        <v>1495</v>
      </c>
      <c r="D2088" t="n">
        <v>1495</v>
      </c>
      <c r="E2088" s="504" t="n">
        <v>45</v>
      </c>
      <c r="F2088" s="505" t="n">
        <v>3.1</v>
      </c>
      <c r="G2088" t="inlineStr">
        <is>
          <t>3.17億</t>
        </is>
      </c>
      <c r="H2088" t="n">
        <v>219</v>
      </c>
      <c r="I2088" t="n">
        <v>584</v>
      </c>
      <c r="J2088" t="n">
        <v>4.05</v>
      </c>
      <c r="K2088" t="n">
        <v>1500</v>
      </c>
      <c r="L2088" t="n">
        <v>1390</v>
      </c>
      <c r="M2088" s="175" t="n">
        <v>0.54</v>
      </c>
      <c r="N2088" t="inlineStr">
        <is>
          <t>國內知名的全自動探針卡植針設備製造商</t>
        </is>
      </c>
    </row>
    <row r="2089">
      <c r="A2089" t="n">
        <v>7842</v>
      </c>
      <c r="B2089" t="inlineStr">
        <is>
          <t>天能綠電</t>
        </is>
      </c>
      <c r="C2089" t="n">
        <v>119</v>
      </c>
      <c r="D2089" t="n">
        <v>111.5</v>
      </c>
      <c r="E2089" s="504" t="n">
        <v>-1.5</v>
      </c>
      <c r="F2089" s="505" t="n">
        <v>-1.33</v>
      </c>
      <c r="G2089" t="inlineStr">
        <is>
          <t>601萬</t>
        </is>
      </c>
      <c r="H2089" t="n">
        <v>54</v>
      </c>
      <c r="I2089" t="n">
        <v>141</v>
      </c>
      <c r="J2089" t="n">
        <v>1.83</v>
      </c>
      <c r="K2089" t="n">
        <v>119</v>
      </c>
      <c r="L2089" t="n">
        <v>111.5</v>
      </c>
      <c r="M2089" s="175" t="n">
        <v>0.3</v>
      </c>
      <c r="N2089" t="inlineStr">
        <is>
          <t>雲豹能源旗下全方位能源永續解決方案服務公司</t>
        </is>
      </c>
    </row>
    <row r="2090">
      <c r="A2090" t="n">
        <v>8011</v>
      </c>
      <c r="B2090" t="inlineStr">
        <is>
          <t>台通</t>
        </is>
      </c>
      <c r="C2090" t="n">
        <v>18.9</v>
      </c>
      <c r="D2090" t="n">
        <v>19.1</v>
      </c>
      <c r="E2090" s="504" t="n">
        <v>0.3</v>
      </c>
      <c r="F2090" s="505" t="n">
        <v>1.6</v>
      </c>
      <c r="G2090" t="inlineStr">
        <is>
          <t>4382萬</t>
        </is>
      </c>
      <c r="H2090" t="n">
        <v>2324</v>
      </c>
      <c r="I2090" t="n">
        <v>1470</v>
      </c>
      <c r="J2090" t="n">
        <v>16.59</v>
      </c>
      <c r="K2090" t="n">
        <v>19.2</v>
      </c>
      <c r="L2090" t="n">
        <v>18.5</v>
      </c>
      <c r="M2090" s="175" t="n">
        <v>1.4</v>
      </c>
      <c r="N2090" t="inlineStr">
        <is>
          <t>台灣光纖線纜與光纖被動元件製造商</t>
        </is>
      </c>
    </row>
    <row r="2091">
      <c r="A2091" t="n">
        <v>8016</v>
      </c>
      <c r="B2091" t="inlineStr">
        <is>
          <t>矽創</t>
        </is>
      </c>
      <c r="C2091" t="n">
        <v>309</v>
      </c>
      <c r="D2091" t="n">
        <v>302</v>
      </c>
      <c r="E2091" s="504" t="n">
        <v>-7</v>
      </c>
      <c r="F2091" s="505" t="n">
        <v>-2.27</v>
      </c>
      <c r="G2091" t="inlineStr">
        <is>
          <t>8.20億</t>
        </is>
      </c>
      <c r="H2091" t="n">
        <v>2720</v>
      </c>
      <c r="I2091" t="n">
        <v>3325</v>
      </c>
      <c r="J2091" t="n">
        <v>12.01</v>
      </c>
      <c r="K2091" t="n">
        <v>309</v>
      </c>
      <c r="L2091" t="n">
        <v>296.5</v>
      </c>
      <c r="M2091" s="175" t="n">
        <v>2.26</v>
      </c>
      <c r="N2091" t="inlineStr">
        <is>
          <t>台灣感測元件及顯示屏驅動IC廠</t>
        </is>
      </c>
    </row>
    <row r="2092">
      <c r="A2092" t="n">
        <v>8021</v>
      </c>
      <c r="B2092" t="inlineStr">
        <is>
          <t>尖點</t>
        </is>
      </c>
      <c r="C2092" t="n">
        <v>476.5</v>
      </c>
      <c r="D2092" t="n">
        <v>445</v>
      </c>
      <c r="E2092" s="504" t="n">
        <v>-19</v>
      </c>
      <c r="F2092" s="505" t="n">
        <v>-4.09</v>
      </c>
      <c r="G2092" t="inlineStr">
        <is>
          <t>4.10億</t>
        </is>
      </c>
      <c r="H2092" t="n">
        <v>914</v>
      </c>
      <c r="I2092" t="n">
        <v>1861</v>
      </c>
      <c r="J2092" t="n">
        <v>14.57</v>
      </c>
      <c r="K2092" t="n">
        <v>476.5</v>
      </c>
      <c r="L2092" t="n">
        <v>440</v>
      </c>
      <c r="M2092" s="175" t="n">
        <v>0.63</v>
      </c>
      <c r="N2092" t="inlineStr">
        <is>
          <t>全球前三大PCB鑽針生產商之一</t>
        </is>
      </c>
    </row>
    <row r="2093">
      <c r="A2093" s="503" t="n">
        <v>8024</v>
      </c>
      <c r="B2093" t="inlineStr">
        <is>
          <t>佑華</t>
        </is>
      </c>
      <c r="C2093" t="n">
        <v>12.5</v>
      </c>
      <c r="D2093" t="n">
        <v>12.4</v>
      </c>
      <c r="E2093" s="504" t="n">
        <v>0</v>
      </c>
      <c r="F2093" s="505" t="n">
        <v>0</v>
      </c>
      <c r="G2093" t="inlineStr">
        <is>
          <t>201萬</t>
        </is>
      </c>
      <c r="H2093" t="n">
        <v>164</v>
      </c>
      <c r="I2093" t="n">
        <v>67</v>
      </c>
      <c r="J2093" t="n">
        <v>4.52</v>
      </c>
      <c r="K2093" t="n">
        <v>12.5</v>
      </c>
      <c r="L2093" t="n">
        <v>12.15</v>
      </c>
      <c r="M2093" s="175" t="n">
        <v>0.36</v>
      </c>
      <c r="N2093" t="inlineStr">
        <is>
          <t>玩具語音IC與MCU生產商</t>
        </is>
      </c>
    </row>
    <row r="2094">
      <c r="A2094" s="503" t="n">
        <v>8027</v>
      </c>
      <c r="B2094" t="inlineStr">
        <is>
          <t>鈦昇</t>
        </is>
      </c>
      <c r="C2094" t="n">
        <v>297</v>
      </c>
      <c r="D2094" t="n">
        <v>277.5</v>
      </c>
      <c r="E2094" s="504" t="n">
        <v>-5.5</v>
      </c>
      <c r="F2094" s="505" t="n">
        <v>-1.94</v>
      </c>
      <c r="G2094" t="inlineStr">
        <is>
          <t>4.38億</t>
        </is>
      </c>
      <c r="H2094" t="n">
        <v>1578</v>
      </c>
      <c r="I2094" t="n">
        <v>1573</v>
      </c>
      <c r="J2094" t="n">
        <v>11</v>
      </c>
      <c r="K2094" t="n">
        <v>297</v>
      </c>
      <c r="L2094" t="n">
        <v>269</v>
      </c>
      <c r="M2094" s="175" t="n">
        <v>1.44</v>
      </c>
      <c r="N2094" t="inlineStr">
        <is>
          <t>專業於半導體、主機板、高階基板材料等設備廠商</t>
        </is>
      </c>
    </row>
    <row r="2095">
      <c r="A2095" s="503" t="n">
        <v>8028</v>
      </c>
      <c r="B2095" t="inlineStr">
        <is>
          <t>昇陽半導體</t>
        </is>
      </c>
      <c r="C2095" t="n">
        <v>351</v>
      </c>
      <c r="D2095" t="n">
        <v>335</v>
      </c>
      <c r="E2095" s="504" t="n">
        <v>-21.5</v>
      </c>
      <c r="F2095" s="505" t="n">
        <v>-6.03</v>
      </c>
      <c r="G2095" t="inlineStr">
        <is>
          <t>27.0億</t>
        </is>
      </c>
      <c r="H2095" t="n">
        <v>7913</v>
      </c>
      <c r="I2095" t="n">
        <v>14562</v>
      </c>
      <c r="J2095" t="n">
        <v>17.97</v>
      </c>
      <c r="K2095" t="n">
        <v>354</v>
      </c>
      <c r="L2095" t="n">
        <v>333</v>
      </c>
      <c r="M2095" s="175" t="n">
        <v>4.51</v>
      </c>
      <c r="N2095" t="inlineStr">
        <is>
          <t>主要從事再生晶圓與晶圓薄化代工業務</t>
        </is>
      </c>
    </row>
    <row r="2096">
      <c r="A2096" s="503" t="n">
        <v>8032</v>
      </c>
      <c r="B2096" t="inlineStr">
        <is>
          <t>光菱</t>
        </is>
      </c>
      <c r="C2096" t="n">
        <v>43.75</v>
      </c>
      <c r="D2096" t="n">
        <v>46.65</v>
      </c>
      <c r="E2096" s="504" t="n">
        <v>2.9</v>
      </c>
      <c r="F2096" s="505" t="n">
        <v>6.63</v>
      </c>
      <c r="G2096" t="inlineStr">
        <is>
          <t>2103萬</t>
        </is>
      </c>
      <c r="H2096" t="n">
        <v>465</v>
      </c>
      <c r="I2096" t="n">
        <v>420</v>
      </c>
      <c r="J2096" t="n">
        <v>5.18</v>
      </c>
      <c r="K2096" t="n">
        <v>46.65</v>
      </c>
      <c r="L2096" t="n">
        <v>43.15</v>
      </c>
      <c r="M2096" s="175" t="n">
        <v>0.9</v>
      </c>
      <c r="N2096" t="inlineStr">
        <is>
          <t>瑞薩、三菱等日系原廠產品在台代理商</t>
        </is>
      </c>
    </row>
    <row r="2097">
      <c r="A2097" s="503" t="n">
        <v>8033</v>
      </c>
      <c r="B2097" t="inlineStr">
        <is>
          <t>雷虎</t>
        </is>
      </c>
      <c r="C2097" t="n">
        <v>140.5</v>
      </c>
      <c r="D2097" t="n">
        <v>136</v>
      </c>
      <c r="E2097" s="504" t="n">
        <v>-5</v>
      </c>
      <c r="F2097" s="505" t="n">
        <v>-3.55</v>
      </c>
      <c r="G2097" t="inlineStr">
        <is>
          <t>5.65億</t>
        </is>
      </c>
      <c r="H2097" t="n">
        <v>4143</v>
      </c>
      <c r="I2097" t="n">
        <v>4451</v>
      </c>
      <c r="J2097" t="n">
        <v>16.46</v>
      </c>
      <c r="K2097" t="n">
        <v>140.5</v>
      </c>
      <c r="L2097" t="n">
        <v>134.5</v>
      </c>
      <c r="M2097" s="175" t="n">
        <v>2.52</v>
      </c>
      <c r="N2097" t="inlineStr">
        <is>
          <t>全球前五大遙控模型玩具廠</t>
        </is>
      </c>
    </row>
    <row r="2098">
      <c r="A2098" s="503" t="n">
        <v>8034</v>
      </c>
      <c r="B2098" t="inlineStr">
        <is>
          <t>榮群</t>
        </is>
      </c>
      <c r="C2098" t="n">
        <v>24.35</v>
      </c>
      <c r="D2098" t="n">
        <v>25.05</v>
      </c>
      <c r="E2098" s="504" t="n">
        <v>0.8</v>
      </c>
      <c r="F2098" s="505" t="n">
        <v>3.3</v>
      </c>
      <c r="G2098" t="inlineStr">
        <is>
          <t>1866萬</t>
        </is>
      </c>
      <c r="H2098" t="n">
        <v>759</v>
      </c>
      <c r="I2098" t="n">
        <v>418</v>
      </c>
      <c r="J2098" t="n">
        <v>5.66</v>
      </c>
      <c r="K2098" t="n">
        <v>25.05</v>
      </c>
      <c r="L2098" t="n">
        <v>24.1</v>
      </c>
      <c r="M2098" s="175" t="n">
        <v>1.34</v>
      </c>
      <c r="N2098" t="inlineStr">
        <is>
          <t>台灣網路接取設備製造商</t>
        </is>
      </c>
    </row>
    <row r="2099">
      <c r="A2099" s="503" t="n">
        <v>8038</v>
      </c>
      <c r="B2099" t="inlineStr">
        <is>
          <t>長園科</t>
        </is>
      </c>
      <c r="C2099" t="n">
        <v>41.7</v>
      </c>
      <c r="D2099" t="n">
        <v>40.7</v>
      </c>
      <c r="E2099" s="504" t="n">
        <v>-0.85</v>
      </c>
      <c r="F2099" s="505" t="n">
        <v>-2.05</v>
      </c>
      <c r="G2099" t="inlineStr">
        <is>
          <t>1087萬</t>
        </is>
      </c>
      <c r="H2099" t="n">
        <v>267</v>
      </c>
      <c r="I2099" t="n">
        <v>458</v>
      </c>
      <c r="J2099" t="n">
        <v>6.23</v>
      </c>
      <c r="K2099" t="n">
        <v>41.7</v>
      </c>
      <c r="L2099" t="n">
        <v>40.3</v>
      </c>
      <c r="M2099" s="175" t="n">
        <v>0.43</v>
      </c>
      <c r="N2099" t="inlineStr">
        <is>
          <t>氧化鋰鐵電池模組系統應用生產商</t>
        </is>
      </c>
    </row>
    <row r="2100">
      <c r="A2100" s="503" t="n">
        <v>8039</v>
      </c>
      <c r="B2100" t="inlineStr">
        <is>
          <t>台虹</t>
        </is>
      </c>
      <c r="C2100" t="n">
        <v>156.5</v>
      </c>
      <c r="D2100" t="n">
        <v>147</v>
      </c>
      <c r="E2100" s="504" t="n">
        <v>-6</v>
      </c>
      <c r="F2100" s="505" t="n">
        <v>-3.92</v>
      </c>
      <c r="G2100" t="inlineStr">
        <is>
          <t>26.0億</t>
        </is>
      </c>
      <c r="H2100" t="n">
        <v>17438</v>
      </c>
      <c r="I2100" t="n">
        <v>27254</v>
      </c>
      <c r="J2100" t="n">
        <v>26.37</v>
      </c>
      <c r="K2100" t="n">
        <v>160.5</v>
      </c>
      <c r="L2100" t="n">
        <v>143</v>
      </c>
      <c r="M2100" s="175" t="n">
        <v>6.61</v>
      </c>
      <c r="N2100" t="inlineStr">
        <is>
          <t>全球前三大FCCL製造商</t>
        </is>
      </c>
    </row>
    <row r="2101">
      <c r="A2101" s="503" t="n">
        <v>8040</v>
      </c>
      <c r="B2101" t="inlineStr">
        <is>
          <t>九暘</t>
        </is>
      </c>
      <c r="C2101" t="n">
        <v>113</v>
      </c>
      <c r="D2101" t="n">
        <v>105.5</v>
      </c>
      <c r="E2101" s="504" t="n">
        <v>-7</v>
      </c>
      <c r="F2101" s="505" t="n">
        <v>-6.22</v>
      </c>
      <c r="G2101" t="inlineStr">
        <is>
          <t>2.95億</t>
        </is>
      </c>
      <c r="H2101" t="n">
        <v>2754</v>
      </c>
      <c r="I2101" t="n">
        <v>3675</v>
      </c>
      <c r="J2101" t="n">
        <v>9.640000000000001</v>
      </c>
      <c r="K2101" t="n">
        <v>113.5</v>
      </c>
      <c r="L2101" t="n">
        <v>104</v>
      </c>
      <c r="M2101" s="175" t="n">
        <v>2.86</v>
      </c>
      <c r="N2101" t="inlineStr">
        <is>
          <t>台灣前二大乙太網路IC供應商</t>
        </is>
      </c>
    </row>
    <row r="2102">
      <c r="A2102" s="503" t="n">
        <v>8042</v>
      </c>
      <c r="B2102" t="inlineStr">
        <is>
          <t>金山電</t>
        </is>
      </c>
      <c r="C2102" t="n">
        <v>168.5</v>
      </c>
      <c r="D2102" t="n">
        <v>162</v>
      </c>
      <c r="E2102" s="504" t="n">
        <v>-7</v>
      </c>
      <c r="F2102" s="505" t="n">
        <v>-4.14</v>
      </c>
      <c r="G2102" t="inlineStr">
        <is>
          <t>1.62億</t>
        </is>
      </c>
      <c r="H2102" t="n">
        <v>1016</v>
      </c>
      <c r="I2102" t="n">
        <v>1448</v>
      </c>
      <c r="J2102" t="n">
        <v>12.95</v>
      </c>
      <c r="K2102" t="n">
        <v>168.5</v>
      </c>
      <c r="L2102" t="n">
        <v>153</v>
      </c>
      <c r="M2102" s="175" t="n">
        <v>0.78</v>
      </c>
      <c r="N2102" t="inlineStr">
        <is>
          <t>MB、SPS、CRT用之鋁質電解電容器大廠</t>
        </is>
      </c>
    </row>
    <row r="2103">
      <c r="A2103" s="503" t="n">
        <v>8043</v>
      </c>
      <c r="B2103" t="inlineStr">
        <is>
          <t>蜜望實</t>
        </is>
      </c>
      <c r="C2103" t="n">
        <v>154.5</v>
      </c>
      <c r="D2103" t="n">
        <v>157</v>
      </c>
      <c r="E2103" s="504" t="n">
        <v>2</v>
      </c>
      <c r="F2103" s="505" t="n">
        <v>1.29</v>
      </c>
      <c r="G2103" t="inlineStr">
        <is>
          <t>27.1億</t>
        </is>
      </c>
      <c r="H2103" t="n">
        <v>18307</v>
      </c>
      <c r="I2103" t="n">
        <v>18904</v>
      </c>
      <c r="J2103" t="n">
        <v>7.99</v>
      </c>
      <c r="K2103" t="n">
        <v>158</v>
      </c>
      <c r="L2103" t="n">
        <v>142.5</v>
      </c>
      <c r="M2103" s="175" t="n">
        <v>22.91</v>
      </c>
      <c r="N2103" t="inlineStr">
        <is>
          <t>主要代理太陽誘電之積層陶瓷電容及電感</t>
        </is>
      </c>
    </row>
    <row r="2104">
      <c r="A2104" s="503" t="n">
        <v>8044</v>
      </c>
      <c r="B2104" t="inlineStr">
        <is>
          <t>網家</t>
        </is>
      </c>
      <c r="C2104" t="n">
        <v>29.15</v>
      </c>
      <c r="D2104" t="n">
        <v>30.4</v>
      </c>
      <c r="E2104" s="504" t="n">
        <v>1.4</v>
      </c>
      <c r="F2104" s="505" t="n">
        <v>4.83</v>
      </c>
      <c r="G2104" t="inlineStr">
        <is>
          <t>7690萬</t>
        </is>
      </c>
      <c r="H2104" t="n">
        <v>2545</v>
      </c>
      <c r="I2104" t="n">
        <v>1852</v>
      </c>
      <c r="J2104" t="n">
        <v>20.48</v>
      </c>
      <c r="K2104" t="n">
        <v>30.8</v>
      </c>
      <c r="L2104" t="n">
        <v>29.15</v>
      </c>
      <c r="M2104" s="175" t="n">
        <v>1.24</v>
      </c>
      <c r="N2104" t="inlineStr">
        <is>
          <t>台灣知名電商平台企業</t>
        </is>
      </c>
    </row>
    <row r="2105">
      <c r="A2105" s="503" t="n">
        <v>8045</v>
      </c>
      <c r="B2105" t="inlineStr">
        <is>
          <t>達運光電</t>
        </is>
      </c>
      <c r="C2105" t="n">
        <v>71.5</v>
      </c>
      <c r="D2105" t="n">
        <v>69.7</v>
      </c>
      <c r="E2105" s="504" t="n">
        <v>-1.6</v>
      </c>
      <c r="F2105" s="505" t="n">
        <v>-2.24</v>
      </c>
      <c r="G2105" t="inlineStr">
        <is>
          <t>2673萬</t>
        </is>
      </c>
      <c r="H2105" t="n">
        <v>381</v>
      </c>
      <c r="I2105" t="n">
        <v>492</v>
      </c>
      <c r="J2105" t="n">
        <v>9.5</v>
      </c>
      <c r="K2105" t="n">
        <v>73.5</v>
      </c>
      <c r="L2105" t="n">
        <v>67.3</v>
      </c>
      <c r="M2105" s="175" t="n">
        <v>0.4</v>
      </c>
      <c r="N2105" t="inlineStr">
        <is>
          <t>從事室內外射頻與光傳輸設備的研發與製造</t>
        </is>
      </c>
    </row>
    <row r="2106">
      <c r="A2106" s="503" t="n">
        <v>8046</v>
      </c>
      <c r="B2106" t="inlineStr">
        <is>
          <t>南電</t>
        </is>
      </c>
      <c r="C2106" t="n">
        <v>905</v>
      </c>
      <c r="D2106" t="n">
        <v>862</v>
      </c>
      <c r="E2106" s="504" t="n">
        <v>-43</v>
      </c>
      <c r="F2106" s="505" t="n">
        <v>-4.75</v>
      </c>
      <c r="G2106" t="inlineStr">
        <is>
          <t>116億</t>
        </is>
      </c>
      <c r="H2106" t="n">
        <v>13377</v>
      </c>
      <c r="I2106" t="n">
        <v>21418</v>
      </c>
      <c r="J2106" t="n">
        <v>64.62</v>
      </c>
      <c r="K2106" t="n">
        <v>907</v>
      </c>
      <c r="L2106" t="n">
        <v>834</v>
      </c>
      <c r="M2106" s="175" t="n">
        <v>2.07</v>
      </c>
      <c r="N2106" t="inlineStr">
        <is>
          <t>台塑集團旗下PCB載板與IC載板製造商</t>
        </is>
      </c>
    </row>
    <row r="2107">
      <c r="A2107" s="503" t="n">
        <v>8047</v>
      </c>
      <c r="B2107" t="inlineStr">
        <is>
          <t>星雲</t>
        </is>
      </c>
      <c r="C2107" t="n">
        <v>43.7</v>
      </c>
      <c r="D2107" t="n">
        <v>45.5</v>
      </c>
      <c r="E2107" s="504" t="n">
        <v>1.5</v>
      </c>
      <c r="F2107" s="505" t="n">
        <v>3.41</v>
      </c>
      <c r="G2107" t="inlineStr">
        <is>
          <t>250萬</t>
        </is>
      </c>
      <c r="H2107" t="n">
        <v>57</v>
      </c>
      <c r="I2107" t="n">
        <v>47</v>
      </c>
      <c r="J2107" t="n">
        <v>4.17</v>
      </c>
      <c r="K2107" t="n">
        <v>45.5</v>
      </c>
      <c r="L2107" t="n">
        <v>43.1</v>
      </c>
      <c r="M2107" s="175" t="n">
        <v>0.14</v>
      </c>
      <c r="N2107" t="inlineStr">
        <is>
          <t>世界知名的電腦割字機製造大廠</t>
        </is>
      </c>
    </row>
    <row r="2108">
      <c r="A2108" s="503" t="n">
        <v>8048</v>
      </c>
      <c r="B2108" t="inlineStr">
        <is>
          <t>德勝</t>
        </is>
      </c>
      <c r="C2108" t="n">
        <v>62.2</v>
      </c>
      <c r="D2108" t="n">
        <v>62</v>
      </c>
      <c r="E2108" s="504" t="n">
        <v>0</v>
      </c>
      <c r="F2108" s="505" t="n">
        <v>0</v>
      </c>
      <c r="G2108" t="inlineStr">
        <is>
          <t>2098萬</t>
        </is>
      </c>
      <c r="H2108" t="n">
        <v>341</v>
      </c>
      <c r="I2108" t="n">
        <v>377</v>
      </c>
      <c r="J2108" t="n">
        <v>5.77</v>
      </c>
      <c r="K2108" t="n">
        <v>62.2</v>
      </c>
      <c r="L2108" t="n">
        <v>61</v>
      </c>
      <c r="M2108" s="175" t="n">
        <v>0.59</v>
      </c>
      <c r="N2108" t="inlineStr">
        <is>
          <t>台灣光纖網路局端、用戶端設備製造商</t>
        </is>
      </c>
    </row>
    <row r="2109">
      <c r="A2109" s="503" t="n">
        <v>8049</v>
      </c>
      <c r="B2109" t="inlineStr">
        <is>
          <t>晶采</t>
        </is>
      </c>
      <c r="C2109" t="n">
        <v>27.2</v>
      </c>
      <c r="D2109" t="n">
        <v>27.15</v>
      </c>
      <c r="E2109" s="504" t="n">
        <v>0.15</v>
      </c>
      <c r="F2109" s="505" t="n">
        <v>0.5600000000000001</v>
      </c>
      <c r="G2109" t="inlineStr">
        <is>
          <t>1206萬</t>
        </is>
      </c>
      <c r="H2109" t="n">
        <v>447</v>
      </c>
      <c r="I2109" t="n">
        <v>404</v>
      </c>
      <c r="J2109" t="n">
        <v>11.83</v>
      </c>
      <c r="K2109" t="n">
        <v>27.2</v>
      </c>
      <c r="L2109" t="n">
        <v>26.7</v>
      </c>
      <c r="M2109" s="175" t="n">
        <v>0.38</v>
      </c>
      <c r="N2109" t="inlineStr">
        <is>
          <t>台灣中小尺寸液晶模組廠</t>
        </is>
      </c>
    </row>
    <row r="2110">
      <c r="A2110" s="503" t="n">
        <v>8050</v>
      </c>
      <c r="B2110" t="inlineStr">
        <is>
          <t>廣積</t>
        </is>
      </c>
      <c r="C2110" t="n">
        <v>58.7</v>
      </c>
      <c r="D2110" t="n">
        <v>60</v>
      </c>
      <c r="E2110" s="504" t="n">
        <v>1.3</v>
      </c>
      <c r="F2110" s="505" t="n">
        <v>2.21</v>
      </c>
      <c r="G2110" t="inlineStr">
        <is>
          <t>1.72億</t>
        </is>
      </c>
      <c r="H2110" t="n">
        <v>2910</v>
      </c>
      <c r="I2110" t="n">
        <v>5307</v>
      </c>
      <c r="J2110" t="n">
        <v>20.52</v>
      </c>
      <c r="K2110" t="n">
        <v>60.4</v>
      </c>
      <c r="L2110" t="n">
        <v>58.1</v>
      </c>
      <c r="M2110" s="175" t="n">
        <v>1.42</v>
      </c>
      <c r="N2110" t="inlineStr">
        <is>
          <t>以工業級嵌入式系統為主之工業電腦廠商</t>
        </is>
      </c>
    </row>
    <row r="2111">
      <c r="A2111" s="503" t="n">
        <v>8054</v>
      </c>
      <c r="B2111" t="inlineStr">
        <is>
          <t>安國</t>
        </is>
      </c>
      <c r="C2111" t="n">
        <v>102.5</v>
      </c>
      <c r="D2111" t="n">
        <v>101.5</v>
      </c>
      <c r="E2111" s="504" t="n">
        <v>-0.5</v>
      </c>
      <c r="F2111" s="505" t="n">
        <v>-0.49</v>
      </c>
      <c r="G2111" t="inlineStr">
        <is>
          <t>1.58億</t>
        </is>
      </c>
      <c r="H2111" t="n">
        <v>1554</v>
      </c>
      <c r="I2111" t="n">
        <v>2677</v>
      </c>
      <c r="J2111" t="n">
        <v>10.62</v>
      </c>
      <c r="K2111" t="n">
        <v>105</v>
      </c>
      <c r="L2111" t="n">
        <v>101</v>
      </c>
      <c r="M2111" s="175" t="n">
        <v>1.47</v>
      </c>
      <c r="N2111" t="inlineStr">
        <is>
          <t>台灣USB介面裝置控制IC廠</t>
        </is>
      </c>
    </row>
    <row r="2112">
      <c r="A2112" s="503" t="n">
        <v>8059</v>
      </c>
      <c r="B2112" t="inlineStr">
        <is>
          <t>凱碩</t>
        </is>
      </c>
      <c r="C2112" t="n">
        <v>19</v>
      </c>
      <c r="D2112" t="n">
        <v>20</v>
      </c>
      <c r="E2112" s="504" t="n">
        <v>0.9</v>
      </c>
      <c r="F2112" s="505" t="n">
        <v>4.71</v>
      </c>
      <c r="G2112" t="inlineStr">
        <is>
          <t>2159萬</t>
        </is>
      </c>
      <c r="H2112" t="n">
        <v>1086</v>
      </c>
      <c r="I2112" t="n">
        <v>475</v>
      </c>
      <c r="J2112" t="n">
        <v>19.4</v>
      </c>
      <c r="K2112" t="n">
        <v>20.5</v>
      </c>
      <c r="L2112" t="n">
        <v>19</v>
      </c>
      <c r="M2112" s="175" t="n">
        <v>0.5600000000000001</v>
      </c>
      <c r="N2112" t="inlineStr">
        <is>
          <t>金寶旗下網通設備OBM/ODM廠</t>
        </is>
      </c>
    </row>
    <row r="2113">
      <c r="A2113" s="503" t="n">
        <v>8064</v>
      </c>
      <c r="B2113" t="inlineStr">
        <is>
          <t>東捷</t>
        </is>
      </c>
      <c r="C2113" t="n">
        <v>159</v>
      </c>
      <c r="D2113" t="n">
        <v>157</v>
      </c>
      <c r="E2113" s="504" t="n">
        <v>0</v>
      </c>
      <c r="F2113" s="505" t="n">
        <v>0</v>
      </c>
      <c r="G2113" t="inlineStr">
        <is>
          <t>39.4億</t>
        </is>
      </c>
      <c r="H2113" t="n">
        <v>24926</v>
      </c>
      <c r="I2113" t="n">
        <v>16253</v>
      </c>
      <c r="J2113" t="n">
        <v>18.48</v>
      </c>
      <c r="K2113" t="n">
        <v>165</v>
      </c>
      <c r="L2113" t="n">
        <v>152.5</v>
      </c>
      <c r="M2113" s="175" t="n">
        <v>13.49</v>
      </c>
      <c r="N2113" t="inlineStr">
        <is>
          <t>志聖轉投資的顯示器設備商</t>
        </is>
      </c>
    </row>
    <row r="2114">
      <c r="A2114" s="503" t="n">
        <v>8066</v>
      </c>
      <c r="B2114" t="inlineStr">
        <is>
          <t>來思達</t>
        </is>
      </c>
      <c r="C2114" t="n">
        <v>16</v>
      </c>
      <c r="D2114" t="n">
        <v>16</v>
      </c>
      <c r="E2114" s="504" t="n">
        <v>0</v>
      </c>
      <c r="F2114" s="505" t="n">
        <v>0</v>
      </c>
      <c r="G2114" t="inlineStr">
        <is>
          <t>24.0萬</t>
        </is>
      </c>
      <c r="H2114" t="n">
        <v>225</v>
      </c>
      <c r="I2114" t="n">
        <v>157</v>
      </c>
      <c r="J2114" t="n">
        <v>3.66</v>
      </c>
      <c r="K2114" t="n">
        <v>16.05</v>
      </c>
      <c r="L2114" t="n">
        <v>15.95</v>
      </c>
      <c r="M2114" s="175" t="n">
        <v>0.61</v>
      </c>
      <c r="N2114" t="inlineStr">
        <is>
          <t>擁有自有品牌之B2B傢俱商，為美國進口傢俱前五名廠商</t>
        </is>
      </c>
    </row>
    <row r="2115">
      <c r="A2115" s="503" t="n">
        <v>8067</v>
      </c>
      <c r="B2115" t="inlineStr">
        <is>
          <t>志旭</t>
        </is>
      </c>
      <c r="C2115" t="n">
        <v>12.6</v>
      </c>
      <c r="D2115" t="n">
        <v>12.75</v>
      </c>
      <c r="E2115" s="504" t="n">
        <v>-0.65</v>
      </c>
      <c r="F2115" s="505" t="n">
        <v>-4.85</v>
      </c>
      <c r="G2115" t="inlineStr">
        <is>
          <t>6.36萬</t>
        </is>
      </c>
      <c r="H2115" t="n">
        <v>5</v>
      </c>
      <c r="I2115" t="n">
        <v>11</v>
      </c>
      <c r="J2115" t="n">
        <v>2.07</v>
      </c>
      <c r="K2115" t="n">
        <v>12.75</v>
      </c>
      <c r="L2115" t="n">
        <v>12.6</v>
      </c>
      <c r="M2115" s="175" t="n">
        <v>0.02</v>
      </c>
      <c r="N2115" t="inlineStr">
        <is>
          <t>光電資訊產品及美妝商品之專業代理商</t>
        </is>
      </c>
    </row>
    <row r="2116">
      <c r="A2116" s="503" t="n">
        <v>8068</v>
      </c>
      <c r="B2116" t="inlineStr">
        <is>
          <t>全達</t>
        </is>
      </c>
      <c r="C2116" t="n">
        <v>20</v>
      </c>
      <c r="D2116" t="n">
        <v>20.25</v>
      </c>
      <c r="E2116" s="504" t="n">
        <v>0.25</v>
      </c>
      <c r="F2116" s="505" t="n">
        <v>1.25</v>
      </c>
      <c r="G2116" t="inlineStr">
        <is>
          <t>1090萬</t>
        </is>
      </c>
      <c r="H2116" t="n">
        <v>537</v>
      </c>
      <c r="I2116" t="n">
        <v>406</v>
      </c>
      <c r="J2116" t="n">
        <v>8.08</v>
      </c>
      <c r="K2116" t="n">
        <v>21</v>
      </c>
      <c r="L2116" t="n">
        <v>19.85</v>
      </c>
      <c r="M2116" s="175" t="n">
        <v>0.66</v>
      </c>
      <c r="N2116" t="inlineStr">
        <is>
          <t>大宇資旗下的IC零組件通路商</t>
        </is>
      </c>
    </row>
    <row r="2117">
      <c r="A2117" s="503" t="n">
        <v>8069</v>
      </c>
      <c r="B2117" t="inlineStr">
        <is>
          <t>元太</t>
        </is>
      </c>
      <c r="C2117" t="n">
        <v>223.5</v>
      </c>
      <c r="D2117" t="n">
        <v>224</v>
      </c>
      <c r="E2117" s="504" t="n">
        <v>-1</v>
      </c>
      <c r="F2117" s="505" t="n">
        <v>-0.44</v>
      </c>
      <c r="G2117" t="inlineStr">
        <is>
          <t>15.0億</t>
        </is>
      </c>
      <c r="H2117" t="n">
        <v>6801</v>
      </c>
      <c r="I2117" t="n">
        <v>10590</v>
      </c>
      <c r="J2117" t="n">
        <v>115.42</v>
      </c>
      <c r="K2117" t="n">
        <v>227</v>
      </c>
      <c r="L2117" t="n">
        <v>216</v>
      </c>
      <c r="M2117" s="175" t="n">
        <v>0.59</v>
      </c>
      <c r="N2117" t="inlineStr">
        <is>
          <t>全球電子紙龍頭廠</t>
        </is>
      </c>
    </row>
    <row r="2118">
      <c r="A2118" s="503" t="n">
        <v>8070</v>
      </c>
      <c r="B2118" t="inlineStr">
        <is>
          <t>長華*</t>
        </is>
      </c>
      <c r="C2118" t="n">
        <v>53.9</v>
      </c>
      <c r="D2118" t="n">
        <v>58</v>
      </c>
      <c r="E2118" s="504" t="n">
        <v>5.2</v>
      </c>
      <c r="F2118" s="505" t="n">
        <v>9.85</v>
      </c>
      <c r="G2118" t="inlineStr">
        <is>
          <t>16.5億</t>
        </is>
      </c>
      <c r="H2118" t="n">
        <v>29148</v>
      </c>
      <c r="I2118" t="n">
        <v>10427</v>
      </c>
      <c r="J2118" t="n">
        <v>7.26</v>
      </c>
      <c r="K2118" t="n">
        <v>58</v>
      </c>
      <c r="L2118" t="n">
        <v>51.4</v>
      </c>
      <c r="M2118" s="175" t="n">
        <v>4.02</v>
      </c>
      <c r="N2118" t="inlineStr">
        <is>
          <t>半導體封裝材料及設備通路商</t>
        </is>
      </c>
    </row>
    <row r="2119">
      <c r="A2119" s="503" t="n">
        <v>8071</v>
      </c>
      <c r="B2119" t="inlineStr">
        <is>
          <t>能率網通</t>
        </is>
      </c>
      <c r="C2119" t="n">
        <v>24.3</v>
      </c>
      <c r="D2119" t="n">
        <v>23.35</v>
      </c>
      <c r="E2119" s="504" t="n">
        <v>-0.05</v>
      </c>
      <c r="F2119" s="505" t="n">
        <v>-0.21</v>
      </c>
      <c r="G2119" t="inlineStr">
        <is>
          <t>1.68億</t>
        </is>
      </c>
      <c r="H2119" t="n">
        <v>7181</v>
      </c>
      <c r="I2119" t="n">
        <v>2580</v>
      </c>
      <c r="J2119" t="n">
        <v>6.01</v>
      </c>
      <c r="K2119" t="n">
        <v>24.5</v>
      </c>
      <c r="L2119" t="n">
        <v>22.2</v>
      </c>
      <c r="M2119" s="175" t="n">
        <v>11.95</v>
      </c>
      <c r="N2119" t="inlineStr">
        <is>
          <t>專精事務機塑膠機構件及隱形眼鏡之生產業務</t>
        </is>
      </c>
    </row>
    <row r="2120">
      <c r="A2120" s="503" t="n">
        <v>8072</v>
      </c>
      <c r="B2120" t="inlineStr">
        <is>
          <t>陞泰</t>
        </is>
      </c>
      <c r="C2120" t="n">
        <v>28.6</v>
      </c>
      <c r="D2120" t="n">
        <v>29.45</v>
      </c>
      <c r="E2120" s="504" t="n">
        <v>1.05</v>
      </c>
      <c r="F2120" s="505" t="n">
        <v>3.7</v>
      </c>
      <c r="G2120" t="inlineStr">
        <is>
          <t>4894萬</t>
        </is>
      </c>
      <c r="H2120" t="n">
        <v>1650</v>
      </c>
      <c r="I2120" t="n">
        <v>337</v>
      </c>
      <c r="J2120" t="n">
        <v>8</v>
      </c>
      <c r="K2120" t="n">
        <v>30.75</v>
      </c>
      <c r="L2120" t="n">
        <v>28.3</v>
      </c>
      <c r="M2120" s="175" t="n">
        <v>2.06</v>
      </c>
      <c r="N2120" t="inlineStr">
        <is>
          <t>從事安全監控系統及半導體代理業務</t>
        </is>
      </c>
    </row>
    <row r="2121">
      <c r="A2121" s="503" t="n">
        <v>8074</v>
      </c>
      <c r="B2121" t="inlineStr">
        <is>
          <t>鉅橡</t>
        </is>
      </c>
      <c r="C2121" t="n">
        <v>77.2</v>
      </c>
      <c r="D2121" t="n">
        <v>74.2</v>
      </c>
      <c r="E2121" s="504" t="n">
        <v>-2.3</v>
      </c>
      <c r="F2121" s="505" t="n">
        <v>-3.01</v>
      </c>
      <c r="G2121" t="inlineStr">
        <is>
          <t>1.07億</t>
        </is>
      </c>
      <c r="H2121" t="n">
        <v>1436</v>
      </c>
      <c r="I2121" t="n">
        <v>1934</v>
      </c>
      <c r="J2121" t="n">
        <v>8.699999999999999</v>
      </c>
      <c r="K2121" t="n">
        <v>77.40000000000001</v>
      </c>
      <c r="L2121" t="n">
        <v>72.09999999999999</v>
      </c>
      <c r="M2121" s="175" t="n">
        <v>1.65</v>
      </c>
      <c r="N2121" t="inlineStr">
        <is>
          <t>全球最大PCB墊板供應商</t>
        </is>
      </c>
    </row>
    <row r="2122">
      <c r="A2122" s="503" t="n">
        <v>8076</v>
      </c>
      <c r="B2122" t="inlineStr">
        <is>
          <t>伍豐</t>
        </is>
      </c>
      <c r="C2122" t="n">
        <v>25</v>
      </c>
      <c r="D2122" t="n">
        <v>24.95</v>
      </c>
      <c r="E2122" s="504" t="n">
        <v>0.05</v>
      </c>
      <c r="F2122" s="505" t="n">
        <v>0.2</v>
      </c>
      <c r="G2122" t="inlineStr">
        <is>
          <t>3148萬</t>
        </is>
      </c>
      <c r="H2122" t="n">
        <v>1271</v>
      </c>
      <c r="I2122" t="n">
        <v>1637</v>
      </c>
      <c r="J2122" t="n">
        <v>29.22</v>
      </c>
      <c r="K2122" t="n">
        <v>25.15</v>
      </c>
      <c r="L2122" t="n">
        <v>24.45</v>
      </c>
      <c r="M2122" s="175" t="n">
        <v>0.43</v>
      </c>
      <c r="N2122" t="inlineStr">
        <is>
          <t>跨入博奕產業之台灣POS專業廠商</t>
        </is>
      </c>
    </row>
    <row r="2123">
      <c r="A2123" s="503" t="n">
        <v>8077</v>
      </c>
      <c r="B2123" t="inlineStr">
        <is>
          <t>洛碁</t>
        </is>
      </c>
      <c r="C2123" t="n">
        <v>49</v>
      </c>
      <c r="D2123" t="n">
        <v>49</v>
      </c>
      <c r="E2123" s="504" t="n">
        <v>0.35</v>
      </c>
      <c r="F2123" s="505" t="n">
        <v>0.72</v>
      </c>
      <c r="G2123" t="inlineStr">
        <is>
          <t>19.6萬</t>
        </is>
      </c>
      <c r="H2123" t="n">
        <v>4</v>
      </c>
      <c r="I2123" t="n">
        <v>11</v>
      </c>
      <c r="J2123" t="n">
        <v>2.19</v>
      </c>
      <c r="K2123" t="n">
        <v>49</v>
      </c>
      <c r="L2123" t="n">
        <v>48.7</v>
      </c>
      <c r="M2123" s="175" t="n">
        <v>0.02</v>
      </c>
      <c r="N2123" t="inlineStr">
        <is>
          <t>以台北市為主的飯店經營業者</t>
        </is>
      </c>
    </row>
    <row r="2124">
      <c r="A2124" s="503" t="n">
        <v>8080</v>
      </c>
      <c r="B2124" t="inlineStr">
        <is>
          <t>泰霖</t>
        </is>
      </c>
      <c r="C2124" t="n">
        <v>28</v>
      </c>
      <c r="D2124" t="n">
        <v>27.9</v>
      </c>
      <c r="E2124" s="504" t="n">
        <v>-0.25</v>
      </c>
      <c r="F2124" s="505" t="n">
        <v>-0.89</v>
      </c>
      <c r="G2124" t="inlineStr">
        <is>
          <t>123萬</t>
        </is>
      </c>
      <c r="H2124" t="n">
        <v>44</v>
      </c>
      <c r="I2124" t="n">
        <v>36</v>
      </c>
      <c r="J2124" t="n">
        <v>6.72</v>
      </c>
      <c r="K2124" t="n">
        <v>28</v>
      </c>
      <c r="L2124" t="n">
        <v>27.9</v>
      </c>
      <c r="M2124" s="175" t="n">
        <v>0.07000000000000001</v>
      </c>
      <c r="N2124" t="inlineStr">
        <is>
          <t>營建剩餘土石方工程商</t>
        </is>
      </c>
    </row>
    <row r="2125">
      <c r="A2125" s="503" t="n">
        <v>8081</v>
      </c>
      <c r="B2125" t="inlineStr">
        <is>
          <t>致新</t>
        </is>
      </c>
      <c r="C2125" t="n">
        <v>290</v>
      </c>
      <c r="D2125" t="n">
        <v>284.5</v>
      </c>
      <c r="E2125" s="504" t="n">
        <v>-5.5</v>
      </c>
      <c r="F2125" s="505" t="n">
        <v>-1.9</v>
      </c>
      <c r="G2125" t="inlineStr">
        <is>
          <t>3.80億</t>
        </is>
      </c>
      <c r="H2125" t="n">
        <v>1336</v>
      </c>
      <c r="I2125" t="n">
        <v>1647</v>
      </c>
      <c r="J2125" t="n">
        <v>8.619999999999999</v>
      </c>
      <c r="K2125" t="n">
        <v>291</v>
      </c>
      <c r="L2125" t="n">
        <v>279.5</v>
      </c>
      <c r="M2125" s="175" t="n">
        <v>1.55</v>
      </c>
      <c r="N2125" t="inlineStr">
        <is>
          <t>台灣前三大類比IC設計公司</t>
        </is>
      </c>
    </row>
    <row r="2126">
      <c r="A2126" s="503" t="n">
        <v>8083</v>
      </c>
      <c r="B2126" t="inlineStr">
        <is>
          <t>瑞穎</t>
        </is>
      </c>
      <c r="C2126" t="n">
        <v>169</v>
      </c>
      <c r="D2126" t="n">
        <v>170</v>
      </c>
      <c r="E2126" s="504" t="n">
        <v>2</v>
      </c>
      <c r="F2126" s="505" t="n">
        <v>1.19</v>
      </c>
      <c r="G2126" t="inlineStr">
        <is>
          <t>2024萬</t>
        </is>
      </c>
      <c r="H2126" t="n">
        <v>120</v>
      </c>
      <c r="I2126" t="n">
        <v>63</v>
      </c>
      <c r="J2126" t="n">
        <v>3.51</v>
      </c>
      <c r="K2126" t="n">
        <v>170</v>
      </c>
      <c r="L2126" t="n">
        <v>167.5</v>
      </c>
      <c r="M2126" s="175" t="n">
        <v>0.34</v>
      </c>
      <c r="N2126" t="inlineStr">
        <is>
          <t>台灣軸承製造商，主要應用於車庫門、手推車等</t>
        </is>
      </c>
    </row>
    <row r="2127">
      <c r="A2127" s="503" t="n">
        <v>8084</v>
      </c>
      <c r="B2127" t="inlineStr">
        <is>
          <t>巨虹</t>
        </is>
      </c>
      <c r="C2127" t="n">
        <v>50</v>
      </c>
      <c r="D2127" t="n">
        <v>49.5</v>
      </c>
      <c r="E2127" s="504" t="n">
        <v>0.5</v>
      </c>
      <c r="F2127" s="505" t="n">
        <v>1.02</v>
      </c>
      <c r="G2127" t="inlineStr">
        <is>
          <t>719萬</t>
        </is>
      </c>
      <c r="H2127" t="n">
        <v>146</v>
      </c>
      <c r="I2127" t="n">
        <v>137</v>
      </c>
      <c r="J2127" t="n">
        <v>6.95</v>
      </c>
      <c r="K2127" t="n">
        <v>50.7</v>
      </c>
      <c r="L2127" t="n">
        <v>48.6</v>
      </c>
      <c r="M2127" s="175" t="n">
        <v>0.21</v>
      </c>
      <c r="N2127" t="inlineStr">
        <is>
          <t>經營記憶體通路及餐飲、助聽器等產品</t>
        </is>
      </c>
    </row>
    <row r="2128">
      <c r="A2128" s="503" t="n">
        <v>8085</v>
      </c>
      <c r="B2128" t="inlineStr">
        <is>
          <t>福華</t>
        </is>
      </c>
      <c r="C2128" t="n">
        <v>13.35</v>
      </c>
      <c r="D2128" t="n">
        <v>13.35</v>
      </c>
      <c r="E2128" s="504" t="n">
        <v>1.2</v>
      </c>
      <c r="F2128" s="505" t="n">
        <v>9.880000000000001</v>
      </c>
      <c r="G2128" t="inlineStr">
        <is>
          <t>705萬</t>
        </is>
      </c>
      <c r="H2128" t="n">
        <v>528</v>
      </c>
      <c r="I2128" t="n">
        <v>550</v>
      </c>
      <c r="J2128" t="n">
        <v>14</v>
      </c>
      <c r="K2128" t="n">
        <v>13.35</v>
      </c>
      <c r="L2128" t="n">
        <v>13.35</v>
      </c>
      <c r="M2128" s="175" t="n">
        <v>0.38</v>
      </c>
      <c r="N2128" t="inlineStr">
        <is>
          <t>大同集團旗下電子零組件廠</t>
        </is>
      </c>
    </row>
    <row r="2129">
      <c r="A2129" s="503" t="n">
        <v>8086</v>
      </c>
      <c r="B2129" t="inlineStr">
        <is>
          <t>宏捷科</t>
        </is>
      </c>
      <c r="C2129" t="n">
        <v>168</v>
      </c>
      <c r="D2129" t="n">
        <v>168</v>
      </c>
      <c r="E2129" s="504" t="n">
        <v>2</v>
      </c>
      <c r="F2129" s="505" t="n">
        <v>1.2</v>
      </c>
      <c r="G2129" t="inlineStr">
        <is>
          <t>9.58億</t>
        </is>
      </c>
      <c r="H2129" t="n">
        <v>5736</v>
      </c>
      <c r="I2129" t="n">
        <v>9845</v>
      </c>
      <c r="J2129" t="n">
        <v>19.65</v>
      </c>
      <c r="K2129" t="n">
        <v>173.5</v>
      </c>
      <c r="L2129" t="n">
        <v>163.5</v>
      </c>
      <c r="M2129" s="175" t="n">
        <v>2.92</v>
      </c>
      <c r="N2129" t="inlineStr">
        <is>
          <t>全球前三大砷化鎵晶圓代工廠</t>
        </is>
      </c>
    </row>
    <row r="2130">
      <c r="A2130" s="503" t="n">
        <v>8087</v>
      </c>
      <c r="B2130" t="inlineStr">
        <is>
          <t>麗升能源</t>
        </is>
      </c>
      <c r="C2130" t="n">
        <v>34.1</v>
      </c>
      <c r="D2130" t="n">
        <v>33.8</v>
      </c>
      <c r="E2130" s="504" t="n">
        <v>-0.05</v>
      </c>
      <c r="F2130" s="505" t="n">
        <v>-0.15</v>
      </c>
      <c r="G2130" t="inlineStr">
        <is>
          <t>139萬</t>
        </is>
      </c>
      <c r="H2130" t="n">
        <v>42</v>
      </c>
      <c r="I2130" t="n">
        <v>64</v>
      </c>
      <c r="J2130" t="n">
        <v>3.87</v>
      </c>
      <c r="K2130" t="n">
        <v>34.15</v>
      </c>
      <c r="L2130" t="n">
        <v>33.6</v>
      </c>
      <c r="M2130" s="175" t="n">
        <v>0.11</v>
      </c>
      <c r="N2130" t="inlineStr">
        <is>
          <t>從事太陽能、風電等再生能源電廠投資與建置業務</t>
        </is>
      </c>
    </row>
    <row r="2131">
      <c r="A2131" s="503" t="n">
        <v>8088</v>
      </c>
      <c r="B2131" t="inlineStr">
        <is>
          <t>品安</t>
        </is>
      </c>
      <c r="C2131" t="n">
        <v>60.1</v>
      </c>
      <c r="D2131" t="n">
        <v>65.59999999999999</v>
      </c>
      <c r="E2131" s="504" t="n">
        <v>5.9</v>
      </c>
      <c r="F2131" s="505" t="n">
        <v>9.880000000000001</v>
      </c>
      <c r="G2131" t="inlineStr">
        <is>
          <t>9.96億</t>
        </is>
      </c>
      <c r="H2131" t="n">
        <v>15653</v>
      </c>
      <c r="I2131" t="n">
        <v>8559</v>
      </c>
      <c r="J2131" t="n">
        <v>6.09</v>
      </c>
      <c r="K2131" t="n">
        <v>65.59999999999999</v>
      </c>
      <c r="L2131" t="n">
        <v>60</v>
      </c>
      <c r="M2131" s="175" t="n">
        <v>25.69</v>
      </c>
      <c r="N2131" t="inlineStr">
        <is>
          <t>台灣記憶體模組廠</t>
        </is>
      </c>
    </row>
    <row r="2132">
      <c r="A2132" s="503" t="n">
        <v>8089</v>
      </c>
      <c r="B2132" t="inlineStr">
        <is>
          <t>康全電訊</t>
        </is>
      </c>
      <c r="C2132" t="n">
        <v>20.45</v>
      </c>
      <c r="D2132" t="n">
        <v>20.85</v>
      </c>
      <c r="E2132" s="504" t="n">
        <v>0.4</v>
      </c>
      <c r="F2132" s="505" t="n">
        <v>1.96</v>
      </c>
      <c r="G2132" t="inlineStr">
        <is>
          <t>924萬</t>
        </is>
      </c>
      <c r="H2132" t="n">
        <v>455</v>
      </c>
      <c r="I2132" t="n">
        <v>216</v>
      </c>
      <c r="J2132" t="n">
        <v>6.6</v>
      </c>
      <c r="K2132" t="n">
        <v>21.2</v>
      </c>
      <c r="L2132" t="n">
        <v>19.85</v>
      </c>
      <c r="M2132" s="175" t="n">
        <v>0.6899999999999999</v>
      </c>
      <c r="N2132" t="inlineStr">
        <is>
          <t>訊舟轉投資網路通訊設備廠</t>
        </is>
      </c>
    </row>
    <row r="2133">
      <c r="A2133" s="503" t="n">
        <v>8091</v>
      </c>
      <c r="B2133" t="inlineStr">
        <is>
          <t>翔名</t>
        </is>
      </c>
      <c r="C2133" t="n">
        <v>264</v>
      </c>
      <c r="D2133" t="n">
        <v>252</v>
      </c>
      <c r="E2133" s="504" t="n">
        <v>-13.5</v>
      </c>
      <c r="F2133" s="505" t="n">
        <v>-5.08</v>
      </c>
      <c r="G2133" t="inlineStr">
        <is>
          <t>1.60億</t>
        </is>
      </c>
      <c r="H2133" t="n">
        <v>629</v>
      </c>
      <c r="I2133" t="n">
        <v>429</v>
      </c>
      <c r="J2133" t="n">
        <v>5.36</v>
      </c>
      <c r="K2133" t="n">
        <v>264</v>
      </c>
      <c r="L2133" t="n">
        <v>248</v>
      </c>
      <c r="M2133" s="175" t="n">
        <v>1.18</v>
      </c>
      <c r="N2133" t="inlineStr">
        <is>
          <t>台灣半導體離子植入機之關鍵零件最大供應商</t>
        </is>
      </c>
    </row>
    <row r="2134">
      <c r="A2134" s="503" t="n">
        <v>8092</v>
      </c>
      <c r="B2134" t="inlineStr">
        <is>
          <t>建暐</t>
        </is>
      </c>
      <c r="C2134" t="n">
        <v>17.45</v>
      </c>
      <c r="D2134" t="n">
        <v>16.9</v>
      </c>
      <c r="E2134" s="504" t="n">
        <v>-0.2</v>
      </c>
      <c r="F2134" s="505" t="n">
        <v>-1.17</v>
      </c>
      <c r="G2134" t="inlineStr">
        <is>
          <t>229萬</t>
        </is>
      </c>
      <c r="H2134" t="n">
        <v>135</v>
      </c>
      <c r="I2134" t="n">
        <v>162</v>
      </c>
      <c r="J2134" t="n">
        <v>5.72</v>
      </c>
      <c r="K2134" t="n">
        <v>17.45</v>
      </c>
      <c r="L2134" t="n">
        <v>16.65</v>
      </c>
      <c r="M2134" s="175" t="n">
        <v>0.24</v>
      </c>
      <c r="N2134" t="inlineStr">
        <is>
          <t>IC封裝模具及量測儀器廠製造商</t>
        </is>
      </c>
    </row>
    <row r="2135">
      <c r="A2135" s="503" t="n">
        <v>8093</v>
      </c>
      <c r="B2135" t="inlineStr">
        <is>
          <t>保銳</t>
        </is>
      </c>
      <c r="C2135" t="n">
        <v>18.4</v>
      </c>
      <c r="D2135" t="n">
        <v>18.25</v>
      </c>
      <c r="E2135" s="504" t="n">
        <v>-0.35</v>
      </c>
      <c r="F2135" s="505" t="n">
        <v>-1.88</v>
      </c>
      <c r="G2135" t="inlineStr">
        <is>
          <t>23.3萬</t>
        </is>
      </c>
      <c r="H2135" t="n">
        <v>13</v>
      </c>
      <c r="I2135" t="n">
        <v>25</v>
      </c>
      <c r="J2135" t="n">
        <v>5.66</v>
      </c>
      <c r="K2135" t="n">
        <v>18.4</v>
      </c>
      <c r="L2135" t="n">
        <v>17.7</v>
      </c>
      <c r="M2135" s="175" t="n">
        <v>0.04</v>
      </c>
      <c r="N2135" t="inlineStr">
        <is>
          <t>主攻高階DIY市場且經營自有品牌之電源與電腦週邊廠</t>
        </is>
      </c>
    </row>
    <row r="2136">
      <c r="A2136" s="503" t="n">
        <v>8096</v>
      </c>
      <c r="B2136" t="inlineStr">
        <is>
          <t>擎亞</t>
        </is>
      </c>
      <c r="C2136" t="n">
        <v>137</v>
      </c>
      <c r="D2136" t="n">
        <v>137</v>
      </c>
      <c r="E2136" s="504" t="n">
        <v>2.5</v>
      </c>
      <c r="F2136" s="505" t="n">
        <v>1.86</v>
      </c>
      <c r="G2136" t="inlineStr">
        <is>
          <t>25.7億</t>
        </is>
      </c>
      <c r="H2136" t="n">
        <v>18850</v>
      </c>
      <c r="I2136" t="n">
        <v>12793</v>
      </c>
      <c r="J2136" t="n">
        <v>14.93</v>
      </c>
      <c r="K2136" t="n">
        <v>145</v>
      </c>
      <c r="L2136" t="n">
        <v>132</v>
      </c>
      <c r="M2136" s="175" t="n">
        <v>12.62</v>
      </c>
      <c r="N2136" t="inlineStr">
        <is>
          <t>為韓國三星在台之主要合作夥伴</t>
        </is>
      </c>
    </row>
    <row r="2137">
      <c r="A2137" s="503" t="n">
        <v>8097</v>
      </c>
      <c r="B2137" t="inlineStr">
        <is>
          <t>常珵</t>
        </is>
      </c>
      <c r="C2137" t="n">
        <v>61.2</v>
      </c>
      <c r="D2137" t="n">
        <v>61.2</v>
      </c>
      <c r="E2137" s="504" t="n">
        <v>1.4</v>
      </c>
      <c r="F2137" s="505" t="n">
        <v>2.34</v>
      </c>
      <c r="G2137" t="inlineStr">
        <is>
          <t>2069萬</t>
        </is>
      </c>
      <c r="H2137" t="n">
        <v>339</v>
      </c>
      <c r="I2137" t="n">
        <v>91</v>
      </c>
      <c r="J2137" t="n">
        <v>6.38</v>
      </c>
      <c r="K2137" t="n">
        <v>62.6</v>
      </c>
      <c r="L2137" t="n">
        <v>59.7</v>
      </c>
      <c r="M2137" s="175" t="n">
        <v>0.53</v>
      </c>
      <c r="N2137" t="inlineStr">
        <is>
          <t>網通CPE設備供應商</t>
        </is>
      </c>
    </row>
    <row r="2138">
      <c r="A2138" s="503" t="n">
        <v>8099</v>
      </c>
      <c r="B2138" t="inlineStr">
        <is>
          <t>大世科</t>
        </is>
      </c>
      <c r="C2138" t="n">
        <v>62.1</v>
      </c>
      <c r="D2138" t="n">
        <v>62.6</v>
      </c>
      <c r="E2138" s="504" t="n">
        <v>0.4</v>
      </c>
      <c r="F2138" s="505" t="n">
        <v>0.64</v>
      </c>
      <c r="G2138" t="inlineStr">
        <is>
          <t>1287萬</t>
        </is>
      </c>
      <c r="H2138" t="n">
        <v>207</v>
      </c>
      <c r="I2138" t="n">
        <v>137</v>
      </c>
      <c r="J2138" t="n">
        <v>10.01</v>
      </c>
      <c r="K2138" t="n">
        <v>63.7</v>
      </c>
      <c r="L2138" t="n">
        <v>61.9</v>
      </c>
      <c r="M2138" s="175" t="n">
        <v>0.21</v>
      </c>
      <c r="N2138" t="inlineStr">
        <is>
          <t>大同旗下資訊通信系統整合廠商</t>
        </is>
      </c>
    </row>
    <row r="2139">
      <c r="A2139" s="503" t="n">
        <v>8101</v>
      </c>
      <c r="B2139" t="inlineStr">
        <is>
          <t>華冠</t>
        </is>
      </c>
      <c r="C2139" t="n">
        <v>15.05</v>
      </c>
      <c r="D2139" t="n">
        <v>15</v>
      </c>
      <c r="E2139" s="504" t="n">
        <v>0.45</v>
      </c>
      <c r="F2139" s="505" t="n">
        <v>3.09</v>
      </c>
      <c r="G2139" t="inlineStr">
        <is>
          <t>64.6萬</t>
        </is>
      </c>
      <c r="H2139" t="n">
        <v>44</v>
      </c>
      <c r="I2139" t="n">
        <v>18</v>
      </c>
      <c r="J2139" t="n">
        <v>5.37</v>
      </c>
      <c r="K2139" t="n">
        <v>15.1</v>
      </c>
      <c r="L2139" t="n">
        <v>14.3</v>
      </c>
      <c r="M2139" s="175" t="n">
        <v>0.3</v>
      </c>
      <c r="N2139" t="inlineStr">
        <is>
          <t>台灣從事行動通訊產品製造商</t>
        </is>
      </c>
    </row>
    <row r="2140">
      <c r="A2140" s="503" t="n">
        <v>8102</v>
      </c>
      <c r="B2140" t="inlineStr">
        <is>
          <t>傑霖科技</t>
        </is>
      </c>
      <c r="C2140" t="n">
        <v>73</v>
      </c>
      <c r="D2140" t="n">
        <v>80</v>
      </c>
      <c r="E2140" s="504" t="n">
        <v>6.6</v>
      </c>
      <c r="F2140" s="505" t="n">
        <v>8.99</v>
      </c>
      <c r="G2140" t="inlineStr">
        <is>
          <t>1517萬</t>
        </is>
      </c>
      <c r="H2140" t="n">
        <v>207</v>
      </c>
      <c r="I2140" t="n">
        <v>68</v>
      </c>
      <c r="J2140" t="n">
        <v>2.34</v>
      </c>
      <c r="K2140" t="n">
        <v>80</v>
      </c>
      <c r="L2140" t="n">
        <v>71.5</v>
      </c>
      <c r="M2140" s="175" t="n">
        <v>0.89</v>
      </c>
      <c r="N2140" t="inlineStr">
        <is>
          <t>專注於影像處理IC設計公司</t>
        </is>
      </c>
    </row>
    <row r="2141">
      <c r="A2141" s="503" t="n">
        <v>8103</v>
      </c>
      <c r="B2141" t="inlineStr">
        <is>
          <t>瀚荃</t>
        </is>
      </c>
      <c r="C2141" t="n">
        <v>113</v>
      </c>
      <c r="D2141" t="n">
        <v>103.5</v>
      </c>
      <c r="E2141" s="504" t="n">
        <v>-10</v>
      </c>
      <c r="F2141" s="505" t="n">
        <v>-8.81</v>
      </c>
      <c r="G2141" t="inlineStr">
        <is>
          <t>3.33億</t>
        </is>
      </c>
      <c r="H2141" t="n">
        <v>3142</v>
      </c>
      <c r="I2141" t="n">
        <v>2912</v>
      </c>
      <c r="J2141" t="n">
        <v>7.84</v>
      </c>
      <c r="K2141" t="n">
        <v>113</v>
      </c>
      <c r="L2141" t="n">
        <v>102.5</v>
      </c>
      <c r="M2141" s="175" t="n">
        <v>4.01</v>
      </c>
      <c r="N2141" t="inlineStr">
        <is>
          <t>各種應用之連接器及線纜組件廠</t>
        </is>
      </c>
    </row>
    <row r="2142">
      <c r="A2142" s="503" t="n">
        <v>8104</v>
      </c>
      <c r="B2142" t="inlineStr">
        <is>
          <t>錸寶</t>
        </is>
      </c>
      <c r="C2142" t="n">
        <v>40.65</v>
      </c>
      <c r="D2142" t="n">
        <v>40.55</v>
      </c>
      <c r="E2142" s="504" t="n">
        <v>-0.95</v>
      </c>
      <c r="F2142" s="505" t="n">
        <v>-2.29</v>
      </c>
      <c r="G2142" t="inlineStr">
        <is>
          <t>1.18億</t>
        </is>
      </c>
      <c r="H2142" t="n">
        <v>2962</v>
      </c>
      <c r="I2142" t="n">
        <v>6620</v>
      </c>
      <c r="J2142" t="n">
        <v>10.41</v>
      </c>
      <c r="K2142" t="n">
        <v>41.15</v>
      </c>
      <c r="L2142" t="n">
        <v>39</v>
      </c>
      <c r="M2142" s="175" t="n">
        <v>2.85</v>
      </c>
      <c r="N2142" t="inlineStr">
        <is>
          <t>錸德轉投資的全球PMOLED龍頭廠商</t>
        </is>
      </c>
    </row>
    <row r="2143">
      <c r="A2143" s="503" t="n">
        <v>8105</v>
      </c>
      <c r="B2143" t="inlineStr">
        <is>
          <t>凌巨</t>
        </is>
      </c>
      <c r="C2143" t="n">
        <v>19.8</v>
      </c>
      <c r="D2143" t="n">
        <v>21.2</v>
      </c>
      <c r="E2143" s="504" t="n">
        <v>1.9</v>
      </c>
      <c r="F2143" s="505" t="n">
        <v>9.84</v>
      </c>
      <c r="G2143" t="inlineStr">
        <is>
          <t>8.66億</t>
        </is>
      </c>
      <c r="H2143" t="n">
        <v>44056</v>
      </c>
      <c r="I2143" t="n">
        <v>9872</v>
      </c>
      <c r="J2143" t="n">
        <v>44.15</v>
      </c>
      <c r="K2143" t="n">
        <v>21.2</v>
      </c>
      <c r="L2143" t="n">
        <v>17.8</v>
      </c>
      <c r="M2143" s="175" t="n">
        <v>9.98</v>
      </c>
      <c r="N2143" t="inlineStr">
        <is>
          <t>從事製造利基型顯示模組</t>
        </is>
      </c>
    </row>
    <row r="2144">
      <c r="A2144" s="503" t="n">
        <v>8107</v>
      </c>
      <c r="B2144" t="inlineStr">
        <is>
          <t>大億金茂</t>
        </is>
      </c>
      <c r="C2144" t="n">
        <v>12.55</v>
      </c>
      <c r="D2144" t="n">
        <v>12.35</v>
      </c>
      <c r="E2144" s="504" t="n">
        <v>-0.2</v>
      </c>
      <c r="F2144" s="505" t="n">
        <v>-1.59</v>
      </c>
      <c r="G2144" t="inlineStr">
        <is>
          <t>90.5萬</t>
        </is>
      </c>
      <c r="H2144" t="n">
        <v>73</v>
      </c>
      <c r="I2144" t="n">
        <v>582</v>
      </c>
      <c r="J2144" t="n">
        <v>7.5</v>
      </c>
      <c r="K2144" t="n">
        <v>12.55</v>
      </c>
      <c r="L2144" t="n">
        <v>12.3</v>
      </c>
      <c r="M2144" s="175" t="n">
        <v>0.1</v>
      </c>
      <c r="N2144" t="inlineStr">
        <is>
          <t>大億集團旗下之汽車零組件供應商</t>
        </is>
      </c>
    </row>
    <row r="2145">
      <c r="A2145" s="503" t="n">
        <v>8109</v>
      </c>
      <c r="B2145" t="inlineStr">
        <is>
          <t>博大</t>
        </is>
      </c>
      <c r="C2145" t="n">
        <v>127</v>
      </c>
      <c r="D2145" t="n">
        <v>123</v>
      </c>
      <c r="E2145" s="504" t="n">
        <v>-3.5</v>
      </c>
      <c r="F2145" s="505" t="n">
        <v>-2.77</v>
      </c>
      <c r="G2145" t="inlineStr">
        <is>
          <t>3248萬</t>
        </is>
      </c>
      <c r="H2145" t="n">
        <v>262</v>
      </c>
      <c r="I2145" t="n">
        <v>385</v>
      </c>
      <c r="J2145" t="n">
        <v>8.220000000000001</v>
      </c>
      <c r="K2145" t="n">
        <v>127.5</v>
      </c>
      <c r="L2145" t="n">
        <v>122</v>
      </c>
      <c r="M2145" s="175" t="n">
        <v>0.32</v>
      </c>
      <c r="N2145" t="inlineStr">
        <is>
          <t>台灣專攻工業與通訊應用之利基型電源廠</t>
        </is>
      </c>
    </row>
    <row r="2146">
      <c r="A2146" s="503" t="n">
        <v>8110</v>
      </c>
      <c r="B2146" t="inlineStr">
        <is>
          <t>華東</t>
        </is>
      </c>
      <c r="C2146" t="n">
        <v>63.9</v>
      </c>
      <c r="D2146" t="n">
        <v>61.6</v>
      </c>
      <c r="E2146" s="504" t="n">
        <v>-3.6</v>
      </c>
      <c r="F2146" s="505" t="n">
        <v>-5.52</v>
      </c>
      <c r="G2146" t="inlineStr">
        <is>
          <t>23.4億</t>
        </is>
      </c>
      <c r="H2146" t="n">
        <v>37950</v>
      </c>
      <c r="I2146" t="n">
        <v>69136</v>
      </c>
      <c r="J2146" t="n">
        <v>51.77</v>
      </c>
      <c r="K2146" t="n">
        <v>65.5</v>
      </c>
      <c r="L2146" t="n">
        <v>58.9</v>
      </c>
      <c r="M2146" s="175" t="n">
        <v>7.33</v>
      </c>
      <c r="N2146" t="inlineStr">
        <is>
          <t>華新集團旗下封測廠</t>
        </is>
      </c>
    </row>
    <row r="2147">
      <c r="A2147" s="503" t="n">
        <v>8111</v>
      </c>
      <c r="B2147" t="inlineStr">
        <is>
          <t>立碁</t>
        </is>
      </c>
      <c r="C2147" t="n">
        <v>67</v>
      </c>
      <c r="D2147" t="n">
        <v>63.6</v>
      </c>
      <c r="E2147" s="504" t="n">
        <v>-2.4</v>
      </c>
      <c r="F2147" s="505" t="n">
        <v>-3.64</v>
      </c>
      <c r="G2147" t="inlineStr">
        <is>
          <t>1.89億</t>
        </is>
      </c>
      <c r="H2147" t="n">
        <v>2901</v>
      </c>
      <c r="I2147" t="n">
        <v>2064</v>
      </c>
      <c r="J2147" t="n">
        <v>10.91</v>
      </c>
      <c r="K2147" t="n">
        <v>68</v>
      </c>
      <c r="L2147" t="n">
        <v>63</v>
      </c>
      <c r="M2147" s="175" t="n">
        <v>2.66</v>
      </c>
      <c r="N2147" t="inlineStr">
        <is>
          <t>台灣LED元件生產商及封裝大廠</t>
        </is>
      </c>
    </row>
    <row r="2148">
      <c r="A2148" s="503" t="n">
        <v>8112</v>
      </c>
      <c r="B2148" t="inlineStr">
        <is>
          <t>至上</t>
        </is>
      </c>
      <c r="C2148" t="n">
        <v>93</v>
      </c>
      <c r="D2148" t="n">
        <v>94.5</v>
      </c>
      <c r="E2148" s="504" t="n">
        <v>3.1</v>
      </c>
      <c r="F2148" s="505" t="n">
        <v>3.39</v>
      </c>
      <c r="G2148" t="inlineStr">
        <is>
          <t>76.0億</t>
        </is>
      </c>
      <c r="H2148" t="n">
        <v>81027</v>
      </c>
      <c r="I2148" t="n">
        <v>34931</v>
      </c>
      <c r="J2148" t="n">
        <v>52.53</v>
      </c>
      <c r="K2148" t="n">
        <v>96.5</v>
      </c>
      <c r="L2148" t="n">
        <v>91.59999999999999</v>
      </c>
      <c r="M2148" s="175" t="n">
        <v>15.43</v>
      </c>
      <c r="N2148" t="inlineStr">
        <is>
          <t>主要代理品牌以Samsung為主之IC通路商</t>
        </is>
      </c>
    </row>
    <row r="2149">
      <c r="A2149" s="503" t="n">
        <v>8114</v>
      </c>
      <c r="B2149" t="inlineStr">
        <is>
          <t>振樺電</t>
        </is>
      </c>
      <c r="C2149" t="n">
        <v>260</v>
      </c>
      <c r="D2149" t="n">
        <v>254.5</v>
      </c>
      <c r="E2149" s="504" t="n">
        <v>-5</v>
      </c>
      <c r="F2149" s="505" t="n">
        <v>-1.93</v>
      </c>
      <c r="G2149" t="inlineStr">
        <is>
          <t>5.74億</t>
        </is>
      </c>
      <c r="H2149" t="n">
        <v>2296</v>
      </c>
      <c r="I2149" t="n">
        <v>1417</v>
      </c>
      <c r="J2149" t="n">
        <v>7.65</v>
      </c>
      <c r="K2149" t="n">
        <v>262</v>
      </c>
      <c r="L2149" t="n">
        <v>239.5</v>
      </c>
      <c r="M2149" s="175" t="n">
        <v>3</v>
      </c>
      <c r="N2149" t="inlineStr">
        <is>
          <t>全球前五大POS品牌廠之一</t>
        </is>
      </c>
    </row>
    <row r="2150">
      <c r="A2150" s="503" t="n">
        <v>8121</v>
      </c>
      <c r="B2150" t="inlineStr">
        <is>
          <t>越峰</t>
        </is>
      </c>
      <c r="C2150" t="n">
        <v>40.2</v>
      </c>
      <c r="D2150" t="n">
        <v>38.75</v>
      </c>
      <c r="E2150" s="504" t="n">
        <v>-0.85</v>
      </c>
      <c r="F2150" s="505" t="n">
        <v>-2.15</v>
      </c>
      <c r="G2150" t="inlineStr">
        <is>
          <t>7848萬</t>
        </is>
      </c>
      <c r="H2150" t="n">
        <v>2051</v>
      </c>
      <c r="I2150" t="n">
        <v>2845</v>
      </c>
      <c r="J2150" t="n">
        <v>21.3</v>
      </c>
      <c r="K2150" t="n">
        <v>40.2</v>
      </c>
      <c r="L2150" t="n">
        <v>37.5</v>
      </c>
      <c r="M2150" s="175" t="n">
        <v>0.96</v>
      </c>
      <c r="N2150" t="inlineStr">
        <is>
          <t>台聚旗下、台灣最大錳鋅系列鐵芯等電感類製造商</t>
        </is>
      </c>
    </row>
    <row r="2151">
      <c r="A2151" s="503" t="n">
        <v>8131</v>
      </c>
      <c r="B2151" t="inlineStr">
        <is>
          <t>福懋科</t>
        </is>
      </c>
      <c r="C2151" t="n">
        <v>75.8</v>
      </c>
      <c r="D2151" t="n">
        <v>73.5</v>
      </c>
      <c r="E2151" s="504" t="n">
        <v>-2</v>
      </c>
      <c r="F2151" s="505" t="n">
        <v>-2.65</v>
      </c>
      <c r="G2151" t="inlineStr">
        <is>
          <t>7.19億</t>
        </is>
      </c>
      <c r="H2151" t="n">
        <v>9714</v>
      </c>
      <c r="I2151" t="n">
        <v>13156</v>
      </c>
      <c r="J2151" t="n">
        <v>44.22</v>
      </c>
      <c r="K2151" t="n">
        <v>76.7</v>
      </c>
      <c r="L2151" t="n">
        <v>71</v>
      </c>
      <c r="M2151" s="175" t="n">
        <v>2.2</v>
      </c>
      <c r="N2151" t="inlineStr">
        <is>
          <t>南亞科旗下記憶體封測廠</t>
        </is>
      </c>
    </row>
    <row r="2152">
      <c r="A2152" s="503" t="n">
        <v>8147</v>
      </c>
      <c r="B2152" t="inlineStr">
        <is>
          <t>正淩</t>
        </is>
      </c>
      <c r="C2152" t="n">
        <v>172</v>
      </c>
      <c r="D2152" t="n">
        <v>168</v>
      </c>
      <c r="E2152" s="504" t="n">
        <v>-3.5</v>
      </c>
      <c r="F2152" s="505" t="n">
        <v>-2.04</v>
      </c>
      <c r="G2152" t="inlineStr">
        <is>
          <t>1.66億</t>
        </is>
      </c>
      <c r="H2152" t="n">
        <v>1009</v>
      </c>
      <c r="I2152" t="n">
        <v>917</v>
      </c>
      <c r="J2152" t="n">
        <v>4.17</v>
      </c>
      <c r="K2152" t="n">
        <v>172.5</v>
      </c>
      <c r="L2152" t="n">
        <v>161.5</v>
      </c>
      <c r="M2152" s="175" t="n">
        <v>2.43</v>
      </c>
      <c r="N2152" t="inlineStr">
        <is>
          <t>生產PC、工業及通信用的連接器廠商</t>
        </is>
      </c>
    </row>
    <row r="2153">
      <c r="A2153" s="503" t="n">
        <v>8150</v>
      </c>
      <c r="B2153" t="inlineStr">
        <is>
          <t>南茂</t>
        </is>
      </c>
      <c r="C2153" t="n">
        <v>104.5</v>
      </c>
      <c r="D2153" t="n">
        <v>98.59999999999999</v>
      </c>
      <c r="E2153" s="504" t="n">
        <v>-7.9</v>
      </c>
      <c r="F2153" s="505" t="n">
        <v>-7.42</v>
      </c>
      <c r="G2153" t="inlineStr">
        <is>
          <t>61.2億</t>
        </is>
      </c>
      <c r="H2153" t="n">
        <v>60328</v>
      </c>
      <c r="I2153" t="n">
        <v>74045</v>
      </c>
      <c r="J2153" t="n">
        <v>70.45</v>
      </c>
      <c r="K2153" t="n">
        <v>110</v>
      </c>
      <c r="L2153" t="n">
        <v>97.3</v>
      </c>
      <c r="M2153" s="175" t="n">
        <v>8.56</v>
      </c>
      <c r="N2153" t="inlineStr">
        <is>
          <t>全球前3大LCD驅動IC封測廠</t>
        </is>
      </c>
    </row>
    <row r="2154">
      <c r="A2154" s="503" t="n">
        <v>8155</v>
      </c>
      <c r="B2154" t="inlineStr">
        <is>
          <t>博智</t>
        </is>
      </c>
      <c r="C2154" t="n">
        <v>403.5</v>
      </c>
      <c r="D2154" t="n">
        <v>393</v>
      </c>
      <c r="E2154" s="504" t="n">
        <v>-5.5</v>
      </c>
      <c r="F2154" s="505" t="n">
        <v>-1.38</v>
      </c>
      <c r="G2154" t="inlineStr">
        <is>
          <t>5.00億</t>
        </is>
      </c>
      <c r="H2154" t="n">
        <v>1284</v>
      </c>
      <c r="I2154" t="n">
        <v>1615</v>
      </c>
      <c r="J2154" t="n">
        <v>6.16</v>
      </c>
      <c r="K2154" t="n">
        <v>403.5</v>
      </c>
      <c r="L2154" t="n">
        <v>381</v>
      </c>
      <c r="M2154" s="175" t="n">
        <v>2.12</v>
      </c>
      <c r="N2154" t="inlineStr">
        <is>
          <t>仁寶旗下工業及商業用PCB廠</t>
        </is>
      </c>
    </row>
    <row r="2155">
      <c r="A2155" s="503" t="n">
        <v>8163</v>
      </c>
      <c r="B2155" t="inlineStr">
        <is>
          <t>達方</t>
        </is>
      </c>
      <c r="C2155" t="n">
        <v>41.8</v>
      </c>
      <c r="D2155" t="n">
        <v>41.6</v>
      </c>
      <c r="E2155" s="504" t="n">
        <v>-0.2</v>
      </c>
      <c r="F2155" s="505" t="n">
        <v>-0.48</v>
      </c>
      <c r="G2155" t="inlineStr">
        <is>
          <t>2.71億</t>
        </is>
      </c>
      <c r="H2155" t="n">
        <v>6525</v>
      </c>
      <c r="I2155" t="n">
        <v>7283</v>
      </c>
      <c r="J2155" t="n">
        <v>28</v>
      </c>
      <c r="K2155" t="n">
        <v>43.5</v>
      </c>
      <c r="L2155" t="n">
        <v>40.1</v>
      </c>
      <c r="M2155" s="175" t="n">
        <v>2.33</v>
      </c>
      <c r="N2155" t="inlineStr">
        <is>
          <t>全球知名NB鍵盤廠</t>
        </is>
      </c>
    </row>
    <row r="2156">
      <c r="A2156" s="503" t="n">
        <v>8171</v>
      </c>
      <c r="B2156" t="inlineStr">
        <is>
          <t>天宇</t>
        </is>
      </c>
      <c r="C2156" t="n">
        <v>24.5</v>
      </c>
      <c r="D2156" t="n">
        <v>23.8</v>
      </c>
      <c r="E2156" s="504" t="n">
        <v>-0.9</v>
      </c>
      <c r="F2156" s="505" t="n">
        <v>-3.64</v>
      </c>
      <c r="G2156" t="inlineStr">
        <is>
          <t>713萬</t>
        </is>
      </c>
      <c r="H2156" t="n">
        <v>299</v>
      </c>
      <c r="I2156" t="n">
        <v>294</v>
      </c>
      <c r="J2156" t="n">
        <v>11.29</v>
      </c>
      <c r="K2156" t="n">
        <v>24.5</v>
      </c>
      <c r="L2156" t="n">
        <v>23.7</v>
      </c>
      <c r="M2156" s="175" t="n">
        <v>0.26</v>
      </c>
      <c r="N2156" t="inlineStr">
        <is>
          <t>專攻電池模組與電源管理模組之廠商</t>
        </is>
      </c>
    </row>
    <row r="2157">
      <c r="A2157" s="503" t="n">
        <v>8176</v>
      </c>
      <c r="B2157" t="inlineStr">
        <is>
          <t>智捷</t>
        </is>
      </c>
      <c r="C2157" t="n">
        <v>10.2</v>
      </c>
      <c r="D2157" t="n">
        <v>10.35</v>
      </c>
      <c r="E2157" s="504" t="n">
        <v>0.1</v>
      </c>
      <c r="F2157" s="505" t="n">
        <v>0.98</v>
      </c>
      <c r="G2157" t="inlineStr">
        <is>
          <t>337萬</t>
        </is>
      </c>
      <c r="H2157" t="n">
        <v>328</v>
      </c>
      <c r="I2157" t="n">
        <v>238</v>
      </c>
      <c r="J2157" t="n">
        <v>7.17</v>
      </c>
      <c r="K2157" t="n">
        <v>10.5</v>
      </c>
      <c r="L2157" t="n">
        <v>10.15</v>
      </c>
      <c r="M2157" s="175" t="n">
        <v>0.46</v>
      </c>
      <c r="N2157" t="inlineStr">
        <is>
          <t>台灣無線網路傳輸設備ODM/OEM廠</t>
        </is>
      </c>
    </row>
    <row r="2158">
      <c r="A2158" s="503" t="n">
        <v>8182</v>
      </c>
      <c r="B2158" t="inlineStr">
        <is>
          <t>加高</t>
        </is>
      </c>
      <c r="C2158" t="n">
        <v>43.55</v>
      </c>
      <c r="D2158" t="n">
        <v>43.2</v>
      </c>
      <c r="E2158" s="504" t="n">
        <v>-1.15</v>
      </c>
      <c r="F2158" s="505" t="n">
        <v>-2.59</v>
      </c>
      <c r="G2158" t="inlineStr">
        <is>
          <t>1.04億</t>
        </is>
      </c>
      <c r="H2158" t="n">
        <v>2447</v>
      </c>
      <c r="I2158" t="n">
        <v>6390</v>
      </c>
      <c r="J2158" t="n">
        <v>10.7</v>
      </c>
      <c r="K2158" t="n">
        <v>43.55</v>
      </c>
      <c r="L2158" t="n">
        <v>41.8</v>
      </c>
      <c r="M2158" s="175" t="n">
        <v>2.29</v>
      </c>
      <c r="N2158" t="inlineStr">
        <is>
          <t>日本大真空轉投資，為台灣石英元件製造商</t>
        </is>
      </c>
    </row>
    <row r="2159">
      <c r="A2159" s="503" t="n">
        <v>8183</v>
      </c>
      <c r="B2159" t="inlineStr">
        <is>
          <t>精星</t>
        </is>
      </c>
      <c r="C2159" t="n">
        <v>32.4</v>
      </c>
      <c r="D2159" t="n">
        <v>32.4</v>
      </c>
      <c r="E2159" s="504" t="n">
        <v>0.35</v>
      </c>
      <c r="F2159" s="505" t="n">
        <v>1.09</v>
      </c>
      <c r="G2159" t="inlineStr">
        <is>
          <t>1911萬</t>
        </is>
      </c>
      <c r="H2159" t="n">
        <v>598</v>
      </c>
      <c r="I2159" t="n">
        <v>610</v>
      </c>
      <c r="J2159" t="n">
        <v>12.13</v>
      </c>
      <c r="K2159" t="n">
        <v>32.4</v>
      </c>
      <c r="L2159" t="n">
        <v>31.7</v>
      </c>
      <c r="M2159" s="175" t="n">
        <v>0.49</v>
      </c>
      <c r="N2159" t="inlineStr">
        <is>
          <t>專業電子製造服務(EMS)廠商</t>
        </is>
      </c>
    </row>
    <row r="2160">
      <c r="A2160" s="503" t="n">
        <v>8201</v>
      </c>
      <c r="B2160" t="inlineStr">
        <is>
          <t>無敵</t>
        </is>
      </c>
      <c r="C2160" t="n">
        <v>13.8</v>
      </c>
      <c r="D2160" t="n">
        <v>13.6</v>
      </c>
      <c r="E2160" s="504" t="n">
        <v>-0.1</v>
      </c>
      <c r="F2160" s="505" t="n">
        <v>-0.73</v>
      </c>
      <c r="G2160" t="inlineStr">
        <is>
          <t>273萬</t>
        </is>
      </c>
      <c r="H2160" t="n">
        <v>200</v>
      </c>
      <c r="I2160" t="n">
        <v>239</v>
      </c>
      <c r="J2160" t="n">
        <v>6.24</v>
      </c>
      <c r="K2160" t="n">
        <v>13.8</v>
      </c>
      <c r="L2160" t="n">
        <v>13.5</v>
      </c>
      <c r="M2160" s="175" t="n">
        <v>0.32</v>
      </c>
      <c r="N2160" t="inlineStr">
        <is>
          <t>英業達轉投資電子辭典公司</t>
        </is>
      </c>
    </row>
    <row r="2161">
      <c r="A2161" s="503" t="n">
        <v>8210</v>
      </c>
      <c r="B2161" t="inlineStr">
        <is>
          <t>勤誠</t>
        </is>
      </c>
      <c r="C2161" t="n">
        <v>1410</v>
      </c>
      <c r="D2161" t="n">
        <v>1375</v>
      </c>
      <c r="E2161" s="504" t="n">
        <v>-25</v>
      </c>
      <c r="F2161" s="505" t="n">
        <v>-1.79</v>
      </c>
      <c r="G2161" t="inlineStr">
        <is>
          <t>19.7億</t>
        </is>
      </c>
      <c r="H2161" t="n">
        <v>1412</v>
      </c>
      <c r="I2161" t="n">
        <v>1322</v>
      </c>
      <c r="J2161" t="n">
        <v>12.53</v>
      </c>
      <c r="K2161" t="n">
        <v>1465</v>
      </c>
      <c r="L2161" t="n">
        <v>1350</v>
      </c>
      <c r="M2161" s="175" t="n">
        <v>1.13</v>
      </c>
      <c r="N2161" t="inlineStr">
        <is>
          <t>台灣伺服器機殼龍頭廠</t>
        </is>
      </c>
    </row>
    <row r="2162">
      <c r="A2162" s="503" t="n">
        <v>8213</v>
      </c>
      <c r="B2162" t="inlineStr">
        <is>
          <t>志超</t>
        </is>
      </c>
      <c r="C2162" t="n">
        <v>38.7</v>
      </c>
      <c r="D2162" t="n">
        <v>38.05</v>
      </c>
      <c r="E2162" s="504" t="n">
        <v>-0.8</v>
      </c>
      <c r="F2162" s="505" t="n">
        <v>-2.06</v>
      </c>
      <c r="G2162" t="inlineStr">
        <is>
          <t>6340萬</t>
        </is>
      </c>
      <c r="H2162" t="n">
        <v>1681</v>
      </c>
      <c r="I2162" t="n">
        <v>1551</v>
      </c>
      <c r="J2162" t="n">
        <v>27.12</v>
      </c>
      <c r="K2162" t="n">
        <v>38.75</v>
      </c>
      <c r="L2162" t="n">
        <v>37.2</v>
      </c>
      <c r="M2162" s="175" t="n">
        <v>0.62</v>
      </c>
      <c r="N2162" t="inlineStr">
        <is>
          <t>全球最大光電板廠商</t>
        </is>
      </c>
    </row>
    <row r="2163">
      <c r="A2163" s="503" t="n">
        <v>8215</v>
      </c>
      <c r="B2163" t="inlineStr">
        <is>
          <t>明基材</t>
        </is>
      </c>
      <c r="C2163" t="n">
        <v>32.5</v>
      </c>
      <c r="D2163" t="n">
        <v>31.45</v>
      </c>
      <c r="E2163" s="504" t="n">
        <v>-0.9</v>
      </c>
      <c r="F2163" s="505" t="n">
        <v>-2.78</v>
      </c>
      <c r="G2163" t="inlineStr">
        <is>
          <t>2.92億</t>
        </is>
      </c>
      <c r="H2163" t="n">
        <v>9288</v>
      </c>
      <c r="I2163" t="n">
        <v>6756</v>
      </c>
      <c r="J2163" t="n">
        <v>32.07</v>
      </c>
      <c r="K2163" t="n">
        <v>32.55</v>
      </c>
      <c r="L2163" t="n">
        <v>30.15</v>
      </c>
      <c r="M2163" s="175" t="n">
        <v>2.9</v>
      </c>
      <c r="N2163" t="inlineStr">
        <is>
          <t>全球前五大、台灣第一大偏光板供應商</t>
        </is>
      </c>
    </row>
    <row r="2164">
      <c r="A2164" s="503" t="n">
        <v>8222</v>
      </c>
      <c r="B2164" t="inlineStr">
        <is>
          <t>寶一</t>
        </is>
      </c>
      <c r="C2164" t="n">
        <v>38.65</v>
      </c>
      <c r="D2164" t="n">
        <v>36.8</v>
      </c>
      <c r="E2164" s="504" t="n">
        <v>-1.45</v>
      </c>
      <c r="F2164" s="505" t="n">
        <v>-3.79</v>
      </c>
      <c r="G2164" t="inlineStr">
        <is>
          <t>3268萬</t>
        </is>
      </c>
      <c r="H2164" t="n">
        <v>888</v>
      </c>
      <c r="I2164" t="n">
        <v>859</v>
      </c>
      <c r="J2164" t="n">
        <v>6.86</v>
      </c>
      <c r="K2164" t="n">
        <v>38.65</v>
      </c>
      <c r="L2164" t="n">
        <v>36.1</v>
      </c>
      <c r="M2164" s="175" t="n">
        <v>1.29</v>
      </c>
      <c r="N2164" t="inlineStr">
        <is>
          <t>專注於航空發動機內的高溫段零組件製造商</t>
        </is>
      </c>
    </row>
    <row r="2165">
      <c r="A2165" s="503" t="n">
        <v>8227</v>
      </c>
      <c r="B2165" t="inlineStr">
        <is>
          <t>巨有科技</t>
        </is>
      </c>
      <c r="C2165" t="n">
        <v>220</v>
      </c>
      <c r="D2165" t="n">
        <v>223</v>
      </c>
      <c r="E2165" s="504" t="n">
        <v>4</v>
      </c>
      <c r="F2165" s="505" t="n">
        <v>1.83</v>
      </c>
      <c r="G2165" t="inlineStr">
        <is>
          <t>5.31億</t>
        </is>
      </c>
      <c r="H2165" t="n">
        <v>2387</v>
      </c>
      <c r="I2165" t="n">
        <v>2420</v>
      </c>
      <c r="J2165" t="n">
        <v>3.95</v>
      </c>
      <c r="K2165" t="n">
        <v>229</v>
      </c>
      <c r="L2165" t="n">
        <v>214</v>
      </c>
      <c r="M2165" s="175" t="n">
        <v>6.04</v>
      </c>
      <c r="N2165" t="inlineStr">
        <is>
          <t>台灣最早成立之IC 設計服務公司</t>
        </is>
      </c>
    </row>
    <row r="2166">
      <c r="A2166" s="503" t="n">
        <v>8234</v>
      </c>
      <c r="B2166" t="inlineStr">
        <is>
          <t>新漢</t>
        </is>
      </c>
      <c r="C2166" t="n">
        <v>75.90000000000001</v>
      </c>
      <c r="D2166" t="n">
        <v>71.09999999999999</v>
      </c>
      <c r="E2166" s="504" t="n">
        <v>-4.8</v>
      </c>
      <c r="F2166" s="505" t="n">
        <v>-6.32</v>
      </c>
      <c r="G2166" t="inlineStr">
        <is>
          <t>1.47億</t>
        </is>
      </c>
      <c r="H2166" t="n">
        <v>2044</v>
      </c>
      <c r="I2166" t="n">
        <v>1877</v>
      </c>
      <c r="J2166" t="n">
        <v>14.12</v>
      </c>
      <c r="K2166" t="n">
        <v>75.90000000000001</v>
      </c>
      <c r="L2166" t="n">
        <v>70.40000000000001</v>
      </c>
      <c r="M2166" s="175" t="n">
        <v>1.45</v>
      </c>
      <c r="N2166" t="inlineStr">
        <is>
          <t>台灣工業電腦廠商</t>
        </is>
      </c>
    </row>
    <row r="2167">
      <c r="A2167" s="503" t="n">
        <v>8240</v>
      </c>
      <c r="B2167" t="inlineStr">
        <is>
          <t>華宏</t>
        </is>
      </c>
      <c r="C2167" t="n">
        <v>64.8</v>
      </c>
      <c r="D2167" t="n">
        <v>62.4</v>
      </c>
      <c r="E2167" s="504" t="n">
        <v>-1.4</v>
      </c>
      <c r="F2167" s="505" t="n">
        <v>-2.19</v>
      </c>
      <c r="G2167" t="inlineStr">
        <is>
          <t>6459萬</t>
        </is>
      </c>
      <c r="H2167" t="n">
        <v>1040</v>
      </c>
      <c r="I2167" t="n">
        <v>2463</v>
      </c>
      <c r="J2167" t="n">
        <v>10</v>
      </c>
      <c r="K2167" t="n">
        <v>64.8</v>
      </c>
      <c r="L2167" t="n">
        <v>60.5</v>
      </c>
      <c r="M2167" s="175" t="n">
        <v>1.04</v>
      </c>
      <c r="N2167" t="inlineStr">
        <is>
          <t>國內背光模組光學膜片最大專業製造裁切廠</t>
        </is>
      </c>
    </row>
    <row r="2168">
      <c r="A2168" s="503" t="n">
        <v>8249</v>
      </c>
      <c r="B2168" t="inlineStr">
        <is>
          <t>菱光</t>
        </is>
      </c>
      <c r="C2168" t="n">
        <v>56.2</v>
      </c>
      <c r="D2168" t="n">
        <v>54.8</v>
      </c>
      <c r="E2168" s="504" t="n">
        <v>-1</v>
      </c>
      <c r="F2168" s="505" t="n">
        <v>-1.79</v>
      </c>
      <c r="G2168" t="inlineStr">
        <is>
          <t>6104萬</t>
        </is>
      </c>
      <c r="H2168" t="n">
        <v>1122</v>
      </c>
      <c r="I2168" t="n">
        <v>3874</v>
      </c>
      <c r="J2168" t="n">
        <v>13.78</v>
      </c>
      <c r="K2168" t="n">
        <v>56.2</v>
      </c>
      <c r="L2168" t="n">
        <v>54</v>
      </c>
      <c r="M2168" s="175" t="n">
        <v>0.84</v>
      </c>
      <c r="N2168" t="inlineStr">
        <is>
          <t>全球彩色接觸式CIS龍頭廠</t>
        </is>
      </c>
    </row>
    <row r="2169">
      <c r="A2169" s="503" t="n">
        <v>8255</v>
      </c>
      <c r="B2169" t="inlineStr">
        <is>
          <t>朋程</t>
        </is>
      </c>
      <c r="C2169" t="n">
        <v>185</v>
      </c>
      <c r="D2169" t="n">
        <v>180.5</v>
      </c>
      <c r="E2169" s="504" t="n">
        <v>-5.5</v>
      </c>
      <c r="F2169" s="505" t="n">
        <v>-2.96</v>
      </c>
      <c r="G2169" t="inlineStr">
        <is>
          <t>5.34億</t>
        </is>
      </c>
      <c r="H2169" t="n">
        <v>2968</v>
      </c>
      <c r="I2169" t="n">
        <v>6518</v>
      </c>
      <c r="J2169" t="n">
        <v>10.18</v>
      </c>
      <c r="K2169" t="n">
        <v>185.5</v>
      </c>
      <c r="L2169" t="n">
        <v>177</v>
      </c>
      <c r="M2169" s="175" t="n">
        <v>2.92</v>
      </c>
      <c r="N2169" t="inlineStr">
        <is>
          <t>全球燃油車發電機二極體龍頭之一</t>
        </is>
      </c>
    </row>
    <row r="2170">
      <c r="A2170" s="503" t="n">
        <v>8261</v>
      </c>
      <c r="B2170" t="inlineStr">
        <is>
          <t>富鼎</t>
        </is>
      </c>
      <c r="C2170" t="n">
        <v>176.5</v>
      </c>
      <c r="D2170" t="n">
        <v>167.5</v>
      </c>
      <c r="E2170" s="504" t="n">
        <v>-6.5</v>
      </c>
      <c r="F2170" s="505" t="n">
        <v>-3.74</v>
      </c>
      <c r="G2170" t="inlineStr">
        <is>
          <t>14.7億</t>
        </is>
      </c>
      <c r="H2170" t="n">
        <v>8766</v>
      </c>
      <c r="I2170" t="n">
        <v>15274</v>
      </c>
      <c r="J2170" t="n">
        <v>11.89</v>
      </c>
      <c r="K2170" t="n">
        <v>178.5</v>
      </c>
      <c r="L2170" t="n">
        <v>161.5</v>
      </c>
      <c r="M2170" s="175" t="n">
        <v>10.45</v>
      </c>
      <c r="N2170" t="inlineStr">
        <is>
          <t>提供MOSFET、IGBT和電源IC之解決方案商</t>
        </is>
      </c>
    </row>
    <row r="2171">
      <c r="A2171" s="503" t="n">
        <v>8271</v>
      </c>
      <c r="B2171" t="inlineStr">
        <is>
          <t>宇瞻</t>
        </is>
      </c>
      <c r="C2171" t="n">
        <v>251</v>
      </c>
      <c r="D2171" t="n">
        <v>257.5</v>
      </c>
      <c r="E2171" s="504" t="n">
        <v>9</v>
      </c>
      <c r="F2171" s="505" t="n">
        <v>3.62</v>
      </c>
      <c r="G2171" t="inlineStr">
        <is>
          <t>29.7億</t>
        </is>
      </c>
      <c r="H2171" t="n">
        <v>11617</v>
      </c>
      <c r="I2171" t="n">
        <v>5788</v>
      </c>
      <c r="J2171" t="n">
        <v>12.96</v>
      </c>
      <c r="K2171" t="n">
        <v>264.5</v>
      </c>
      <c r="L2171" t="n">
        <v>248</v>
      </c>
      <c r="M2171" s="175" t="n">
        <v>9.4</v>
      </c>
      <c r="N2171" t="inlineStr">
        <is>
          <t>全球前十大DRAM模組廠</t>
        </is>
      </c>
    </row>
    <row r="2172">
      <c r="A2172" s="503" t="n">
        <v>8272</v>
      </c>
      <c r="B2172" t="inlineStr">
        <is>
          <t>全景軟體</t>
        </is>
      </c>
      <c r="C2172" t="n">
        <v>74.5</v>
      </c>
      <c r="D2172" t="n">
        <v>75.40000000000001</v>
      </c>
      <c r="E2172" s="504" t="n">
        <v>1.5</v>
      </c>
      <c r="F2172" s="505" t="n">
        <v>2.03</v>
      </c>
      <c r="G2172" t="inlineStr">
        <is>
          <t>386萬</t>
        </is>
      </c>
      <c r="H2172" t="n">
        <v>51</v>
      </c>
      <c r="I2172" t="n">
        <v>25</v>
      </c>
      <c r="J2172" t="n">
        <v>1.9</v>
      </c>
      <c r="K2172" t="n">
        <v>78</v>
      </c>
      <c r="L2172" t="n">
        <v>74.2</v>
      </c>
      <c r="M2172" s="175" t="n">
        <v>0.27</v>
      </c>
      <c r="N2172" t="inlineStr">
        <is>
          <t>緯創旗下，專注身份認證的資訊安全軟體公司</t>
        </is>
      </c>
    </row>
    <row r="2173">
      <c r="A2173" s="503" t="n">
        <v>8277</v>
      </c>
      <c r="B2173" t="inlineStr">
        <is>
          <t>商丞</t>
        </is>
      </c>
      <c r="C2173" t="n">
        <v>10.4</v>
      </c>
      <c r="D2173" t="n">
        <v>10.4</v>
      </c>
      <c r="E2173" s="504" t="n">
        <v>0.93</v>
      </c>
      <c r="F2173" s="505" t="n">
        <v>9.82</v>
      </c>
      <c r="G2173" t="inlineStr">
        <is>
          <t>833萬</t>
        </is>
      </c>
      <c r="H2173" t="n">
        <v>803</v>
      </c>
      <c r="I2173" t="n">
        <v>818</v>
      </c>
      <c r="J2173" t="n">
        <v>9.16</v>
      </c>
      <c r="K2173" t="n">
        <v>10.4</v>
      </c>
      <c r="L2173" t="n">
        <v>10.4</v>
      </c>
      <c r="M2173" s="175" t="n">
        <v>0.88</v>
      </c>
      <c r="N2173" t="inlineStr">
        <is>
          <t>記憶體模組兼儲存設備廠</t>
        </is>
      </c>
    </row>
    <row r="2174">
      <c r="A2174" s="503" t="n">
        <v>8279</v>
      </c>
      <c r="B2174" t="inlineStr">
        <is>
          <t>生展</t>
        </is>
      </c>
      <c r="C2174" t="n">
        <v>98</v>
      </c>
      <c r="D2174" t="n">
        <v>96.7</v>
      </c>
      <c r="E2174" s="504" t="n">
        <v>0</v>
      </c>
      <c r="F2174" s="505" t="n">
        <v>0</v>
      </c>
      <c r="G2174" t="inlineStr">
        <is>
          <t>194萬</t>
        </is>
      </c>
      <c r="H2174" t="n">
        <v>20</v>
      </c>
      <c r="I2174" t="n">
        <v>13</v>
      </c>
      <c r="J2174" t="n">
        <v>2.71</v>
      </c>
      <c r="K2174" t="n">
        <v>98</v>
      </c>
      <c r="L2174" t="n">
        <v>96.3</v>
      </c>
      <c r="M2174" s="175" t="n">
        <v>0.07000000000000001</v>
      </c>
      <c r="N2174" t="inlineStr">
        <is>
          <t>生達旗下原料藥及保健品研發廠商</t>
        </is>
      </c>
    </row>
    <row r="2175">
      <c r="A2175" s="503" t="n">
        <v>8284</v>
      </c>
      <c r="B2175" t="inlineStr">
        <is>
          <t>三竹</t>
        </is>
      </c>
      <c r="C2175" t="n">
        <v>62.7</v>
      </c>
      <c r="D2175" t="n">
        <v>63</v>
      </c>
      <c r="E2175" s="504" t="n">
        <v>-0.3</v>
      </c>
      <c r="F2175" s="505" t="n">
        <v>-0.47</v>
      </c>
      <c r="G2175" t="inlineStr">
        <is>
          <t>107萬</t>
        </is>
      </c>
      <c r="H2175" t="n">
        <v>17</v>
      </c>
      <c r="I2175" t="n">
        <v>23</v>
      </c>
      <c r="J2175" t="n">
        <v>4.73</v>
      </c>
      <c r="K2175" t="n">
        <v>63.3</v>
      </c>
      <c r="L2175" t="n">
        <v>62.7</v>
      </c>
      <c r="M2175" s="175" t="n">
        <v>0.04</v>
      </c>
      <c r="N2175" t="inlineStr">
        <is>
          <t>金融服務軟體供應商</t>
        </is>
      </c>
    </row>
    <row r="2176">
      <c r="A2176" s="503" t="n">
        <v>8289</v>
      </c>
      <c r="B2176" t="inlineStr">
        <is>
          <t>泰藝</t>
        </is>
      </c>
      <c r="C2176" t="n">
        <v>70.09999999999999</v>
      </c>
      <c r="D2176" t="n">
        <v>69.8</v>
      </c>
      <c r="E2176" s="504" t="n">
        <v>-0.3</v>
      </c>
      <c r="F2176" s="505" t="n">
        <v>-0.43</v>
      </c>
      <c r="G2176" t="inlineStr">
        <is>
          <t>2.80億</t>
        </is>
      </c>
      <c r="H2176" t="n">
        <v>4108</v>
      </c>
      <c r="I2176" t="n">
        <v>8834</v>
      </c>
      <c r="J2176" t="n">
        <v>6.83</v>
      </c>
      <c r="K2176" t="n">
        <v>70.40000000000001</v>
      </c>
      <c r="L2176" t="n">
        <v>65.90000000000001</v>
      </c>
      <c r="M2176" s="175" t="n">
        <v>6.01</v>
      </c>
      <c r="N2176" t="inlineStr">
        <is>
          <t>台灣專業石英振盪器製造商</t>
        </is>
      </c>
    </row>
    <row r="2177">
      <c r="A2177" s="503" t="n">
        <v>8291</v>
      </c>
      <c r="B2177" t="inlineStr">
        <is>
          <t>尚茂</t>
        </is>
      </c>
      <c r="C2177" t="n">
        <v>97.2</v>
      </c>
      <c r="D2177" t="n">
        <v>97.2</v>
      </c>
      <c r="E2177" s="504" t="n">
        <v>-10.8</v>
      </c>
      <c r="F2177" s="505" t="n">
        <v>-10</v>
      </c>
      <c r="G2177" t="inlineStr">
        <is>
          <t>292萬</t>
        </is>
      </c>
      <c r="H2177" t="n">
        <v>30</v>
      </c>
      <c r="I2177" t="n">
        <v>235</v>
      </c>
      <c r="J2177" t="n">
        <v>1.75</v>
      </c>
      <c r="K2177" t="n">
        <v>97.2</v>
      </c>
      <c r="L2177" t="n">
        <v>97.2</v>
      </c>
      <c r="M2177" s="175" t="n">
        <v>0.17</v>
      </c>
      <c r="N2177" t="inlineStr">
        <is>
          <t>台灣利基型銅箔基板廠</t>
        </is>
      </c>
    </row>
    <row r="2178">
      <c r="A2178" s="503" t="n">
        <v>8299</v>
      </c>
      <c r="B2178" t="inlineStr">
        <is>
          <t>群聯</t>
        </is>
      </c>
      <c r="C2178" t="n">
        <v>2810</v>
      </c>
      <c r="D2178" t="n">
        <v>2820</v>
      </c>
      <c r="E2178" s="504" t="n">
        <v>50</v>
      </c>
      <c r="F2178" s="505" t="n">
        <v>1.81</v>
      </c>
      <c r="G2178" t="inlineStr">
        <is>
          <t>258億</t>
        </is>
      </c>
      <c r="H2178" t="n">
        <v>9267</v>
      </c>
      <c r="I2178" t="n">
        <v>8040</v>
      </c>
      <c r="J2178" t="n">
        <v>22.11</v>
      </c>
      <c r="K2178" t="n">
        <v>2835</v>
      </c>
      <c r="L2178" t="n">
        <v>2690</v>
      </c>
      <c r="M2178" s="175" t="n">
        <v>4.19</v>
      </c>
      <c r="N2178" t="inlineStr">
        <is>
          <t>全球USB控制IC設計之龍頭企業</t>
        </is>
      </c>
    </row>
    <row r="2179">
      <c r="A2179" s="503" t="n">
        <v>8341</v>
      </c>
      <c r="B2179" t="inlineStr">
        <is>
          <t>日友</t>
        </is>
      </c>
      <c r="C2179" t="n">
        <v>76.5</v>
      </c>
      <c r="D2179" t="n">
        <v>76.7</v>
      </c>
      <c r="E2179" s="504" t="n">
        <v>0.1</v>
      </c>
      <c r="F2179" s="505" t="n">
        <v>0.13</v>
      </c>
      <c r="G2179" t="inlineStr">
        <is>
          <t>1926萬</t>
        </is>
      </c>
      <c r="H2179" t="n">
        <v>252</v>
      </c>
      <c r="I2179" t="n">
        <v>228</v>
      </c>
      <c r="J2179" t="n">
        <v>13</v>
      </c>
      <c r="K2179" t="n">
        <v>76.7</v>
      </c>
      <c r="L2179" t="n">
        <v>76.09999999999999</v>
      </c>
      <c r="M2179" s="175" t="n">
        <v>0.19</v>
      </c>
      <c r="N2179" t="inlineStr">
        <is>
          <t>潤泰新轉投資之台灣最大醫療廢棄物處理廠商之一</t>
        </is>
      </c>
    </row>
    <row r="2180">
      <c r="A2180" s="503" t="n">
        <v>8342</v>
      </c>
      <c r="B2180" t="inlineStr">
        <is>
          <t>益張</t>
        </is>
      </c>
      <c r="C2180" t="n">
        <v>88.90000000000001</v>
      </c>
      <c r="D2180" t="n">
        <v>88.8</v>
      </c>
      <c r="E2180" s="504" t="n">
        <v>-1.1</v>
      </c>
      <c r="F2180" s="505" t="n">
        <v>-1.22</v>
      </c>
      <c r="G2180" t="inlineStr">
        <is>
          <t>17.8萬</t>
        </is>
      </c>
      <c r="H2180" t="n">
        <v>2</v>
      </c>
      <c r="I2180" t="n">
        <v>3</v>
      </c>
      <c r="J2180" t="n">
        <v>3.35</v>
      </c>
      <c r="K2180" t="n">
        <v>88.90000000000001</v>
      </c>
      <c r="L2180" t="n">
        <v>88.8</v>
      </c>
      <c r="M2180" s="175" t="n">
        <v>0.01</v>
      </c>
      <c r="N2180" t="inlineStr">
        <is>
          <t>台灣最大商用金屬展示架製造商</t>
        </is>
      </c>
    </row>
    <row r="2181">
      <c r="A2181" s="503" t="n">
        <v>8349</v>
      </c>
      <c r="B2181" t="inlineStr">
        <is>
          <t>恒耀</t>
        </is>
      </c>
      <c r="C2181" t="n">
        <v>41.7</v>
      </c>
      <c r="D2181" t="n">
        <v>41.85</v>
      </c>
      <c r="E2181" s="504" t="n">
        <v>0.15</v>
      </c>
      <c r="F2181" s="505" t="n">
        <v>0.36</v>
      </c>
      <c r="G2181" t="inlineStr">
        <is>
          <t>429萬</t>
        </is>
      </c>
      <c r="H2181" t="n">
        <v>103</v>
      </c>
      <c r="I2181" t="n">
        <v>258</v>
      </c>
      <c r="J2181" t="n">
        <v>20.88</v>
      </c>
      <c r="K2181" t="n">
        <v>42</v>
      </c>
      <c r="L2181" t="n">
        <v>41.45</v>
      </c>
      <c r="M2181" s="175" t="n">
        <v>0.05</v>
      </c>
      <c r="N2181" t="inlineStr">
        <is>
          <t>車用與工業用扣件製造與貿易廠商</t>
        </is>
      </c>
    </row>
    <row r="2182">
      <c r="A2182" s="503" t="n">
        <v>8354</v>
      </c>
      <c r="B2182" t="inlineStr">
        <is>
          <t>冠好</t>
        </is>
      </c>
      <c r="C2182" t="n">
        <v>16.8</v>
      </c>
      <c r="D2182" t="n">
        <v>16.7</v>
      </c>
      <c r="E2182" s="504" t="n">
        <v>-0.1</v>
      </c>
      <c r="F2182" s="505" t="n">
        <v>-0.6</v>
      </c>
      <c r="G2182" t="inlineStr">
        <is>
          <t>165萬</t>
        </is>
      </c>
      <c r="H2182" t="n">
        <v>100</v>
      </c>
      <c r="I2182" t="n">
        <v>749</v>
      </c>
      <c r="J2182" t="n">
        <v>7.85</v>
      </c>
      <c r="K2182" t="n">
        <v>16.8</v>
      </c>
      <c r="L2182" t="n">
        <v>16.4</v>
      </c>
      <c r="M2182" s="175" t="n">
        <v>0.13</v>
      </c>
      <c r="N2182" t="inlineStr">
        <is>
          <t>特殊商標專業製造廠，有粘標籤、自粘膠帶等</t>
        </is>
      </c>
    </row>
    <row r="2183">
      <c r="A2183" s="503" t="n">
        <v>8358</v>
      </c>
      <c r="B2183" t="inlineStr">
        <is>
          <t>金居</t>
        </is>
      </c>
      <c r="C2183" t="n">
        <v>662</v>
      </c>
      <c r="D2183" t="n">
        <v>627</v>
      </c>
      <c r="E2183" s="504" t="n">
        <v>-41</v>
      </c>
      <c r="F2183" s="505" t="n">
        <v>-6.14</v>
      </c>
      <c r="G2183" t="inlineStr">
        <is>
          <t>255億</t>
        </is>
      </c>
      <c r="H2183" t="n">
        <v>39089</v>
      </c>
      <c r="I2183" t="n">
        <v>8530</v>
      </c>
      <c r="J2183" t="n">
        <v>25.26</v>
      </c>
      <c r="K2183" t="n">
        <v>687</v>
      </c>
      <c r="L2183" t="n">
        <v>613</v>
      </c>
      <c r="M2183" s="175" t="n">
        <v>15.48</v>
      </c>
      <c r="N2183" t="inlineStr">
        <is>
          <t>台灣前三大電解銅箔製造商</t>
        </is>
      </c>
    </row>
    <row r="2184">
      <c r="A2184" s="503" t="n">
        <v>8367</v>
      </c>
      <c r="B2184" t="inlineStr">
        <is>
          <t>建新國際</t>
        </is>
      </c>
      <c r="C2184" t="n">
        <v>41</v>
      </c>
      <c r="D2184" t="n">
        <v>41</v>
      </c>
      <c r="E2184" s="504" t="n">
        <v>-0.2</v>
      </c>
      <c r="F2184" s="505" t="n">
        <v>-0.49</v>
      </c>
      <c r="G2184" t="inlineStr">
        <is>
          <t>90.4萬</t>
        </is>
      </c>
      <c r="H2184" t="n">
        <v>22</v>
      </c>
      <c r="I2184" t="n">
        <v>32</v>
      </c>
      <c r="J2184" t="n">
        <v>9.220000000000001</v>
      </c>
      <c r="K2184" t="n">
        <v>41.3</v>
      </c>
      <c r="L2184" t="n">
        <v>40.85</v>
      </c>
      <c r="M2184" s="175" t="n">
        <v>0.02</v>
      </c>
      <c r="N2184" t="inlineStr">
        <is>
          <t>台灣從事貨櫃場服務之業者</t>
        </is>
      </c>
    </row>
    <row r="2185">
      <c r="A2185" s="503" t="n">
        <v>8374</v>
      </c>
      <c r="B2185" t="inlineStr">
        <is>
          <t>羅昇</t>
        </is>
      </c>
      <c r="C2185" t="n">
        <v>109.5</v>
      </c>
      <c r="D2185" t="n">
        <v>102</v>
      </c>
      <c r="E2185" s="504" t="n">
        <v>-10</v>
      </c>
      <c r="F2185" s="505" t="n">
        <v>-8.93</v>
      </c>
      <c r="G2185" t="inlineStr">
        <is>
          <t>2.62億</t>
        </is>
      </c>
      <c r="H2185" t="n">
        <v>2516</v>
      </c>
      <c r="I2185" t="n">
        <v>2933</v>
      </c>
      <c r="J2185" t="n">
        <v>11.23</v>
      </c>
      <c r="K2185" t="n">
        <v>109.5</v>
      </c>
      <c r="L2185" t="n">
        <v>101</v>
      </c>
      <c r="M2185" s="175" t="n">
        <v>2.82</v>
      </c>
      <c r="N2185" t="inlineStr">
        <is>
          <t>自動化機電零組件代理暨技術服務商</t>
        </is>
      </c>
    </row>
    <row r="2186">
      <c r="A2186" s="503" t="n">
        <v>8383</v>
      </c>
      <c r="B2186" t="inlineStr">
        <is>
          <t>千附</t>
        </is>
      </c>
      <c r="C2186" t="n">
        <v>64.2</v>
      </c>
      <c r="D2186" t="n">
        <v>60.4</v>
      </c>
      <c r="E2186" s="504" t="n">
        <v>-3.8</v>
      </c>
      <c r="F2186" s="505" t="n">
        <v>-5.92</v>
      </c>
      <c r="G2186" t="inlineStr">
        <is>
          <t>1.79億</t>
        </is>
      </c>
      <c r="H2186" t="n">
        <v>2961</v>
      </c>
      <c r="I2186" t="n">
        <v>1940</v>
      </c>
      <c r="J2186" t="n">
        <v>11.38</v>
      </c>
      <c r="K2186" t="n">
        <v>64.2</v>
      </c>
      <c r="L2186" t="n">
        <v>58.7</v>
      </c>
      <c r="M2186" s="175" t="n">
        <v>2.6</v>
      </c>
      <c r="N2186" t="inlineStr">
        <is>
          <t>TFT-LCD及半導體廠無塵室供應商</t>
        </is>
      </c>
    </row>
    <row r="2187">
      <c r="A2187" s="503" t="n">
        <v>8390</v>
      </c>
      <c r="B2187" t="inlineStr">
        <is>
          <t>金益鼎</t>
        </is>
      </c>
      <c r="C2187" t="n">
        <v>121</v>
      </c>
      <c r="D2187" t="n">
        <v>120</v>
      </c>
      <c r="E2187" s="504" t="n">
        <v>-0.5</v>
      </c>
      <c r="F2187" s="505" t="n">
        <v>-0.41</v>
      </c>
      <c r="G2187" t="inlineStr">
        <is>
          <t>1.33億</t>
        </is>
      </c>
      <c r="H2187" t="n">
        <v>1139</v>
      </c>
      <c r="I2187" t="n">
        <v>1030</v>
      </c>
      <c r="J2187" t="n">
        <v>9.609999999999999</v>
      </c>
      <c r="K2187" t="n">
        <v>121</v>
      </c>
      <c r="L2187" t="n">
        <v>114.5</v>
      </c>
      <c r="M2187" s="175" t="n">
        <v>1.19</v>
      </c>
      <c r="N2187" t="inlineStr">
        <is>
          <t>台灣清運處理固體電子廢棄物業者</t>
        </is>
      </c>
    </row>
    <row r="2188">
      <c r="A2188" s="503" t="n">
        <v>8401</v>
      </c>
      <c r="B2188" t="inlineStr">
        <is>
          <t>白紗科</t>
        </is>
      </c>
      <c r="C2188" t="n">
        <v>22.9</v>
      </c>
      <c r="D2188" t="n">
        <v>22.9</v>
      </c>
      <c r="E2188" s="504" t="n">
        <v>0</v>
      </c>
      <c r="F2188" s="505" t="n">
        <v>0</v>
      </c>
      <c r="G2188" t="inlineStr">
        <is>
          <t>146萬</t>
        </is>
      </c>
      <c r="H2188" t="n">
        <v>64</v>
      </c>
      <c r="I2188" t="n">
        <v>69</v>
      </c>
      <c r="J2188" t="n">
        <v>7.07</v>
      </c>
      <c r="K2188" t="n">
        <v>22.9</v>
      </c>
      <c r="L2188" t="n">
        <v>22.75</v>
      </c>
      <c r="M2188" s="175" t="n">
        <v>0.09</v>
      </c>
      <c r="N2188" t="inlineStr">
        <is>
          <t>台灣合版印刷龍頭</t>
        </is>
      </c>
    </row>
    <row r="2189">
      <c r="A2189" s="503" t="n">
        <v>8403</v>
      </c>
      <c r="B2189" t="inlineStr">
        <is>
          <t>盛弘</t>
        </is>
      </c>
      <c r="C2189" t="n">
        <v>19.55</v>
      </c>
      <c r="D2189" t="n">
        <v>19.6</v>
      </c>
      <c r="E2189" s="504" t="n">
        <v>0.05</v>
      </c>
      <c r="F2189" s="505" t="n">
        <v>0.26</v>
      </c>
      <c r="G2189" t="inlineStr">
        <is>
          <t>305萬</t>
        </is>
      </c>
      <c r="H2189" t="n">
        <v>157</v>
      </c>
      <c r="I2189" t="n">
        <v>269</v>
      </c>
      <c r="J2189" t="n">
        <v>13.76</v>
      </c>
      <c r="K2189" t="n">
        <v>19.75</v>
      </c>
      <c r="L2189" t="n">
        <v>19.5</v>
      </c>
      <c r="M2189" s="175" t="n">
        <v>0.11</v>
      </c>
      <c r="N2189" t="inlineStr">
        <is>
          <t>敏盛醫控股旗下醫藥流通及健康管理業者</t>
        </is>
      </c>
    </row>
    <row r="2190">
      <c r="A2190" s="503" t="n">
        <v>8404</v>
      </c>
      <c r="B2190" t="inlineStr">
        <is>
          <t>百和興業-KY</t>
        </is>
      </c>
      <c r="C2190" t="n">
        <v>16.7</v>
      </c>
      <c r="D2190" t="n">
        <v>17.15</v>
      </c>
      <c r="E2190" s="504" t="n">
        <v>0.45</v>
      </c>
      <c r="F2190" s="505" t="n">
        <v>2.69</v>
      </c>
      <c r="G2190" t="inlineStr">
        <is>
          <t>1315萬</t>
        </is>
      </c>
      <c r="H2190" t="n">
        <v>774</v>
      </c>
      <c r="I2190" t="n">
        <v>464</v>
      </c>
      <c r="J2190" t="n">
        <v>41.99</v>
      </c>
      <c r="K2190" t="n">
        <v>17.2</v>
      </c>
      <c r="L2190" t="n">
        <v>16.65</v>
      </c>
      <c r="M2190" s="175" t="n">
        <v>0.18</v>
      </c>
      <c r="N2190" t="inlineStr">
        <is>
          <t>全球最大黏扣帶製造商</t>
        </is>
      </c>
    </row>
    <row r="2191">
      <c r="A2191" s="503" t="n">
        <v>8409</v>
      </c>
      <c r="B2191" t="inlineStr">
        <is>
          <t>商之器</t>
        </is>
      </c>
      <c r="C2191" t="n">
        <v>19</v>
      </c>
      <c r="D2191" t="n">
        <v>19.1</v>
      </c>
      <c r="E2191" s="504" t="n">
        <v>0.15</v>
      </c>
      <c r="F2191" s="505" t="n">
        <v>0.79</v>
      </c>
      <c r="G2191" t="inlineStr">
        <is>
          <t>51.5萬</t>
        </is>
      </c>
      <c r="H2191" t="n">
        <v>27</v>
      </c>
      <c r="I2191" t="n">
        <v>14</v>
      </c>
      <c r="J2191" t="n">
        <v>3.2</v>
      </c>
      <c r="K2191" t="n">
        <v>19.35</v>
      </c>
      <c r="L2191" t="n">
        <v>18.95</v>
      </c>
      <c r="M2191" s="175" t="n">
        <v>0.08</v>
      </c>
      <c r="N2191" t="inlineStr">
        <is>
          <t>台灣醫療影像PACS系統龍頭廠</t>
        </is>
      </c>
    </row>
    <row r="2192">
      <c r="A2192" s="503" t="n">
        <v>8410</v>
      </c>
      <c r="B2192" t="inlineStr">
        <is>
          <t>森田</t>
        </is>
      </c>
      <c r="C2192" t="n">
        <v>35.1</v>
      </c>
      <c r="D2192" t="n">
        <v>34.95</v>
      </c>
      <c r="E2192" s="504" t="n">
        <v>0.05</v>
      </c>
      <c r="F2192" s="505" t="n">
        <v>0.14</v>
      </c>
      <c r="G2192" t="inlineStr">
        <is>
          <t>251萬</t>
        </is>
      </c>
      <c r="H2192" t="n">
        <v>72</v>
      </c>
      <c r="I2192" t="n">
        <v>100</v>
      </c>
      <c r="J2192" t="n">
        <v>3.66</v>
      </c>
      <c r="K2192" t="n">
        <v>35.2</v>
      </c>
      <c r="L2192" t="n">
        <v>34.5</v>
      </c>
      <c r="M2192" s="175" t="n">
        <v>0.2</v>
      </c>
      <c r="N2192" t="inlineStr">
        <is>
          <t>台灣最大3C產品之膜內轉印(IMR)印刷廠</t>
        </is>
      </c>
    </row>
    <row r="2193">
      <c r="A2193" s="503" t="n">
        <v>8411</v>
      </c>
      <c r="B2193" t="inlineStr">
        <is>
          <t>福貞-KY</t>
        </is>
      </c>
      <c r="C2193" t="n">
        <v>12.05</v>
      </c>
      <c r="D2193" t="n">
        <v>12.05</v>
      </c>
      <c r="E2193" s="504" t="n">
        <v>-0.1</v>
      </c>
      <c r="F2193" s="505" t="n">
        <v>-0.82</v>
      </c>
      <c r="G2193" t="inlineStr">
        <is>
          <t>117萬</t>
        </is>
      </c>
      <c r="H2193" t="n">
        <v>97</v>
      </c>
      <c r="I2193" t="n">
        <v>161</v>
      </c>
      <c r="J2193" t="n">
        <v>21.84</v>
      </c>
      <c r="K2193" t="n">
        <v>12.1</v>
      </c>
      <c r="L2193" t="n">
        <v>11.95</v>
      </c>
      <c r="M2193" s="175" t="n">
        <v>0.04</v>
      </c>
      <c r="N2193" t="inlineStr">
        <is>
          <t>大陸專業金屬包裝產品供應大廠</t>
        </is>
      </c>
    </row>
    <row r="2194">
      <c r="A2194" s="503" t="n">
        <v>8415</v>
      </c>
      <c r="B2194" t="inlineStr">
        <is>
          <t>大國鋼</t>
        </is>
      </c>
      <c r="C2194" t="n">
        <v>35.1</v>
      </c>
      <c r="D2194" t="n">
        <v>34.8</v>
      </c>
      <c r="E2194" s="504" t="n">
        <v>-0.15</v>
      </c>
      <c r="F2194" s="505" t="n">
        <v>-0.43</v>
      </c>
      <c r="G2194" t="inlineStr">
        <is>
          <t>1480萬</t>
        </is>
      </c>
      <c r="H2194" t="n">
        <v>426</v>
      </c>
      <c r="I2194" t="n">
        <v>733</v>
      </c>
      <c r="J2194" t="n">
        <v>103.15</v>
      </c>
      <c r="K2194" t="n">
        <v>35.1</v>
      </c>
      <c r="L2194" t="n">
        <v>34.55</v>
      </c>
      <c r="M2194" s="175" t="n">
        <v>0.04</v>
      </c>
      <c r="N2194" t="inlineStr">
        <is>
          <t>大成鋼轉投資之大型螺絲螺帽配銷商</t>
        </is>
      </c>
    </row>
    <row r="2195">
      <c r="A2195" s="503" t="n">
        <v>8416</v>
      </c>
      <c r="B2195" t="inlineStr">
        <is>
          <t>實威</t>
        </is>
      </c>
      <c r="C2195" t="n">
        <v>183</v>
      </c>
      <c r="D2195" t="n">
        <v>181</v>
      </c>
      <c r="E2195" s="504" t="n">
        <v>-0.5</v>
      </c>
      <c r="F2195" s="505" t="n">
        <v>-0.28</v>
      </c>
      <c r="G2195" t="inlineStr">
        <is>
          <t>596萬</t>
        </is>
      </c>
      <c r="H2195" t="n">
        <v>33</v>
      </c>
      <c r="I2195" t="n">
        <v>68</v>
      </c>
      <c r="J2195" t="n">
        <v>2.82</v>
      </c>
      <c r="K2195" t="n">
        <v>183</v>
      </c>
      <c r="L2195" t="n">
        <v>179</v>
      </c>
      <c r="M2195" s="175" t="n">
        <v>0.12</v>
      </c>
      <c r="N2195" t="inlineStr">
        <is>
          <t>3D CAD/CAM/CAE/PDM軟硬體代理商</t>
        </is>
      </c>
    </row>
    <row r="2196">
      <c r="A2196" s="503" t="n">
        <v>8421</v>
      </c>
      <c r="B2196" t="inlineStr">
        <is>
          <t>旭源</t>
        </is>
      </c>
      <c r="C2196" t="n">
        <v>13.4</v>
      </c>
      <c r="D2196" t="n">
        <v>13.1</v>
      </c>
      <c r="E2196" s="504" t="n">
        <v>-0.25</v>
      </c>
      <c r="F2196" s="505" t="n">
        <v>-1.87</v>
      </c>
      <c r="G2196" t="inlineStr">
        <is>
          <t>58.9萬</t>
        </is>
      </c>
      <c r="H2196" t="n">
        <v>45</v>
      </c>
      <c r="I2196" t="n">
        <v>46</v>
      </c>
      <c r="J2196" t="n">
        <v>5.48</v>
      </c>
      <c r="K2196" t="n">
        <v>13.4</v>
      </c>
      <c r="L2196" t="n">
        <v>13</v>
      </c>
      <c r="M2196" s="175" t="n">
        <v>0.08</v>
      </c>
      <c r="N2196" t="inlineStr">
        <is>
          <t>飲料標籤及生產設備製造商</t>
        </is>
      </c>
    </row>
    <row r="2197">
      <c r="A2197" s="503" t="n">
        <v>8422</v>
      </c>
      <c r="B2197" t="inlineStr">
        <is>
          <t>可寧衛*</t>
        </is>
      </c>
      <c r="C2197" t="n">
        <v>27.95</v>
      </c>
      <c r="D2197" t="n">
        <v>27.35</v>
      </c>
      <c r="E2197" s="504" t="n">
        <v>-0.35</v>
      </c>
      <c r="F2197" s="505" t="n">
        <v>-1.26</v>
      </c>
      <c r="G2197" t="inlineStr">
        <is>
          <t>3.78億</t>
        </is>
      </c>
      <c r="H2197" t="n">
        <v>13934</v>
      </c>
      <c r="I2197" t="n">
        <v>9907</v>
      </c>
      <c r="J2197" t="n">
        <v>13.58</v>
      </c>
      <c r="K2197" t="n">
        <v>27.95</v>
      </c>
      <c r="L2197" t="n">
        <v>26.75</v>
      </c>
      <c r="M2197" s="175" t="n">
        <v>1.03</v>
      </c>
      <c r="N2197" t="inlineStr">
        <is>
          <t>台灣最大重金屬廢棄物固化處理廠</t>
        </is>
      </c>
    </row>
    <row r="2198">
      <c r="A2198" s="503" t="n">
        <v>8423</v>
      </c>
      <c r="B2198" t="inlineStr">
        <is>
          <t>保綠-KY</t>
        </is>
      </c>
      <c r="C2198" t="n">
        <v>17.7</v>
      </c>
      <c r="D2198" t="n">
        <v>17.65</v>
      </c>
      <c r="E2198" s="504" t="n">
        <v>-0.05</v>
      </c>
      <c r="F2198" s="505" t="n">
        <v>-0.28</v>
      </c>
      <c r="G2198" t="inlineStr">
        <is>
          <t>15.9萬</t>
        </is>
      </c>
      <c r="H2198" t="n">
        <v>9</v>
      </c>
      <c r="I2198" t="n">
        <v>34</v>
      </c>
      <c r="J2198" t="n">
        <v>4.17</v>
      </c>
      <c r="K2198" t="n">
        <v>17.8</v>
      </c>
      <c r="L2198" t="n">
        <v>17.45</v>
      </c>
      <c r="M2198" s="175" t="n">
        <v>0.02</v>
      </c>
      <c r="N2198" t="inlineStr">
        <is>
          <t>馬來西亞最大的再生膠、膠粉及膠粒製造商</t>
        </is>
      </c>
    </row>
    <row r="2199">
      <c r="A2199" s="503" t="n">
        <v>8424</v>
      </c>
      <c r="B2199" t="inlineStr">
        <is>
          <t>惠普</t>
        </is>
      </c>
      <c r="C2199" t="n">
        <v>73.3</v>
      </c>
      <c r="D2199" t="n">
        <v>72.90000000000001</v>
      </c>
      <c r="E2199" s="504" t="n">
        <v>-0.1</v>
      </c>
      <c r="F2199" s="505" t="n">
        <v>-0.14</v>
      </c>
      <c r="G2199" t="inlineStr">
        <is>
          <t>248萬</t>
        </is>
      </c>
      <c r="H2199" t="n">
        <v>34</v>
      </c>
      <c r="I2199" t="n">
        <v>38</v>
      </c>
      <c r="J2199" t="n">
        <v>3.61</v>
      </c>
      <c r="K2199" t="n">
        <v>73.40000000000001</v>
      </c>
      <c r="L2199" t="n">
        <v>72.8</v>
      </c>
      <c r="M2199" s="175" t="n">
        <v>0.09</v>
      </c>
      <c r="N2199" t="inlineStr">
        <is>
          <t>台灣最大矽酸鈣板廠</t>
        </is>
      </c>
    </row>
    <row r="2200">
      <c r="A2200" s="503" t="n">
        <v>8426</v>
      </c>
      <c r="B2200" t="inlineStr">
        <is>
          <t>紅木-KY</t>
        </is>
      </c>
      <c r="C2200" t="n">
        <v>21.35</v>
      </c>
      <c r="D2200" t="n">
        <v>21.5</v>
      </c>
      <c r="E2200" s="504" t="n">
        <v>-0.2</v>
      </c>
      <c r="F2200" s="505" t="n">
        <v>-0.92</v>
      </c>
      <c r="G2200" t="inlineStr">
        <is>
          <t>71.0萬</t>
        </is>
      </c>
      <c r="H2200" t="n">
        <v>33</v>
      </c>
      <c r="I2200" t="n">
        <v>41</v>
      </c>
      <c r="J2200" t="n">
        <v>5.02</v>
      </c>
      <c r="K2200" t="n">
        <v>21.75</v>
      </c>
      <c r="L2200" t="n">
        <v>21.35</v>
      </c>
      <c r="M2200" s="175" t="n">
        <v>0.07000000000000001</v>
      </c>
      <c r="N2200" t="inlineStr">
        <is>
          <t>國際精品的裝潢承包商</t>
        </is>
      </c>
    </row>
    <row r="2201">
      <c r="A2201" s="503" t="n">
        <v>8429</v>
      </c>
      <c r="B2201" t="inlineStr">
        <is>
          <t>金麗-KY</t>
        </is>
      </c>
      <c r="C2201" t="n">
        <v>6.18</v>
      </c>
      <c r="D2201" t="n">
        <v>6.31</v>
      </c>
      <c r="E2201" s="504" t="n">
        <v>0.14</v>
      </c>
      <c r="F2201" s="505" t="n">
        <v>2.27</v>
      </c>
      <c r="G2201" t="inlineStr">
        <is>
          <t>171萬</t>
        </is>
      </c>
      <c r="H2201" t="n">
        <v>271</v>
      </c>
      <c r="I2201" t="n">
        <v>458</v>
      </c>
      <c r="J2201" t="n">
        <v>18.57</v>
      </c>
      <c r="K2201" t="n">
        <v>6.35</v>
      </c>
      <c r="L2201" t="n">
        <v>6.18</v>
      </c>
      <c r="M2201" s="175" t="n">
        <v>0.15</v>
      </c>
      <c r="N2201" t="inlineStr">
        <is>
          <t>大陸三、四線城市中低價品牌服飾與休閒鞋業者</t>
        </is>
      </c>
    </row>
    <row r="2202">
      <c r="A2202" s="503" t="n">
        <v>8431</v>
      </c>
      <c r="B2202" t="inlineStr">
        <is>
          <t>匯鑽科</t>
        </is>
      </c>
      <c r="C2202" t="n">
        <v>56</v>
      </c>
      <c r="D2202" t="n">
        <v>53.9</v>
      </c>
      <c r="E2202" s="504" t="n">
        <v>-1.9</v>
      </c>
      <c r="F2202" s="505" t="n">
        <v>-3.41</v>
      </c>
      <c r="G2202" t="inlineStr">
        <is>
          <t>3973萬</t>
        </is>
      </c>
      <c r="H2202" t="n">
        <v>730</v>
      </c>
      <c r="I2202" t="n">
        <v>654</v>
      </c>
      <c r="J2202" t="n">
        <v>4.88</v>
      </c>
      <c r="K2202" t="n">
        <v>56</v>
      </c>
      <c r="L2202" t="n">
        <v>53.6</v>
      </c>
      <c r="M2202" s="175" t="n">
        <v>1.5</v>
      </c>
      <c r="N2202" t="inlineStr">
        <is>
          <t>亞太知名表面處理大廠</t>
        </is>
      </c>
    </row>
    <row r="2203">
      <c r="A2203" s="503" t="n">
        <v>8432</v>
      </c>
      <c r="B2203" t="inlineStr">
        <is>
          <t>東生華</t>
        </is>
      </c>
      <c r="C2203" t="n">
        <v>49.75</v>
      </c>
      <c r="D2203" t="n">
        <v>50.2</v>
      </c>
      <c r="E2203" s="504" t="n">
        <v>0.45</v>
      </c>
      <c r="F2203" s="505" t="n">
        <v>0.9</v>
      </c>
      <c r="G2203" t="inlineStr">
        <is>
          <t>294萬</t>
        </is>
      </c>
      <c r="H2203" t="n">
        <v>59</v>
      </c>
      <c r="I2203" t="n">
        <v>61</v>
      </c>
      <c r="J2203" t="n">
        <v>3.84</v>
      </c>
      <c r="K2203" t="n">
        <v>50.2</v>
      </c>
      <c r="L2203" t="n">
        <v>49.55</v>
      </c>
      <c r="M2203" s="175" t="n">
        <v>0.15</v>
      </c>
      <c r="N2203" t="inlineStr">
        <is>
          <t>東洋旗下慢性病用藥與新藥研發公司</t>
        </is>
      </c>
    </row>
    <row r="2204">
      <c r="A2204" s="503" t="n">
        <v>8433</v>
      </c>
      <c r="B2204" t="inlineStr">
        <is>
          <t>弘帆</t>
        </is>
      </c>
      <c r="C2204" t="n">
        <v>52.2</v>
      </c>
      <c r="D2204" t="n">
        <v>51.6</v>
      </c>
      <c r="E2204" s="504" t="n">
        <v>-0.4</v>
      </c>
      <c r="F2204" s="505" t="n">
        <v>-0.77</v>
      </c>
      <c r="G2204" t="inlineStr">
        <is>
          <t>212萬</t>
        </is>
      </c>
      <c r="H2204" t="n">
        <v>41</v>
      </c>
      <c r="I2204" t="n">
        <v>39</v>
      </c>
      <c r="J2204" t="n">
        <v>5.45</v>
      </c>
      <c r="K2204" t="n">
        <v>52.2</v>
      </c>
      <c r="L2204" t="n">
        <v>51.5</v>
      </c>
      <c r="M2204" s="175" t="n">
        <v>0.08</v>
      </c>
      <c r="N2204" t="inlineStr">
        <is>
          <t>全方位女性與孩童配件飾品供應商，產品外銷歐美為主</t>
        </is>
      </c>
    </row>
    <row r="2205">
      <c r="A2205" s="503" t="n">
        <v>8435</v>
      </c>
      <c r="B2205" t="inlineStr">
        <is>
          <t>鉅邁</t>
        </is>
      </c>
      <c r="C2205" t="n">
        <v>55.6</v>
      </c>
      <c r="D2205" t="n">
        <v>55.3</v>
      </c>
      <c r="E2205" s="504" t="n">
        <v>-0.7</v>
      </c>
      <c r="F2205" s="505" t="n">
        <v>-1.25</v>
      </c>
      <c r="G2205" t="inlineStr">
        <is>
          <t>287萬</t>
        </is>
      </c>
      <c r="H2205" t="n">
        <v>52</v>
      </c>
      <c r="I2205" t="n">
        <v>44</v>
      </c>
      <c r="J2205" t="n">
        <v>3.52</v>
      </c>
      <c r="K2205" t="n">
        <v>55.6</v>
      </c>
      <c r="L2205" t="n">
        <v>54.8</v>
      </c>
      <c r="M2205" s="175" t="n">
        <v>0.15</v>
      </c>
      <c r="N2205" t="inlineStr">
        <is>
          <t>台灣前三大工業水處理藥劑公司</t>
        </is>
      </c>
    </row>
    <row r="2206">
      <c r="A2206" s="503" t="n">
        <v>8436</v>
      </c>
      <c r="B2206" t="inlineStr">
        <is>
          <t>大江</t>
        </is>
      </c>
      <c r="C2206" t="n">
        <v>120.5</v>
      </c>
      <c r="D2206" t="n">
        <v>120.5</v>
      </c>
      <c r="E2206" s="504" t="n">
        <v>0.5</v>
      </c>
      <c r="F2206" s="505" t="n">
        <v>0.42</v>
      </c>
      <c r="G2206" t="inlineStr">
        <is>
          <t>3923萬</t>
        </is>
      </c>
      <c r="H2206" t="n">
        <v>327</v>
      </c>
      <c r="I2206" t="n">
        <v>628</v>
      </c>
      <c r="J2206" t="n">
        <v>11.77</v>
      </c>
      <c r="K2206" t="n">
        <v>121</v>
      </c>
      <c r="L2206" t="n">
        <v>119</v>
      </c>
      <c r="M2206" s="175" t="n">
        <v>0.28</v>
      </c>
      <c r="N2206" t="inlineStr">
        <is>
          <t>專為大廠研發保健品、保養品及有效添加物等公司</t>
        </is>
      </c>
    </row>
    <row r="2207">
      <c r="A2207" s="503" t="n">
        <v>8437</v>
      </c>
      <c r="B2207" t="inlineStr">
        <is>
          <t>大地-KY</t>
        </is>
      </c>
      <c r="C2207" t="n">
        <v>10.75</v>
      </c>
      <c r="D2207" t="n">
        <v>10.85</v>
      </c>
      <c r="E2207" s="504" t="n">
        <v>0.05</v>
      </c>
      <c r="F2207" s="505" t="n">
        <v>0.46</v>
      </c>
      <c r="G2207" t="inlineStr">
        <is>
          <t>165萬</t>
        </is>
      </c>
      <c r="H2207" t="n">
        <v>154</v>
      </c>
      <c r="I2207" t="n">
        <v>103</v>
      </c>
      <c r="J2207" t="n">
        <v>4.7</v>
      </c>
      <c r="K2207" t="n">
        <v>10.9</v>
      </c>
      <c r="L2207" t="n">
        <v>10.55</v>
      </c>
      <c r="M2207" s="175" t="n">
        <v>0.33</v>
      </c>
      <c r="N2207" t="inlineStr">
        <is>
          <t>大陸知名幼教品牌，提供幼教諮詢服務</t>
        </is>
      </c>
    </row>
    <row r="2208">
      <c r="A2208" s="503" t="n">
        <v>8438</v>
      </c>
      <c r="B2208" t="inlineStr">
        <is>
          <t>昶昕</t>
        </is>
      </c>
      <c r="C2208" t="n">
        <v>87</v>
      </c>
      <c r="D2208" t="n">
        <v>85.7</v>
      </c>
      <c r="E2208" s="504" t="n">
        <v>-1.3</v>
      </c>
      <c r="F2208" s="505" t="n">
        <v>-1.49</v>
      </c>
      <c r="G2208" t="inlineStr">
        <is>
          <t>2633萬</t>
        </is>
      </c>
      <c r="H2208" t="n">
        <v>309</v>
      </c>
      <c r="I2208" t="n">
        <v>423</v>
      </c>
      <c r="J2208" t="n">
        <v>6.99</v>
      </c>
      <c r="K2208" t="n">
        <v>87</v>
      </c>
      <c r="L2208" t="n">
        <v>83.90000000000001</v>
      </c>
      <c r="M2208" s="175" t="n">
        <v>0.44</v>
      </c>
      <c r="N2208" t="inlineStr">
        <is>
          <t>台灣主要PCB廢液處理商，市佔超過8成</t>
        </is>
      </c>
    </row>
    <row r="2209">
      <c r="A2209" s="503" t="n">
        <v>8440</v>
      </c>
      <c r="B2209" t="inlineStr">
        <is>
          <t>綠電</t>
        </is>
      </c>
      <c r="C2209" t="n">
        <v>23.1</v>
      </c>
      <c r="D2209" t="n">
        <v>23.15</v>
      </c>
      <c r="E2209" s="504" t="n">
        <v>0</v>
      </c>
      <c r="F2209" s="505" t="n">
        <v>0</v>
      </c>
      <c r="G2209" t="inlineStr">
        <is>
          <t>482萬</t>
        </is>
      </c>
      <c r="H2209" t="n">
        <v>209</v>
      </c>
      <c r="I2209" t="n">
        <v>711</v>
      </c>
      <c r="J2209" t="n">
        <v>5.03</v>
      </c>
      <c r="K2209" t="n">
        <v>23.55</v>
      </c>
      <c r="L2209" t="n">
        <v>22.8</v>
      </c>
      <c r="M2209" s="175" t="n">
        <v>0.42</v>
      </c>
      <c r="N2209" t="inlineStr">
        <is>
          <t>台灣最大的廢家電及廢資訊物品回收業者</t>
        </is>
      </c>
    </row>
    <row r="2210">
      <c r="A2210" s="503" t="n">
        <v>8442</v>
      </c>
      <c r="B2210" t="inlineStr">
        <is>
          <t>威宏-KY</t>
        </is>
      </c>
      <c r="C2210" t="n">
        <v>40.85</v>
      </c>
      <c r="D2210" t="n">
        <v>40.4</v>
      </c>
      <c r="E2210" s="504" t="n">
        <v>0.85</v>
      </c>
      <c r="F2210" s="505" t="n">
        <v>2.15</v>
      </c>
      <c r="G2210" t="inlineStr">
        <is>
          <t>563萬</t>
        </is>
      </c>
      <c r="H2210" t="n">
        <v>138</v>
      </c>
      <c r="I2210" t="n">
        <v>112</v>
      </c>
      <c r="J2210" t="n">
        <v>7.02</v>
      </c>
      <c r="K2210" t="n">
        <v>41.65</v>
      </c>
      <c r="L2210" t="n">
        <v>40.25</v>
      </c>
      <c r="M2210" s="175" t="n">
        <v>0.2</v>
      </c>
      <c r="N2210" t="inlineStr">
        <is>
          <t>為全球知名運動用品及精品包袋代工製造商</t>
        </is>
      </c>
    </row>
    <row r="2211">
      <c r="A2211" s="503" t="n">
        <v>8443</v>
      </c>
      <c r="B2211" t="inlineStr">
        <is>
          <t>阿瘦</t>
        </is>
      </c>
      <c r="C2211" t="n">
        <v>11</v>
      </c>
      <c r="D2211" t="n">
        <v>11.2</v>
      </c>
      <c r="E2211" s="504" t="n">
        <v>-0.05</v>
      </c>
      <c r="F2211" s="505" t="n">
        <v>-0.44</v>
      </c>
      <c r="G2211" t="inlineStr">
        <is>
          <t>18.9萬</t>
        </is>
      </c>
      <c r="H2211" t="n">
        <v>17</v>
      </c>
      <c r="I2211" t="n">
        <v>39</v>
      </c>
      <c r="J2211" t="n">
        <v>6.68</v>
      </c>
      <c r="K2211" t="n">
        <v>11.3</v>
      </c>
      <c r="L2211" t="n">
        <v>11</v>
      </c>
      <c r="M2211" s="175" t="n">
        <v>0.03</v>
      </c>
      <c r="N2211" t="inlineStr">
        <is>
          <t>台灣第一家掛牌的鞋業自有品牌業者</t>
        </is>
      </c>
    </row>
    <row r="2212">
      <c r="A2212" s="503" t="n">
        <v>8444</v>
      </c>
      <c r="B2212" t="inlineStr">
        <is>
          <t>綠河-KY</t>
        </is>
      </c>
      <c r="C2212" t="n">
        <v>4.98</v>
      </c>
      <c r="D2212" t="n">
        <v>4.67</v>
      </c>
      <c r="E2212" s="504" t="n">
        <v>-0.33</v>
      </c>
      <c r="F2212" s="505" t="n">
        <v>-6.6</v>
      </c>
      <c r="G2212" t="inlineStr">
        <is>
          <t>39.8萬</t>
        </is>
      </c>
      <c r="H2212" t="n">
        <v>84</v>
      </c>
      <c r="I2212" t="n">
        <v>37</v>
      </c>
      <c r="J2212" t="n">
        <v>11.12</v>
      </c>
      <c r="K2212" t="n">
        <v>4.98</v>
      </c>
      <c r="L2212" t="n">
        <v>4.66</v>
      </c>
      <c r="M2212" s="175" t="n">
        <v>0.08</v>
      </c>
      <c r="N2212" t="inlineStr">
        <is>
          <t>泰國塑合板與橡膠木實木板材產銷商</t>
        </is>
      </c>
    </row>
    <row r="2213">
      <c r="A2213" s="503" t="n">
        <v>8446</v>
      </c>
      <c r="B2213" t="inlineStr">
        <is>
          <t>華研</t>
        </is>
      </c>
      <c r="C2213" t="n">
        <v>84.59999999999999</v>
      </c>
      <c r="D2213" t="n">
        <v>84.40000000000001</v>
      </c>
      <c r="E2213" s="504" t="n">
        <v>-0.2</v>
      </c>
      <c r="F2213" s="505" t="n">
        <v>-0.24</v>
      </c>
      <c r="G2213" t="inlineStr">
        <is>
          <t>1173萬</t>
        </is>
      </c>
      <c r="H2213" t="n">
        <v>139</v>
      </c>
      <c r="I2213" t="n">
        <v>140</v>
      </c>
      <c r="J2213" t="n">
        <v>5.29</v>
      </c>
      <c r="K2213" t="n">
        <v>85.09999999999999</v>
      </c>
      <c r="L2213" t="n">
        <v>84</v>
      </c>
      <c r="M2213" s="175" t="n">
        <v>0.26</v>
      </c>
      <c r="N2213" t="inlineStr">
        <is>
          <t>亞洲跨國唱片製作及歌手經紀人公司</t>
        </is>
      </c>
    </row>
    <row r="2214">
      <c r="A2214" s="503" t="n">
        <v>8450</v>
      </c>
      <c r="B2214" t="inlineStr">
        <is>
          <t>霹靂</t>
        </is>
      </c>
      <c r="C2214" t="n">
        <v>15.6</v>
      </c>
      <c r="D2214" t="n">
        <v>15.75</v>
      </c>
      <c r="E2214" s="504" t="n">
        <v>0.15</v>
      </c>
      <c r="F2214" s="505" t="n">
        <v>0.96</v>
      </c>
      <c r="G2214" t="inlineStr">
        <is>
          <t>70.2萬</t>
        </is>
      </c>
      <c r="H2214" t="n">
        <v>45</v>
      </c>
      <c r="I2214" t="n">
        <v>73</v>
      </c>
      <c r="J2214" t="n">
        <v>5.13</v>
      </c>
      <c r="K2214" t="n">
        <v>15.8</v>
      </c>
      <c r="L2214" t="n">
        <v>15.5</v>
      </c>
      <c r="M2214" s="175" t="n">
        <v>0.09</v>
      </c>
      <c r="N2214" t="inlineStr">
        <is>
          <t>台灣布袋戲文創業者</t>
        </is>
      </c>
    </row>
    <row r="2215">
      <c r="A2215" s="503" t="n">
        <v>8454</v>
      </c>
      <c r="B2215" t="inlineStr">
        <is>
          <t>富邦媒</t>
        </is>
      </c>
      <c r="C2215" t="n">
        <v>237</v>
      </c>
      <c r="D2215" t="n">
        <v>265.5</v>
      </c>
      <c r="E2215" s="504" t="n">
        <v>24</v>
      </c>
      <c r="F2215" s="505" t="n">
        <v>9.94</v>
      </c>
      <c r="G2215" t="inlineStr">
        <is>
          <t>14.0億</t>
        </is>
      </c>
      <c r="H2215" t="n">
        <v>5540</v>
      </c>
      <c r="I2215" t="n">
        <v>2731</v>
      </c>
      <c r="J2215" t="n">
        <v>26.5</v>
      </c>
      <c r="K2215" t="n">
        <v>265.5</v>
      </c>
      <c r="L2215" t="n">
        <v>231</v>
      </c>
      <c r="M2215" s="175" t="n">
        <v>2.09</v>
      </c>
      <c r="N2215" t="inlineStr">
        <is>
          <t>台灣網路購物龍頭平台</t>
        </is>
      </c>
    </row>
    <row r="2216">
      <c r="A2216" s="503" t="n">
        <v>8455</v>
      </c>
      <c r="B2216" t="inlineStr">
        <is>
          <t>大拓-KY</t>
        </is>
      </c>
      <c r="C2216" t="n">
        <v>43.9</v>
      </c>
      <c r="D2216" t="n">
        <v>41.2</v>
      </c>
      <c r="E2216" s="504" t="n">
        <v>-0.6</v>
      </c>
      <c r="F2216" s="505" t="n">
        <v>-1.44</v>
      </c>
      <c r="G2216" t="inlineStr">
        <is>
          <t>391萬</t>
        </is>
      </c>
      <c r="H2216" t="n">
        <v>92</v>
      </c>
      <c r="I2216" t="n">
        <v>153</v>
      </c>
      <c r="J2216" t="n">
        <v>2.52</v>
      </c>
      <c r="K2216" t="n">
        <v>43.9</v>
      </c>
      <c r="L2216" t="n">
        <v>40.95</v>
      </c>
      <c r="M2216" s="175" t="n">
        <v>0.36</v>
      </c>
      <c r="N2216" t="inlineStr">
        <is>
          <t>國內知名的電機、電子零組件代理經銷商</t>
        </is>
      </c>
    </row>
    <row r="2217">
      <c r="A2217" s="503" t="n">
        <v>8462</v>
      </c>
      <c r="B2217" t="inlineStr">
        <is>
          <t>柏文</t>
        </is>
      </c>
      <c r="C2217" t="n">
        <v>140.5</v>
      </c>
      <c r="D2217" t="n">
        <v>140</v>
      </c>
      <c r="E2217" s="504" t="n">
        <v>-1.5</v>
      </c>
      <c r="F2217" s="505" t="n">
        <v>-1.06</v>
      </c>
      <c r="G2217" t="inlineStr">
        <is>
          <t>1442萬</t>
        </is>
      </c>
      <c r="H2217" t="n">
        <v>103</v>
      </c>
      <c r="I2217" t="n">
        <v>145</v>
      </c>
      <c r="J2217" t="n">
        <v>8.039999999999999</v>
      </c>
      <c r="K2217" t="n">
        <v>141.5</v>
      </c>
      <c r="L2217" t="n">
        <v>138.5</v>
      </c>
      <c r="M2217" s="175" t="n">
        <v>0.13</v>
      </c>
      <c r="N2217" t="inlineStr">
        <is>
          <t>台灣連鎖健身俱樂部業者</t>
        </is>
      </c>
    </row>
    <row r="2218">
      <c r="A2218" s="503" t="n">
        <v>8463</v>
      </c>
      <c r="B2218" t="inlineStr">
        <is>
          <t>潤泰材</t>
        </is>
      </c>
      <c r="C2218" t="n">
        <v>21.65</v>
      </c>
      <c r="D2218" t="n">
        <v>21.65</v>
      </c>
      <c r="E2218" s="504" t="n">
        <v>-0.05</v>
      </c>
      <c r="F2218" s="505" t="n">
        <v>-0.23</v>
      </c>
      <c r="G2218" t="inlineStr">
        <is>
          <t>190萬</t>
        </is>
      </c>
      <c r="H2218" t="n">
        <v>88</v>
      </c>
      <c r="I2218" t="n">
        <v>94</v>
      </c>
      <c r="J2218" t="n">
        <v>15</v>
      </c>
      <c r="K2218" t="n">
        <v>21.75</v>
      </c>
      <c r="L2218" t="n">
        <v>21.45</v>
      </c>
      <c r="M2218" s="175" t="n">
        <v>0.06</v>
      </c>
      <c r="N2218" t="inlineStr">
        <is>
          <t>潤泰集團旗下水泥及預拌式泥作材料大廠</t>
        </is>
      </c>
    </row>
    <row r="2219">
      <c r="A2219" s="503" t="n">
        <v>8464</v>
      </c>
      <c r="B2219" t="inlineStr">
        <is>
          <t>億豐</t>
        </is>
      </c>
      <c r="C2219" t="n">
        <v>323.5</v>
      </c>
      <c r="D2219" t="n">
        <v>322</v>
      </c>
      <c r="E2219" s="504" t="n">
        <v>-2</v>
      </c>
      <c r="F2219" s="505" t="n">
        <v>-0.62</v>
      </c>
      <c r="G2219" t="inlineStr">
        <is>
          <t>2.45億</t>
        </is>
      </c>
      <c r="H2219" t="n">
        <v>763</v>
      </c>
      <c r="I2219" t="n">
        <v>1155</v>
      </c>
      <c r="J2219" t="n">
        <v>29.3</v>
      </c>
      <c r="K2219" t="n">
        <v>324.5</v>
      </c>
      <c r="L2219" t="n">
        <v>317.5</v>
      </c>
      <c r="M2219" s="175" t="n">
        <v>0.26</v>
      </c>
      <c r="N2219" t="inlineStr">
        <is>
          <t>全球窗簾製造大廠</t>
        </is>
      </c>
    </row>
    <row r="2220">
      <c r="A2220" s="503" t="n">
        <v>8466</v>
      </c>
      <c r="B2220" t="inlineStr">
        <is>
          <t>美吉吉-KY</t>
        </is>
      </c>
      <c r="C2220" t="n">
        <v>16.35</v>
      </c>
      <c r="D2220" t="n">
        <v>16.1</v>
      </c>
      <c r="E2220" s="504" t="n">
        <v>-0.1</v>
      </c>
      <c r="F2220" s="505" t="n">
        <v>-0.62</v>
      </c>
      <c r="G2220" t="inlineStr">
        <is>
          <t>106萬</t>
        </is>
      </c>
      <c r="H2220" t="n">
        <v>66</v>
      </c>
      <c r="I2220" t="n">
        <v>367</v>
      </c>
      <c r="J2220" t="n">
        <v>7.98</v>
      </c>
      <c r="K2220" t="n">
        <v>16.5</v>
      </c>
      <c r="L2220" t="n">
        <v>16</v>
      </c>
      <c r="M2220" s="175" t="n">
        <v>0.08</v>
      </c>
      <c r="N2220" t="inlineStr">
        <is>
          <t>全球知名塑膠地磚製造廠商</t>
        </is>
      </c>
    </row>
    <row r="2221">
      <c r="A2221" s="503" t="n">
        <v>8467</v>
      </c>
      <c r="B2221" t="inlineStr">
        <is>
          <t>波力-KY</t>
        </is>
      </c>
      <c r="C2221" t="n">
        <v>135</v>
      </c>
      <c r="D2221" t="n">
        <v>131.5</v>
      </c>
      <c r="E2221" s="504" t="n">
        <v>0</v>
      </c>
      <c r="F2221" s="505" t="n">
        <v>0</v>
      </c>
      <c r="G2221" t="inlineStr">
        <is>
          <t>275萬</t>
        </is>
      </c>
      <c r="H2221" t="n">
        <v>21</v>
      </c>
      <c r="I2221" t="n">
        <v>31</v>
      </c>
      <c r="J2221" t="n">
        <v>4.84</v>
      </c>
      <c r="K2221" t="n">
        <v>135</v>
      </c>
      <c r="L2221" t="n">
        <v>128.5</v>
      </c>
      <c r="M2221" s="175" t="n">
        <v>0.04</v>
      </c>
      <c r="N2221" t="inlineStr">
        <is>
          <t>全球最大碳纖維冰上曲棍球桿製造廠</t>
        </is>
      </c>
    </row>
    <row r="2222">
      <c r="A2222" s="503" t="n">
        <v>8472</v>
      </c>
      <c r="B2222" t="inlineStr">
        <is>
          <t>夠麻吉</t>
        </is>
      </c>
      <c r="C2222" t="n">
        <v>88.09999999999999</v>
      </c>
      <c r="D2222" t="n">
        <v>90</v>
      </c>
      <c r="E2222" s="504" t="n">
        <v>4.1</v>
      </c>
      <c r="F2222" s="505" t="n">
        <v>4.77</v>
      </c>
      <c r="G2222" t="inlineStr">
        <is>
          <t>1211萬</t>
        </is>
      </c>
      <c r="H2222" t="n">
        <v>139</v>
      </c>
      <c r="I2222" t="n">
        <v>78</v>
      </c>
      <c r="J2222" t="n">
        <v>1.77</v>
      </c>
      <c r="K2222" t="n">
        <v>90</v>
      </c>
      <c r="L2222" t="n">
        <v>82.90000000000001</v>
      </c>
      <c r="M2222" s="175" t="n">
        <v>0.78</v>
      </c>
      <c r="N2222" t="inlineStr">
        <is>
          <t>台灣最大吃喝玩樂票券平台「GOMAJI」</t>
        </is>
      </c>
    </row>
    <row r="2223">
      <c r="A2223" s="503" t="n">
        <v>8473</v>
      </c>
      <c r="B2223" t="inlineStr">
        <is>
          <t>山林水</t>
        </is>
      </c>
      <c r="C2223" t="n">
        <v>55.7</v>
      </c>
      <c r="D2223" t="n">
        <v>56</v>
      </c>
      <c r="E2223" s="504" t="n">
        <v>0.6</v>
      </c>
      <c r="F2223" s="505" t="n">
        <v>1.08</v>
      </c>
      <c r="G2223" t="inlineStr">
        <is>
          <t>6.93億</t>
        </is>
      </c>
      <c r="H2223" t="n">
        <v>12499</v>
      </c>
      <c r="I2223" t="n">
        <v>4234</v>
      </c>
      <c r="J2223" t="n">
        <v>18.12</v>
      </c>
      <c r="K2223" t="n">
        <v>57</v>
      </c>
      <c r="L2223" t="n">
        <v>53.9</v>
      </c>
      <c r="M2223" s="175" t="n">
        <v>6.9</v>
      </c>
      <c r="N2223" t="inlineStr">
        <is>
          <t>力麒旗下水處理工程公司</t>
        </is>
      </c>
    </row>
    <row r="2224">
      <c r="A2224" s="503" t="n">
        <v>8476</v>
      </c>
      <c r="B2224" t="inlineStr">
        <is>
          <t>台境*</t>
        </is>
      </c>
      <c r="C2224" t="n">
        <v>15.6</v>
      </c>
      <c r="D2224" t="n">
        <v>15.4</v>
      </c>
      <c r="E2224" s="504" t="n">
        <v>-0.2</v>
      </c>
      <c r="F2224" s="505" t="n">
        <v>-1.28</v>
      </c>
      <c r="G2224" t="inlineStr">
        <is>
          <t>579萬</t>
        </is>
      </c>
      <c r="H2224" t="n">
        <v>376</v>
      </c>
      <c r="I2224" t="n">
        <v>437</v>
      </c>
      <c r="J2224" t="n">
        <v>8.31</v>
      </c>
      <c r="K2224" t="n">
        <v>15.7</v>
      </c>
      <c r="L2224" t="n">
        <v>15.2</v>
      </c>
      <c r="M2224" s="175" t="n">
        <v>0.23</v>
      </c>
      <c r="N2224" t="inlineStr">
        <is>
          <t>專注發展土壤、地下水領域的環保工程服務商</t>
        </is>
      </c>
    </row>
    <row r="2225">
      <c r="A2225" s="503" t="n">
        <v>8477</v>
      </c>
      <c r="B2225" t="inlineStr">
        <is>
          <t>創業家</t>
        </is>
      </c>
      <c r="C2225" t="n">
        <v>19.2</v>
      </c>
      <c r="D2225" t="n">
        <v>19.2</v>
      </c>
      <c r="E2225" s="504" t="n">
        <v>-0.15</v>
      </c>
      <c r="F2225" s="505" t="n">
        <v>-0.78</v>
      </c>
      <c r="G2225" t="inlineStr">
        <is>
          <t>310萬</t>
        </is>
      </c>
      <c r="H2225" t="n">
        <v>167</v>
      </c>
      <c r="I2225" t="n">
        <v>339</v>
      </c>
      <c r="J2225" t="n">
        <v>6.42</v>
      </c>
      <c r="K2225" t="n">
        <v>19.2</v>
      </c>
      <c r="L2225" t="n">
        <v>18</v>
      </c>
      <c r="M2225" s="175" t="n">
        <v>0.26</v>
      </c>
      <c r="N2225" t="inlineStr">
        <is>
          <t>主要經營「生活市集」電商平台</t>
        </is>
      </c>
    </row>
    <row r="2226">
      <c r="A2226" s="503" t="n">
        <v>8478</v>
      </c>
      <c r="B2226" t="inlineStr">
        <is>
          <t>東哥遊艇</t>
        </is>
      </c>
      <c r="C2226" t="n">
        <v>155.5</v>
      </c>
      <c r="D2226" t="n">
        <v>154.5</v>
      </c>
      <c r="E2226" s="504" t="n">
        <v>-1</v>
      </c>
      <c r="F2226" s="505" t="n">
        <v>-0.64</v>
      </c>
      <c r="G2226" t="inlineStr">
        <is>
          <t>3264萬</t>
        </is>
      </c>
      <c r="H2226" t="n">
        <v>213</v>
      </c>
      <c r="I2226" t="n">
        <v>231</v>
      </c>
      <c r="J2226" t="n">
        <v>9.4</v>
      </c>
      <c r="K2226" t="n">
        <v>155.5</v>
      </c>
      <c r="L2226" t="n">
        <v>152.5</v>
      </c>
      <c r="M2226" s="175" t="n">
        <v>0.23</v>
      </c>
      <c r="N2226" t="inlineStr">
        <is>
          <t>亞洲地區唯一擁有自有品牌之遊艇製造商</t>
        </is>
      </c>
    </row>
    <row r="2227">
      <c r="A2227" s="503" t="n">
        <v>8481</v>
      </c>
      <c r="B2227" t="inlineStr">
        <is>
          <t>政伸</t>
        </is>
      </c>
      <c r="C2227" t="n">
        <v>41</v>
      </c>
      <c r="D2227" t="n">
        <v>41.35</v>
      </c>
      <c r="E2227" s="504" t="n">
        <v>0.4</v>
      </c>
      <c r="F2227" s="505" t="n">
        <v>0.98</v>
      </c>
      <c r="G2227" t="inlineStr">
        <is>
          <t>115萬</t>
        </is>
      </c>
      <c r="H2227" t="n">
        <v>28</v>
      </c>
      <c r="I2227" t="n">
        <v>32</v>
      </c>
      <c r="J2227" t="n">
        <v>6.66</v>
      </c>
      <c r="K2227" t="n">
        <v>41.4</v>
      </c>
      <c r="L2227" t="n">
        <v>41</v>
      </c>
      <c r="M2227" s="175" t="n">
        <v>0.04</v>
      </c>
      <c r="N2227" t="inlineStr">
        <is>
          <t>全球最大自行車貼標印刷公司</t>
        </is>
      </c>
    </row>
    <row r="2228">
      <c r="A2228" s="503" t="n">
        <v>8482</v>
      </c>
      <c r="B2228" t="inlineStr">
        <is>
          <t>商億-KY</t>
        </is>
      </c>
      <c r="C2228" t="n">
        <v>49</v>
      </c>
      <c r="D2228" t="n">
        <v>49.2</v>
      </c>
      <c r="E2228" s="504" t="n">
        <v>0.2</v>
      </c>
      <c r="F2228" s="505" t="n">
        <v>0.41</v>
      </c>
      <c r="G2228" t="inlineStr">
        <is>
          <t>34.6萬</t>
        </is>
      </c>
      <c r="H2228" t="n">
        <v>7</v>
      </c>
      <c r="I2228" t="n">
        <v>9</v>
      </c>
      <c r="J2228" t="n">
        <v>10.74</v>
      </c>
      <c r="K2228" t="n">
        <v>49.9</v>
      </c>
      <c r="L2228" t="n">
        <v>49</v>
      </c>
      <c r="M2228" s="175" t="n">
        <v>0.01</v>
      </c>
      <c r="N2228" t="inlineStr">
        <is>
          <t>主要出口至北美的高端室內傢俱製造商</t>
        </is>
      </c>
    </row>
    <row r="2229">
      <c r="A2229" s="503" t="n">
        <v>8488</v>
      </c>
      <c r="B2229" t="inlineStr">
        <is>
          <t>吉源-KY</t>
        </is>
      </c>
      <c r="C2229" t="n">
        <v>10.2</v>
      </c>
      <c r="D2229" t="n">
        <v>10.2</v>
      </c>
      <c r="E2229" s="504" t="n">
        <v>0.05</v>
      </c>
      <c r="F2229" s="505" t="n">
        <v>0.49</v>
      </c>
      <c r="G2229" t="inlineStr">
        <is>
          <t>1.02萬</t>
        </is>
      </c>
      <c r="H2229" t="n">
        <v>1</v>
      </c>
      <c r="I2229" t="n">
        <v>8</v>
      </c>
      <c r="J2229" t="n">
        <v>7.35</v>
      </c>
      <c r="K2229" t="n">
        <v>10.2</v>
      </c>
      <c r="L2229" t="n">
        <v>10.2</v>
      </c>
      <c r="M2229" s="175" t="n">
        <v>0</v>
      </c>
      <c r="N2229" t="inlineStr">
        <is>
          <t>台商金屬飲料包材大廠</t>
        </is>
      </c>
    </row>
    <row r="2230">
      <c r="A2230" s="503" t="n">
        <v>8489</v>
      </c>
      <c r="B2230" t="inlineStr">
        <is>
          <t>三貝德</t>
        </is>
      </c>
      <c r="C2230" t="n">
        <v>23.05</v>
      </c>
      <c r="D2230" t="n">
        <v>22.6</v>
      </c>
      <c r="E2230" s="504" t="n">
        <v>-0.7</v>
      </c>
      <c r="F2230" s="505" t="n">
        <v>-3</v>
      </c>
      <c r="G2230" t="inlineStr">
        <is>
          <t>515萬</t>
        </is>
      </c>
      <c r="H2230" t="n">
        <v>230</v>
      </c>
      <c r="I2230" t="n">
        <v>99</v>
      </c>
      <c r="J2230" t="n">
        <v>5.99</v>
      </c>
      <c r="K2230" t="n">
        <v>23.05</v>
      </c>
      <c r="L2230" t="n">
        <v>21.75</v>
      </c>
      <c r="M2230" s="175" t="n">
        <v>0.38</v>
      </c>
      <c r="N2230" t="inlineStr">
        <is>
          <t>致力於K12數位教學及品牌代理授權業者</t>
        </is>
      </c>
    </row>
    <row r="2231">
      <c r="A2231" s="503" t="n">
        <v>8499</v>
      </c>
      <c r="B2231" t="inlineStr">
        <is>
          <t>鼎炫-KY</t>
        </is>
      </c>
      <c r="C2231" t="n">
        <v>301</v>
      </c>
      <c r="D2231" t="n">
        <v>298.5</v>
      </c>
      <c r="E2231" s="504" t="n">
        <v>-3</v>
      </c>
      <c r="F2231" s="505" t="n">
        <v>-1</v>
      </c>
      <c r="G2231" t="inlineStr">
        <is>
          <t>2070萬</t>
        </is>
      </c>
      <c r="H2231" t="n">
        <v>70</v>
      </c>
      <c r="I2231" t="n">
        <v>206</v>
      </c>
      <c r="J2231" t="n">
        <v>4.12</v>
      </c>
      <c r="K2231" t="n">
        <v>301.5</v>
      </c>
      <c r="L2231" t="n">
        <v>292.5</v>
      </c>
      <c r="M2231" s="175" t="n">
        <v>0.17</v>
      </c>
      <c r="N2231" t="inlineStr">
        <is>
          <t>電子衡器及EMI導電材料生產商</t>
        </is>
      </c>
    </row>
    <row r="2232">
      <c r="A2232" s="503" t="n">
        <v>8905</v>
      </c>
      <c r="B2232" t="inlineStr">
        <is>
          <t>裕國</t>
        </is>
      </c>
      <c r="C2232" t="n">
        <v>29.55</v>
      </c>
      <c r="D2232" t="n">
        <v>29.55</v>
      </c>
      <c r="E2232" s="504" t="n">
        <v>0.3</v>
      </c>
      <c r="F2232" s="505" t="n">
        <v>1.03</v>
      </c>
      <c r="G2232" t="inlineStr">
        <is>
          <t>2.96萬</t>
        </is>
      </c>
      <c r="H2232" t="n">
        <v>1</v>
      </c>
      <c r="I2232" t="n">
        <v>5</v>
      </c>
      <c r="J2232" t="n">
        <v>11.94</v>
      </c>
      <c r="K2232" t="n">
        <v>29.55</v>
      </c>
      <c r="L2232" t="n">
        <v>29.55</v>
      </c>
      <c r="M2232" s="175" t="n">
        <v>0</v>
      </c>
      <c r="N2232" t="inlineStr">
        <is>
          <t>主要從事肉品、冷凍冷藏倉儲、營建業務</t>
        </is>
      </c>
    </row>
    <row r="2233">
      <c r="A2233" s="503" t="n">
        <v>8906</v>
      </c>
      <c r="B2233" t="inlineStr">
        <is>
          <t>花王</t>
        </is>
      </c>
      <c r="C2233" t="n">
        <v>23.75</v>
      </c>
      <c r="D2233" t="n">
        <v>23.85</v>
      </c>
      <c r="E2233" s="504" t="n">
        <v>-0.05</v>
      </c>
      <c r="F2233" s="505" t="n">
        <v>-0.21</v>
      </c>
      <c r="G2233" t="inlineStr">
        <is>
          <t>42.9萬</t>
        </is>
      </c>
      <c r="H2233" t="n">
        <v>18</v>
      </c>
      <c r="I2233" t="n">
        <v>65</v>
      </c>
      <c r="J2233" t="n">
        <v>4.4</v>
      </c>
      <c r="K2233" t="n">
        <v>23.9</v>
      </c>
      <c r="L2233" t="n">
        <v>23.7</v>
      </c>
      <c r="M2233" s="175" t="n">
        <v>0.04</v>
      </c>
      <c r="N2233" t="inlineStr">
        <is>
          <t>知名一貫化印製作業廠</t>
        </is>
      </c>
    </row>
    <row r="2234">
      <c r="A2234" s="503" t="n">
        <v>8908</v>
      </c>
      <c r="B2234" t="inlineStr">
        <is>
          <t>欣雄</t>
        </is>
      </c>
      <c r="C2234" t="n">
        <v>40.8</v>
      </c>
      <c r="D2234" t="n">
        <v>40.95</v>
      </c>
      <c r="E2234" s="504" t="n">
        <v>0.05</v>
      </c>
      <c r="F2234" s="505" t="n">
        <v>0.12</v>
      </c>
      <c r="G2234" t="inlineStr">
        <is>
          <t>727萬</t>
        </is>
      </c>
      <c r="H2234" t="n">
        <v>178</v>
      </c>
      <c r="I2234" t="n">
        <v>305</v>
      </c>
      <c r="J2234" t="n">
        <v>31.53</v>
      </c>
      <c r="K2234" t="n">
        <v>41</v>
      </c>
      <c r="L2234" t="n">
        <v>40.75</v>
      </c>
      <c r="M2234" s="175" t="n">
        <v>0.06</v>
      </c>
      <c r="N2234" t="inlineStr">
        <is>
          <t>主要經營高雄市鳳山、大寮等13區之天然氣業者</t>
        </is>
      </c>
    </row>
    <row r="2235">
      <c r="A2235" s="503" t="n">
        <v>8916</v>
      </c>
      <c r="B2235" t="inlineStr">
        <is>
          <t>光隆</t>
        </is>
      </c>
      <c r="C2235" t="n">
        <v>44.9</v>
      </c>
      <c r="D2235" t="n">
        <v>44.85</v>
      </c>
      <c r="E2235" s="504" t="n">
        <v>-0.1</v>
      </c>
      <c r="F2235" s="505" t="n">
        <v>-0.22</v>
      </c>
      <c r="G2235" t="inlineStr">
        <is>
          <t>845萬</t>
        </is>
      </c>
      <c r="H2235" t="n">
        <v>189</v>
      </c>
      <c r="I2235" t="n">
        <v>201</v>
      </c>
      <c r="J2235" t="n">
        <v>15.03</v>
      </c>
      <c r="K2235" t="n">
        <v>44.9</v>
      </c>
      <c r="L2235" t="n">
        <v>44.45</v>
      </c>
      <c r="M2235" s="175" t="n">
        <v>0.13</v>
      </c>
      <c r="N2235" t="inlineStr">
        <is>
          <t>國內知名的羽絨原料加工及寢具製造商</t>
        </is>
      </c>
    </row>
    <row r="2236">
      <c r="A2236" s="503" t="n">
        <v>8917</v>
      </c>
      <c r="B2236" t="inlineStr">
        <is>
          <t>欣泰</t>
        </is>
      </c>
      <c r="C2236" t="n">
        <v>52.5</v>
      </c>
      <c r="D2236" t="n">
        <v>52.6</v>
      </c>
      <c r="E2236" s="504" t="n">
        <v>0.6</v>
      </c>
      <c r="F2236" s="505" t="n">
        <v>1.15</v>
      </c>
      <c r="G2236" t="inlineStr">
        <is>
          <t>105萬</t>
        </is>
      </c>
      <c r="H2236" t="n">
        <v>20</v>
      </c>
      <c r="I2236" t="n">
        <v>17</v>
      </c>
      <c r="J2236" t="n">
        <v>16.27</v>
      </c>
      <c r="K2236" t="n">
        <v>52.6</v>
      </c>
      <c r="L2236" t="n">
        <v>52.3</v>
      </c>
      <c r="M2236" s="175" t="n">
        <v>0.01</v>
      </c>
      <c r="N2236" t="inlineStr">
        <is>
          <t>主要經營新北市樹林、土城等9區之天然氣業者</t>
        </is>
      </c>
    </row>
    <row r="2237">
      <c r="A2237" s="503" t="n">
        <v>8921</v>
      </c>
      <c r="B2237" t="inlineStr">
        <is>
          <t>沈氏</t>
        </is>
      </c>
      <c r="C2237" t="n">
        <v>18.55</v>
      </c>
      <c r="D2237" t="n">
        <v>18.4</v>
      </c>
      <c r="E2237" s="504" t="n">
        <v>0.4</v>
      </c>
      <c r="F2237" s="505" t="n">
        <v>2.22</v>
      </c>
      <c r="G2237" t="inlineStr">
        <is>
          <t>3.69萬</t>
        </is>
      </c>
      <c r="H2237" t="n">
        <v>2</v>
      </c>
      <c r="I2237" t="n">
        <v>2</v>
      </c>
      <c r="J2237" t="n">
        <v>4.66</v>
      </c>
      <c r="K2237" t="n">
        <v>18.55</v>
      </c>
      <c r="L2237" t="n">
        <v>18.4</v>
      </c>
      <c r="M2237" s="175" t="n">
        <v>0</v>
      </c>
      <c r="N2237" t="inlineStr">
        <is>
          <t>永豐餘集團轉投資之印刷廠</t>
        </is>
      </c>
    </row>
    <row r="2238">
      <c r="A2238" s="503" t="n">
        <v>8923</v>
      </c>
      <c r="B2238" t="inlineStr">
        <is>
          <t>時報</t>
        </is>
      </c>
      <c r="C2238" t="n">
        <v>18.9</v>
      </c>
      <c r="D2238" t="n">
        <v>18.9</v>
      </c>
      <c r="E2238" s="504" t="n">
        <v>0</v>
      </c>
      <c r="F2238" s="505" t="n">
        <v>0</v>
      </c>
      <c r="G2238" t="inlineStr">
        <is>
          <t>17.0萬</t>
        </is>
      </c>
      <c r="H2238" t="n">
        <v>9</v>
      </c>
      <c r="I2238" t="n">
        <v>8</v>
      </c>
      <c r="J2238" t="n">
        <v>3.04</v>
      </c>
      <c r="K2238" t="n">
        <v>18.9</v>
      </c>
      <c r="L2238" t="n">
        <v>18.9</v>
      </c>
      <c r="M2238" s="175" t="n">
        <v>0.03</v>
      </c>
      <c r="N2238" t="inlineStr">
        <is>
          <t>台灣大型出版社之一</t>
        </is>
      </c>
    </row>
    <row r="2239">
      <c r="A2239" s="503" t="n">
        <v>8924</v>
      </c>
      <c r="B2239" t="inlineStr">
        <is>
          <t>大田</t>
        </is>
      </c>
      <c r="C2239" t="n">
        <v>59.1</v>
      </c>
      <c r="D2239" t="n">
        <v>59</v>
      </c>
      <c r="E2239" s="504" t="n">
        <v>-0.3</v>
      </c>
      <c r="F2239" s="505" t="n">
        <v>-0.51</v>
      </c>
      <c r="G2239" t="inlineStr">
        <is>
          <t>797萬</t>
        </is>
      </c>
      <c r="H2239" t="n">
        <v>135</v>
      </c>
      <c r="I2239" t="n">
        <v>389</v>
      </c>
      <c r="J2239" t="n">
        <v>8.380000000000001</v>
      </c>
      <c r="K2239" t="n">
        <v>59.8</v>
      </c>
      <c r="L2239" t="n">
        <v>58.8</v>
      </c>
      <c r="M2239" s="175" t="n">
        <v>0.16</v>
      </c>
      <c r="N2239" t="inlineStr">
        <is>
          <t>全球前四大高爾夫球桿頭代工廠之一</t>
        </is>
      </c>
    </row>
    <row r="2240">
      <c r="A2240" s="503" t="n">
        <v>8926</v>
      </c>
      <c r="B2240" t="inlineStr">
        <is>
          <t>台汽電</t>
        </is>
      </c>
      <c r="C2240" t="n">
        <v>67.3</v>
      </c>
      <c r="D2240" t="n">
        <v>67.40000000000001</v>
      </c>
      <c r="E2240" s="504" t="n">
        <v>0.2</v>
      </c>
      <c r="F2240" s="505" t="n">
        <v>0.3</v>
      </c>
      <c r="G2240" t="inlineStr">
        <is>
          <t>4.65億</t>
        </is>
      </c>
      <c r="H2240" t="n">
        <v>6944</v>
      </c>
      <c r="I2240" t="n">
        <v>17909</v>
      </c>
      <c r="J2240" t="n">
        <v>83.03</v>
      </c>
      <c r="K2240" t="n">
        <v>68.2</v>
      </c>
      <c r="L2240" t="n">
        <v>66</v>
      </c>
      <c r="M2240" s="175" t="n">
        <v>0.84</v>
      </c>
      <c r="N2240" t="inlineStr">
        <is>
          <t>為一開發、投資、興建及營運汽電共生廠及民營電廠</t>
        </is>
      </c>
    </row>
    <row r="2241">
      <c r="A2241" s="503" t="n">
        <v>8927</v>
      </c>
      <c r="B2241" t="inlineStr">
        <is>
          <t>北基</t>
        </is>
      </c>
      <c r="C2241" t="n">
        <v>18.9</v>
      </c>
      <c r="D2241" t="n">
        <v>19.55</v>
      </c>
      <c r="E2241" s="504" t="n">
        <v>0.65</v>
      </c>
      <c r="F2241" s="505" t="n">
        <v>3.44</v>
      </c>
      <c r="G2241" t="inlineStr">
        <is>
          <t>2395萬</t>
        </is>
      </c>
      <c r="H2241" t="n">
        <v>1245</v>
      </c>
      <c r="I2241" t="n">
        <v>696</v>
      </c>
      <c r="J2241" t="n">
        <v>41.91</v>
      </c>
      <c r="K2241" t="n">
        <v>19.95</v>
      </c>
      <c r="L2241" t="n">
        <v>18.55</v>
      </c>
      <c r="M2241" s="175" t="n">
        <v>0.29</v>
      </c>
      <c r="N2241" t="inlineStr">
        <is>
          <t>國內加油站經營商，擁有80個據點</t>
        </is>
      </c>
    </row>
    <row r="2242">
      <c r="A2242" s="503" t="n">
        <v>8928</v>
      </c>
      <c r="B2242" t="inlineStr">
        <is>
          <t>鉅明</t>
        </is>
      </c>
      <c r="C2242" t="n">
        <v>20.85</v>
      </c>
      <c r="D2242" t="n">
        <v>21.5</v>
      </c>
      <c r="E2242" s="504" t="n">
        <v>0.65</v>
      </c>
      <c r="F2242" s="505" t="n">
        <v>3.12</v>
      </c>
      <c r="G2242" t="inlineStr">
        <is>
          <t>97.5萬</t>
        </is>
      </c>
      <c r="H2242" t="n">
        <v>46</v>
      </c>
      <c r="I2242" t="n">
        <v>47</v>
      </c>
      <c r="J2242" t="n">
        <v>5.09</v>
      </c>
      <c r="K2242" t="n">
        <v>21.5</v>
      </c>
      <c r="L2242" t="n">
        <v>20.8</v>
      </c>
      <c r="M2242" s="175" t="n">
        <v>0.09</v>
      </c>
      <c r="N2242" t="inlineStr">
        <is>
          <t>全球前四大高爾夫球桿頭代工廠之一</t>
        </is>
      </c>
    </row>
    <row r="2243">
      <c r="A2243" s="503" t="n">
        <v>8929</v>
      </c>
      <c r="B2243" t="inlineStr">
        <is>
          <t>富堡</t>
        </is>
      </c>
      <c r="C2243" t="n">
        <v>13.8</v>
      </c>
      <c r="D2243" t="n">
        <v>14.9</v>
      </c>
      <c r="E2243" s="504" t="n">
        <v>1.35</v>
      </c>
      <c r="F2243" s="505" t="n">
        <v>9.960000000000001</v>
      </c>
      <c r="G2243" t="inlineStr">
        <is>
          <t>225萬</t>
        </is>
      </c>
      <c r="H2243" t="n">
        <v>156</v>
      </c>
      <c r="I2243" t="n">
        <v>61</v>
      </c>
      <c r="J2243" t="n">
        <v>5.06</v>
      </c>
      <c r="K2243" t="n">
        <v>14.9</v>
      </c>
      <c r="L2243" t="n">
        <v>13.8</v>
      </c>
      <c r="M2243" s="175" t="n">
        <v>0.31</v>
      </c>
      <c r="N2243" t="inlineStr">
        <is>
          <t>主要生產不織布及成人紙尿褲產品</t>
        </is>
      </c>
    </row>
    <row r="2244">
      <c r="A2244" s="503" t="n">
        <v>8930</v>
      </c>
      <c r="B2244" t="inlineStr">
        <is>
          <t>青鋼</t>
        </is>
      </c>
      <c r="C2244" t="n">
        <v>28.3</v>
      </c>
      <c r="D2244" t="n">
        <v>28.15</v>
      </c>
      <c r="E2244" s="504" t="n">
        <v>-0.05</v>
      </c>
      <c r="F2244" s="505" t="n">
        <v>-0.18</v>
      </c>
      <c r="G2244" t="inlineStr">
        <is>
          <t>269萬</t>
        </is>
      </c>
      <c r="H2244" t="n">
        <v>96</v>
      </c>
      <c r="I2244" t="n">
        <v>59</v>
      </c>
      <c r="J2244" t="n">
        <v>8.18</v>
      </c>
      <c r="K2244" t="n">
        <v>28.3</v>
      </c>
      <c r="L2244" t="n">
        <v>27.9</v>
      </c>
      <c r="M2244" s="175" t="n">
        <v>0.12</v>
      </c>
      <c r="N2244" t="inlineStr">
        <is>
          <t>亞洲最大輕鋼架生產商</t>
        </is>
      </c>
    </row>
    <row r="2245">
      <c r="A2245" s="503" t="n">
        <v>8931</v>
      </c>
      <c r="B2245" t="inlineStr">
        <is>
          <t>大汽電</t>
        </is>
      </c>
      <c r="C2245" t="n">
        <v>42.75</v>
      </c>
      <c r="D2245" t="n">
        <v>42.3</v>
      </c>
      <c r="E2245" s="504" t="n">
        <v>0</v>
      </c>
      <c r="F2245" s="505" t="n">
        <v>0</v>
      </c>
      <c r="G2245" t="inlineStr">
        <is>
          <t>413萬</t>
        </is>
      </c>
      <c r="H2245" t="n">
        <v>98</v>
      </c>
      <c r="I2245" t="n">
        <v>139</v>
      </c>
      <c r="J2245" t="n">
        <v>12.23</v>
      </c>
      <c r="K2245" t="n">
        <v>42.75</v>
      </c>
      <c r="L2245" t="n">
        <v>41.9</v>
      </c>
      <c r="M2245" s="175" t="n">
        <v>0.08</v>
      </c>
      <c r="N2245" t="inlineStr">
        <is>
          <t>設於大園工業區內之汽電共生公司</t>
        </is>
      </c>
    </row>
    <row r="2246">
      <c r="A2246" s="503" t="n">
        <v>8932</v>
      </c>
      <c r="B2246" t="inlineStr">
        <is>
          <t>智通*</t>
        </is>
      </c>
      <c r="C2246" t="n">
        <v>103</v>
      </c>
      <c r="D2246" t="n">
        <v>102.5</v>
      </c>
      <c r="E2246" s="504" t="n">
        <v>-1</v>
      </c>
      <c r="F2246" s="505" t="n">
        <v>-0.97</v>
      </c>
      <c r="G2246" t="inlineStr">
        <is>
          <t>2.06億</t>
        </is>
      </c>
      <c r="H2246" t="n">
        <v>2023</v>
      </c>
      <c r="I2246" t="n">
        <v>3896</v>
      </c>
      <c r="J2246" t="n">
        <v>8.949999999999999</v>
      </c>
      <c r="K2246" t="n">
        <v>104.5</v>
      </c>
      <c r="L2246" t="n">
        <v>100</v>
      </c>
      <c r="M2246" s="175" t="n">
        <v>0.57</v>
      </c>
      <c r="N2246" t="inlineStr">
        <is>
          <t>專注拉鍊業與軟體科技雙主業領域</t>
        </is>
      </c>
    </row>
    <row r="2247">
      <c r="A2247" s="503" t="n">
        <v>8933</v>
      </c>
      <c r="B2247" t="inlineStr">
        <is>
          <t>愛地雅</t>
        </is>
      </c>
      <c r="C2247" t="n">
        <v>4.6</v>
      </c>
      <c r="D2247" t="n">
        <v>4.46</v>
      </c>
      <c r="E2247" s="504" t="n">
        <v>-0.14</v>
      </c>
      <c r="F2247" s="505" t="n">
        <v>-3.04</v>
      </c>
      <c r="G2247" t="inlineStr">
        <is>
          <t>138萬</t>
        </is>
      </c>
      <c r="H2247" t="n">
        <v>313</v>
      </c>
      <c r="I2247" t="n">
        <v>473</v>
      </c>
      <c r="J2247" t="n">
        <v>32.67</v>
      </c>
      <c r="K2247" t="n">
        <v>4.6</v>
      </c>
      <c r="L2247" t="n">
        <v>4.37</v>
      </c>
      <c r="M2247" s="175" t="n">
        <v>0.1</v>
      </c>
      <c r="N2247" t="inlineStr">
        <is>
          <t>台灣第三大自行車生產廠商</t>
        </is>
      </c>
    </row>
    <row r="2248">
      <c r="A2248" s="503" t="n">
        <v>8935</v>
      </c>
      <c r="B2248" t="inlineStr">
        <is>
          <t>邦泰</t>
        </is>
      </c>
      <c r="C2248" t="n">
        <v>20.85</v>
      </c>
      <c r="D2248" t="n">
        <v>22.25</v>
      </c>
      <c r="E2248" s="504" t="n">
        <v>1.4</v>
      </c>
      <c r="F2248" s="505" t="n">
        <v>6.71</v>
      </c>
      <c r="G2248" t="inlineStr">
        <is>
          <t>3453萬</t>
        </is>
      </c>
      <c r="H2248" t="n">
        <v>1568</v>
      </c>
      <c r="I2248" t="n">
        <v>737</v>
      </c>
      <c r="J2248" t="n">
        <v>11.35</v>
      </c>
      <c r="K2248" t="n">
        <v>22.85</v>
      </c>
      <c r="L2248" t="n">
        <v>20.85</v>
      </c>
      <c r="M2248" s="175" t="n">
        <v>1.38</v>
      </c>
      <c r="N2248" t="inlineStr">
        <is>
          <t>台灣鞋材及複合材料研發生產大廠</t>
        </is>
      </c>
    </row>
    <row r="2249">
      <c r="A2249" s="503" t="n">
        <v>8936</v>
      </c>
      <c r="B2249" t="inlineStr">
        <is>
          <t>國統</t>
        </is>
      </c>
      <c r="C2249" t="n">
        <v>53.6</v>
      </c>
      <c r="D2249" t="n">
        <v>52.5</v>
      </c>
      <c r="E2249" s="504" t="n">
        <v>-0.9</v>
      </c>
      <c r="F2249" s="505" t="n">
        <v>-1.69</v>
      </c>
      <c r="G2249" t="inlineStr">
        <is>
          <t>2.08億</t>
        </is>
      </c>
      <c r="H2249" t="n">
        <v>3970</v>
      </c>
      <c r="I2249" t="n">
        <v>4888</v>
      </c>
      <c r="J2249" t="n">
        <v>24.81</v>
      </c>
      <c r="K2249" t="n">
        <v>53.6</v>
      </c>
      <c r="L2249" t="n">
        <v>51.8</v>
      </c>
      <c r="M2249" s="175" t="n">
        <v>1.6</v>
      </c>
      <c r="N2249" t="inlineStr">
        <is>
          <t>專營輸水管材之製造與承包公司，並兼營海水淡化業務</t>
        </is>
      </c>
    </row>
    <row r="2250">
      <c r="A2250" s="503" t="n">
        <v>8937</v>
      </c>
      <c r="B2250" t="inlineStr">
        <is>
          <t>合騏*</t>
        </is>
      </c>
      <c r="C2250" t="n">
        <v>26.75</v>
      </c>
      <c r="D2250" t="n">
        <v>26.4</v>
      </c>
      <c r="E2250" s="504" t="n">
        <v>-0.35</v>
      </c>
      <c r="F2250" s="505" t="n">
        <v>-1.31</v>
      </c>
      <c r="G2250" t="inlineStr">
        <is>
          <t>650萬</t>
        </is>
      </c>
      <c r="H2250" t="n">
        <v>248</v>
      </c>
      <c r="I2250" t="n">
        <v>488</v>
      </c>
      <c r="J2250" t="n">
        <v>10.79</v>
      </c>
      <c r="K2250" t="n">
        <v>26.75</v>
      </c>
      <c r="L2250" t="n">
        <v>26</v>
      </c>
      <c r="M2250" s="175" t="n">
        <v>0.06</v>
      </c>
      <c r="N2250" t="inlineStr">
        <is>
          <t>自創品牌「ADLY」多功能休閒車專業製造廠商</t>
        </is>
      </c>
    </row>
    <row r="2251">
      <c r="A2251" s="503" t="n">
        <v>8938</v>
      </c>
      <c r="B2251" t="inlineStr">
        <is>
          <t>明安</t>
        </is>
      </c>
      <c r="C2251" t="n">
        <v>52.5</v>
      </c>
      <c r="D2251" t="n">
        <v>52.8</v>
      </c>
      <c r="E2251" s="504" t="n">
        <v>0.4</v>
      </c>
      <c r="F2251" s="505" t="n">
        <v>0.76</v>
      </c>
      <c r="G2251" t="inlineStr">
        <is>
          <t>813萬</t>
        </is>
      </c>
      <c r="H2251" t="n">
        <v>155</v>
      </c>
      <c r="I2251" t="n">
        <v>456</v>
      </c>
      <c r="J2251" t="n">
        <v>15.7</v>
      </c>
      <c r="K2251" t="n">
        <v>52.8</v>
      </c>
      <c r="L2251" t="n">
        <v>52.1</v>
      </c>
      <c r="M2251" s="175" t="n">
        <v>0.1</v>
      </c>
      <c r="N2251" t="inlineStr">
        <is>
          <t>全球前四大高爾夫球桿頭代工廠之一</t>
        </is>
      </c>
    </row>
    <row r="2252">
      <c r="A2252" s="503" t="n">
        <v>8940</v>
      </c>
      <c r="B2252" t="inlineStr">
        <is>
          <t>新天地</t>
        </is>
      </c>
      <c r="C2252" t="n">
        <v>16.55</v>
      </c>
      <c r="D2252" t="n">
        <v>16.65</v>
      </c>
      <c r="E2252" s="504" t="n">
        <v>0.05</v>
      </c>
      <c r="F2252" s="505" t="n">
        <v>0.3</v>
      </c>
      <c r="G2252" t="inlineStr">
        <is>
          <t>101萬</t>
        </is>
      </c>
      <c r="H2252" t="n">
        <v>61</v>
      </c>
      <c r="I2252" t="n">
        <v>71</v>
      </c>
      <c r="J2252" t="n">
        <v>6.75</v>
      </c>
      <c r="K2252" t="n">
        <v>16.65</v>
      </c>
      <c r="L2252" t="n">
        <v>16.45</v>
      </c>
      <c r="M2252" s="175" t="n">
        <v>0.09</v>
      </c>
      <c r="N2252" t="inlineStr">
        <is>
          <t>於台灣北中南部擁有多家大型婚宴會館業者</t>
        </is>
      </c>
    </row>
    <row r="2253">
      <c r="A2253" s="503" t="n">
        <v>8941</v>
      </c>
      <c r="B2253" t="inlineStr">
        <is>
          <t>關中</t>
        </is>
      </c>
      <c r="C2253" t="n">
        <v>43.1</v>
      </c>
      <c r="D2253" t="n">
        <v>43.65</v>
      </c>
      <c r="E2253" s="504" t="n">
        <v>0.05</v>
      </c>
      <c r="F2253" s="505" t="n">
        <v>0.11</v>
      </c>
      <c r="G2253" t="inlineStr">
        <is>
          <t>133萬</t>
        </is>
      </c>
      <c r="H2253" t="n">
        <v>31</v>
      </c>
      <c r="I2253" t="n">
        <v>10</v>
      </c>
      <c r="J2253" t="n">
        <v>3.5</v>
      </c>
      <c r="K2253" t="n">
        <v>43.7</v>
      </c>
      <c r="L2253" t="n">
        <v>42.3</v>
      </c>
      <c r="M2253" s="175" t="n">
        <v>0.09</v>
      </c>
      <c r="N2253" t="inlineStr">
        <is>
          <t>以生產烤肉爐、節能熱水器為主製造商</t>
        </is>
      </c>
    </row>
    <row r="2254">
      <c r="A2254" s="503" t="n">
        <v>8942</v>
      </c>
      <c r="B2254" t="inlineStr">
        <is>
          <t>森鉅</t>
        </is>
      </c>
      <c r="C2254" t="n">
        <v>41.7</v>
      </c>
      <c r="D2254" t="n">
        <v>41</v>
      </c>
      <c r="E2254" s="504" t="n">
        <v>-0.7</v>
      </c>
      <c r="F2254" s="505" t="n">
        <v>-1.68</v>
      </c>
      <c r="G2254" t="inlineStr">
        <is>
          <t>1994萬</t>
        </is>
      </c>
      <c r="H2254" t="n">
        <v>487</v>
      </c>
      <c r="I2254" t="n">
        <v>480</v>
      </c>
      <c r="J2254" t="n">
        <v>19.88</v>
      </c>
      <c r="K2254" t="n">
        <v>42</v>
      </c>
      <c r="L2254" t="n">
        <v>40.55</v>
      </c>
      <c r="M2254" s="175" t="n">
        <v>0.24</v>
      </c>
      <c r="N2254" t="inlineStr">
        <is>
          <t>台灣最大鋁塑複合板製造商</t>
        </is>
      </c>
    </row>
    <row r="2255">
      <c r="A2255" s="503" t="n">
        <v>8996</v>
      </c>
      <c r="B2255" t="inlineStr">
        <is>
          <t>高力</t>
        </is>
      </c>
      <c r="C2255" t="n">
        <v>1050</v>
      </c>
      <c r="D2255" t="n">
        <v>1050</v>
      </c>
      <c r="E2255" s="504" t="n">
        <v>5</v>
      </c>
      <c r="F2255" s="505" t="n">
        <v>0.48</v>
      </c>
      <c r="G2255" t="inlineStr">
        <is>
          <t>21.2億</t>
        </is>
      </c>
      <c r="H2255" t="n">
        <v>2016</v>
      </c>
      <c r="I2255" t="n">
        <v>3590</v>
      </c>
      <c r="J2255" t="n">
        <v>9.35</v>
      </c>
      <c r="K2255" t="n">
        <v>1080</v>
      </c>
      <c r="L2255" t="n">
        <v>1030</v>
      </c>
      <c r="M2255" s="175" t="n">
        <v>2.18</v>
      </c>
      <c r="N2255" t="inlineStr">
        <is>
          <t>台灣唯一製造硬銲型不銹鋼板式熱交換器廠</t>
        </is>
      </c>
    </row>
    <row r="2256">
      <c r="A2256" s="503" t="n">
        <v>9802</v>
      </c>
      <c r="B2256" t="inlineStr">
        <is>
          <t>鈺齊-KY</t>
        </is>
      </c>
      <c r="C2256" t="n">
        <v>77.59999999999999</v>
      </c>
      <c r="D2256" t="n">
        <v>80.5</v>
      </c>
      <c r="E2256" s="504" t="n">
        <v>2.8</v>
      </c>
      <c r="F2256" s="505" t="n">
        <v>3.6</v>
      </c>
      <c r="G2256" t="inlineStr">
        <is>
          <t>2.29億</t>
        </is>
      </c>
      <c r="H2256" t="n">
        <v>2875</v>
      </c>
      <c r="I2256" t="n">
        <v>1661</v>
      </c>
      <c r="J2256" t="n">
        <v>20.1</v>
      </c>
      <c r="K2256" t="n">
        <v>81.40000000000001</v>
      </c>
      <c r="L2256" t="n">
        <v>76.8</v>
      </c>
      <c r="M2256" s="175" t="n">
        <v>1.43</v>
      </c>
      <c r="N2256" t="inlineStr">
        <is>
          <t>主要從事各種功能鞋款代工研發的廠商</t>
        </is>
      </c>
    </row>
    <row r="2257">
      <c r="A2257" s="503" t="n">
        <v>9902</v>
      </c>
      <c r="B2257" t="inlineStr">
        <is>
          <t>台火</t>
        </is>
      </c>
      <c r="C2257" t="n">
        <v>14</v>
      </c>
      <c r="D2257" t="n">
        <v>14.25</v>
      </c>
      <c r="E2257" s="504" t="n">
        <v>0.45</v>
      </c>
      <c r="F2257" s="505" t="n">
        <v>3.26</v>
      </c>
      <c r="G2257" t="inlineStr">
        <is>
          <t>474萬</t>
        </is>
      </c>
      <c r="H2257" t="n">
        <v>337</v>
      </c>
      <c r="I2257" t="n">
        <v>173</v>
      </c>
      <c r="J2257" t="n">
        <v>9.800000000000001</v>
      </c>
      <c r="K2257" t="n">
        <v>14.45</v>
      </c>
      <c r="L2257" t="n">
        <v>13.8</v>
      </c>
      <c r="M2257" s="175" t="n">
        <v>0.34</v>
      </c>
      <c r="N2257" t="inlineStr">
        <is>
          <t>進口轎車、垃圾車、建材貿易商，亦從事小客車租賃及建營開發</t>
        </is>
      </c>
    </row>
    <row r="2258">
      <c r="A2258" s="503" t="n">
        <v>9904</v>
      </c>
      <c r="B2258" t="inlineStr">
        <is>
          <t>寶成</t>
        </is>
      </c>
      <c r="C2258" t="n">
        <v>25.75</v>
      </c>
      <c r="D2258" t="n">
        <v>26.1</v>
      </c>
      <c r="E2258" s="504" t="n">
        <v>0.3</v>
      </c>
      <c r="F2258" s="505" t="n">
        <v>1.16</v>
      </c>
      <c r="G2258" t="inlineStr">
        <is>
          <t>6.19億</t>
        </is>
      </c>
      <c r="H2258" t="n">
        <v>23672</v>
      </c>
      <c r="I2258" t="n">
        <v>16034</v>
      </c>
      <c r="J2258" t="n">
        <v>294.68</v>
      </c>
      <c r="K2258" t="n">
        <v>26.35</v>
      </c>
      <c r="L2258" t="n">
        <v>25.65</v>
      </c>
      <c r="M2258" s="175" t="n">
        <v>0.8</v>
      </c>
      <c r="N2258" t="inlineStr">
        <is>
          <t>全球運動鞋及休閒鞋代工龍頭</t>
        </is>
      </c>
    </row>
    <row r="2259">
      <c r="A2259" s="503" t="n">
        <v>9905</v>
      </c>
      <c r="B2259" t="inlineStr">
        <is>
          <t>大華</t>
        </is>
      </c>
      <c r="C2259" t="n">
        <v>20.85</v>
      </c>
      <c r="D2259" t="n">
        <v>20.85</v>
      </c>
      <c r="E2259" s="504" t="n">
        <v>0</v>
      </c>
      <c r="F2259" s="505" t="n">
        <v>0</v>
      </c>
      <c r="G2259" t="inlineStr">
        <is>
          <t>318萬</t>
        </is>
      </c>
      <c r="H2259" t="n">
        <v>153</v>
      </c>
      <c r="I2259" t="n">
        <v>103</v>
      </c>
      <c r="J2259" t="n">
        <v>30.5</v>
      </c>
      <c r="K2259" t="n">
        <v>20.9</v>
      </c>
      <c r="L2259" t="n">
        <v>20.7</v>
      </c>
      <c r="M2259" s="175" t="n">
        <v>0.05</v>
      </c>
      <c r="N2259" t="inlineStr">
        <is>
          <t>台灣最大食品飲料綜合包裝容器廠</t>
        </is>
      </c>
    </row>
    <row r="2260">
      <c r="A2260" s="503" t="n">
        <v>9906</v>
      </c>
      <c r="B2260" t="inlineStr">
        <is>
          <t>欣巴巴</t>
        </is>
      </c>
      <c r="C2260" t="n">
        <v>35.95</v>
      </c>
      <c r="D2260" t="n">
        <v>36.55</v>
      </c>
      <c r="E2260" s="504" t="n">
        <v>0.65</v>
      </c>
      <c r="F2260" s="505" t="n">
        <v>1.81</v>
      </c>
      <c r="G2260" t="inlineStr">
        <is>
          <t>563萬</t>
        </is>
      </c>
      <c r="H2260" t="n">
        <v>158</v>
      </c>
      <c r="I2260" t="n">
        <v>196</v>
      </c>
      <c r="J2260" t="n">
        <v>9.039999999999999</v>
      </c>
      <c r="K2260" t="n">
        <v>36.55</v>
      </c>
      <c r="L2260" t="n">
        <v>34.9</v>
      </c>
      <c r="M2260" s="175" t="n">
        <v>0.17</v>
      </c>
      <c r="N2260" t="inlineStr">
        <is>
          <t>高雄巴巴集團旗下建商</t>
        </is>
      </c>
    </row>
    <row r="2261">
      <c r="A2261" s="503" t="n">
        <v>9907</v>
      </c>
      <c r="B2261" t="inlineStr">
        <is>
          <t>統一實</t>
        </is>
      </c>
      <c r="C2261" t="n">
        <v>16.25</v>
      </c>
      <c r="D2261" t="n">
        <v>16.35</v>
      </c>
      <c r="E2261" s="504" t="n">
        <v>0.15</v>
      </c>
      <c r="F2261" s="505" t="n">
        <v>0.93</v>
      </c>
      <c r="G2261" t="inlineStr">
        <is>
          <t>7195萬</t>
        </is>
      </c>
      <c r="H2261" t="n">
        <v>4404</v>
      </c>
      <c r="I2261" t="n">
        <v>3589</v>
      </c>
      <c r="J2261" t="n">
        <v>157.91</v>
      </c>
      <c r="K2261" t="n">
        <v>16.4</v>
      </c>
      <c r="L2261" t="n">
        <v>16.25</v>
      </c>
      <c r="M2261" s="175" t="n">
        <v>0.28</v>
      </c>
      <c r="N2261" t="inlineStr">
        <is>
          <t>台灣馬口鐵第一大廠</t>
        </is>
      </c>
    </row>
    <row r="2262">
      <c r="A2262" s="503" t="n">
        <v>9908</v>
      </c>
      <c r="B2262" t="inlineStr">
        <is>
          <t>大台北</t>
        </is>
      </c>
      <c r="C2262" t="n">
        <v>29.3</v>
      </c>
      <c r="D2262" t="n">
        <v>29.25</v>
      </c>
      <c r="E2262" s="504" t="n">
        <v>-0.05</v>
      </c>
      <c r="F2262" s="505" t="n">
        <v>-0.17</v>
      </c>
      <c r="G2262" t="inlineStr">
        <is>
          <t>664萬</t>
        </is>
      </c>
      <c r="H2262" t="n">
        <v>229</v>
      </c>
      <c r="I2262" t="n">
        <v>281</v>
      </c>
      <c r="J2262" t="n">
        <v>51.64</v>
      </c>
      <c r="K2262" t="n">
        <v>29.4</v>
      </c>
      <c r="L2262" t="n">
        <v>29.15</v>
      </c>
      <c r="M2262" s="175" t="n">
        <v>0.04</v>
      </c>
      <c r="N2262" t="inlineStr">
        <is>
          <t>主要經營台北市信義、松山等地區之天然氣業者</t>
        </is>
      </c>
    </row>
    <row r="2263">
      <c r="A2263" s="503" t="n">
        <v>9910</v>
      </c>
      <c r="B2263" t="inlineStr">
        <is>
          <t>豐泰</t>
        </is>
      </c>
      <c r="C2263" t="n">
        <v>71.8</v>
      </c>
      <c r="D2263" t="n">
        <v>79</v>
      </c>
      <c r="E2263" s="504" t="n">
        <v>7.1</v>
      </c>
      <c r="F2263" s="505" t="n">
        <v>9.869999999999999</v>
      </c>
      <c r="G2263" t="inlineStr">
        <is>
          <t>9.46億</t>
        </is>
      </c>
      <c r="H2263" t="n">
        <v>12322</v>
      </c>
      <c r="I2263" t="n">
        <v>3113</v>
      </c>
      <c r="J2263" t="n">
        <v>98.75</v>
      </c>
      <c r="K2263" t="n">
        <v>79</v>
      </c>
      <c r="L2263" t="n">
        <v>71.59999999999999</v>
      </c>
      <c r="M2263" s="175" t="n">
        <v>1.25</v>
      </c>
      <c r="N2263" t="inlineStr">
        <is>
          <t>全球知名運動鞋代工廠</t>
        </is>
      </c>
    </row>
    <row r="2264">
      <c r="A2264" s="503" t="n">
        <v>9911</v>
      </c>
      <c r="B2264" t="inlineStr">
        <is>
          <t>櫻花</t>
        </is>
      </c>
      <c r="C2264" t="n">
        <v>81.8</v>
      </c>
      <c r="D2264" t="n">
        <v>82.59999999999999</v>
      </c>
      <c r="E2264" s="504" t="n">
        <v>0.6</v>
      </c>
      <c r="F2264" s="505" t="n">
        <v>0.73</v>
      </c>
      <c r="G2264" t="inlineStr">
        <is>
          <t>5262萬</t>
        </is>
      </c>
      <c r="H2264" t="n">
        <v>638</v>
      </c>
      <c r="I2264" t="n">
        <v>362</v>
      </c>
      <c r="J2264" t="n">
        <v>22.24</v>
      </c>
      <c r="K2264" t="n">
        <v>83</v>
      </c>
      <c r="L2264" t="n">
        <v>81.8</v>
      </c>
      <c r="M2264" s="175" t="n">
        <v>0.29</v>
      </c>
      <c r="N2264" t="inlineStr">
        <is>
          <t>台灣最大系統廚具連鎖通路品牌</t>
        </is>
      </c>
    </row>
    <row r="2265">
      <c r="A2265" s="503" t="n">
        <v>9912</v>
      </c>
      <c r="B2265" t="inlineStr">
        <is>
          <t>偉聯</t>
        </is>
      </c>
      <c r="C2265" t="n">
        <v>12.4</v>
      </c>
      <c r="D2265" t="n">
        <v>12.45</v>
      </c>
      <c r="E2265" s="504" t="n">
        <v>0</v>
      </c>
      <c r="F2265" s="505" t="n">
        <v>0</v>
      </c>
      <c r="G2265" t="inlineStr">
        <is>
          <t>70.7萬</t>
        </is>
      </c>
      <c r="H2265" t="n">
        <v>57</v>
      </c>
      <c r="I2265" t="n">
        <v>51</v>
      </c>
      <c r="J2265" t="n">
        <v>5.42</v>
      </c>
      <c r="K2265" t="n">
        <v>12.5</v>
      </c>
      <c r="L2265" t="n">
        <v>12.35</v>
      </c>
      <c r="M2265" s="175" t="n">
        <v>0.11</v>
      </c>
      <c r="N2265" t="inlineStr">
        <is>
          <t>以自有品牌發展專業用途顯示器廠</t>
        </is>
      </c>
    </row>
    <row r="2266">
      <c r="A2266" s="503" t="n">
        <v>9914</v>
      </c>
      <c r="B2266" t="inlineStr">
        <is>
          <t>美利達</t>
        </is>
      </c>
      <c r="C2266" t="n">
        <v>68.09999999999999</v>
      </c>
      <c r="D2266" t="n">
        <v>68.90000000000001</v>
      </c>
      <c r="E2266" s="504" t="n">
        <v>0.9</v>
      </c>
      <c r="F2266" s="505" t="n">
        <v>1.32</v>
      </c>
      <c r="G2266" t="inlineStr">
        <is>
          <t>1.09億</t>
        </is>
      </c>
      <c r="H2266" t="n">
        <v>1596</v>
      </c>
      <c r="I2266" t="n">
        <v>1818</v>
      </c>
      <c r="J2266" t="n">
        <v>29.9</v>
      </c>
      <c r="K2266" t="n">
        <v>69.3</v>
      </c>
      <c r="L2266" t="n">
        <v>67.59999999999999</v>
      </c>
      <c r="M2266" s="175" t="n">
        <v>0.53</v>
      </c>
      <c r="N2266" t="inlineStr">
        <is>
          <t>台灣第二大自行車生產廠商</t>
        </is>
      </c>
    </row>
    <row r="2267">
      <c r="A2267" s="503" t="n">
        <v>9917</v>
      </c>
      <c r="B2267" t="inlineStr">
        <is>
          <t>中保科</t>
        </is>
      </c>
      <c r="C2267" t="n">
        <v>115</v>
      </c>
      <c r="D2267" t="n">
        <v>114.5</v>
      </c>
      <c r="E2267" s="504" t="n">
        <v>-0.5</v>
      </c>
      <c r="F2267" s="505" t="n">
        <v>-0.43</v>
      </c>
      <c r="G2267" t="inlineStr">
        <is>
          <t>5380萬</t>
        </is>
      </c>
      <c r="H2267" t="n">
        <v>471</v>
      </c>
      <c r="I2267" t="n">
        <v>495</v>
      </c>
      <c r="J2267" t="n">
        <v>45.12</v>
      </c>
      <c r="K2267" t="n">
        <v>115</v>
      </c>
      <c r="L2267" t="n">
        <v>114</v>
      </c>
      <c r="M2267" s="175" t="n">
        <v>0.1</v>
      </c>
      <c r="N2267" t="inlineStr">
        <is>
          <t>台灣最大的保全業者</t>
        </is>
      </c>
    </row>
    <row r="2268">
      <c r="A2268" s="503" t="n">
        <v>9918</v>
      </c>
      <c r="B2268" t="inlineStr">
        <is>
          <t>欣天然</t>
        </is>
      </c>
      <c r="C2268" t="n">
        <v>43.4</v>
      </c>
      <c r="D2268" t="n">
        <v>43.75</v>
      </c>
      <c r="E2268" s="504" t="n">
        <v>0.25</v>
      </c>
      <c r="F2268" s="505" t="n">
        <v>0.57</v>
      </c>
      <c r="G2268" t="inlineStr">
        <is>
          <t>222萬</t>
        </is>
      </c>
      <c r="H2268" t="n">
        <v>51</v>
      </c>
      <c r="I2268" t="n">
        <v>104</v>
      </c>
      <c r="J2268" t="n">
        <v>18.05</v>
      </c>
      <c r="K2268" t="n">
        <v>44</v>
      </c>
      <c r="L2268" t="n">
        <v>43.35</v>
      </c>
      <c r="M2268" s="175" t="n">
        <v>0.03</v>
      </c>
      <c r="N2268" t="inlineStr">
        <is>
          <t>主要經營新北市中和、永和、新店、深坑之天然氣業者</t>
        </is>
      </c>
    </row>
    <row r="2269">
      <c r="A2269" s="503" t="n">
        <v>9919</v>
      </c>
      <c r="B2269" t="inlineStr">
        <is>
          <t>康那香</t>
        </is>
      </c>
      <c r="C2269" t="n">
        <v>14.2</v>
      </c>
      <c r="D2269" t="n">
        <v>14.15</v>
      </c>
      <c r="E2269" s="504" t="n">
        <v>0</v>
      </c>
      <c r="F2269" s="505" t="n">
        <v>0</v>
      </c>
      <c r="G2269" t="inlineStr">
        <is>
          <t>835萬</t>
        </is>
      </c>
      <c r="H2269" t="n">
        <v>595</v>
      </c>
      <c r="I2269" t="n">
        <v>577</v>
      </c>
      <c r="J2269" t="n">
        <v>19.54</v>
      </c>
      <c r="K2269" t="n">
        <v>14.2</v>
      </c>
      <c r="L2269" t="n">
        <v>13.9</v>
      </c>
      <c r="M2269" s="175" t="n">
        <v>0.3</v>
      </c>
      <c r="N2269" t="inlineStr">
        <is>
          <t>為國內衛生棉及化妝棉、濕紙巾之製造龍頭企業</t>
        </is>
      </c>
    </row>
    <row r="2270">
      <c r="A2270" s="503" t="n">
        <v>9921</v>
      </c>
      <c r="B2270" t="inlineStr">
        <is>
          <t>巨大</t>
        </is>
      </c>
      <c r="C2270" t="n">
        <v>69.59999999999999</v>
      </c>
      <c r="D2270" t="n">
        <v>69.8</v>
      </c>
      <c r="E2270" s="504" t="n">
        <v>0</v>
      </c>
      <c r="F2270" s="505" t="n">
        <v>0</v>
      </c>
      <c r="G2270" t="inlineStr">
        <is>
          <t>1.28億</t>
        </is>
      </c>
      <c r="H2270" t="n">
        <v>1830</v>
      </c>
      <c r="I2270" t="n">
        <v>2041</v>
      </c>
      <c r="J2270" t="n">
        <v>39.21</v>
      </c>
      <c r="K2270" t="n">
        <v>70.5</v>
      </c>
      <c r="L2270" t="n">
        <v>69.40000000000001</v>
      </c>
      <c r="M2270" s="175" t="n">
        <v>0.47</v>
      </c>
      <c r="N2270" t="inlineStr">
        <is>
          <t>全球最大自行車生產廠商</t>
        </is>
      </c>
    </row>
    <row r="2271">
      <c r="A2271" s="503" t="n">
        <v>9924</v>
      </c>
      <c r="B2271" t="inlineStr">
        <is>
          <t>福興</t>
        </is>
      </c>
      <c r="C2271" t="n">
        <v>42.7</v>
      </c>
      <c r="D2271" t="n">
        <v>42.8</v>
      </c>
      <c r="E2271" s="504" t="n">
        <v>0.15</v>
      </c>
      <c r="F2271" s="505" t="n">
        <v>0.35</v>
      </c>
      <c r="G2271" t="inlineStr">
        <is>
          <t>402萬</t>
        </is>
      </c>
      <c r="H2271" t="n">
        <v>94</v>
      </c>
      <c r="I2271" t="n">
        <v>204</v>
      </c>
      <c r="J2271" t="n">
        <v>15.08</v>
      </c>
      <c r="K2271" t="n">
        <v>42.95</v>
      </c>
      <c r="L2271" t="n">
        <v>42.45</v>
      </c>
      <c r="M2271" s="175" t="n">
        <v>0.06</v>
      </c>
      <c r="N2271" t="inlineStr">
        <is>
          <t>亞洲最大，全球第二大門鎖廠商</t>
        </is>
      </c>
    </row>
    <row r="2272">
      <c r="A2272" s="503" t="n">
        <v>9925</v>
      </c>
      <c r="B2272" t="inlineStr">
        <is>
          <t>新保</t>
        </is>
      </c>
      <c r="C2272" t="n">
        <v>40.15</v>
      </c>
      <c r="D2272" t="n">
        <v>40.2</v>
      </c>
      <c r="E2272" s="504" t="n">
        <v>-0.05</v>
      </c>
      <c r="F2272" s="505" t="n">
        <v>-0.12</v>
      </c>
      <c r="G2272" t="inlineStr">
        <is>
          <t>1129萬</t>
        </is>
      </c>
      <c r="H2272" t="n">
        <v>281</v>
      </c>
      <c r="I2272" t="n">
        <v>321</v>
      </c>
      <c r="J2272" t="n">
        <v>38.75</v>
      </c>
      <c r="K2272" t="n">
        <v>40.3</v>
      </c>
      <c r="L2272" t="n">
        <v>40.1</v>
      </c>
      <c r="M2272" s="175" t="n">
        <v>0.07000000000000001</v>
      </c>
      <c r="N2272" t="inlineStr">
        <is>
          <t>台灣第二大保全業者</t>
        </is>
      </c>
    </row>
    <row r="2273">
      <c r="A2273" s="503" t="n">
        <v>9926</v>
      </c>
      <c r="B2273" t="inlineStr">
        <is>
          <t>新海</t>
        </is>
      </c>
      <c r="C2273" t="n">
        <v>49</v>
      </c>
      <c r="D2273" t="n">
        <v>49.05</v>
      </c>
      <c r="E2273" s="504" t="n">
        <v>0.05</v>
      </c>
      <c r="F2273" s="505" t="n">
        <v>0.1</v>
      </c>
      <c r="G2273" t="inlineStr">
        <is>
          <t>123萬</t>
        </is>
      </c>
      <c r="H2273" t="n">
        <v>25</v>
      </c>
      <c r="I2273" t="n">
        <v>36</v>
      </c>
      <c r="J2273" t="n">
        <v>17.95</v>
      </c>
      <c r="K2273" t="n">
        <v>49.2</v>
      </c>
      <c r="L2273" t="n">
        <v>48.95</v>
      </c>
      <c r="M2273" s="175" t="n">
        <v>0.01</v>
      </c>
      <c r="N2273" t="inlineStr">
        <is>
          <t>主要經營新北市三重、板橋及新莊區之天然氣業者</t>
        </is>
      </c>
    </row>
    <row r="2274">
      <c r="A2274" s="503" t="n">
        <v>9927</v>
      </c>
      <c r="B2274" t="inlineStr">
        <is>
          <t>泰銘</t>
        </is>
      </c>
      <c r="C2274" t="n">
        <v>68.2</v>
      </c>
      <c r="D2274" t="n">
        <v>68.5</v>
      </c>
      <c r="E2274" s="504" t="n">
        <v>0.2</v>
      </c>
      <c r="F2274" s="505" t="n">
        <v>0.29</v>
      </c>
      <c r="G2274" t="inlineStr">
        <is>
          <t>868萬</t>
        </is>
      </c>
      <c r="H2274" t="n">
        <v>131</v>
      </c>
      <c r="I2274" t="n">
        <v>116</v>
      </c>
      <c r="J2274" t="n">
        <v>12</v>
      </c>
      <c r="K2274" t="n">
        <v>68.8</v>
      </c>
      <c r="L2274" t="n">
        <v>68</v>
      </c>
      <c r="M2274" s="175" t="n">
        <v>0.11</v>
      </c>
      <c r="N2274" t="inlineStr">
        <is>
          <t>亞洲最大合金鉛製造廠商之一</t>
        </is>
      </c>
    </row>
    <row r="2275">
      <c r="A2275" s="503" t="n">
        <v>9928</v>
      </c>
      <c r="B2275" t="inlineStr">
        <is>
          <t>中視</t>
        </is>
      </c>
      <c r="C2275" t="n">
        <v>17.85</v>
      </c>
      <c r="D2275" t="n">
        <v>18</v>
      </c>
      <c r="E2275" s="504" t="n">
        <v>0.1</v>
      </c>
      <c r="F2275" s="505" t="n">
        <v>0.5600000000000001</v>
      </c>
      <c r="G2275" t="inlineStr">
        <is>
          <t>82.0萬</t>
        </is>
      </c>
      <c r="H2275" t="n">
        <v>46</v>
      </c>
      <c r="I2275" t="n">
        <v>52</v>
      </c>
      <c r="J2275" t="n">
        <v>7.07</v>
      </c>
      <c r="K2275" t="n">
        <v>18</v>
      </c>
      <c r="L2275" t="n">
        <v>17.65</v>
      </c>
      <c r="M2275" s="175" t="n">
        <v>0.07000000000000001</v>
      </c>
      <c r="N2275" t="inlineStr">
        <is>
          <t>台灣五家無線電視台之一</t>
        </is>
      </c>
    </row>
    <row r="2276">
      <c r="A2276" s="503" t="n">
        <v>9929</v>
      </c>
      <c r="B2276" t="inlineStr">
        <is>
          <t>秋雨</t>
        </is>
      </c>
      <c r="C2276" t="n">
        <v>11.6</v>
      </c>
      <c r="D2276" t="n">
        <v>11.6</v>
      </c>
      <c r="E2276" s="504" t="n">
        <v>0</v>
      </c>
      <c r="F2276" s="505" t="n">
        <v>0</v>
      </c>
      <c r="G2276" t="inlineStr">
        <is>
          <t>9.21萬</t>
        </is>
      </c>
      <c r="H2276" t="n">
        <v>8</v>
      </c>
      <c r="I2276" t="n">
        <v>18</v>
      </c>
      <c r="J2276" t="n">
        <v>10.13</v>
      </c>
      <c r="K2276" t="n">
        <v>11.7</v>
      </c>
      <c r="L2276" t="n">
        <v>11.3</v>
      </c>
      <c r="M2276" s="175" t="n">
        <v>0.01</v>
      </c>
      <c r="N2276" t="inlineStr">
        <is>
          <t>台灣第一家股票上市之印刷業者</t>
        </is>
      </c>
    </row>
    <row r="2277">
      <c r="A2277" s="503" t="n">
        <v>9930</v>
      </c>
      <c r="B2277" t="inlineStr">
        <is>
          <t>中聯資源</t>
        </is>
      </c>
      <c r="C2277" t="n">
        <v>68.90000000000001</v>
      </c>
      <c r="D2277" t="n">
        <v>69.8</v>
      </c>
      <c r="E2277" s="504" t="n">
        <v>0.8</v>
      </c>
      <c r="F2277" s="505" t="n">
        <v>1.16</v>
      </c>
      <c r="G2277" t="inlineStr">
        <is>
          <t>846萬</t>
        </is>
      </c>
      <c r="H2277" t="n">
        <v>122</v>
      </c>
      <c r="I2277" t="n">
        <v>88</v>
      </c>
      <c r="J2277" t="n">
        <v>24.85</v>
      </c>
      <c r="K2277" t="n">
        <v>69.8</v>
      </c>
      <c r="L2277" t="n">
        <v>68.90000000000001</v>
      </c>
      <c r="M2277" s="175" t="n">
        <v>0.05</v>
      </c>
      <c r="N2277" t="inlineStr">
        <is>
          <t>主營採用中鋼爐石粉製造高強度水泥</t>
        </is>
      </c>
    </row>
    <row r="2278">
      <c r="A2278" s="503" t="n">
        <v>9931</v>
      </c>
      <c r="B2278" t="inlineStr">
        <is>
          <t>欣高</t>
        </is>
      </c>
      <c r="C2278" t="n">
        <v>34.75</v>
      </c>
      <c r="D2278" t="n">
        <v>34.95</v>
      </c>
      <c r="E2278" s="504" t="n">
        <v>0.2</v>
      </c>
      <c r="F2278" s="505" t="n">
        <v>0.58</v>
      </c>
      <c r="G2278" t="inlineStr">
        <is>
          <t>216萬</t>
        </is>
      </c>
      <c r="H2278" t="n">
        <v>62</v>
      </c>
      <c r="I2278" t="n">
        <v>49</v>
      </c>
      <c r="J2278" t="n">
        <v>12.04</v>
      </c>
      <c r="K2278" t="n">
        <v>34.95</v>
      </c>
      <c r="L2278" t="n">
        <v>34.6</v>
      </c>
      <c r="M2278" s="175" t="n">
        <v>0.05</v>
      </c>
      <c r="N2278" t="inlineStr">
        <is>
          <t>主要經營高雄市三民、左營等營業區之天然氣業者</t>
        </is>
      </c>
    </row>
    <row r="2279">
      <c r="A2279" s="503" t="n">
        <v>9933</v>
      </c>
      <c r="B2279" t="inlineStr">
        <is>
          <t>中鼎</t>
        </is>
      </c>
      <c r="C2279" t="n">
        <v>39.65</v>
      </c>
      <c r="D2279" t="n">
        <v>39.35</v>
      </c>
      <c r="E2279" s="504" t="n">
        <v>-0.3</v>
      </c>
      <c r="F2279" s="505" t="n">
        <v>-0.76</v>
      </c>
      <c r="G2279" t="inlineStr">
        <is>
          <t>1.55億</t>
        </is>
      </c>
      <c r="H2279" t="n">
        <v>3938</v>
      </c>
      <c r="I2279" t="n">
        <v>5439</v>
      </c>
      <c r="J2279" t="n">
        <v>94.44</v>
      </c>
      <c r="K2279" t="n">
        <v>39.65</v>
      </c>
      <c r="L2279" t="n">
        <v>38.85</v>
      </c>
      <c r="M2279" s="175" t="n">
        <v>0.44</v>
      </c>
      <c r="N2279" t="inlineStr">
        <is>
          <t>台灣最大統包工程公司</t>
        </is>
      </c>
    </row>
    <row r="2280">
      <c r="A2280" s="503" t="n">
        <v>9934</v>
      </c>
      <c r="B2280" t="inlineStr">
        <is>
          <t>成霖</t>
        </is>
      </c>
      <c r="C2280" t="n">
        <v>10.05</v>
      </c>
      <c r="D2280" t="n">
        <v>9.94</v>
      </c>
      <c r="E2280" s="504" t="n">
        <v>-0.02</v>
      </c>
      <c r="F2280" s="505" t="n">
        <v>-0.2</v>
      </c>
      <c r="G2280" t="inlineStr">
        <is>
          <t>915萬</t>
        </is>
      </c>
      <c r="H2280" t="n">
        <v>921</v>
      </c>
      <c r="I2280" t="n">
        <v>730</v>
      </c>
      <c r="J2280" t="n">
        <v>41.1</v>
      </c>
      <c r="K2280" t="n">
        <v>10.15</v>
      </c>
      <c r="L2280" t="n">
        <v>9.82</v>
      </c>
      <c r="M2280" s="175" t="n">
        <v>0.22</v>
      </c>
      <c r="N2280" t="inlineStr">
        <is>
          <t>亞洲最大水龍頭專業製造廠商</t>
        </is>
      </c>
    </row>
    <row r="2281">
      <c r="A2281" s="503" t="n">
        <v>9935</v>
      </c>
      <c r="B2281" t="inlineStr">
        <is>
          <t>慶豐富</t>
        </is>
      </c>
      <c r="C2281" t="n">
        <v>18.95</v>
      </c>
      <c r="D2281" t="n">
        <v>19</v>
      </c>
      <c r="E2281" s="504" t="n">
        <v>0.1</v>
      </c>
      <c r="F2281" s="505" t="n">
        <v>0.53</v>
      </c>
      <c r="G2281" t="inlineStr">
        <is>
          <t>630萬</t>
        </is>
      </c>
      <c r="H2281" t="n">
        <v>332</v>
      </c>
      <c r="I2281" t="n">
        <v>464</v>
      </c>
      <c r="J2281" t="n">
        <v>17.78</v>
      </c>
      <c r="K2281" t="n">
        <v>19.1</v>
      </c>
      <c r="L2281" t="n">
        <v>18.9</v>
      </c>
      <c r="M2281" s="175" t="n">
        <v>0.19</v>
      </c>
      <c r="N2281" t="inlineStr">
        <is>
          <t>台灣第一大窗簾傢飾廠</t>
        </is>
      </c>
    </row>
    <row r="2282">
      <c r="A2282" s="503" t="n">
        <v>9937</v>
      </c>
      <c r="B2282" t="inlineStr">
        <is>
          <t>全國</t>
        </is>
      </c>
      <c r="C2282" t="n">
        <v>55.2</v>
      </c>
      <c r="D2282" t="n">
        <v>55.8</v>
      </c>
      <c r="E2282" s="504" t="n">
        <v>0.1</v>
      </c>
      <c r="F2282" s="505" t="n">
        <v>0.18</v>
      </c>
      <c r="G2282" t="inlineStr">
        <is>
          <t>305萬</t>
        </is>
      </c>
      <c r="H2282" t="n">
        <v>55</v>
      </c>
      <c r="I2282" t="n">
        <v>47</v>
      </c>
      <c r="J2282" t="n">
        <v>30.9</v>
      </c>
      <c r="K2282" t="n">
        <v>56</v>
      </c>
      <c r="L2282" t="n">
        <v>55.2</v>
      </c>
      <c r="M2282" s="175" t="n">
        <v>0.02</v>
      </c>
      <c r="N2282" t="inlineStr">
        <is>
          <t>台灣知名加油站經營商，站數逾百座</t>
        </is>
      </c>
    </row>
    <row r="2283">
      <c r="A2283" s="503" t="n">
        <v>9938</v>
      </c>
      <c r="B2283" t="inlineStr">
        <is>
          <t>百和</t>
        </is>
      </c>
      <c r="C2283" t="n">
        <v>44.1</v>
      </c>
      <c r="D2283" t="n">
        <v>45.2</v>
      </c>
      <c r="E2283" s="504" t="n">
        <v>1.15</v>
      </c>
      <c r="F2283" s="505" t="n">
        <v>2.61</v>
      </c>
      <c r="G2283" t="inlineStr">
        <is>
          <t>1.75億</t>
        </is>
      </c>
      <c r="H2283" t="n">
        <v>3889</v>
      </c>
      <c r="I2283" t="n">
        <v>3409</v>
      </c>
      <c r="J2283" t="n">
        <v>29.8</v>
      </c>
      <c r="K2283" t="n">
        <v>45.65</v>
      </c>
      <c r="L2283" t="n">
        <v>43.95</v>
      </c>
      <c r="M2283" s="175" t="n">
        <v>1.31</v>
      </c>
      <c r="N2283" t="inlineStr">
        <is>
          <t>全球最大黏扣帶製造商</t>
        </is>
      </c>
    </row>
    <row r="2284">
      <c r="A2284" s="503" t="n">
        <v>9939</v>
      </c>
      <c r="B2284" t="inlineStr">
        <is>
          <t>宏全</t>
        </is>
      </c>
      <c r="C2284" t="n">
        <v>124.5</v>
      </c>
      <c r="D2284" t="n">
        <v>123.5</v>
      </c>
      <c r="E2284" s="504" t="n">
        <v>-1</v>
      </c>
      <c r="F2284" s="505" t="n">
        <v>-0.8</v>
      </c>
      <c r="G2284" t="inlineStr">
        <is>
          <t>1.52億</t>
        </is>
      </c>
      <c r="H2284" t="n">
        <v>1224</v>
      </c>
      <c r="I2284" t="n">
        <v>1036</v>
      </c>
      <c r="J2284" t="n">
        <v>29.58</v>
      </c>
      <c r="K2284" t="n">
        <v>125.5</v>
      </c>
      <c r="L2284" t="n">
        <v>123.5</v>
      </c>
      <c r="M2284" s="175" t="n">
        <v>0.41</v>
      </c>
      <c r="N2284" t="inlineStr">
        <is>
          <t>台灣最大的飲料包材及飲料代工製造商</t>
        </is>
      </c>
    </row>
    <row r="2285">
      <c r="A2285" s="503" t="n">
        <v>9940</v>
      </c>
      <c r="B2285" t="inlineStr">
        <is>
          <t>信義</t>
        </is>
      </c>
      <c r="C2285" t="n">
        <v>19.05</v>
      </c>
      <c r="D2285" t="n">
        <v>19.1</v>
      </c>
      <c r="E2285" s="504" t="n">
        <v>0</v>
      </c>
      <c r="F2285" s="505" t="n">
        <v>0</v>
      </c>
      <c r="G2285" t="inlineStr">
        <is>
          <t>1166萬</t>
        </is>
      </c>
      <c r="H2285" t="n">
        <v>612</v>
      </c>
      <c r="I2285" t="n">
        <v>594</v>
      </c>
      <c r="J2285" t="n">
        <v>73.68000000000001</v>
      </c>
      <c r="K2285" t="n">
        <v>19.2</v>
      </c>
      <c r="L2285" t="n">
        <v>18.95</v>
      </c>
      <c r="M2285" s="175" t="n">
        <v>0.08</v>
      </c>
      <c r="N2285" t="inlineStr">
        <is>
          <t>台灣主要房仲業者</t>
        </is>
      </c>
    </row>
    <row r="2286">
      <c r="A2286" s="503" t="n">
        <v>9941</v>
      </c>
      <c r="B2286" t="inlineStr">
        <is>
          <t>裕融</t>
        </is>
      </c>
      <c r="C2286" t="n">
        <v>73.8</v>
      </c>
      <c r="D2286" t="n">
        <v>77</v>
      </c>
      <c r="E2286" s="504" t="n">
        <v>3.4</v>
      </c>
      <c r="F2286" s="505" t="n">
        <v>4.62</v>
      </c>
      <c r="G2286" t="inlineStr">
        <is>
          <t>5.99億</t>
        </is>
      </c>
      <c r="H2286" t="n">
        <v>7838</v>
      </c>
      <c r="I2286" t="n">
        <v>1783</v>
      </c>
      <c r="J2286" t="n">
        <v>57.56</v>
      </c>
      <c r="K2286" t="n">
        <v>78</v>
      </c>
      <c r="L2286" t="n">
        <v>73.2</v>
      </c>
      <c r="M2286" s="175" t="n">
        <v>1.36</v>
      </c>
      <c r="N2286" t="inlineStr">
        <is>
          <t>裕隆集團旗下汽車融資業者</t>
        </is>
      </c>
    </row>
    <row r="2287">
      <c r="A2287" s="503" t="n">
        <v>9942</v>
      </c>
      <c r="B2287" t="inlineStr">
        <is>
          <t>茂順</t>
        </is>
      </c>
      <c r="C2287" t="n">
        <v>120</v>
      </c>
      <c r="D2287" t="n">
        <v>119.5</v>
      </c>
      <c r="E2287" s="504" t="n">
        <v>-0.5</v>
      </c>
      <c r="F2287" s="505" t="n">
        <v>-0.42</v>
      </c>
      <c r="G2287" t="inlineStr">
        <is>
          <t>1305萬</t>
        </is>
      </c>
      <c r="H2287" t="n">
        <v>109</v>
      </c>
      <c r="I2287" t="n">
        <v>135</v>
      </c>
      <c r="J2287" t="n">
        <v>8.32</v>
      </c>
      <c r="K2287" t="n">
        <v>120.5</v>
      </c>
      <c r="L2287" t="n">
        <v>119</v>
      </c>
      <c r="M2287" s="175" t="n">
        <v>0.13</v>
      </c>
      <c r="N2287" t="inlineStr">
        <is>
          <t>台灣第一大、全球前五大密封元件製造商</t>
        </is>
      </c>
    </row>
    <row r="2288">
      <c r="A2288" s="503" t="n">
        <v>9943</v>
      </c>
      <c r="B2288" t="inlineStr">
        <is>
          <t>好樂迪</t>
        </is>
      </c>
      <c r="C2288" t="n">
        <v>55.7</v>
      </c>
      <c r="D2288" t="n">
        <v>56</v>
      </c>
      <c r="E2288" s="504" t="n">
        <v>0.4</v>
      </c>
      <c r="F2288" s="505" t="n">
        <v>0.72</v>
      </c>
      <c r="G2288" t="inlineStr">
        <is>
          <t>566萬</t>
        </is>
      </c>
      <c r="H2288" t="n">
        <v>101</v>
      </c>
      <c r="I2288" t="n">
        <v>93</v>
      </c>
      <c r="J2288" t="n">
        <v>12.52</v>
      </c>
      <c r="K2288" t="n">
        <v>56.7</v>
      </c>
      <c r="L2288" t="n">
        <v>55.6</v>
      </c>
      <c r="M2288" s="175" t="n">
        <v>0.08</v>
      </c>
      <c r="N2288" t="inlineStr">
        <is>
          <t>台灣知名KTV業者</t>
        </is>
      </c>
    </row>
    <row r="2289">
      <c r="A2289" s="503" t="n">
        <v>9944</v>
      </c>
      <c r="B2289" t="inlineStr">
        <is>
          <t>新麗</t>
        </is>
      </c>
      <c r="C2289" t="n">
        <v>16.9</v>
      </c>
      <c r="D2289" t="n">
        <v>16.85</v>
      </c>
      <c r="E2289" s="504" t="n">
        <v>-0.05</v>
      </c>
      <c r="F2289" s="505" t="n">
        <v>-0.3</v>
      </c>
      <c r="G2289" t="inlineStr">
        <is>
          <t>105萬</t>
        </is>
      </c>
      <c r="H2289" t="n">
        <v>62</v>
      </c>
      <c r="I2289" t="n">
        <v>141</v>
      </c>
      <c r="J2289" t="n">
        <v>10.59</v>
      </c>
      <c r="K2289" t="n">
        <v>16.9</v>
      </c>
      <c r="L2289" t="n">
        <v>16.85</v>
      </c>
      <c r="M2289" s="175" t="n">
        <v>0.06</v>
      </c>
      <c r="N2289" t="inlineStr">
        <is>
          <t>東南亞最大的樹脂棉製造商之一</t>
        </is>
      </c>
    </row>
    <row r="2290">
      <c r="A2290" s="503" t="n">
        <v>9945</v>
      </c>
      <c r="B2290" t="inlineStr">
        <is>
          <t>潤泰新</t>
        </is>
      </c>
      <c r="C2290" t="n">
        <v>23.7</v>
      </c>
      <c r="D2290" t="n">
        <v>23.9</v>
      </c>
      <c r="E2290" s="504" t="n">
        <v>0.2</v>
      </c>
      <c r="F2290" s="505" t="n">
        <v>0.84</v>
      </c>
      <c r="G2290" t="inlineStr">
        <is>
          <t>2.15億</t>
        </is>
      </c>
      <c r="H2290" t="n">
        <v>9097</v>
      </c>
      <c r="I2290" t="n">
        <v>8200</v>
      </c>
      <c r="J2290" t="n">
        <v>284.42</v>
      </c>
      <c r="K2290" t="n">
        <v>24</v>
      </c>
      <c r="L2290" t="n">
        <v>23.35</v>
      </c>
      <c r="M2290" s="175" t="n">
        <v>0.32</v>
      </c>
      <c r="N2290" t="inlineStr">
        <is>
          <t>潤泰集團旗下建商</t>
        </is>
      </c>
    </row>
    <row r="2291">
      <c r="A2291" s="503" t="n">
        <v>9946</v>
      </c>
      <c r="B2291" t="inlineStr">
        <is>
          <t>三發地產</t>
        </is>
      </c>
      <c r="C2291" t="n">
        <v>16.55</v>
      </c>
      <c r="D2291" t="n">
        <v>16.55</v>
      </c>
      <c r="E2291" s="504" t="n">
        <v>0</v>
      </c>
      <c r="F2291" s="505" t="n">
        <v>0</v>
      </c>
      <c r="G2291" t="inlineStr">
        <is>
          <t>533萬</t>
        </is>
      </c>
      <c r="H2291" t="n">
        <v>325</v>
      </c>
      <c r="I2291" t="n">
        <v>396</v>
      </c>
      <c r="J2291" t="n">
        <v>32.66</v>
      </c>
      <c r="K2291" t="n">
        <v>16.55</v>
      </c>
      <c r="L2291" t="n">
        <v>16.35</v>
      </c>
      <c r="M2291" s="175" t="n">
        <v>0.1</v>
      </c>
      <c r="N2291" t="inlineStr">
        <is>
          <t>全心投控轉投資公司，以都會區為主要開發標的</t>
        </is>
      </c>
    </row>
    <row r="2292">
      <c r="A2292" s="503" t="n">
        <v>9949</v>
      </c>
      <c r="B2292" t="inlineStr">
        <is>
          <t>琉園</t>
        </is>
      </c>
      <c r="C2292" t="n">
        <v>23</v>
      </c>
      <c r="D2292" t="n">
        <v>22.9</v>
      </c>
      <c r="E2292" s="504" t="n">
        <v>-0.35</v>
      </c>
      <c r="F2292" s="505" t="n">
        <v>-1.51</v>
      </c>
      <c r="G2292" t="inlineStr">
        <is>
          <t>22.9萬</t>
        </is>
      </c>
      <c r="H2292" t="n">
        <v>10</v>
      </c>
      <c r="I2292" t="n">
        <v>55</v>
      </c>
      <c r="J2292" t="n">
        <v>4.49</v>
      </c>
      <c r="K2292" t="n">
        <v>23</v>
      </c>
      <c r="L2292" t="n">
        <v>22.85</v>
      </c>
      <c r="M2292" s="175" t="n">
        <v>0.02</v>
      </c>
      <c r="N2292" t="inlineStr">
        <is>
          <t>以「tittot琉園」為品牌之水晶玻璃藝術品業者</t>
        </is>
      </c>
    </row>
    <row r="2293">
      <c r="A2293" s="503" t="n">
        <v>9950</v>
      </c>
      <c r="B2293" t="inlineStr">
        <is>
          <t>萬國通</t>
        </is>
      </c>
      <c r="C2293" t="n">
        <v>11.9</v>
      </c>
      <c r="D2293" t="n">
        <v>11.1</v>
      </c>
      <c r="E2293" s="504" t="n">
        <v>0.1</v>
      </c>
      <c r="F2293" s="505" t="n">
        <v>0.91</v>
      </c>
      <c r="G2293" t="inlineStr">
        <is>
          <t>115萬</t>
        </is>
      </c>
      <c r="H2293" t="n">
        <v>104</v>
      </c>
      <c r="I2293" t="n">
        <v>73</v>
      </c>
      <c r="J2293" t="n">
        <v>16.77</v>
      </c>
      <c r="K2293" t="n">
        <v>11.9</v>
      </c>
      <c r="L2293" t="n">
        <v>10.95</v>
      </c>
      <c r="M2293" s="175" t="n">
        <v>0.06</v>
      </c>
      <c r="N2293" t="inlineStr">
        <is>
          <t>台灣最大旅行箱製造商</t>
        </is>
      </c>
    </row>
    <row r="2294">
      <c r="A2294" s="503" t="n">
        <v>9951</v>
      </c>
      <c r="B2294" t="inlineStr">
        <is>
          <t>皇田</t>
        </is>
      </c>
      <c r="C2294" t="n">
        <v>52.3</v>
      </c>
      <c r="D2294" t="n">
        <v>52.2</v>
      </c>
      <c r="E2294" s="504" t="n">
        <v>-0.2</v>
      </c>
      <c r="F2294" s="505" t="n">
        <v>-0.38</v>
      </c>
      <c r="G2294" t="inlineStr">
        <is>
          <t>734萬</t>
        </is>
      </c>
      <c r="H2294" t="n">
        <v>141</v>
      </c>
      <c r="I2294" t="n">
        <v>208</v>
      </c>
      <c r="J2294" t="n">
        <v>7.33</v>
      </c>
      <c r="K2294" t="n">
        <v>52.3</v>
      </c>
      <c r="L2294" t="n">
        <v>51.9</v>
      </c>
      <c r="M2294" s="175" t="n">
        <v>0.19</v>
      </c>
      <c r="N2294" t="inlineStr">
        <is>
          <t>全球第二大汽車窗簾ODM廠</t>
        </is>
      </c>
    </row>
    <row r="2295">
      <c r="A2295" s="503" t="n">
        <v>9955</v>
      </c>
      <c r="B2295" t="inlineStr">
        <is>
          <t>佳龍</t>
        </is>
      </c>
      <c r="C2295" t="n">
        <v>28.9</v>
      </c>
      <c r="D2295" t="n">
        <v>28.45</v>
      </c>
      <c r="E2295" s="504" t="n">
        <v>-0.4</v>
      </c>
      <c r="F2295" s="505" t="n">
        <v>-1.39</v>
      </c>
      <c r="G2295" t="inlineStr">
        <is>
          <t>845萬</t>
        </is>
      </c>
      <c r="H2295" t="n">
        <v>297</v>
      </c>
      <c r="I2295" t="n">
        <v>461</v>
      </c>
      <c r="J2295" t="n">
        <v>10.44</v>
      </c>
      <c r="K2295" t="n">
        <v>28.9</v>
      </c>
      <c r="L2295" t="n">
        <v>28.25</v>
      </c>
      <c r="M2295" s="175" t="n">
        <v>0.28</v>
      </c>
      <c r="N2295" t="inlineStr">
        <is>
          <t>台灣一貫化電子廢棄物處理廠</t>
        </is>
      </c>
    </row>
    <row r="2296">
      <c r="A2296" s="503" t="n">
        <v>9958</v>
      </c>
      <c r="B2296" t="inlineStr">
        <is>
          <t>世紀鋼</t>
        </is>
      </c>
      <c r="C2296" t="n">
        <v>106</v>
      </c>
      <c r="D2296" t="n">
        <v>102.5</v>
      </c>
      <c r="E2296" s="504" t="n">
        <v>-2.5</v>
      </c>
      <c r="F2296" s="505" t="n">
        <v>-2.38</v>
      </c>
      <c r="G2296" t="inlineStr">
        <is>
          <t>2.36億</t>
        </is>
      </c>
      <c r="H2296" t="n">
        <v>2296</v>
      </c>
      <c r="I2296" t="n">
        <v>2364</v>
      </c>
      <c r="J2296" t="n">
        <v>24.69</v>
      </c>
      <c r="K2296" t="n">
        <v>106</v>
      </c>
      <c r="L2296" t="n">
        <v>101.5</v>
      </c>
      <c r="M2296" s="175" t="n">
        <v>0.93</v>
      </c>
      <c r="N2296" t="inlineStr">
        <is>
          <t>台灣鋼構大廠</t>
        </is>
      </c>
    </row>
    <row r="2297">
      <c r="A2297" s="503" t="n">
        <v>9960</v>
      </c>
      <c r="B2297" t="inlineStr">
        <is>
          <t>邁達康</t>
        </is>
      </c>
      <c r="C2297" t="n">
        <v>30.1</v>
      </c>
      <c r="D2297" t="n">
        <v>30.7</v>
      </c>
      <c r="E2297" s="504" t="n">
        <v>0.3</v>
      </c>
      <c r="F2297" s="505" t="n">
        <v>0.99</v>
      </c>
      <c r="G2297" t="inlineStr">
        <is>
          <t>123萬</t>
        </is>
      </c>
      <c r="H2297" t="n">
        <v>41</v>
      </c>
      <c r="I2297" t="n">
        <v>160</v>
      </c>
      <c r="J2297" t="n">
        <v>3.36</v>
      </c>
      <c r="K2297" t="n">
        <v>30.7</v>
      </c>
      <c r="L2297" t="n">
        <v>30</v>
      </c>
      <c r="M2297" s="175" t="n">
        <v>0.12</v>
      </c>
      <c r="N2297" t="inlineStr">
        <is>
          <t>台灣最大的高爾夫球銷售網站</t>
        </is>
      </c>
    </row>
    <row r="2298">
      <c r="A2298" s="503" t="n">
        <v>9962</v>
      </c>
      <c r="B2298" t="inlineStr">
        <is>
          <t>有益</t>
        </is>
      </c>
      <c r="C2298" t="n">
        <v>9.66</v>
      </c>
      <c r="D2298" t="n">
        <v>9.699999999999999</v>
      </c>
      <c r="E2298" s="504" t="n">
        <v>0.04</v>
      </c>
      <c r="F2298" s="505" t="n">
        <v>0.41</v>
      </c>
      <c r="G2298" t="inlineStr">
        <is>
          <t>75.4萬</t>
        </is>
      </c>
      <c r="H2298" t="n">
        <v>78</v>
      </c>
      <c r="I2298" t="n">
        <v>76</v>
      </c>
      <c r="J2298" t="n">
        <v>9.02</v>
      </c>
      <c r="K2298" t="n">
        <v>9.699999999999999</v>
      </c>
      <c r="L2298" t="n">
        <v>9.640000000000001</v>
      </c>
      <c r="M2298" s="175" t="n">
        <v>0.09</v>
      </c>
      <c r="N2298" t="inlineStr">
        <is>
          <t>台灣不鏽鋼厚板第一大廠</t>
        </is>
      </c>
    </row>
  </sheetData>
  <conditionalFormatting sqref="E2093:E1048576">
    <cfRule type="cellIs" priority="3" operator="lessThan" dxfId="8">
      <formula>0</formula>
    </cfRule>
    <cfRule type="cellIs" priority="4" operator="greaterThan" dxfId="7">
      <formula>0</formula>
    </cfRule>
  </conditionalFormatting>
  <conditionalFormatting sqref="E2:E2092">
    <cfRule type="cellIs" priority="1" operator="lessThan" dxfId="8">
      <formula>0</formula>
    </cfRule>
    <cfRule type="cellIs" priority="2" operator="greaterThan" dxfId="7">
      <formula>0</formula>
    </cfRule>
  </conditionalFormatting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 codeName="工作表3">
    <outlinePr summaryBelow="1" summaryRight="1"/>
    <pageSetUpPr/>
  </sheetPr>
  <dimension ref="A1:K21"/>
  <sheetViews>
    <sheetView workbookViewId="0">
      <selection activeCell="C2" sqref="C2:J21"/>
    </sheetView>
  </sheetViews>
  <sheetFormatPr baseColWidth="8" defaultRowHeight="16.5"/>
  <cols>
    <col width="27.75" bestFit="1" customWidth="1" min="2" max="2"/>
    <col width="8.5" bestFit="1" customWidth="1" min="3" max="6"/>
    <col width="8" bestFit="1" customWidth="1" min="7" max="7"/>
    <col width="11.875" bestFit="1" customWidth="1" min="8" max="8"/>
    <col width="10.5" bestFit="1" customWidth="1" min="9" max="9"/>
    <col width="12.75" bestFit="1" customWidth="1" min="10" max="11"/>
    <col width="77" bestFit="1" customWidth="1" min="12" max="12"/>
  </cols>
  <sheetData>
    <row r="1">
      <c r="A1" t="inlineStr">
        <is>
          <t>代號</t>
        </is>
      </c>
      <c r="B1" t="inlineStr">
        <is>
          <t>名稱</t>
        </is>
      </c>
      <c r="C1" t="inlineStr">
        <is>
          <t>最新</t>
        </is>
      </c>
      <c r="D1" t="inlineStr">
        <is>
          <t>開市</t>
        </is>
      </c>
      <c r="E1" t="inlineStr">
        <is>
          <t>高</t>
        </is>
      </c>
      <c r="F1" t="inlineStr">
        <is>
          <t>低</t>
        </is>
      </c>
      <c r="G1" t="inlineStr">
        <is>
          <t>升跌</t>
        </is>
      </c>
      <c r="H1" t="inlineStr">
        <is>
          <t>升跌率%</t>
        </is>
      </c>
      <c r="I1" t="inlineStr">
        <is>
          <t>成交量</t>
        </is>
      </c>
      <c r="J1" t="inlineStr">
        <is>
          <t>時間</t>
        </is>
      </c>
      <c r="K1" s="241" t="inlineStr">
        <is>
          <t>https://www.wantgoo.com/global/us-stocks</t>
        </is>
      </c>
    </row>
    <row r="2">
      <c r="A2" s="65" t="inlineStr">
        <is>
          <t>VT</t>
        </is>
      </c>
      <c r="B2" s="65" t="inlineStr">
        <is>
          <t>Vanguard Total World Stock Index Fund ETF Shares</t>
        </is>
      </c>
      <c r="C2" t="n">
        <v>155.57</v>
      </c>
      <c r="D2" t="n">
        <v>155.7</v>
      </c>
      <c r="E2" t="n">
        <v>156.29</v>
      </c>
      <c r="F2" t="n">
        <v>155.32</v>
      </c>
      <c r="G2" t="n">
        <v>0.36</v>
      </c>
      <c r="H2" t="n">
        <v>0.0023</v>
      </c>
      <c r="I2" t="n">
        <v>2570408</v>
      </c>
      <c r="J2" s="507" t="n">
        <v>46165</v>
      </c>
    </row>
    <row r="3">
      <c r="A3" s="65" t="inlineStr">
        <is>
          <t>IOT</t>
        </is>
      </c>
      <c r="B3" s="65" t="inlineStr">
        <is>
          <t>Samsara Inc</t>
        </is>
      </c>
      <c r="C3" t="n">
        <v>31.15</v>
      </c>
      <c r="D3" t="n">
        <v>30.45</v>
      </c>
      <c r="E3" t="n">
        <v>31.63</v>
      </c>
      <c r="F3" t="n">
        <v>30.45</v>
      </c>
      <c r="G3" t="n">
        <v>1</v>
      </c>
      <c r="H3" t="n">
        <v>0.0332</v>
      </c>
      <c r="I3" t="n">
        <v>3354145</v>
      </c>
      <c r="J3" s="507" t="n">
        <v>46165</v>
      </c>
      <c r="K3" s="241" t="inlineStr">
        <is>
          <t>https://finance.yahoo.com/portfolio/p_0/view/fv</t>
        </is>
      </c>
    </row>
    <row r="4">
      <c r="A4" s="65" t="inlineStr">
        <is>
          <t>AEP</t>
        </is>
      </c>
      <c r="B4" s="65" t="inlineStr">
        <is>
          <t>美國電力</t>
        </is>
      </c>
      <c r="C4" t="n">
        <v>131.59</v>
      </c>
      <c r="D4" t="n">
        <v>129.66</v>
      </c>
      <c r="E4" t="n">
        <v>131.75</v>
      </c>
      <c r="F4" t="n">
        <v>129.58</v>
      </c>
      <c r="G4" t="n">
        <v>1.98</v>
      </c>
      <c r="H4" t="n">
        <v>0.0153</v>
      </c>
      <c r="I4" t="n">
        <v>3280669</v>
      </c>
      <c r="J4" s="507" t="n">
        <v>46165</v>
      </c>
    </row>
    <row r="5">
      <c r="A5" s="65" t="inlineStr">
        <is>
          <t>SO</t>
        </is>
      </c>
      <c r="B5" s="65" t="inlineStr">
        <is>
          <t>南方公司</t>
        </is>
      </c>
      <c r="C5" t="n">
        <v>94.55</v>
      </c>
      <c r="D5" t="n">
        <v>94.48999999999999</v>
      </c>
      <c r="E5" t="n">
        <v>94.8</v>
      </c>
      <c r="F5" t="n">
        <v>93.77</v>
      </c>
      <c r="G5" t="n">
        <v>0.31</v>
      </c>
      <c r="H5" t="n">
        <v>0.0033</v>
      </c>
      <c r="I5" t="n">
        <v>3396170</v>
      </c>
      <c r="J5" s="507" t="n">
        <v>46165</v>
      </c>
      <c r="K5" s="241" t="inlineStr">
        <is>
          <t>https://hk.investing.com/portfolio/?portfolioID=ZWU1ZzJtN25kMDwzbzs4Pg%3D%3D</t>
        </is>
      </c>
    </row>
    <row r="6">
      <c r="A6" s="65" t="inlineStr">
        <is>
          <t>VZ</t>
        </is>
      </c>
      <c r="B6" s="65" t="inlineStr">
        <is>
          <t>威瑞森通訊公司</t>
        </is>
      </c>
      <c r="C6" t="n">
        <v>48.35</v>
      </c>
      <c r="D6" t="n">
        <v>48.5</v>
      </c>
      <c r="E6" t="n">
        <v>48.52</v>
      </c>
      <c r="F6" t="n">
        <v>48.05</v>
      </c>
      <c r="G6" t="n">
        <v>0.08</v>
      </c>
      <c r="H6" t="n">
        <v>0.0017</v>
      </c>
      <c r="I6" t="n">
        <v>14723376</v>
      </c>
      <c r="J6" s="507" t="n">
        <v>46165</v>
      </c>
    </row>
    <row r="7">
      <c r="A7" s="65" t="inlineStr">
        <is>
          <t>EPD</t>
        </is>
      </c>
      <c r="B7" s="65" t="inlineStr">
        <is>
          <t>Enterprise Products Partners LP</t>
        </is>
      </c>
      <c r="C7" t="n">
        <v>39.63</v>
      </c>
      <c r="D7" t="n">
        <v>39.22</v>
      </c>
      <c r="E7" t="n">
        <v>39.73</v>
      </c>
      <c r="F7" t="n">
        <v>39.22</v>
      </c>
      <c r="G7" t="n">
        <v>0.16</v>
      </c>
      <c r="H7" t="n">
        <v>0.0041</v>
      </c>
      <c r="I7" t="n">
        <v>3563684</v>
      </c>
      <c r="J7" s="507" t="n">
        <v>46165</v>
      </c>
    </row>
    <row r="8">
      <c r="A8" s="65" t="inlineStr">
        <is>
          <t>ENB</t>
        </is>
      </c>
      <c r="B8" s="65" t="inlineStr">
        <is>
          <t>Enbridge Inc.</t>
        </is>
      </c>
      <c r="C8" t="n">
        <v>58.04</v>
      </c>
      <c r="D8" t="n">
        <v>57.72</v>
      </c>
      <c r="E8" t="n">
        <v>58.45</v>
      </c>
      <c r="F8" t="n">
        <v>57.7</v>
      </c>
      <c r="G8" t="n">
        <v>0.25</v>
      </c>
      <c r="H8" t="n">
        <v>0.0043</v>
      </c>
      <c r="I8" t="n">
        <v>4463810</v>
      </c>
      <c r="J8" s="507" t="n">
        <v>46165</v>
      </c>
    </row>
    <row r="9">
      <c r="A9" s="65" t="inlineStr">
        <is>
          <t>O</t>
        </is>
      </c>
      <c r="B9" s="65" t="inlineStr">
        <is>
          <t>Realty Income Corp</t>
        </is>
      </c>
      <c r="C9" t="n">
        <v>62.02</v>
      </c>
      <c r="D9" t="n">
        <v>62.23</v>
      </c>
      <c r="E9" t="n">
        <v>62.42</v>
      </c>
      <c r="F9" t="n">
        <v>61.57</v>
      </c>
      <c r="G9" t="n">
        <v>-0.21</v>
      </c>
      <c r="H9" t="n">
        <v>-0.0034</v>
      </c>
      <c r="I9" t="n">
        <v>4335673</v>
      </c>
      <c r="J9" s="507" t="n">
        <v>46165</v>
      </c>
    </row>
    <row r="10">
      <c r="A10" s="65" t="inlineStr">
        <is>
          <t>MO</t>
        </is>
      </c>
      <c r="B10" s="65" t="inlineStr">
        <is>
          <t>奧馳亞集團</t>
        </is>
      </c>
      <c r="C10" t="n">
        <v>73.90000000000001</v>
      </c>
      <c r="D10" t="n">
        <v>73.69</v>
      </c>
      <c r="E10" t="n">
        <v>74.16</v>
      </c>
      <c r="F10" t="n">
        <v>73.48</v>
      </c>
      <c r="G10" t="n">
        <v>0.19</v>
      </c>
      <c r="H10" t="n">
        <v>0.0026</v>
      </c>
      <c r="I10" t="n">
        <v>4505977</v>
      </c>
      <c r="J10" s="507" t="n">
        <v>46165</v>
      </c>
    </row>
    <row r="11">
      <c r="A11" s="65" t="inlineStr">
        <is>
          <t>SNPS</t>
        </is>
      </c>
      <c r="B11" s="65" t="inlineStr">
        <is>
          <t>Synopsys Inc</t>
        </is>
      </c>
      <c r="C11" t="n">
        <v>524.74</v>
      </c>
      <c r="D11" t="n">
        <v>510</v>
      </c>
      <c r="E11" t="n">
        <v>534.11</v>
      </c>
      <c r="F11" t="n">
        <v>508.51</v>
      </c>
      <c r="G11" t="n">
        <v>20.76</v>
      </c>
      <c r="H11" t="n">
        <v>0.0412</v>
      </c>
      <c r="I11" t="n">
        <v>1873634</v>
      </c>
      <c r="J11" s="507" t="n">
        <v>46165</v>
      </c>
    </row>
    <row r="12">
      <c r="A12" s="65" t="inlineStr">
        <is>
          <t>CDNS</t>
        </is>
      </c>
      <c r="B12" s="65" t="inlineStr">
        <is>
          <t>Cadence Design Systems Inc</t>
        </is>
      </c>
      <c r="C12" t="n">
        <v>373.59</v>
      </c>
      <c r="D12" t="n">
        <v>361.88</v>
      </c>
      <c r="E12" t="n">
        <v>381.55</v>
      </c>
      <c r="F12" t="n">
        <v>361.54</v>
      </c>
      <c r="G12" t="n">
        <v>15.13</v>
      </c>
      <c r="H12" t="n">
        <v>0.0422</v>
      </c>
      <c r="I12" t="n">
        <v>2206625</v>
      </c>
      <c r="J12" s="507" t="n">
        <v>46165</v>
      </c>
    </row>
    <row r="13">
      <c r="A13" s="65" t="inlineStr">
        <is>
          <t>QQQ</t>
        </is>
      </c>
      <c r="B13" s="65" t="inlineStr">
        <is>
          <t>景順QQQ ETF</t>
        </is>
      </c>
      <c r="C13" t="n">
        <v>717.54</v>
      </c>
      <c r="D13" t="n">
        <v>718.0700000000001</v>
      </c>
      <c r="E13" t="n">
        <v>722.12</v>
      </c>
      <c r="F13" t="n">
        <v>715.95</v>
      </c>
      <c r="G13" t="n">
        <v>3.03</v>
      </c>
      <c r="H13" t="n">
        <v>0.0042</v>
      </c>
      <c r="I13" t="n">
        <v>33118575</v>
      </c>
      <c r="J13" s="507" t="n">
        <v>46165</v>
      </c>
    </row>
    <row r="14">
      <c r="A14" s="65" t="inlineStr">
        <is>
          <t>KLAC</t>
        </is>
      </c>
      <c r="B14" s="65" t="inlineStr">
        <is>
          <t>KLA Corporation</t>
        </is>
      </c>
      <c r="C14" t="n">
        <v>1888.38</v>
      </c>
      <c r="D14" t="n">
        <v>1874.99</v>
      </c>
      <c r="E14" t="n">
        <v>1910.13</v>
      </c>
      <c r="F14" t="n">
        <v>1861.73</v>
      </c>
      <c r="G14" t="n">
        <v>46.2</v>
      </c>
      <c r="H14" t="n">
        <v>0.0251</v>
      </c>
      <c r="I14" t="n">
        <v>723721</v>
      </c>
      <c r="J14" s="507" t="n">
        <v>46165</v>
      </c>
    </row>
    <row r="15">
      <c r="A15" s="65" t="inlineStr">
        <is>
          <t>LLY</t>
        </is>
      </c>
      <c r="B15" s="65" t="inlineStr">
        <is>
          <t>禮來製藥</t>
        </is>
      </c>
      <c r="C15" t="n">
        <v>1065</v>
      </c>
      <c r="D15" t="n">
        <v>1049.81</v>
      </c>
      <c r="E15" t="n">
        <v>1070.34</v>
      </c>
      <c r="F15" t="n">
        <v>1047.07</v>
      </c>
      <c r="G15" t="n">
        <v>23.35</v>
      </c>
      <c r="H15" t="n">
        <v>0.0224</v>
      </c>
      <c r="I15" t="n">
        <v>3472924</v>
      </c>
      <c r="J15" s="507" t="n">
        <v>46165</v>
      </c>
    </row>
    <row r="16">
      <c r="A16" s="65" t="inlineStr">
        <is>
          <t>TSLA</t>
        </is>
      </c>
      <c r="B16" s="65" t="inlineStr">
        <is>
          <t>特斯拉</t>
        </is>
      </c>
      <c r="C16" t="n">
        <v>426.01</v>
      </c>
      <c r="D16" t="n">
        <v>422.67</v>
      </c>
      <c r="E16" t="n">
        <v>431.51</v>
      </c>
      <c r="F16" t="n">
        <v>420.51</v>
      </c>
      <c r="G16" t="n">
        <v>8.16</v>
      </c>
      <c r="H16" t="n">
        <v>0.0195</v>
      </c>
      <c r="I16" t="n">
        <v>46104710</v>
      </c>
      <c r="J16" s="507" t="n">
        <v>46165</v>
      </c>
    </row>
    <row r="17">
      <c r="A17" s="65" t="inlineStr">
        <is>
          <t>VRTX</t>
        </is>
      </c>
      <c r="B17" s="65" t="inlineStr">
        <is>
          <t>Vertex Pharmaceuticals Inc</t>
        </is>
      </c>
      <c r="C17" t="n">
        <v>434.52</v>
      </c>
      <c r="D17" t="n">
        <v>437.07</v>
      </c>
      <c r="E17" t="n">
        <v>438.84</v>
      </c>
      <c r="F17" t="n">
        <v>432.96</v>
      </c>
      <c r="G17" t="n">
        <v>0.98</v>
      </c>
      <c r="H17" t="n">
        <v>0.0023</v>
      </c>
      <c r="I17" t="n">
        <v>1746340</v>
      </c>
      <c r="J17" s="507" t="n">
        <v>46165</v>
      </c>
    </row>
    <row r="18">
      <c r="A18" s="65" t="inlineStr">
        <is>
          <t>CRWD</t>
        </is>
      </c>
      <c r="B18" s="65" t="inlineStr">
        <is>
          <t>CrowdStrike Holdings Inc</t>
        </is>
      </c>
      <c r="C18" t="n">
        <v>663.46</v>
      </c>
      <c r="D18" t="n">
        <v>650.5</v>
      </c>
      <c r="E18" t="n">
        <v>674.84</v>
      </c>
      <c r="F18" t="n">
        <v>649.6</v>
      </c>
      <c r="G18" t="n">
        <v>15.23</v>
      </c>
      <c r="H18" t="n">
        <v>0.0235</v>
      </c>
      <c r="I18" t="n">
        <v>2781663</v>
      </c>
      <c r="J18" s="507" t="n">
        <v>46165</v>
      </c>
    </row>
    <row r="19">
      <c r="A19" s="65" t="inlineStr">
        <is>
          <t>ASML</t>
        </is>
      </c>
      <c r="B19" s="65" t="inlineStr">
        <is>
          <t>ASML</t>
        </is>
      </c>
      <c r="C19" t="n">
        <v>1632.9</v>
      </c>
      <c r="D19" t="n">
        <v>1620.03</v>
      </c>
      <c r="E19" t="n">
        <v>1653.53</v>
      </c>
      <c r="F19" t="n">
        <v>1615.85</v>
      </c>
      <c r="G19" t="n">
        <v>40.9</v>
      </c>
      <c r="H19" t="n">
        <v>0.0257</v>
      </c>
      <c r="I19" t="n">
        <v>1669568</v>
      </c>
      <c r="J19" s="507" t="n">
        <v>46165</v>
      </c>
    </row>
    <row r="20">
      <c r="A20" s="65" t="inlineStr">
        <is>
          <t>MSFT</t>
        </is>
      </c>
      <c r="B20" s="65" t="inlineStr">
        <is>
          <t>微軟公司</t>
        </is>
      </c>
      <c r="C20" t="n">
        <v>418.57</v>
      </c>
      <c r="D20" t="n">
        <v>419.54</v>
      </c>
      <c r="E20" t="n">
        <v>424.4</v>
      </c>
      <c r="F20" t="n">
        <v>416.33</v>
      </c>
      <c r="G20" t="n">
        <v>-0.52</v>
      </c>
      <c r="H20" t="n">
        <v>-0.0012</v>
      </c>
      <c r="I20" t="n">
        <v>22390344</v>
      </c>
      <c r="J20" s="507" t="n">
        <v>46165</v>
      </c>
    </row>
    <row r="21">
      <c r="A21" s="65" t="inlineStr">
        <is>
          <t>NVDA</t>
        </is>
      </c>
      <c r="B21" s="65" t="inlineStr">
        <is>
          <t>英偉達公司</t>
        </is>
      </c>
      <c r="C21" t="n">
        <v>215.33</v>
      </c>
      <c r="D21" t="n">
        <v>220.9</v>
      </c>
      <c r="E21" t="n">
        <v>221.01</v>
      </c>
      <c r="F21" t="n">
        <v>214.8</v>
      </c>
      <c r="G21" t="n">
        <v>-4.18</v>
      </c>
      <c r="H21" t="n">
        <v>-0.019</v>
      </c>
      <c r="I21" t="n">
        <v>169275710</v>
      </c>
      <c r="J21" s="507" t="n">
        <v>46165</v>
      </c>
    </row>
  </sheetData>
  <hyperlinks>
    <hyperlink xmlns:r="http://schemas.openxmlformats.org/officeDocument/2006/relationships" ref="K1" r:id="rId1"/>
    <hyperlink xmlns:r="http://schemas.openxmlformats.org/officeDocument/2006/relationships" ref="K3" r:id="rId2"/>
    <hyperlink xmlns:r="http://schemas.openxmlformats.org/officeDocument/2006/relationships" ref="K5" r:id="rId3"/>
  </hyperlinks>
  <pageMargins left="0.7" right="0.7" top="0.75" bottom="0.75" header="0.3" footer="0.3"/>
  <tableParts count="1">
    <tablePart xmlns:r="http://schemas.openxmlformats.org/officeDocument/2006/relationships" r:id="rId4"/>
  </tableParts>
</worksheet>
</file>

<file path=xl/worksheets/sheet14.xml><?xml version="1.0" encoding="utf-8"?>
<worksheet xmlns="http://schemas.openxmlformats.org/spreadsheetml/2006/main">
  <sheetPr codeName="工作表4">
    <outlinePr summaryBelow="1" summaryRight="1"/>
    <pageSetUpPr/>
  </sheetPr>
  <dimension ref="A1:M610"/>
  <sheetViews>
    <sheetView workbookViewId="0">
      <selection activeCell="A3" sqref="A3:G26"/>
    </sheetView>
  </sheetViews>
  <sheetFormatPr baseColWidth="8" defaultRowHeight="16.5"/>
  <cols>
    <col width="16.125" bestFit="1" customWidth="1" min="1" max="1"/>
    <col width="8" bestFit="1" customWidth="1" min="2" max="3"/>
    <col width="7.5" bestFit="1" customWidth="1" min="4" max="5"/>
    <col width="10.125" bestFit="1" customWidth="1" min="6" max="7"/>
    <col width="12.125" bestFit="1" customWidth="1" min="9" max="9"/>
    <col width="8.875" bestFit="1" customWidth="1" min="10" max="12"/>
    <col width="8.625" bestFit="1" customWidth="1" min="13" max="13"/>
  </cols>
  <sheetData>
    <row r="1" ht="17.25" customHeight="1" thickBot="1">
      <c r="A1" s="241" t="inlineStr">
        <is>
          <t>https://cn.investing.com/currencies/usd-twd-historical-data</t>
        </is>
      </c>
      <c r="B1" s="240" t="n"/>
      <c r="C1" s="240" t="n"/>
      <c r="D1" s="240" t="n"/>
      <c r="E1" s="240" t="n"/>
      <c r="F1" s="240" t="n"/>
      <c r="G1" s="240" t="n"/>
      <c r="I1" s="241" t="inlineStr">
        <is>
          <t>https://historical.findrate.tw/his.php?c=USD</t>
        </is>
      </c>
    </row>
    <row r="2" ht="29.25" customHeight="1" thickBot="1">
      <c r="A2" t="inlineStr">
        <is>
          <t>日期</t>
        </is>
      </c>
      <c r="B2" t="inlineStr">
        <is>
          <t>收盘</t>
        </is>
      </c>
      <c r="C2" t="inlineStr">
        <is>
          <t>开盘</t>
        </is>
      </c>
      <c r="D2" t="inlineStr">
        <is>
          <t>高</t>
        </is>
      </c>
      <c r="E2" t="inlineStr">
        <is>
          <t>低</t>
        </is>
      </c>
      <c r="F2" t="inlineStr">
        <is>
          <t>交易量</t>
        </is>
      </c>
      <c r="G2" t="inlineStr">
        <is>
          <t>涨跌幅</t>
        </is>
      </c>
      <c r="J2" s="346" t="inlineStr">
        <is>
          <t>現鈔買入</t>
        </is>
      </c>
      <c r="K2" s="346" t="inlineStr">
        <is>
          <t>現鈔賣出</t>
        </is>
      </c>
      <c r="L2" s="346" t="inlineStr">
        <is>
          <t>即期買入</t>
        </is>
      </c>
      <c r="M2" s="346" t="inlineStr">
        <is>
          <t>即期賣出</t>
        </is>
      </c>
    </row>
    <row r="3" ht="17.25" customHeight="1" thickBot="1">
      <c r="A3" s="347" t="n">
        <v>46058</v>
      </c>
      <c r="B3" t="n">
        <v>31.674</v>
      </c>
      <c r="C3" t="n">
        <v>31.666</v>
      </c>
      <c r="D3" t="n">
        <v>31.718</v>
      </c>
      <c r="E3" t="n">
        <v>31.622</v>
      </c>
      <c r="G3" s="175" t="n">
        <v>0.0007</v>
      </c>
      <c r="I3" s="229" t="n">
        <v>46057</v>
      </c>
      <c r="J3" s="230" t="n">
        <v>31.165</v>
      </c>
      <c r="K3" s="230" t="n">
        <v>31.835</v>
      </c>
      <c r="L3" s="230" t="n">
        <v>31.515</v>
      </c>
      <c r="M3" s="231" t="n">
        <v>31.615</v>
      </c>
    </row>
    <row r="4" ht="17.25" customHeight="1" thickBot="1">
      <c r="A4" s="347" t="n">
        <v>46057</v>
      </c>
      <c r="B4" t="n">
        <v>31.653</v>
      </c>
      <c r="C4" t="n">
        <v>31.594</v>
      </c>
      <c r="D4" t="n">
        <v>31.691</v>
      </c>
      <c r="E4" t="n">
        <v>31.526</v>
      </c>
      <c r="G4" s="175" t="n">
        <v>0.0019</v>
      </c>
      <c r="I4" s="229" t="n">
        <v>46056</v>
      </c>
      <c r="J4" s="230" t="n">
        <v>31.155</v>
      </c>
      <c r="K4" s="230" t="n">
        <v>31.825</v>
      </c>
      <c r="L4" s="230" t="n">
        <v>31.505</v>
      </c>
      <c r="M4" s="231" t="n">
        <v>31.605</v>
      </c>
    </row>
    <row r="5" ht="17.25" customHeight="1" thickBot="1">
      <c r="A5" s="347" t="n">
        <v>46056</v>
      </c>
      <c r="B5" t="n">
        <v>31.594</v>
      </c>
      <c r="C5" t="n">
        <v>31.63</v>
      </c>
      <c r="D5" t="n">
        <v>31.644</v>
      </c>
      <c r="E5" t="n">
        <v>31.472</v>
      </c>
      <c r="G5" s="175" t="n">
        <v>0.0001</v>
      </c>
      <c r="I5" s="229" t="n">
        <v>46055</v>
      </c>
      <c r="J5" s="230" t="n">
        <v>31.2</v>
      </c>
      <c r="K5" s="230" t="n">
        <v>31.87</v>
      </c>
      <c r="L5" s="230" t="n">
        <v>31.55</v>
      </c>
      <c r="M5" s="231" t="n">
        <v>31.65</v>
      </c>
    </row>
    <row r="6" ht="17.25" customHeight="1" thickBot="1">
      <c r="A6" s="347" t="n">
        <v>46055</v>
      </c>
      <c r="B6" t="n">
        <v>31.59</v>
      </c>
      <c r="C6" t="n">
        <v>31.563</v>
      </c>
      <c r="D6" t="n">
        <v>31.735</v>
      </c>
      <c r="E6" t="n">
        <v>31.539</v>
      </c>
      <c r="G6" s="175" t="n">
        <v>-0.001</v>
      </c>
      <c r="I6" s="229" t="n">
        <v>46052</v>
      </c>
      <c r="J6" s="230" t="n">
        <v>31.065</v>
      </c>
      <c r="K6" s="230" t="n">
        <v>31.735</v>
      </c>
      <c r="L6" s="230" t="n">
        <v>31.415</v>
      </c>
      <c r="M6" s="231" t="n">
        <v>31.515</v>
      </c>
    </row>
    <row r="7" ht="17.25" customHeight="1" thickBot="1">
      <c r="A7" s="347" t="n">
        <v>46052</v>
      </c>
      <c r="B7" t="n">
        <v>31.623</v>
      </c>
      <c r="C7" t="n">
        <v>31.367</v>
      </c>
      <c r="D7" t="n">
        <v>31.623</v>
      </c>
      <c r="E7" t="n">
        <v>31.337</v>
      </c>
      <c r="G7" s="175" t="n">
        <v>0.007900000000000001</v>
      </c>
      <c r="I7" s="229" t="n">
        <v>46051</v>
      </c>
      <c r="J7" s="230" t="n">
        <v>30.9</v>
      </c>
      <c r="K7" s="230" t="n">
        <v>31.57</v>
      </c>
      <c r="L7" s="230" t="n">
        <v>31.25</v>
      </c>
      <c r="M7" s="231" t="n">
        <v>31.35</v>
      </c>
    </row>
    <row r="8" ht="17.25" customHeight="1" thickBot="1">
      <c r="A8" s="347" t="n">
        <v>46051</v>
      </c>
      <c r="B8" t="n">
        <v>31.375</v>
      </c>
      <c r="C8" t="n">
        <v>31.328</v>
      </c>
      <c r="D8" t="n">
        <v>31.5</v>
      </c>
      <c r="E8" t="n">
        <v>31.23</v>
      </c>
      <c r="G8" s="175" t="n">
        <v>0.0025</v>
      </c>
      <c r="I8" s="229" t="n">
        <v>46050</v>
      </c>
      <c r="J8" s="230" t="n">
        <v>30.89</v>
      </c>
      <c r="K8" s="230" t="n">
        <v>31.56</v>
      </c>
      <c r="L8" s="230" t="n">
        <v>31.24</v>
      </c>
      <c r="M8" s="231" t="n">
        <v>31.34</v>
      </c>
    </row>
    <row r="9" ht="17.25" customHeight="1" thickBot="1">
      <c r="A9" s="347" t="n">
        <v>46050</v>
      </c>
      <c r="B9" t="n">
        <v>31.297</v>
      </c>
      <c r="C9" t="n">
        <v>31.112</v>
      </c>
      <c r="D9" t="n">
        <v>31.446</v>
      </c>
      <c r="E9" t="n">
        <v>31.094</v>
      </c>
      <c r="G9" s="175" t="n">
        <v>0.0043</v>
      </c>
      <c r="I9" s="229" t="n">
        <v>46049</v>
      </c>
      <c r="J9" s="230" t="n">
        <v>31.03</v>
      </c>
      <c r="K9" s="230" t="n">
        <v>31.7</v>
      </c>
      <c r="L9" s="230" t="n">
        <v>31.38</v>
      </c>
      <c r="M9" s="231" t="n">
        <v>31.48</v>
      </c>
    </row>
    <row r="10" ht="17.25" customHeight="1" thickBot="1">
      <c r="A10" s="347" t="n">
        <v>46049</v>
      </c>
      <c r="B10" t="n">
        <v>31.163</v>
      </c>
      <c r="C10" t="n">
        <v>31.434</v>
      </c>
      <c r="D10" t="n">
        <v>31.549</v>
      </c>
      <c r="E10" t="n">
        <v>31.145</v>
      </c>
      <c r="G10" s="175" t="n">
        <v>-0.0092</v>
      </c>
      <c r="I10" s="229" t="n">
        <v>46048</v>
      </c>
      <c r="J10" s="230" t="n">
        <v>31.095</v>
      </c>
      <c r="K10" s="230" t="n">
        <v>31.765</v>
      </c>
      <c r="L10" s="230" t="n">
        <v>31.445</v>
      </c>
      <c r="M10" s="231" t="n">
        <v>31.545</v>
      </c>
    </row>
    <row r="11" ht="17.25" customHeight="1" thickBot="1">
      <c r="A11" s="347" t="n">
        <v>46048</v>
      </c>
      <c r="B11" t="n">
        <v>31.451</v>
      </c>
      <c r="C11" t="n">
        <v>31.359</v>
      </c>
      <c r="D11" t="n">
        <v>31.536</v>
      </c>
      <c r="E11" t="n">
        <v>31.35</v>
      </c>
      <c r="G11" s="175" t="n">
        <v>0.0025</v>
      </c>
      <c r="I11" s="229" t="n">
        <v>46045</v>
      </c>
      <c r="J11" s="230" t="n">
        <v>31.15</v>
      </c>
      <c r="K11" s="230" t="n">
        <v>31.82</v>
      </c>
      <c r="L11" s="230" t="n">
        <v>31.5</v>
      </c>
      <c r="M11" s="231" t="n">
        <v>31.6</v>
      </c>
    </row>
    <row r="12" ht="17.25" customHeight="1" thickBot="1">
      <c r="A12" s="347" t="n">
        <v>46045</v>
      </c>
      <c r="B12" t="n">
        <v>31.374</v>
      </c>
      <c r="C12" t="n">
        <v>31.621</v>
      </c>
      <c r="D12" t="n">
        <v>31.632</v>
      </c>
      <c r="E12" t="n">
        <v>31.358</v>
      </c>
      <c r="G12" s="175" t="n">
        <v>-0.0073</v>
      </c>
      <c r="I12" s="229" t="n">
        <v>46044</v>
      </c>
      <c r="J12" s="230" t="n">
        <v>31.2</v>
      </c>
      <c r="K12" s="230" t="n">
        <v>31.87</v>
      </c>
      <c r="L12" s="230" t="n">
        <v>31.55</v>
      </c>
      <c r="M12" s="231" t="n">
        <v>31.65</v>
      </c>
    </row>
    <row r="13" ht="17.25" customHeight="1" thickBot="1">
      <c r="A13" s="347" t="n">
        <v>46044</v>
      </c>
      <c r="B13" t="n">
        <v>31.604</v>
      </c>
      <c r="C13" t="n">
        <v>31.63</v>
      </c>
      <c r="D13" t="n">
        <v>31.703</v>
      </c>
      <c r="E13" t="n">
        <v>31.561</v>
      </c>
      <c r="G13" s="175" t="n">
        <v>-0.0005</v>
      </c>
      <c r="I13" s="229" t="n">
        <v>46043</v>
      </c>
      <c r="J13" s="230" t="n">
        <v>31.24</v>
      </c>
      <c r="K13" s="230" t="n">
        <v>31.91</v>
      </c>
      <c r="L13" s="230" t="n">
        <v>31.59</v>
      </c>
      <c r="M13" s="231" t="n">
        <v>31.69</v>
      </c>
    </row>
    <row r="14" ht="17.25" customHeight="1" thickBot="1">
      <c r="A14" s="347" t="n">
        <v>46043</v>
      </c>
      <c r="B14" t="n">
        <v>31.621</v>
      </c>
      <c r="C14" t="n">
        <v>31.71</v>
      </c>
      <c r="D14" t="n">
        <v>31.751</v>
      </c>
      <c r="E14" t="n">
        <v>31.587</v>
      </c>
      <c r="G14" s="175" t="n">
        <v>-0.0021</v>
      </c>
      <c r="I14" s="229" t="n">
        <v>46042</v>
      </c>
      <c r="J14" s="230" t="n">
        <v>31.205</v>
      </c>
      <c r="K14" s="230" t="n">
        <v>31.875</v>
      </c>
      <c r="L14" s="230" t="n">
        <v>31.555</v>
      </c>
      <c r="M14" s="231" t="n">
        <v>31.655</v>
      </c>
    </row>
    <row r="15" ht="17.25" customHeight="1" thickBot="1">
      <c r="A15" s="347" t="n">
        <v>46042</v>
      </c>
      <c r="B15" t="n">
        <v>31.686</v>
      </c>
      <c r="C15" t="n">
        <v>31.579</v>
      </c>
      <c r="D15" t="n">
        <v>31.701</v>
      </c>
      <c r="E15" t="n">
        <v>31.549</v>
      </c>
      <c r="G15" s="175" t="n">
        <v>0.004</v>
      </c>
      <c r="I15" s="229" t="n">
        <v>46041</v>
      </c>
      <c r="J15" s="230" t="n">
        <v>31.195</v>
      </c>
      <c r="K15" s="230" t="n">
        <v>31.865</v>
      </c>
      <c r="L15" s="230" t="n">
        <v>31.545</v>
      </c>
      <c r="M15" s="231" t="n">
        <v>31.645</v>
      </c>
    </row>
    <row r="16" ht="17.25" customHeight="1" thickBot="1">
      <c r="A16" s="347" t="n">
        <v>46041</v>
      </c>
      <c r="B16" t="n">
        <v>31.561</v>
      </c>
      <c r="C16" t="n">
        <v>31.623</v>
      </c>
      <c r="D16" t="n">
        <v>31.672</v>
      </c>
      <c r="E16" t="n">
        <v>31.488</v>
      </c>
      <c r="G16" s="175" t="n">
        <v>-0.002</v>
      </c>
      <c r="I16" s="229" t="n">
        <v>46038</v>
      </c>
      <c r="J16" s="230" t="n">
        <v>31.16</v>
      </c>
      <c r="K16" s="230" t="n">
        <v>31.83</v>
      </c>
      <c r="L16" s="230" t="n">
        <v>31.51</v>
      </c>
      <c r="M16" s="231" t="n">
        <v>31.61</v>
      </c>
    </row>
    <row r="17" ht="17.25" customHeight="1" thickBot="1">
      <c r="A17" s="347" t="n">
        <v>46038</v>
      </c>
      <c r="B17" t="n">
        <v>31.623</v>
      </c>
      <c r="C17" t="n">
        <v>31.568</v>
      </c>
      <c r="D17" t="n">
        <v>31.65</v>
      </c>
      <c r="E17" t="n">
        <v>31.508</v>
      </c>
      <c r="G17" s="175" t="n">
        <v>0.0013</v>
      </c>
      <c r="I17" s="229" t="n">
        <v>46037</v>
      </c>
      <c r="J17" s="230" t="n">
        <v>31.175</v>
      </c>
      <c r="K17" s="230" t="n">
        <v>31.845</v>
      </c>
      <c r="L17" s="230" t="n">
        <v>31.525</v>
      </c>
      <c r="M17" s="231" t="n">
        <v>31.625</v>
      </c>
    </row>
    <row r="18" ht="17.25" customHeight="1" thickBot="1">
      <c r="A18" s="347" t="n">
        <v>46037</v>
      </c>
      <c r="B18" t="n">
        <v>31.582</v>
      </c>
      <c r="C18" t="n">
        <v>31.519</v>
      </c>
      <c r="D18" t="n">
        <v>31.67</v>
      </c>
      <c r="E18" t="n">
        <v>31.493</v>
      </c>
      <c r="G18" s="175" t="n">
        <v>0.0014</v>
      </c>
      <c r="I18" s="229" t="n">
        <v>46036</v>
      </c>
      <c r="J18" s="230" t="n">
        <v>31.23</v>
      </c>
      <c r="K18" s="230" t="n">
        <v>31.9</v>
      </c>
      <c r="L18" s="230" t="n">
        <v>31.58</v>
      </c>
      <c r="M18" s="231" t="n">
        <v>31.68</v>
      </c>
    </row>
    <row r="19" ht="17.25" customHeight="1" thickBot="1">
      <c r="A19" s="347" t="n">
        <v>46036</v>
      </c>
      <c r="B19" t="n">
        <v>31.538</v>
      </c>
      <c r="C19" t="n">
        <v>31.633</v>
      </c>
      <c r="D19" t="n">
        <v>31.707</v>
      </c>
      <c r="E19" t="n">
        <v>31.513</v>
      </c>
      <c r="G19" s="175" t="n">
        <v>-0.0028</v>
      </c>
      <c r="I19" s="229" t="n">
        <v>46035</v>
      </c>
      <c r="J19" s="230" t="n">
        <v>31.25</v>
      </c>
      <c r="K19" s="230" t="n">
        <v>31.92</v>
      </c>
      <c r="L19" s="230" t="n">
        <v>31.6</v>
      </c>
      <c r="M19" s="231" t="n">
        <v>31.7</v>
      </c>
    </row>
    <row r="20" ht="17.25" customHeight="1" thickBot="1">
      <c r="A20" s="347" t="n">
        <v>46035</v>
      </c>
      <c r="B20" t="n">
        <v>31.628</v>
      </c>
      <c r="C20" t="n">
        <v>31.599</v>
      </c>
      <c r="D20" t="n">
        <v>31.691</v>
      </c>
      <c r="E20" t="n">
        <v>31.562</v>
      </c>
      <c r="G20" s="175" t="n">
        <v>0.0016</v>
      </c>
      <c r="I20" s="229" t="n">
        <v>46034</v>
      </c>
      <c r="J20" s="230" t="n">
        <v>31.24</v>
      </c>
      <c r="K20" s="230" t="n">
        <v>31.91</v>
      </c>
      <c r="L20" s="230" t="n">
        <v>31.59</v>
      </c>
      <c r="M20" s="231" t="n">
        <v>31.69</v>
      </c>
    </row>
    <row r="21" ht="17.25" customHeight="1" thickBot="1">
      <c r="A21" s="347" t="n">
        <v>46034</v>
      </c>
      <c r="B21" t="n">
        <v>31.576</v>
      </c>
      <c r="C21" t="n">
        <v>31.608</v>
      </c>
      <c r="D21" t="n">
        <v>31.688</v>
      </c>
      <c r="E21" t="n">
        <v>31.558</v>
      </c>
      <c r="G21" s="175" t="n">
        <v>-0.001</v>
      </c>
      <c r="I21" s="229" t="n">
        <v>46031</v>
      </c>
      <c r="J21" s="230" t="n">
        <v>31.2</v>
      </c>
      <c r="K21" s="230" t="n">
        <v>31.87</v>
      </c>
      <c r="L21" s="230" t="n">
        <v>31.55</v>
      </c>
      <c r="M21" s="231" t="n">
        <v>31.65</v>
      </c>
    </row>
    <row r="22" ht="17.25" customHeight="1" thickBot="1">
      <c r="A22" s="347" t="n">
        <v>46031</v>
      </c>
      <c r="B22" t="n">
        <v>31.608</v>
      </c>
      <c r="C22" t="n">
        <v>31.559</v>
      </c>
      <c r="D22" t="n">
        <v>31.708</v>
      </c>
      <c r="E22" t="n">
        <v>31.532</v>
      </c>
      <c r="G22" s="175" t="n">
        <v>0.0016</v>
      </c>
      <c r="I22" s="229" t="n">
        <v>46030</v>
      </c>
      <c r="J22" s="230" t="n">
        <v>31.175</v>
      </c>
      <c r="K22" s="230" t="n">
        <v>31.845</v>
      </c>
      <c r="L22" s="230" t="n">
        <v>31.525</v>
      </c>
      <c r="M22" s="231" t="n">
        <v>31.625</v>
      </c>
    </row>
    <row r="23" ht="17.25" customHeight="1" thickBot="1">
      <c r="A23" s="347" t="n">
        <v>46030</v>
      </c>
      <c r="B23" t="n">
        <v>31.559</v>
      </c>
      <c r="C23" t="n">
        <v>31.496</v>
      </c>
      <c r="D23" t="n">
        <v>31.639</v>
      </c>
      <c r="E23" t="n">
        <v>31.429</v>
      </c>
      <c r="G23" s="175" t="n">
        <v>0.0022</v>
      </c>
      <c r="I23" s="229" t="n">
        <v>46029</v>
      </c>
      <c r="J23" s="230" t="n">
        <v>31.11</v>
      </c>
      <c r="K23" s="230" t="n">
        <v>31.78</v>
      </c>
      <c r="L23" s="230" t="n">
        <v>31.46</v>
      </c>
      <c r="M23" s="231" t="n">
        <v>31.56</v>
      </c>
    </row>
    <row r="24" ht="17.25" customHeight="1" thickBot="1">
      <c r="A24" s="347" t="n">
        <v>46029</v>
      </c>
      <c r="B24" t="n">
        <v>31.491</v>
      </c>
      <c r="C24" t="n">
        <v>31.511</v>
      </c>
      <c r="D24" t="n">
        <v>31.545</v>
      </c>
      <c r="E24" t="n">
        <v>31.416</v>
      </c>
      <c r="G24" s="175" t="n">
        <v>0.0002</v>
      </c>
      <c r="I24" s="229" t="n">
        <v>46028</v>
      </c>
      <c r="J24" s="230" t="n">
        <v>31.12</v>
      </c>
      <c r="K24" s="230" t="n">
        <v>31.79</v>
      </c>
      <c r="L24" s="230" t="n">
        <v>31.47</v>
      </c>
      <c r="M24" s="231" t="n">
        <v>31.57</v>
      </c>
    </row>
    <row r="25" ht="17.25" customHeight="1" thickBot="1">
      <c r="A25" s="347" t="n">
        <v>46028</v>
      </c>
      <c r="B25" t="n">
        <v>31.484</v>
      </c>
      <c r="C25" t="n">
        <v>31.549</v>
      </c>
      <c r="D25" t="n">
        <v>31.603</v>
      </c>
      <c r="E25" t="n">
        <v>31.418</v>
      </c>
      <c r="G25" s="175" t="n">
        <v>0.0005</v>
      </c>
      <c r="I25" s="229" t="n">
        <v>46027</v>
      </c>
      <c r="J25" s="230" t="n">
        <v>31.14</v>
      </c>
      <c r="K25" s="230" t="n">
        <v>31.81</v>
      </c>
      <c r="L25" s="230" t="n">
        <v>31.49</v>
      </c>
      <c r="M25" s="231" t="n">
        <v>31.59</v>
      </c>
    </row>
    <row r="26" ht="17.25" customHeight="1" thickBot="1">
      <c r="A26" s="347" t="n">
        <v>46027</v>
      </c>
      <c r="B26" t="n">
        <v>31.467</v>
      </c>
      <c r="C26" t="n">
        <v>31.374</v>
      </c>
      <c r="D26" t="n">
        <v>31.572</v>
      </c>
      <c r="E26" t="n">
        <v>31.346</v>
      </c>
      <c r="G26" s="175" t="n">
        <v>0.003</v>
      </c>
      <c r="I26" s="229" t="n">
        <v>46024</v>
      </c>
      <c r="J26" s="230" t="n">
        <v>31.02</v>
      </c>
      <c r="K26" s="230" t="n">
        <v>31.69</v>
      </c>
      <c r="L26" s="230" t="n">
        <v>31.37</v>
      </c>
      <c r="M26" s="231" t="n">
        <v>31.47</v>
      </c>
    </row>
    <row r="27" ht="17.25" customHeight="1" thickBot="1">
      <c r="I27" s="229" t="n">
        <v>46022</v>
      </c>
      <c r="J27" s="230" t="n">
        <v>31.03</v>
      </c>
      <c r="K27" s="230" t="n">
        <v>31.7</v>
      </c>
      <c r="L27" s="230" t="n">
        <v>31.38</v>
      </c>
      <c r="M27" s="231" t="n">
        <v>31.48</v>
      </c>
    </row>
    <row r="28" ht="17.25" customHeight="1" thickBot="1">
      <c r="I28" s="229" t="n">
        <v>46021</v>
      </c>
      <c r="J28" s="230" t="n">
        <v>30.975</v>
      </c>
      <c r="K28" s="230" t="n">
        <v>31.645</v>
      </c>
      <c r="L28" s="230" t="n">
        <v>31.325</v>
      </c>
      <c r="M28" s="231" t="n">
        <v>31.425</v>
      </c>
    </row>
    <row r="29" ht="17.25" customHeight="1" thickBot="1">
      <c r="I29" s="229" t="n">
        <v>46020</v>
      </c>
      <c r="J29" s="230" t="n">
        <v>31.04</v>
      </c>
      <c r="K29" s="230" t="n">
        <v>31.71</v>
      </c>
      <c r="L29" s="230" t="n">
        <v>31.39</v>
      </c>
      <c r="M29" s="231" t="n">
        <v>31.49</v>
      </c>
    </row>
    <row r="30" ht="17.25" customHeight="1" thickBot="1">
      <c r="I30" s="229" t="n">
        <v>46017</v>
      </c>
      <c r="J30" s="230" t="n">
        <v>31.045</v>
      </c>
      <c r="K30" s="230" t="n">
        <v>31.715</v>
      </c>
      <c r="L30" s="230" t="n">
        <v>31.395</v>
      </c>
      <c r="M30" s="231" t="n">
        <v>31.495</v>
      </c>
    </row>
    <row r="31" ht="17.25" customHeight="1" thickBot="1">
      <c r="I31" s="235" t="n">
        <v>46015</v>
      </c>
      <c r="J31" s="236" t="n">
        <v>31.075</v>
      </c>
      <c r="K31" s="236" t="n">
        <v>31.745</v>
      </c>
      <c r="L31" s="236" t="n">
        <v>31.425</v>
      </c>
      <c r="M31" s="237" t="n">
        <v>31.525</v>
      </c>
    </row>
    <row r="32" ht="17.25" customHeight="1" thickBot="1">
      <c r="I32" s="232" t="n">
        <v>46014</v>
      </c>
      <c r="J32" s="233" t="n">
        <v>31.12</v>
      </c>
      <c r="K32" s="233" t="n">
        <v>31.79</v>
      </c>
      <c r="L32" s="233" t="n">
        <v>31.47</v>
      </c>
      <c r="M32" s="234" t="n">
        <v>31.57</v>
      </c>
    </row>
    <row r="33" ht="17.25" customHeight="1" thickBot="1">
      <c r="I33" s="229" t="n">
        <v>46013</v>
      </c>
      <c r="J33" s="230" t="n">
        <v>31.13</v>
      </c>
      <c r="K33" s="230" t="n">
        <v>31.8</v>
      </c>
      <c r="L33" s="230" t="n">
        <v>31.48</v>
      </c>
      <c r="M33" s="231" t="n">
        <v>31.58</v>
      </c>
    </row>
    <row r="34" ht="17.25" customHeight="1" thickBot="1">
      <c r="I34" s="229" t="n">
        <v>46010</v>
      </c>
      <c r="J34" s="230" t="n">
        <v>31.135</v>
      </c>
      <c r="K34" s="230" t="n">
        <v>31.805</v>
      </c>
      <c r="L34" s="230" t="n">
        <v>31.485</v>
      </c>
      <c r="M34" s="231" t="n">
        <v>31.585</v>
      </c>
    </row>
    <row r="35" ht="17.25" customHeight="1" thickBot="1">
      <c r="I35" s="229" t="n">
        <v>46009</v>
      </c>
      <c r="J35" s="230" t="n">
        <v>31.12</v>
      </c>
      <c r="K35" s="230" t="n">
        <v>31.79</v>
      </c>
      <c r="L35" s="230" t="n">
        <v>31.47</v>
      </c>
      <c r="M35" s="231" t="n">
        <v>31.57</v>
      </c>
    </row>
    <row r="36" ht="17.25" customHeight="1" thickBot="1">
      <c r="I36" s="229" t="n">
        <v>46008</v>
      </c>
      <c r="J36" s="230" t="n">
        <v>31.135</v>
      </c>
      <c r="K36" s="230" t="n">
        <v>31.805</v>
      </c>
      <c r="L36" s="230" t="n">
        <v>31.485</v>
      </c>
      <c r="M36" s="231" t="n">
        <v>31.585</v>
      </c>
    </row>
    <row r="37" ht="17.25" customHeight="1" thickBot="1">
      <c r="I37" s="229" t="n">
        <v>46007</v>
      </c>
      <c r="J37" s="230" t="n">
        <v>31.07</v>
      </c>
      <c r="K37" s="230" t="n">
        <v>31.74</v>
      </c>
      <c r="L37" s="230" t="n">
        <v>31.42</v>
      </c>
      <c r="M37" s="231" t="n">
        <v>31.52</v>
      </c>
    </row>
    <row r="38" ht="17.25" customHeight="1" thickBot="1">
      <c r="I38" s="229" t="n">
        <v>46006</v>
      </c>
      <c r="J38" s="230" t="n">
        <v>30.98</v>
      </c>
      <c r="K38" s="230" t="n">
        <v>31.65</v>
      </c>
      <c r="L38" s="230" t="n">
        <v>31.33</v>
      </c>
      <c r="M38" s="231" t="n">
        <v>31.43</v>
      </c>
    </row>
    <row r="39" ht="17.25" customHeight="1" thickBot="1">
      <c r="I39" s="229" t="n">
        <v>46003</v>
      </c>
      <c r="J39" s="230" t="n">
        <v>30.76</v>
      </c>
      <c r="K39" s="230" t="n">
        <v>31.43</v>
      </c>
      <c r="L39" s="230" t="n">
        <v>31.11</v>
      </c>
      <c r="M39" s="231" t="n">
        <v>31.21</v>
      </c>
    </row>
    <row r="40" ht="17.25" customHeight="1" thickBot="1">
      <c r="I40" s="229" t="n">
        <v>46002</v>
      </c>
      <c r="J40" s="230" t="n">
        <v>30.855</v>
      </c>
      <c r="K40" s="230" t="n">
        <v>31.525</v>
      </c>
      <c r="L40" s="230" t="n">
        <v>31.205</v>
      </c>
      <c r="M40" s="231" t="n">
        <v>31.305</v>
      </c>
    </row>
    <row r="41" ht="17.25" customHeight="1" thickBot="1">
      <c r="I41" s="229" t="n">
        <v>46001</v>
      </c>
      <c r="J41" s="230" t="n">
        <v>30.79</v>
      </c>
      <c r="K41" s="230" t="n">
        <v>31.46</v>
      </c>
      <c r="L41" s="230" t="n">
        <v>31.14</v>
      </c>
      <c r="M41" s="231" t="n">
        <v>31.24</v>
      </c>
    </row>
    <row r="42" ht="17.25" customHeight="1" thickBot="1">
      <c r="I42" s="229" t="n">
        <v>46000</v>
      </c>
      <c r="J42" s="230" t="n">
        <v>30.795</v>
      </c>
      <c r="K42" s="230" t="n">
        <v>31.465</v>
      </c>
      <c r="L42" s="230" t="n">
        <v>31.145</v>
      </c>
      <c r="M42" s="231" t="n">
        <v>31.245</v>
      </c>
    </row>
    <row r="43" ht="17.25" customHeight="1" thickBot="1">
      <c r="I43" s="229" t="n">
        <v>45999</v>
      </c>
      <c r="J43" s="230" t="n">
        <v>30.79</v>
      </c>
      <c r="K43" s="230" t="n">
        <v>31.46</v>
      </c>
      <c r="L43" s="230" t="n">
        <v>31.14</v>
      </c>
      <c r="M43" s="231" t="n">
        <v>31.24</v>
      </c>
    </row>
    <row r="44" ht="17.25" customHeight="1" thickBot="1">
      <c r="I44" s="229" t="n">
        <v>45996</v>
      </c>
      <c r="J44" s="230" t="n">
        <v>30.84</v>
      </c>
      <c r="K44" s="230" t="n">
        <v>31.51</v>
      </c>
      <c r="L44" s="230" t="n">
        <v>31.19</v>
      </c>
      <c r="M44" s="231" t="n">
        <v>31.29</v>
      </c>
    </row>
    <row r="45" ht="17.25" customHeight="1" thickBot="1">
      <c r="I45" s="229" t="n">
        <v>45995</v>
      </c>
      <c r="J45" s="230" t="n">
        <v>30.925</v>
      </c>
      <c r="K45" s="230" t="n">
        <v>31.595</v>
      </c>
      <c r="L45" s="230" t="n">
        <v>31.275</v>
      </c>
      <c r="M45" s="231" t="n">
        <v>31.375</v>
      </c>
    </row>
    <row r="46" ht="17.25" customHeight="1" thickBot="1">
      <c r="I46" s="229" t="n">
        <v>45994</v>
      </c>
      <c r="J46" s="230" t="n">
        <v>30.92</v>
      </c>
      <c r="K46" s="230" t="n">
        <v>31.59</v>
      </c>
      <c r="L46" s="230" t="n">
        <v>31.27</v>
      </c>
      <c r="M46" s="231" t="n">
        <v>31.37</v>
      </c>
    </row>
    <row r="47" ht="17.25" customHeight="1" thickBot="1">
      <c r="I47" s="229" t="n">
        <v>45993</v>
      </c>
      <c r="J47" s="230" t="n">
        <v>31.01</v>
      </c>
      <c r="K47" s="230" t="n">
        <v>31.68</v>
      </c>
      <c r="L47" s="230" t="n">
        <v>31.36</v>
      </c>
      <c r="M47" s="231" t="n">
        <v>31.46</v>
      </c>
    </row>
    <row r="48" ht="17.25" customHeight="1" thickBot="1">
      <c r="I48" s="229" t="n">
        <v>45992</v>
      </c>
      <c r="J48" s="230" t="n">
        <v>31.03</v>
      </c>
      <c r="K48" s="230" t="n">
        <v>31.7</v>
      </c>
      <c r="L48" s="230" t="n">
        <v>31.38</v>
      </c>
      <c r="M48" s="231" t="n">
        <v>31.48</v>
      </c>
    </row>
    <row r="49" ht="17.25" customHeight="1" thickBot="1">
      <c r="I49" s="229" t="n">
        <v>45989</v>
      </c>
      <c r="J49" s="230" t="n">
        <v>31</v>
      </c>
      <c r="K49" s="230" t="n">
        <v>31.67</v>
      </c>
      <c r="L49" s="230" t="n">
        <v>31.35</v>
      </c>
      <c r="M49" s="231" t="n">
        <v>31.45</v>
      </c>
    </row>
    <row r="50" ht="17.25" customHeight="1" thickBot="1">
      <c r="I50" s="229" t="n">
        <v>45988</v>
      </c>
      <c r="J50" s="230" t="n">
        <v>30.925</v>
      </c>
      <c r="K50" s="230" t="n">
        <v>31.595</v>
      </c>
      <c r="L50" s="230" t="n">
        <v>31.275</v>
      </c>
      <c r="M50" s="231" t="n">
        <v>31.375</v>
      </c>
    </row>
    <row r="51" ht="17.25" customHeight="1" thickBot="1">
      <c r="I51" s="229" t="n">
        <v>45987</v>
      </c>
      <c r="J51" s="230" t="n">
        <v>30.94</v>
      </c>
      <c r="K51" s="230" t="n">
        <v>31.61</v>
      </c>
      <c r="L51" s="230" t="n">
        <v>31.29</v>
      </c>
      <c r="M51" s="231" t="n">
        <v>31.39</v>
      </c>
    </row>
    <row r="52" ht="17.25" customHeight="1" thickBot="1">
      <c r="I52" s="229" t="n">
        <v>45986</v>
      </c>
      <c r="J52" s="230" t="n">
        <v>31.04</v>
      </c>
      <c r="K52" s="230" t="n">
        <v>31.71</v>
      </c>
      <c r="L52" s="230" t="n">
        <v>31.39</v>
      </c>
      <c r="M52" s="231" t="n">
        <v>31.49</v>
      </c>
    </row>
    <row r="53" ht="17.25" customHeight="1" thickBot="1">
      <c r="I53" s="229" t="n">
        <v>45985</v>
      </c>
      <c r="J53" s="230" t="n">
        <v>31.035</v>
      </c>
      <c r="K53" s="230" t="n">
        <v>31.705</v>
      </c>
      <c r="L53" s="230" t="n">
        <v>31.385</v>
      </c>
      <c r="M53" s="231" t="n">
        <v>31.485</v>
      </c>
    </row>
    <row r="54" ht="17.25" customHeight="1" thickBot="1">
      <c r="I54" s="229" t="n">
        <v>45982</v>
      </c>
      <c r="J54" s="230" t="n">
        <v>31.02</v>
      </c>
      <c r="K54" s="230" t="n">
        <v>31.69</v>
      </c>
      <c r="L54" s="230" t="n">
        <v>31.37</v>
      </c>
      <c r="M54" s="231" t="n">
        <v>31.47</v>
      </c>
    </row>
    <row r="55" ht="17.25" customHeight="1" thickBot="1">
      <c r="I55" s="229" t="n">
        <v>45981</v>
      </c>
      <c r="J55" s="230" t="n">
        <v>30.89</v>
      </c>
      <c r="K55" s="230" t="n">
        <v>31.56</v>
      </c>
      <c r="L55" s="230" t="n">
        <v>31.24</v>
      </c>
      <c r="M55" s="231" t="n">
        <v>31.34</v>
      </c>
    </row>
    <row r="56" ht="17.25" customHeight="1" thickBot="1">
      <c r="I56" s="229" t="n">
        <v>45980</v>
      </c>
      <c r="J56" s="230" t="n">
        <v>30.84</v>
      </c>
      <c r="K56" s="230" t="n">
        <v>31.51</v>
      </c>
      <c r="L56" s="230" t="n">
        <v>31.19</v>
      </c>
      <c r="M56" s="231" t="n">
        <v>31.29</v>
      </c>
    </row>
    <row r="57" ht="17.25" customHeight="1" thickBot="1">
      <c r="I57" s="229" t="n">
        <v>45979</v>
      </c>
      <c r="J57" s="230" t="n">
        <v>30.79</v>
      </c>
      <c r="K57" s="230" t="n">
        <v>31.46</v>
      </c>
      <c r="L57" s="230" t="n">
        <v>31.14</v>
      </c>
      <c r="M57" s="231" t="n">
        <v>31.24</v>
      </c>
    </row>
    <row r="58" ht="17.25" customHeight="1" thickBot="1">
      <c r="I58" s="229" t="n">
        <v>45978</v>
      </c>
      <c r="J58" s="230" t="n">
        <v>30.76</v>
      </c>
      <c r="K58" s="230" t="n">
        <v>31.43</v>
      </c>
      <c r="L58" s="230" t="n">
        <v>31.11</v>
      </c>
      <c r="M58" s="231" t="n">
        <v>31.21</v>
      </c>
    </row>
    <row r="59" ht="17.25" customHeight="1" thickBot="1">
      <c r="I59" s="229" t="n">
        <v>45975</v>
      </c>
      <c r="J59" s="230" t="n">
        <v>30.74</v>
      </c>
      <c r="K59" s="230" t="n">
        <v>31.41</v>
      </c>
      <c r="L59" s="230" t="n">
        <v>31.09</v>
      </c>
      <c r="M59" s="231" t="n">
        <v>31.19</v>
      </c>
    </row>
    <row r="60" ht="17.25" customHeight="1" thickBot="1">
      <c r="I60" s="229" t="n">
        <v>45974</v>
      </c>
      <c r="J60" s="230" t="n">
        <v>30.66</v>
      </c>
      <c r="K60" s="230" t="n">
        <v>31.33</v>
      </c>
      <c r="L60" s="230" t="n">
        <v>31.01</v>
      </c>
      <c r="M60" s="231" t="n">
        <v>31.11</v>
      </c>
    </row>
    <row r="61" ht="17.25" customHeight="1" thickBot="1">
      <c r="I61" s="229" t="n">
        <v>45973</v>
      </c>
      <c r="J61" s="230" t="n">
        <v>30.655</v>
      </c>
      <c r="K61" s="230" t="n">
        <v>31.325</v>
      </c>
      <c r="L61" s="230" t="n">
        <v>31.005</v>
      </c>
      <c r="M61" s="231" t="n">
        <v>31.105</v>
      </c>
    </row>
    <row r="62" ht="17.25" customHeight="1" thickBot="1">
      <c r="I62" s="317" t="n">
        <v>45972</v>
      </c>
      <c r="J62" s="318" t="n">
        <v>30.64</v>
      </c>
      <c r="K62" s="318" t="n">
        <v>31.31</v>
      </c>
      <c r="L62" s="318" t="n">
        <v>30.99</v>
      </c>
      <c r="M62" s="319" t="n">
        <v>31.09</v>
      </c>
    </row>
    <row r="63" ht="17.25" customHeight="1" thickBot="1">
      <c r="I63" s="229" t="n">
        <v>45971</v>
      </c>
      <c r="J63" s="230" t="n">
        <v>30.6</v>
      </c>
      <c r="K63" s="230" t="n">
        <v>31.27</v>
      </c>
      <c r="L63" s="230" t="n">
        <v>30.95</v>
      </c>
      <c r="M63" s="231" t="n">
        <v>31.05</v>
      </c>
    </row>
    <row r="64" ht="17.25" customHeight="1" thickBot="1">
      <c r="I64" s="229" t="n">
        <v>45968</v>
      </c>
      <c r="J64" s="230" t="n">
        <v>30.63</v>
      </c>
      <c r="K64" s="230" t="n">
        <v>31.3</v>
      </c>
      <c r="L64" s="230" t="n">
        <v>30.98</v>
      </c>
      <c r="M64" s="231" t="n">
        <v>31.08</v>
      </c>
    </row>
    <row r="65" ht="17.25" customHeight="1" thickBot="1">
      <c r="I65" s="229" t="n">
        <v>45967</v>
      </c>
      <c r="J65" s="230" t="n">
        <v>30.545</v>
      </c>
      <c r="K65" s="230" t="n">
        <v>31.215</v>
      </c>
      <c r="L65" s="230" t="n">
        <v>30.895</v>
      </c>
      <c r="M65" s="231" t="n">
        <v>30.995</v>
      </c>
    </row>
    <row r="66" ht="17.25" customHeight="1" thickBot="1">
      <c r="I66" s="229" t="n">
        <v>45966</v>
      </c>
      <c r="J66" s="230" t="n">
        <v>30.535</v>
      </c>
      <c r="K66" s="230" t="n">
        <v>31.205</v>
      </c>
      <c r="L66" s="230" t="n">
        <v>30.885</v>
      </c>
      <c r="M66" s="231" t="n">
        <v>30.985</v>
      </c>
    </row>
    <row r="67" ht="17.25" customHeight="1" thickBot="1">
      <c r="I67" s="229" t="n">
        <v>45965</v>
      </c>
      <c r="J67" s="230" t="n">
        <v>30.495</v>
      </c>
      <c r="K67" s="230" t="n">
        <v>31.165</v>
      </c>
      <c r="L67" s="230" t="n">
        <v>30.845</v>
      </c>
      <c r="M67" s="231" t="n">
        <v>30.945</v>
      </c>
    </row>
    <row r="68" ht="17.25" customHeight="1" thickBot="1">
      <c r="I68" s="229" t="n">
        <v>45964</v>
      </c>
      <c r="J68" s="230" t="n">
        <v>30.43</v>
      </c>
      <c r="K68" s="230" t="n">
        <v>31.1</v>
      </c>
      <c r="L68" s="230" t="n">
        <v>30.78</v>
      </c>
      <c r="M68" s="231" t="n">
        <v>30.88</v>
      </c>
    </row>
    <row r="69" ht="17.25" customHeight="1" thickBot="1">
      <c r="I69" s="229" t="n">
        <v>45961</v>
      </c>
      <c r="J69" s="230" t="n">
        <v>30.33</v>
      </c>
      <c r="K69" s="230" t="n">
        <v>31</v>
      </c>
      <c r="L69" s="230" t="n">
        <v>30.68</v>
      </c>
      <c r="M69" s="231" t="n">
        <v>30.78</v>
      </c>
    </row>
    <row r="70" ht="17.25" customHeight="1" thickBot="1">
      <c r="I70" s="229" t="n">
        <v>45960</v>
      </c>
      <c r="J70" s="230" t="n">
        <v>30.29</v>
      </c>
      <c r="K70" s="230" t="n">
        <v>30.96</v>
      </c>
      <c r="L70" s="230" t="n">
        <v>30.64</v>
      </c>
      <c r="M70" s="231" t="n">
        <v>30.74</v>
      </c>
    </row>
    <row r="71" ht="17.25" customHeight="1" thickBot="1">
      <c r="I71" s="229" t="n">
        <v>45959</v>
      </c>
      <c r="J71" s="230" t="n">
        <v>30.215</v>
      </c>
      <c r="K71" s="230" t="n">
        <v>30.885</v>
      </c>
      <c r="L71" s="230" t="n">
        <v>30.565</v>
      </c>
      <c r="M71" s="231" t="n">
        <v>30.665</v>
      </c>
    </row>
    <row r="72" ht="17.25" customHeight="1" thickBot="1">
      <c r="I72" s="229" t="n">
        <v>45958</v>
      </c>
      <c r="J72" s="230" t="n">
        <v>30.22</v>
      </c>
      <c r="K72" s="230" t="n">
        <v>30.89</v>
      </c>
      <c r="L72" s="230" t="n">
        <v>30.57</v>
      </c>
      <c r="M72" s="231" t="n">
        <v>30.67</v>
      </c>
    </row>
    <row r="73" ht="17.25" customHeight="1" thickBot="1">
      <c r="I73" s="229" t="n">
        <v>45957</v>
      </c>
      <c r="J73" s="230" t="n">
        <v>30.3</v>
      </c>
      <c r="K73" s="230" t="n">
        <v>30.97</v>
      </c>
      <c r="L73" s="230" t="n">
        <v>30.65</v>
      </c>
      <c r="M73" s="231" t="n">
        <v>30.75</v>
      </c>
    </row>
    <row r="74" ht="17.25" customHeight="1" thickBot="1">
      <c r="I74" s="229" t="n">
        <v>45953</v>
      </c>
      <c r="J74" s="230" t="n">
        <v>30.405</v>
      </c>
      <c r="K74" s="230" t="n">
        <v>31.075</v>
      </c>
      <c r="L74" s="230" t="n">
        <v>30.755</v>
      </c>
      <c r="M74" s="231" t="n">
        <v>30.855</v>
      </c>
    </row>
    <row r="75" ht="17.25" customHeight="1" thickBot="1">
      <c r="I75" s="229" t="n">
        <v>45952</v>
      </c>
      <c r="J75" s="230" t="n">
        <v>30.32</v>
      </c>
      <c r="K75" s="230" t="n">
        <v>30.99</v>
      </c>
      <c r="L75" s="230" t="n">
        <v>30.67</v>
      </c>
      <c r="M75" s="231" t="n">
        <v>30.77</v>
      </c>
    </row>
    <row r="76" ht="17.25" customHeight="1" thickBot="1">
      <c r="I76" s="229" t="n">
        <v>45951</v>
      </c>
      <c r="J76" s="230" t="n">
        <v>30.275</v>
      </c>
      <c r="K76" s="230" t="n">
        <v>30.945</v>
      </c>
      <c r="L76" s="230" t="n">
        <v>30.625</v>
      </c>
      <c r="M76" s="231" t="n">
        <v>30.725</v>
      </c>
    </row>
    <row r="77" ht="17.25" customHeight="1" thickBot="1">
      <c r="I77" s="229" t="n">
        <v>45950</v>
      </c>
      <c r="J77" s="230" t="n">
        <v>30.225</v>
      </c>
      <c r="K77" s="230" t="n">
        <v>30.895</v>
      </c>
      <c r="L77" s="230" t="n">
        <v>30.575</v>
      </c>
      <c r="M77" s="231" t="n">
        <v>30.675</v>
      </c>
    </row>
    <row r="78" ht="17.25" customHeight="1" thickBot="1">
      <c r="I78" s="229" t="n">
        <v>45947</v>
      </c>
      <c r="J78" s="230" t="n">
        <v>30.26</v>
      </c>
      <c r="K78" s="230" t="n">
        <v>30.93</v>
      </c>
      <c r="L78" s="230" t="n">
        <v>30.61</v>
      </c>
      <c r="M78" s="231" t="n">
        <v>30.71</v>
      </c>
    </row>
    <row r="79" ht="17.25" customHeight="1" thickBot="1">
      <c r="I79" s="229" t="n">
        <v>45946</v>
      </c>
      <c r="J79" s="230" t="n">
        <v>30.235</v>
      </c>
      <c r="K79" s="230" t="n">
        <v>30.905</v>
      </c>
      <c r="L79" s="230" t="n">
        <v>30.585</v>
      </c>
      <c r="M79" s="231" t="n">
        <v>30.685</v>
      </c>
    </row>
    <row r="80" ht="17.25" customHeight="1" thickBot="1">
      <c r="I80" s="229" t="n">
        <v>45945</v>
      </c>
      <c r="J80" s="230" t="n">
        <v>30.225</v>
      </c>
      <c r="K80" s="230" t="n">
        <v>30.895</v>
      </c>
      <c r="L80" s="230" t="n">
        <v>30.575</v>
      </c>
      <c r="M80" s="231" t="n">
        <v>30.675</v>
      </c>
    </row>
    <row r="81" ht="17.25" customHeight="1" thickBot="1">
      <c r="I81" s="229" t="n">
        <v>45944</v>
      </c>
      <c r="J81" s="230" t="n">
        <v>30.355</v>
      </c>
      <c r="K81" s="230" t="n">
        <v>31.025</v>
      </c>
      <c r="L81" s="230" t="n">
        <v>30.705</v>
      </c>
      <c r="M81" s="231" t="n">
        <v>30.805</v>
      </c>
    </row>
    <row r="82" ht="17.25" customHeight="1" thickBot="1">
      <c r="I82" s="229" t="n">
        <v>45943</v>
      </c>
      <c r="J82" s="230" t="n">
        <v>30.295</v>
      </c>
      <c r="K82" s="230" t="n">
        <v>30.965</v>
      </c>
      <c r="L82" s="230" t="n">
        <v>30.645</v>
      </c>
      <c r="M82" s="231" t="n">
        <v>30.745</v>
      </c>
    </row>
    <row r="83" ht="17.25" customHeight="1" thickBot="1">
      <c r="I83" s="229" t="n">
        <v>45939</v>
      </c>
      <c r="J83" s="230" t="n">
        <v>30.13</v>
      </c>
      <c r="K83" s="230" t="n">
        <v>30.8</v>
      </c>
      <c r="L83" s="230" t="n">
        <v>30.48</v>
      </c>
      <c r="M83" s="231" t="n">
        <v>30.58</v>
      </c>
    </row>
    <row r="84" ht="17.25" customHeight="1" thickBot="1">
      <c r="I84" s="229" t="n">
        <v>45938</v>
      </c>
      <c r="J84" s="230" t="n">
        <v>30.13</v>
      </c>
      <c r="K84" s="230" t="n">
        <v>30.8</v>
      </c>
      <c r="L84" s="230" t="n">
        <v>30.48</v>
      </c>
      <c r="M84" s="231" t="n">
        <v>30.58</v>
      </c>
    </row>
    <row r="85" ht="17.25" customHeight="1" thickBot="1">
      <c r="I85" s="229" t="n">
        <v>45937</v>
      </c>
      <c r="J85" s="230" t="n">
        <v>30.115</v>
      </c>
      <c r="K85" s="230" t="n">
        <v>30.785</v>
      </c>
      <c r="L85" s="230" t="n">
        <v>30.465</v>
      </c>
      <c r="M85" s="231" t="n">
        <v>30.565</v>
      </c>
    </row>
    <row r="86" ht="17.25" customHeight="1" thickBot="1">
      <c r="I86" s="229" t="n">
        <v>45933</v>
      </c>
      <c r="J86" s="230" t="n">
        <v>29.96</v>
      </c>
      <c r="K86" s="230" t="n">
        <v>30.63</v>
      </c>
      <c r="L86" s="230" t="n">
        <v>30.31</v>
      </c>
      <c r="M86" s="231" t="n">
        <v>30.41</v>
      </c>
    </row>
    <row r="87" ht="17.25" customHeight="1" thickBot="1">
      <c r="I87" s="229" t="n">
        <v>45932</v>
      </c>
      <c r="J87" s="230" t="n">
        <v>30.01</v>
      </c>
      <c r="K87" s="230" t="n">
        <v>30.68</v>
      </c>
      <c r="L87" s="230" t="n">
        <v>30.36</v>
      </c>
      <c r="M87" s="231" t="n">
        <v>30.46</v>
      </c>
    </row>
    <row r="88" ht="17.25" customHeight="1" thickBot="1">
      <c r="I88" s="229" t="n">
        <v>45931</v>
      </c>
      <c r="J88" s="230" t="n">
        <v>30.04</v>
      </c>
      <c r="K88" s="230" t="n">
        <v>30.71</v>
      </c>
      <c r="L88" s="230" t="n">
        <v>30.39</v>
      </c>
      <c r="M88" s="231" t="n">
        <v>30.49</v>
      </c>
    </row>
    <row r="89" ht="17.25" customHeight="1" thickBot="1">
      <c r="I89" s="229" t="n">
        <v>45930</v>
      </c>
      <c r="J89" s="230" t="n">
        <v>30.045</v>
      </c>
      <c r="K89" s="230" t="n">
        <v>30.715</v>
      </c>
      <c r="L89" s="230" t="n">
        <v>30.395</v>
      </c>
      <c r="M89" s="231" t="n">
        <v>30.495</v>
      </c>
    </row>
    <row r="90" ht="17.25" customHeight="1" thickBot="1">
      <c r="I90" s="229" t="n">
        <v>45926</v>
      </c>
      <c r="J90" s="230" t="n">
        <v>30.115</v>
      </c>
      <c r="K90" s="230" t="n">
        <v>30.785</v>
      </c>
      <c r="L90" s="230" t="n">
        <v>30.465</v>
      </c>
      <c r="M90" s="231" t="n">
        <v>30.565</v>
      </c>
    </row>
    <row r="91" ht="17.25" customHeight="1" thickBot="1">
      <c r="I91" s="229" t="n">
        <v>45925</v>
      </c>
      <c r="J91" s="230" t="n">
        <v>30.03</v>
      </c>
      <c r="K91" s="230" t="n">
        <v>30.7</v>
      </c>
      <c r="L91" s="230" t="n">
        <v>30.38</v>
      </c>
      <c r="M91" s="231" t="n">
        <v>30.48</v>
      </c>
    </row>
    <row r="92" ht="17.25" customHeight="1" thickBot="1">
      <c r="I92" s="317" t="n">
        <v>45924</v>
      </c>
      <c r="J92" s="318" t="n">
        <v>29.91</v>
      </c>
      <c r="K92" s="318" t="n">
        <v>30.58</v>
      </c>
      <c r="L92" s="318" t="n">
        <v>30.26</v>
      </c>
      <c r="M92" s="319" t="n">
        <v>30.36</v>
      </c>
    </row>
    <row r="93" ht="17.25" customHeight="1" thickBot="1">
      <c r="I93" s="229" t="n">
        <v>45923</v>
      </c>
      <c r="J93" s="230" t="n">
        <v>29.88</v>
      </c>
      <c r="K93" s="230" t="n">
        <v>30.55</v>
      </c>
      <c r="L93" s="230" t="n">
        <v>30.23</v>
      </c>
      <c r="M93" s="231" t="n">
        <v>30.33</v>
      </c>
    </row>
    <row r="94" ht="17.25" customHeight="1" thickBot="1">
      <c r="I94" s="229" t="n">
        <v>45922</v>
      </c>
      <c r="J94" s="230" t="n">
        <v>29.845</v>
      </c>
      <c r="K94" s="230" t="n">
        <v>30.515</v>
      </c>
      <c r="L94" s="230" t="n">
        <v>30.195</v>
      </c>
      <c r="M94" s="231" t="n">
        <v>30.295</v>
      </c>
    </row>
    <row r="95" ht="17.25" customHeight="1" thickBot="1">
      <c r="I95" s="229" t="n">
        <v>45919</v>
      </c>
      <c r="J95" s="230" t="n">
        <v>29.81</v>
      </c>
      <c r="K95" s="230" t="n">
        <v>30.48</v>
      </c>
      <c r="L95" s="230" t="n">
        <v>30.16</v>
      </c>
      <c r="M95" s="231" t="n">
        <v>30.26</v>
      </c>
    </row>
    <row r="96" ht="17.25" customHeight="1" thickBot="1">
      <c r="I96" s="229" t="n">
        <v>45918</v>
      </c>
      <c r="J96" s="230" t="n">
        <v>29.675</v>
      </c>
      <c r="K96" s="230" t="n">
        <v>30.345</v>
      </c>
      <c r="L96" s="230" t="n">
        <v>30.025</v>
      </c>
      <c r="M96" s="231" t="n">
        <v>30.125</v>
      </c>
    </row>
    <row r="97" ht="17.25" customHeight="1" thickBot="1">
      <c r="I97" s="229" t="n">
        <v>45917</v>
      </c>
      <c r="J97" s="230" t="n">
        <v>29.64</v>
      </c>
      <c r="K97" s="230" t="n">
        <v>30.31</v>
      </c>
      <c r="L97" s="230" t="n">
        <v>29.99</v>
      </c>
      <c r="M97" s="231" t="n">
        <v>30.09</v>
      </c>
    </row>
    <row r="98" ht="17.25" customHeight="1" thickBot="1">
      <c r="I98" s="229" t="n">
        <v>45916</v>
      </c>
      <c r="J98" s="230" t="n">
        <v>29.665</v>
      </c>
      <c r="K98" s="230" t="n">
        <v>30.335</v>
      </c>
      <c r="L98" s="230" t="n">
        <v>30.015</v>
      </c>
      <c r="M98" s="231" t="n">
        <v>30.115</v>
      </c>
    </row>
    <row r="99" ht="17.25" customHeight="1" thickBot="1">
      <c r="I99" s="229" t="n">
        <v>45915</v>
      </c>
      <c r="J99" s="230" t="n">
        <v>29.805</v>
      </c>
      <c r="K99" s="230" t="n">
        <v>30.475</v>
      </c>
      <c r="L99" s="230" t="n">
        <v>30.155</v>
      </c>
      <c r="M99" s="231" t="n">
        <v>30.255</v>
      </c>
    </row>
    <row r="100" ht="17.25" customHeight="1" thickBot="1">
      <c r="I100" s="229" t="n">
        <v>45912</v>
      </c>
      <c r="J100" s="230" t="n">
        <v>29.815</v>
      </c>
      <c r="K100" s="230" t="n">
        <v>30.485</v>
      </c>
      <c r="L100" s="230" t="n">
        <v>30.165</v>
      </c>
      <c r="M100" s="231" t="n">
        <v>30.265</v>
      </c>
    </row>
    <row r="101" ht="17.25" customHeight="1" thickBot="1">
      <c r="I101" s="229" t="n">
        <v>45911</v>
      </c>
      <c r="J101" s="230" t="n">
        <v>29.905</v>
      </c>
      <c r="K101" s="230" t="n">
        <v>30.575</v>
      </c>
      <c r="L101" s="230" t="n">
        <v>30.255</v>
      </c>
      <c r="M101" s="231" t="n">
        <v>30.355</v>
      </c>
    </row>
    <row r="102" ht="17.25" customHeight="1" thickBot="1">
      <c r="I102" s="229" t="n">
        <v>45910</v>
      </c>
      <c r="J102" s="230" t="n">
        <v>29.87</v>
      </c>
      <c r="K102" s="230" t="n">
        <v>30.54</v>
      </c>
      <c r="L102" s="230" t="n">
        <v>30.22</v>
      </c>
      <c r="M102" s="231" t="n">
        <v>30.32</v>
      </c>
    </row>
    <row r="103" ht="17.25" customHeight="1" thickBot="1">
      <c r="I103" s="229" t="n">
        <v>45909</v>
      </c>
      <c r="J103" s="230" t="n">
        <v>29.95</v>
      </c>
      <c r="K103" s="230" t="n">
        <v>30.62</v>
      </c>
      <c r="L103" s="230" t="n">
        <v>30.3</v>
      </c>
      <c r="M103" s="231" t="n">
        <v>30.4</v>
      </c>
    </row>
    <row r="104" ht="17.25" customHeight="1" thickBot="1">
      <c r="I104" s="229" t="n">
        <v>45908</v>
      </c>
      <c r="J104" s="230" t="n">
        <v>30.095</v>
      </c>
      <c r="K104" s="230" t="n">
        <v>30.765</v>
      </c>
      <c r="L104" s="230" t="n">
        <v>30.445</v>
      </c>
      <c r="M104" s="231" t="n">
        <v>30.545</v>
      </c>
    </row>
    <row r="105" ht="17.25" customHeight="1" thickBot="1">
      <c r="I105" s="229" t="n">
        <v>45905</v>
      </c>
      <c r="J105" s="230" t="n">
        <v>30.165</v>
      </c>
      <c r="K105" s="230" t="n">
        <v>30.835</v>
      </c>
      <c r="L105" s="230" t="n">
        <v>30.515</v>
      </c>
      <c r="M105" s="231" t="n">
        <v>30.615</v>
      </c>
    </row>
    <row r="106" ht="17.25" customHeight="1" thickBot="1">
      <c r="I106" s="229" t="n">
        <v>45904</v>
      </c>
      <c r="J106" s="230" t="n">
        <v>30.295</v>
      </c>
      <c r="K106" s="230" t="n">
        <v>30.965</v>
      </c>
      <c r="L106" s="230" t="n">
        <v>30.645</v>
      </c>
      <c r="M106" s="231" t="n">
        <v>30.745</v>
      </c>
    </row>
    <row r="107" ht="17.25" customHeight="1" thickBot="1">
      <c r="I107" s="229" t="n">
        <v>45903</v>
      </c>
      <c r="J107" s="230" t="n">
        <v>30.315</v>
      </c>
      <c r="K107" s="230" t="n">
        <v>30.985</v>
      </c>
      <c r="L107" s="230" t="n">
        <v>30.665</v>
      </c>
      <c r="M107" s="231" t="n">
        <v>30.765</v>
      </c>
    </row>
    <row r="108" ht="17.25" customHeight="1" thickBot="1">
      <c r="I108" s="229" t="n">
        <v>45902</v>
      </c>
      <c r="J108" s="230" t="n">
        <v>30.275</v>
      </c>
      <c r="K108" s="230" t="n">
        <v>30.945</v>
      </c>
      <c r="L108" s="230" t="n">
        <v>30.625</v>
      </c>
      <c r="M108" s="231" t="n">
        <v>30.725</v>
      </c>
    </row>
    <row r="109" ht="17.25" customHeight="1" thickBot="1">
      <c r="I109" s="229" t="n">
        <v>45901</v>
      </c>
      <c r="J109" s="230" t="n">
        <v>30.215</v>
      </c>
      <c r="K109" s="230" t="n">
        <v>30.885</v>
      </c>
      <c r="L109" s="230" t="n">
        <v>30.565</v>
      </c>
      <c r="M109" s="231" t="n">
        <v>30.665</v>
      </c>
    </row>
    <row r="110" ht="17.25" customHeight="1" thickBot="1">
      <c r="I110" s="229" t="n">
        <v>45898</v>
      </c>
      <c r="J110" s="230" t="n">
        <v>30.19</v>
      </c>
      <c r="K110" s="230" t="n">
        <v>30.86</v>
      </c>
      <c r="L110" s="230" t="n">
        <v>30.54</v>
      </c>
      <c r="M110" s="231" t="n">
        <v>30.64</v>
      </c>
    </row>
    <row r="111" ht="17.25" customHeight="1" thickBot="1">
      <c r="I111" s="229" t="n">
        <v>45897</v>
      </c>
      <c r="J111" s="230" t="n">
        <v>30.18</v>
      </c>
      <c r="K111" s="230" t="n">
        <v>30.85</v>
      </c>
      <c r="L111" s="230" t="n">
        <v>30.53</v>
      </c>
      <c r="M111" s="231" t="n">
        <v>30.63</v>
      </c>
    </row>
    <row r="112" ht="17.25" customHeight="1" thickBot="1">
      <c r="I112" s="229" t="n">
        <v>45896</v>
      </c>
      <c r="J112" s="230" t="n">
        <v>30.17</v>
      </c>
      <c r="K112" s="230" t="n">
        <v>30.84</v>
      </c>
      <c r="L112" s="230" t="n">
        <v>30.52</v>
      </c>
      <c r="M112" s="231" t="n">
        <v>30.62</v>
      </c>
    </row>
    <row r="113" ht="17.25" customHeight="1" thickBot="1">
      <c r="I113" s="229" t="n">
        <v>45895</v>
      </c>
      <c r="J113" s="230" t="n">
        <v>30.14</v>
      </c>
      <c r="K113" s="230" t="n">
        <v>30.81</v>
      </c>
      <c r="L113" s="230" t="n">
        <v>30.49</v>
      </c>
      <c r="M113" s="231" t="n">
        <v>30.59</v>
      </c>
    </row>
    <row r="114" ht="17.25" customHeight="1" thickBot="1">
      <c r="I114" s="229" t="n">
        <v>45894</v>
      </c>
      <c r="J114" s="230" t="n">
        <v>30.035</v>
      </c>
      <c r="K114" s="230" t="n">
        <v>30.705</v>
      </c>
      <c r="L114" s="230" t="n">
        <v>30.385</v>
      </c>
      <c r="M114" s="231" t="n">
        <v>30.485</v>
      </c>
    </row>
    <row r="115" ht="17.25" customHeight="1" thickBot="1">
      <c r="I115" s="229" t="n">
        <v>45891</v>
      </c>
      <c r="J115" s="230" t="n">
        <v>30.185</v>
      </c>
      <c r="K115" s="230" t="n">
        <v>30.855</v>
      </c>
      <c r="L115" s="230" t="n">
        <v>30.535</v>
      </c>
      <c r="M115" s="231" t="n">
        <v>30.635</v>
      </c>
    </row>
    <row r="116" ht="17.25" customHeight="1" thickBot="1">
      <c r="I116" s="229" t="n">
        <v>45890</v>
      </c>
      <c r="J116" s="230" t="n">
        <v>30.1</v>
      </c>
      <c r="K116" s="230" t="n">
        <v>30.77</v>
      </c>
      <c r="L116" s="230" t="n">
        <v>30.45</v>
      </c>
      <c r="M116" s="231" t="n">
        <v>30.55</v>
      </c>
    </row>
    <row r="117" ht="17.25" customHeight="1" thickBot="1">
      <c r="I117" s="229" t="n">
        <v>45889</v>
      </c>
      <c r="J117" s="230" t="n">
        <v>29.9</v>
      </c>
      <c r="K117" s="230" t="n">
        <v>30.57</v>
      </c>
      <c r="L117" s="230" t="n">
        <v>30.25</v>
      </c>
      <c r="M117" s="231" t="n">
        <v>30.35</v>
      </c>
    </row>
    <row r="118" ht="17.25" customHeight="1" thickBot="1">
      <c r="I118" s="229" t="n">
        <v>45888</v>
      </c>
      <c r="J118" s="230" t="n">
        <v>29.71</v>
      </c>
      <c r="K118" s="230" t="n">
        <v>30.38</v>
      </c>
      <c r="L118" s="230" t="n">
        <v>30.06</v>
      </c>
      <c r="M118" s="231" t="n">
        <v>30.16</v>
      </c>
    </row>
    <row r="119" ht="17.25" customHeight="1" thickBot="1">
      <c r="I119" s="229" t="n">
        <v>45887</v>
      </c>
      <c r="J119" s="230" t="n">
        <v>29.645</v>
      </c>
      <c r="K119" s="230" t="n">
        <v>30.315</v>
      </c>
      <c r="L119" s="230" t="n">
        <v>29.995</v>
      </c>
      <c r="M119" s="231" t="n">
        <v>30.095</v>
      </c>
    </row>
    <row r="120" ht="17.25" customHeight="1" thickBot="1">
      <c r="I120" s="229" t="n">
        <v>45884</v>
      </c>
      <c r="J120" s="230" t="n">
        <v>29.59</v>
      </c>
      <c r="K120" s="230" t="n">
        <v>30.26</v>
      </c>
      <c r="L120" s="230" t="n">
        <v>29.94</v>
      </c>
      <c r="M120" s="231" t="n">
        <v>30.04</v>
      </c>
    </row>
    <row r="121" ht="17.25" customHeight="1" thickBot="1">
      <c r="I121" s="229" t="n">
        <v>45883</v>
      </c>
      <c r="J121" s="230" t="n">
        <v>29.575</v>
      </c>
      <c r="K121" s="230" t="n">
        <v>30.245</v>
      </c>
      <c r="L121" s="230" t="n">
        <v>29.925</v>
      </c>
      <c r="M121" s="231" t="n">
        <v>30.025</v>
      </c>
    </row>
    <row r="122" ht="17.25" customHeight="1" thickBot="1">
      <c r="I122" s="317" t="n">
        <v>45882</v>
      </c>
      <c r="J122" s="318" t="n">
        <v>29.545</v>
      </c>
      <c r="K122" s="318" t="n">
        <v>30.215</v>
      </c>
      <c r="L122" s="318" t="n">
        <v>29.895</v>
      </c>
      <c r="M122" s="319" t="n">
        <v>29.995</v>
      </c>
    </row>
    <row r="123" ht="17.25" customHeight="1" thickBot="1">
      <c r="I123" s="229" t="n">
        <v>45763</v>
      </c>
      <c r="J123" s="230" t="n">
        <v>32.11</v>
      </c>
      <c r="K123" s="230" t="n">
        <v>32.78</v>
      </c>
      <c r="L123" s="230" t="n">
        <v>32.46</v>
      </c>
      <c r="M123" s="231" t="n">
        <v>32.56</v>
      </c>
    </row>
    <row r="124" ht="17.25" customHeight="1" thickBot="1">
      <c r="I124" s="229" t="n">
        <v>45762</v>
      </c>
      <c r="J124" s="230" t="n">
        <v>32.1</v>
      </c>
      <c r="K124" s="230" t="n">
        <v>32.77</v>
      </c>
      <c r="L124" s="230" t="n">
        <v>32.45</v>
      </c>
      <c r="M124" s="231" t="n">
        <v>32.55</v>
      </c>
    </row>
    <row r="125" ht="17.25" customHeight="1" thickBot="1">
      <c r="I125" s="229" t="n">
        <v>45761</v>
      </c>
      <c r="J125" s="230" t="n">
        <v>32.085</v>
      </c>
      <c r="K125" s="230" t="n">
        <v>32.755</v>
      </c>
      <c r="L125" s="230" t="n">
        <v>32.435</v>
      </c>
      <c r="M125" s="231" t="n">
        <v>32.535</v>
      </c>
    </row>
    <row r="126" ht="17.25" customHeight="1" thickBot="1">
      <c r="I126" s="229" t="n">
        <v>45758</v>
      </c>
      <c r="J126" s="230" t="n">
        <v>32.27</v>
      </c>
      <c r="K126" s="230" t="n">
        <v>32.94</v>
      </c>
      <c r="L126" s="230" t="n">
        <v>32.62</v>
      </c>
      <c r="M126" s="231" t="n">
        <v>32.72</v>
      </c>
    </row>
    <row r="127" ht="17.25" customHeight="1" thickBot="1">
      <c r="I127" s="229" t="n">
        <v>45757</v>
      </c>
      <c r="J127" s="230" t="n">
        <v>32.465</v>
      </c>
      <c r="K127" s="230" t="n">
        <v>33.135</v>
      </c>
      <c r="L127" s="230" t="n">
        <v>32.815</v>
      </c>
      <c r="M127" s="231" t="n">
        <v>32.915</v>
      </c>
    </row>
    <row r="128" ht="17.25" customHeight="1" thickBot="1">
      <c r="I128" s="229" t="n">
        <v>45756</v>
      </c>
      <c r="J128" s="230" t="n">
        <v>32.61</v>
      </c>
      <c r="K128" s="230" t="n">
        <v>33.28</v>
      </c>
      <c r="L128" s="230" t="n">
        <v>32.96</v>
      </c>
      <c r="M128" s="231" t="n">
        <v>33.06</v>
      </c>
    </row>
    <row r="129" ht="17.25" customHeight="1" thickBot="1">
      <c r="I129" s="229" t="n">
        <v>45755</v>
      </c>
      <c r="J129" s="230" t="n">
        <v>32.605</v>
      </c>
      <c r="K129" s="230" t="n">
        <v>33.275</v>
      </c>
      <c r="L129" s="230" t="n">
        <v>32.955</v>
      </c>
      <c r="M129" s="231" t="n">
        <v>33.055</v>
      </c>
    </row>
    <row r="130" ht="17.25" customHeight="1" thickBot="1">
      <c r="I130" s="229" t="n">
        <v>45754</v>
      </c>
      <c r="J130" s="230" t="n">
        <v>32.65</v>
      </c>
      <c r="K130" s="230" t="n">
        <v>33.32</v>
      </c>
      <c r="L130" s="230" t="n">
        <v>33</v>
      </c>
      <c r="M130" s="231" t="n">
        <v>33.1</v>
      </c>
    </row>
    <row r="131" ht="17.25" customHeight="1" thickBot="1">
      <c r="I131" s="229" t="n">
        <v>45749</v>
      </c>
      <c r="J131" s="230" t="n">
        <v>32.69</v>
      </c>
      <c r="K131" s="230" t="n">
        <v>33.36</v>
      </c>
      <c r="L131" s="230" t="n">
        <v>33.04</v>
      </c>
      <c r="M131" s="231" t="n">
        <v>33.14</v>
      </c>
    </row>
    <row r="132" ht="17.25" customHeight="1" thickBot="1">
      <c r="I132" s="229" t="n">
        <v>45748</v>
      </c>
      <c r="J132" s="230" t="n">
        <v>32.8</v>
      </c>
      <c r="K132" s="230" t="n">
        <v>33.47</v>
      </c>
      <c r="L132" s="230" t="n">
        <v>33.15</v>
      </c>
      <c r="M132" s="231" t="n">
        <v>33.25</v>
      </c>
    </row>
    <row r="133" ht="17.25" customHeight="1" thickBot="1">
      <c r="I133" s="229" t="n">
        <v>45747</v>
      </c>
      <c r="J133" s="230" t="n">
        <v>32.805</v>
      </c>
      <c r="K133" s="230" t="n">
        <v>33.475</v>
      </c>
      <c r="L133" s="230" t="n">
        <v>33.155</v>
      </c>
      <c r="M133" s="231" t="n">
        <v>33.255</v>
      </c>
    </row>
    <row r="134" ht="17.25" customHeight="1" thickBot="1">
      <c r="I134" s="229" t="n">
        <v>45744</v>
      </c>
      <c r="J134" s="230" t="n">
        <v>32.7</v>
      </c>
      <c r="K134" s="230" t="n">
        <v>33.37</v>
      </c>
      <c r="L134" s="230" t="n">
        <v>33.05</v>
      </c>
      <c r="M134" s="231" t="n">
        <v>33.15</v>
      </c>
    </row>
    <row r="135" ht="17.25" customHeight="1" thickBot="1">
      <c r="I135" s="229" t="n">
        <v>45743</v>
      </c>
      <c r="J135" s="230" t="n">
        <v>32.71</v>
      </c>
      <c r="K135" s="230" t="n">
        <v>33.38</v>
      </c>
      <c r="L135" s="230" t="n">
        <v>33.06</v>
      </c>
      <c r="M135" s="231" t="n">
        <v>33.16</v>
      </c>
    </row>
    <row r="136" ht="17.25" customHeight="1" thickBot="1">
      <c r="I136" s="229" t="n">
        <v>45742</v>
      </c>
      <c r="J136" s="230" t="n">
        <v>32.695</v>
      </c>
      <c r="K136" s="230" t="n">
        <v>33.365</v>
      </c>
      <c r="L136" s="230" t="n">
        <v>33.045</v>
      </c>
      <c r="M136" s="231" t="n">
        <v>33.145</v>
      </c>
    </row>
    <row r="137" ht="17.25" customHeight="1" thickBot="1">
      <c r="I137" s="229" t="n">
        <v>45741</v>
      </c>
      <c r="J137" s="230" t="n">
        <v>32.68</v>
      </c>
      <c r="K137" s="230" t="n">
        <v>33.35</v>
      </c>
      <c r="L137" s="230" t="n">
        <v>33.03</v>
      </c>
      <c r="M137" s="231" t="n">
        <v>33.13</v>
      </c>
    </row>
    <row r="138" ht="17.25" customHeight="1" thickBot="1">
      <c r="I138" s="229" t="n">
        <v>45740</v>
      </c>
      <c r="J138" s="230" t="n">
        <v>32.635</v>
      </c>
      <c r="K138" s="230" t="n">
        <v>33.305</v>
      </c>
      <c r="L138" s="230" t="n">
        <v>32.985</v>
      </c>
      <c r="M138" s="231" t="n">
        <v>33.085</v>
      </c>
    </row>
    <row r="139" ht="17.25" customHeight="1" thickBot="1">
      <c r="I139" s="229" t="n">
        <v>45737</v>
      </c>
      <c r="J139" s="230" t="n">
        <v>32.6</v>
      </c>
      <c r="K139" s="230" t="n">
        <v>33.27</v>
      </c>
      <c r="L139" s="230" t="n">
        <v>32.95</v>
      </c>
      <c r="M139" s="231" t="n">
        <v>33.05</v>
      </c>
    </row>
    <row r="140" ht="17.25" customHeight="1" thickBot="1">
      <c r="I140" s="229" t="n">
        <v>45736</v>
      </c>
      <c r="J140" s="230" t="n">
        <v>32.61</v>
      </c>
      <c r="K140" s="230" t="n">
        <v>33.28</v>
      </c>
      <c r="L140" s="230" t="n">
        <v>32.96</v>
      </c>
      <c r="M140" s="231" t="n">
        <v>33.06</v>
      </c>
    </row>
    <row r="141" ht="17.25" customHeight="1" thickBot="1">
      <c r="I141" s="229" t="n">
        <v>45735</v>
      </c>
      <c r="J141" s="230" t="n">
        <v>32.645</v>
      </c>
      <c r="K141" s="230" t="n">
        <v>33.315</v>
      </c>
      <c r="L141" s="230" t="n">
        <v>32.995</v>
      </c>
      <c r="M141" s="231" t="n">
        <v>33.095</v>
      </c>
    </row>
    <row r="142" ht="17.25" customHeight="1" thickBot="1">
      <c r="I142" s="229" t="n">
        <v>45734</v>
      </c>
      <c r="J142" s="230" t="n">
        <v>32.6</v>
      </c>
      <c r="K142" s="230" t="n">
        <v>33.27</v>
      </c>
      <c r="L142" s="230" t="n">
        <v>32.95</v>
      </c>
      <c r="M142" s="231" t="n">
        <v>33.05</v>
      </c>
    </row>
    <row r="143" ht="17.25" customHeight="1" thickBot="1">
      <c r="I143" s="229" t="n">
        <v>45733</v>
      </c>
      <c r="J143" s="230" t="n">
        <v>32.615</v>
      </c>
      <c r="K143" s="230" t="n">
        <v>33.285</v>
      </c>
      <c r="L143" s="230" t="n">
        <v>32.965</v>
      </c>
      <c r="M143" s="231" t="n">
        <v>33.065</v>
      </c>
    </row>
    <row r="144" ht="17.25" customHeight="1" thickBot="1">
      <c r="I144" s="229" t="n">
        <v>45730</v>
      </c>
      <c r="J144" s="230" t="n">
        <v>32.56</v>
      </c>
      <c r="K144" s="230" t="n">
        <v>33.23</v>
      </c>
      <c r="L144" s="230" t="n">
        <v>32.91</v>
      </c>
      <c r="M144" s="231" t="n">
        <v>33.01</v>
      </c>
    </row>
    <row r="145" ht="17.25" customHeight="1" thickBot="1">
      <c r="I145" s="229" t="n">
        <v>45729</v>
      </c>
      <c r="J145" s="230" t="n">
        <v>32.57</v>
      </c>
      <c r="K145" s="230" t="n">
        <v>33.24</v>
      </c>
      <c r="L145" s="230" t="n">
        <v>32.92</v>
      </c>
      <c r="M145" s="231" t="n">
        <v>33.02</v>
      </c>
    </row>
    <row r="146" ht="17.25" customHeight="1" thickBot="1">
      <c r="I146" s="229" t="n">
        <v>45728</v>
      </c>
      <c r="J146" s="230" t="n">
        <v>32.56</v>
      </c>
      <c r="K146" s="230" t="n">
        <v>33.23</v>
      </c>
      <c r="L146" s="230" t="n">
        <v>32.91</v>
      </c>
      <c r="M146" s="231" t="n">
        <v>33.01</v>
      </c>
    </row>
    <row r="147" ht="17.25" customHeight="1" thickBot="1">
      <c r="I147" s="229" t="n">
        <v>45727</v>
      </c>
      <c r="J147" s="230" t="n">
        <v>32.49</v>
      </c>
      <c r="K147" s="230" t="n">
        <v>33.16</v>
      </c>
      <c r="L147" s="230" t="n">
        <v>32.84</v>
      </c>
      <c r="M147" s="231" t="n">
        <v>32.94</v>
      </c>
    </row>
    <row r="148" ht="17.25" customHeight="1" thickBot="1">
      <c r="I148" s="229" t="n">
        <v>45726</v>
      </c>
      <c r="J148" s="230" t="n">
        <v>32.52</v>
      </c>
      <c r="K148" s="230" t="n">
        <v>33.19</v>
      </c>
      <c r="L148" s="230" t="n">
        <v>32.87</v>
      </c>
      <c r="M148" s="231" t="n">
        <v>32.97</v>
      </c>
    </row>
    <row r="149" ht="17.25" customHeight="1" thickBot="1">
      <c r="I149" s="229" t="n">
        <v>45723</v>
      </c>
      <c r="J149" s="230" t="n">
        <v>32.44</v>
      </c>
      <c r="K149" s="230" t="n">
        <v>33.11</v>
      </c>
      <c r="L149" s="230" t="n">
        <v>32.79</v>
      </c>
      <c r="M149" s="231" t="n">
        <v>32.89</v>
      </c>
    </row>
    <row r="150" ht="17.25" customHeight="1" thickBot="1">
      <c r="I150" s="229" t="n">
        <v>45722</v>
      </c>
      <c r="J150" s="230" t="n">
        <v>32.455</v>
      </c>
      <c r="K150" s="230" t="n">
        <v>33.125</v>
      </c>
      <c r="L150" s="230" t="n">
        <v>32.805</v>
      </c>
      <c r="M150" s="231" t="n">
        <v>32.905</v>
      </c>
    </row>
    <row r="151" ht="17.25" customHeight="1" thickBot="1">
      <c r="I151" s="235" t="n">
        <v>45721</v>
      </c>
      <c r="J151" s="236" t="n">
        <v>32.425</v>
      </c>
      <c r="K151" s="236" t="n">
        <v>33.095</v>
      </c>
      <c r="L151" s="236" t="n">
        <v>32.775</v>
      </c>
      <c r="M151" s="237" t="n">
        <v>32.875</v>
      </c>
    </row>
    <row r="152" ht="17.25" customHeight="1" thickBot="1">
      <c r="I152" s="232" t="n">
        <v>45720</v>
      </c>
      <c r="J152" s="233" t="n">
        <v>32.515</v>
      </c>
      <c r="K152" s="233" t="n">
        <v>33.185</v>
      </c>
      <c r="L152" s="233" t="n">
        <v>32.865</v>
      </c>
      <c r="M152" s="234" t="n">
        <v>32.965</v>
      </c>
    </row>
    <row r="153" ht="17.25" customHeight="1" thickBot="1">
      <c r="I153" s="229" t="n">
        <v>45719</v>
      </c>
      <c r="J153" s="230" t="n">
        <v>32.525</v>
      </c>
      <c r="K153" s="230" t="n">
        <v>33.195</v>
      </c>
      <c r="L153" s="230" t="n">
        <v>32.875</v>
      </c>
      <c r="M153" s="231" t="n">
        <v>32.975</v>
      </c>
    </row>
    <row r="154" ht="17.25" customHeight="1" thickBot="1">
      <c r="I154" s="229" t="n">
        <v>45715</v>
      </c>
      <c r="J154" s="230" t="n">
        <v>32.42</v>
      </c>
      <c r="K154" s="230" t="n">
        <v>33.09</v>
      </c>
      <c r="L154" s="230" t="n">
        <v>32.77</v>
      </c>
      <c r="M154" s="231" t="n">
        <v>32.87</v>
      </c>
    </row>
    <row r="155" ht="17.25" customHeight="1" thickBot="1">
      <c r="I155" s="229" t="n">
        <v>45714</v>
      </c>
      <c r="J155" s="230" t="n">
        <v>32.395</v>
      </c>
      <c r="K155" s="230" t="n">
        <v>33.065</v>
      </c>
      <c r="L155" s="230" t="n">
        <v>32.745</v>
      </c>
      <c r="M155" s="231" t="n">
        <v>32.845</v>
      </c>
    </row>
    <row r="156" ht="17.25" customHeight="1" thickBot="1">
      <c r="I156" s="229" t="n">
        <v>45713</v>
      </c>
      <c r="J156" s="230" t="n">
        <v>32.405</v>
      </c>
      <c r="K156" s="230" t="n">
        <v>33.075</v>
      </c>
      <c r="L156" s="230" t="n">
        <v>32.755</v>
      </c>
      <c r="M156" s="231" t="n">
        <v>32.855</v>
      </c>
    </row>
    <row r="157" ht="17.25" customHeight="1" thickBot="1">
      <c r="I157" s="229" t="n">
        <v>45712</v>
      </c>
      <c r="J157" s="230" t="n">
        <v>32.315</v>
      </c>
      <c r="K157" s="230" t="n">
        <v>32.985</v>
      </c>
      <c r="L157" s="230" t="n">
        <v>32.665</v>
      </c>
      <c r="M157" s="231" t="n">
        <v>32.765</v>
      </c>
    </row>
    <row r="158" ht="17.25" customHeight="1" thickBot="1">
      <c r="I158" s="229" t="n">
        <v>45709</v>
      </c>
      <c r="J158" s="230" t="n">
        <v>32.35</v>
      </c>
      <c r="K158" s="230" t="n">
        <v>33.02</v>
      </c>
      <c r="L158" s="230" t="n">
        <v>32.7</v>
      </c>
      <c r="M158" s="231" t="n">
        <v>32.8</v>
      </c>
    </row>
    <row r="159" ht="17.25" customHeight="1" thickBot="1">
      <c r="I159" s="229" t="n">
        <v>45708</v>
      </c>
      <c r="J159" s="230" t="n">
        <v>32.395</v>
      </c>
      <c r="K159" s="230" t="n">
        <v>33.065</v>
      </c>
      <c r="L159" s="230" t="n">
        <v>32.745</v>
      </c>
      <c r="M159" s="231" t="n">
        <v>32.845</v>
      </c>
    </row>
    <row r="160" ht="17.25" customHeight="1" thickBot="1">
      <c r="I160" s="229" t="n">
        <v>45707</v>
      </c>
      <c r="J160" s="230" t="n">
        <v>32.35</v>
      </c>
      <c r="K160" s="230" t="n">
        <v>33.02</v>
      </c>
      <c r="L160" s="230" t="n">
        <v>32.7</v>
      </c>
      <c r="M160" s="231" t="n">
        <v>32.8</v>
      </c>
    </row>
    <row r="161" ht="17.25" customHeight="1" thickBot="1">
      <c r="I161" s="229" t="n">
        <v>45706</v>
      </c>
      <c r="J161" s="230" t="n">
        <v>32.37</v>
      </c>
      <c r="K161" s="230" t="n">
        <v>33.04</v>
      </c>
      <c r="L161" s="230" t="n">
        <v>32.72</v>
      </c>
      <c r="M161" s="231" t="n">
        <v>32.82</v>
      </c>
    </row>
    <row r="162" ht="17.25" customHeight="1" thickBot="1">
      <c r="I162" s="229" t="n">
        <v>45705</v>
      </c>
      <c r="J162" s="230" t="n">
        <v>32.305</v>
      </c>
      <c r="K162" s="230" t="n">
        <v>32.975</v>
      </c>
      <c r="L162" s="230" t="n">
        <v>32.655</v>
      </c>
      <c r="M162" s="231" t="n">
        <v>32.755</v>
      </c>
    </row>
    <row r="163" ht="17.25" customHeight="1" thickBot="1">
      <c r="I163" s="229" t="n">
        <v>45702</v>
      </c>
      <c r="J163" s="230" t="n">
        <v>32.385</v>
      </c>
      <c r="K163" s="230" t="n">
        <v>33.055</v>
      </c>
      <c r="L163" s="230" t="n">
        <v>32.735</v>
      </c>
      <c r="M163" s="231" t="n">
        <v>32.835</v>
      </c>
    </row>
    <row r="164" ht="17.25" customHeight="1" thickBot="1">
      <c r="I164" s="229" t="n">
        <v>45701</v>
      </c>
      <c r="J164" s="230" t="n">
        <v>32.41</v>
      </c>
      <c r="K164" s="230" t="n">
        <v>33.08</v>
      </c>
      <c r="L164" s="230" t="n">
        <v>32.76</v>
      </c>
      <c r="M164" s="231" t="n">
        <v>32.86</v>
      </c>
    </row>
    <row r="165" ht="17.25" customHeight="1" thickBot="1">
      <c r="I165" s="229" t="n">
        <v>45700</v>
      </c>
      <c r="J165" s="230" t="n">
        <v>32.46</v>
      </c>
      <c r="K165" s="230" t="n">
        <v>33.13</v>
      </c>
      <c r="L165" s="230" t="n">
        <v>32.81</v>
      </c>
      <c r="M165" s="231" t="n">
        <v>32.91</v>
      </c>
    </row>
    <row r="166" ht="17.25" customHeight="1" thickBot="1">
      <c r="I166" s="229" t="n">
        <v>45699</v>
      </c>
      <c r="J166" s="230" t="n">
        <v>32.445</v>
      </c>
      <c r="K166" s="230" t="n">
        <v>33.115</v>
      </c>
      <c r="L166" s="230" t="n">
        <v>32.795</v>
      </c>
      <c r="M166" s="231" t="n">
        <v>32.895</v>
      </c>
    </row>
    <row r="167" ht="17.25" customHeight="1" thickBot="1">
      <c r="I167" s="229" t="n">
        <v>45698</v>
      </c>
      <c r="J167" s="230" t="n">
        <v>32.445</v>
      </c>
      <c r="K167" s="230" t="n">
        <v>33.115</v>
      </c>
      <c r="L167" s="230" t="n">
        <v>32.795</v>
      </c>
      <c r="M167" s="231" t="n">
        <v>32.895</v>
      </c>
    </row>
    <row r="168" ht="17.25" customHeight="1" thickBot="1">
      <c r="I168" s="229" t="n">
        <v>45696</v>
      </c>
      <c r="J168" s="230" t="n">
        <v>32.39</v>
      </c>
      <c r="K168" s="230" t="n">
        <v>33.06</v>
      </c>
      <c r="L168" s="230" t="n">
        <v>32.74</v>
      </c>
      <c r="M168" s="231" t="n">
        <v>32.84</v>
      </c>
    </row>
    <row r="169" ht="17.25" customHeight="1" thickBot="1">
      <c r="I169" s="229" t="n">
        <v>45695</v>
      </c>
      <c r="J169" s="230" t="n">
        <v>32.355</v>
      </c>
      <c r="K169" s="230" t="n">
        <v>33.025</v>
      </c>
      <c r="L169" s="230" t="n">
        <v>32.705</v>
      </c>
      <c r="M169" s="231" t="n">
        <v>32.805</v>
      </c>
    </row>
    <row r="170" ht="17.25" customHeight="1" thickBot="1">
      <c r="I170" s="229" t="n">
        <v>45694</v>
      </c>
      <c r="J170" s="230" t="n">
        <v>32.43</v>
      </c>
      <c r="K170" s="230" t="n">
        <v>33.1</v>
      </c>
      <c r="L170" s="230" t="n">
        <v>32.78</v>
      </c>
      <c r="M170" s="231" t="n">
        <v>32.88</v>
      </c>
    </row>
    <row r="171" ht="17.25" customHeight="1" thickBot="1">
      <c r="I171" s="229" t="n">
        <v>45693</v>
      </c>
      <c r="J171" s="230" t="n">
        <v>32.45</v>
      </c>
      <c r="K171" s="230" t="n">
        <v>33.12</v>
      </c>
      <c r="L171" s="230" t="n">
        <v>32.8</v>
      </c>
      <c r="M171" s="231" t="n">
        <v>32.9</v>
      </c>
    </row>
    <row r="172" ht="17.25" customHeight="1" thickBot="1">
      <c r="I172" s="229" t="n">
        <v>45692</v>
      </c>
      <c r="J172" s="230" t="n">
        <v>32.585</v>
      </c>
      <c r="K172" s="230" t="n">
        <v>33.255</v>
      </c>
      <c r="L172" s="230" t="n">
        <v>32.935</v>
      </c>
      <c r="M172" s="231" t="n">
        <v>33.035</v>
      </c>
    </row>
    <row r="173" ht="17.25" customHeight="1" thickBot="1">
      <c r="I173" s="229" t="n">
        <v>45691</v>
      </c>
      <c r="J173" s="230" t="n">
        <v>32.57</v>
      </c>
      <c r="K173" s="230" t="n">
        <v>33.24</v>
      </c>
      <c r="L173" s="230" t="n">
        <v>32.92</v>
      </c>
      <c r="M173" s="231" t="n">
        <v>33.02</v>
      </c>
    </row>
    <row r="174" ht="17.25" customHeight="1" thickBot="1">
      <c r="I174" s="229" t="n">
        <v>45681</v>
      </c>
      <c r="J174" s="230" t="n">
        <v>32.285</v>
      </c>
      <c r="K174" s="230" t="n">
        <v>32.955</v>
      </c>
      <c r="L174" s="230" t="n">
        <v>32.635</v>
      </c>
      <c r="M174" s="231" t="n">
        <v>32.735</v>
      </c>
    </row>
    <row r="175" ht="17.25" customHeight="1" thickBot="1">
      <c r="I175" s="229" t="n">
        <v>45680</v>
      </c>
      <c r="J175" s="230" t="n">
        <v>32.37</v>
      </c>
      <c r="K175" s="230" t="n">
        <v>33.04</v>
      </c>
      <c r="L175" s="230" t="n">
        <v>32.72</v>
      </c>
      <c r="M175" s="231" t="n">
        <v>32.82</v>
      </c>
    </row>
    <row r="176" ht="17.25" customHeight="1" thickBot="1">
      <c r="I176" s="229" t="n">
        <v>45679</v>
      </c>
      <c r="J176" s="230" t="n">
        <v>32.375</v>
      </c>
      <c r="K176" s="230" t="n">
        <v>33.045</v>
      </c>
      <c r="L176" s="230" t="n">
        <v>32.725</v>
      </c>
      <c r="M176" s="231" t="n">
        <v>32.825</v>
      </c>
    </row>
    <row r="177" ht="17.25" customHeight="1" thickBot="1">
      <c r="I177" s="229" t="n">
        <v>45678</v>
      </c>
      <c r="J177" s="230" t="n">
        <v>32.38</v>
      </c>
      <c r="K177" s="230" t="n">
        <v>33.05</v>
      </c>
      <c r="L177" s="230" t="n">
        <v>32.73</v>
      </c>
      <c r="M177" s="231" t="n">
        <v>32.83</v>
      </c>
    </row>
    <row r="178" ht="17.25" customHeight="1" thickBot="1">
      <c r="I178" s="229" t="n">
        <v>45677</v>
      </c>
      <c r="J178" s="230" t="n">
        <v>32.405</v>
      </c>
      <c r="K178" s="230" t="n">
        <v>33.075</v>
      </c>
      <c r="L178" s="230" t="n">
        <v>32.755</v>
      </c>
      <c r="M178" s="231" t="n">
        <v>32.855</v>
      </c>
    </row>
    <row r="179" ht="17.25" customHeight="1" thickBot="1">
      <c r="I179" s="229" t="n">
        <v>45674</v>
      </c>
      <c r="J179" s="230" t="n">
        <v>32.53</v>
      </c>
      <c r="K179" s="230" t="n">
        <v>33.2</v>
      </c>
      <c r="L179" s="230" t="n">
        <v>32.88</v>
      </c>
      <c r="M179" s="231" t="n">
        <v>32.98</v>
      </c>
    </row>
    <row r="180" ht="17.25" customHeight="1" thickBot="1">
      <c r="I180" s="229" t="n">
        <v>45673</v>
      </c>
      <c r="J180" s="230" t="n">
        <v>32.53</v>
      </c>
      <c r="K180" s="230" t="n">
        <v>33.2</v>
      </c>
      <c r="L180" s="230" t="n">
        <v>32.88</v>
      </c>
      <c r="M180" s="231" t="n">
        <v>32.98</v>
      </c>
    </row>
    <row r="181" ht="17.25" customHeight="1" thickBot="1">
      <c r="I181" s="229" t="n">
        <v>45672</v>
      </c>
      <c r="J181" s="230" t="n">
        <v>32.665</v>
      </c>
      <c r="K181" s="230" t="n">
        <v>33.335</v>
      </c>
      <c r="L181" s="230" t="n">
        <v>33.015</v>
      </c>
      <c r="M181" s="231" t="n">
        <v>33.115</v>
      </c>
    </row>
    <row r="182" ht="17.25" customHeight="1" thickBot="1">
      <c r="I182" s="317" t="n">
        <v>45671</v>
      </c>
      <c r="J182" s="318" t="n">
        <v>32.57</v>
      </c>
      <c r="K182" s="318" t="n">
        <v>33.24</v>
      </c>
      <c r="L182" s="318" t="n">
        <v>32.92</v>
      </c>
      <c r="M182" s="319" t="n">
        <v>33.02</v>
      </c>
    </row>
    <row r="183" ht="17.25" customHeight="1" thickBot="1">
      <c r="I183" s="229" t="n">
        <v>45670</v>
      </c>
      <c r="J183" s="230" t="n">
        <v>32.72</v>
      </c>
      <c r="K183" s="230" t="n">
        <v>33.39</v>
      </c>
      <c r="L183" s="230" t="n">
        <v>33.07</v>
      </c>
      <c r="M183" s="231" t="n">
        <v>33.17</v>
      </c>
    </row>
    <row r="184" ht="17.25" customHeight="1" thickBot="1">
      <c r="I184" s="229" t="n">
        <v>45667</v>
      </c>
      <c r="J184" s="230" t="n">
        <v>32.565</v>
      </c>
      <c r="K184" s="230" t="n">
        <v>33.235</v>
      </c>
      <c r="L184" s="230" t="n">
        <v>32.915</v>
      </c>
      <c r="M184" s="231" t="n">
        <v>33.015</v>
      </c>
    </row>
    <row r="185" ht="17.25" customHeight="1" thickBot="1">
      <c r="I185" s="229" t="n">
        <v>45666</v>
      </c>
      <c r="J185" s="230" t="n">
        <v>32.55</v>
      </c>
      <c r="K185" s="230" t="n">
        <v>33.22</v>
      </c>
      <c r="L185" s="230" t="n">
        <v>32.9</v>
      </c>
      <c r="M185" s="231" t="n">
        <v>33</v>
      </c>
    </row>
    <row r="186" ht="17.25" customHeight="1" thickBot="1">
      <c r="I186" s="229" t="n">
        <v>45665</v>
      </c>
      <c r="J186" s="230" t="n">
        <v>32.49</v>
      </c>
      <c r="K186" s="230" t="n">
        <v>33.16</v>
      </c>
      <c r="L186" s="230" t="n">
        <v>32.84</v>
      </c>
      <c r="M186" s="231" t="n">
        <v>32.94</v>
      </c>
    </row>
    <row r="187" ht="17.25" customHeight="1" thickBot="1">
      <c r="I187" s="229" t="n">
        <v>45664</v>
      </c>
      <c r="J187" s="230" t="n">
        <v>32.335</v>
      </c>
      <c r="K187" s="230" t="n">
        <v>33.005</v>
      </c>
      <c r="L187" s="230" t="n">
        <v>32.685</v>
      </c>
      <c r="M187" s="231" t="n">
        <v>32.785</v>
      </c>
    </row>
    <row r="188" ht="17.25" customHeight="1" thickBot="1">
      <c r="I188" s="229" t="n">
        <v>45663</v>
      </c>
      <c r="J188" s="230" t="n">
        <v>32.465</v>
      </c>
      <c r="K188" s="230" t="n">
        <v>33.135</v>
      </c>
      <c r="L188" s="230" t="n">
        <v>32.815</v>
      </c>
      <c r="M188" s="231" t="n">
        <v>32.915</v>
      </c>
    </row>
    <row r="189" ht="17.25" customHeight="1" thickBot="1">
      <c r="I189" s="229" t="n">
        <v>45660</v>
      </c>
      <c r="J189" s="230" t="n">
        <v>32.515</v>
      </c>
      <c r="K189" s="230" t="n">
        <v>33.185</v>
      </c>
      <c r="L189" s="230" t="n">
        <v>32.865</v>
      </c>
      <c r="M189" s="231" t="n">
        <v>32.965</v>
      </c>
    </row>
    <row r="190" ht="17.25" customHeight="1" thickBot="1">
      <c r="I190" s="229" t="n">
        <v>45659</v>
      </c>
      <c r="J190" s="230" t="n">
        <v>32.48</v>
      </c>
      <c r="K190" s="230" t="n">
        <v>33.15</v>
      </c>
      <c r="L190" s="230" t="n">
        <v>32.83</v>
      </c>
      <c r="M190" s="231" t="n">
        <v>32.93</v>
      </c>
    </row>
    <row r="191" ht="17.25" customHeight="1" thickBot="1">
      <c r="I191" s="229" t="n">
        <v>45657</v>
      </c>
      <c r="J191" s="230" t="n">
        <v>32.385</v>
      </c>
      <c r="K191" s="230" t="n">
        <v>33.055</v>
      </c>
      <c r="L191" s="230" t="n">
        <v>32.735</v>
      </c>
      <c r="M191" s="231" t="n">
        <v>32.835</v>
      </c>
    </row>
    <row r="192" ht="17.25" customHeight="1" thickBot="1">
      <c r="I192" s="229" t="n">
        <v>45656</v>
      </c>
      <c r="J192" s="230" t="n">
        <v>32.325</v>
      </c>
      <c r="K192" s="230" t="n">
        <v>32.995</v>
      </c>
      <c r="L192" s="230" t="n">
        <v>32.675</v>
      </c>
      <c r="M192" s="231" t="n">
        <v>32.775</v>
      </c>
    </row>
    <row r="193" ht="17.25" customHeight="1" thickBot="1">
      <c r="I193" s="229" t="n">
        <v>45653</v>
      </c>
      <c r="J193" s="230" t="n">
        <v>32.32</v>
      </c>
      <c r="K193" s="230" t="n">
        <v>32.99</v>
      </c>
      <c r="L193" s="230" t="n">
        <v>32.67</v>
      </c>
      <c r="M193" s="231" t="n">
        <v>32.77</v>
      </c>
    </row>
    <row r="194" ht="17.25" customHeight="1" thickBot="1">
      <c r="I194" s="229" t="n">
        <v>45652</v>
      </c>
      <c r="J194" s="230" t="n">
        <v>32.3</v>
      </c>
      <c r="K194" s="230" t="n">
        <v>32.97</v>
      </c>
      <c r="L194" s="230" t="n">
        <v>32.65</v>
      </c>
      <c r="M194" s="231" t="n">
        <v>32.75</v>
      </c>
    </row>
    <row r="195" ht="17.25" customHeight="1" thickBot="1">
      <c r="I195" s="229" t="n">
        <v>45651</v>
      </c>
      <c r="J195" s="230" t="n">
        <v>32.275</v>
      </c>
      <c r="K195" s="230" t="n">
        <v>32.945</v>
      </c>
      <c r="L195" s="230" t="n">
        <v>32.625</v>
      </c>
      <c r="M195" s="231" t="n">
        <v>32.725</v>
      </c>
    </row>
    <row r="196" ht="17.25" customHeight="1" thickBot="1">
      <c r="I196" s="229" t="n">
        <v>45650</v>
      </c>
      <c r="J196" s="230" t="n">
        <v>32.28</v>
      </c>
      <c r="K196" s="230" t="n">
        <v>32.95</v>
      </c>
      <c r="L196" s="230" t="n">
        <v>32.63</v>
      </c>
      <c r="M196" s="231" t="n">
        <v>32.73</v>
      </c>
    </row>
    <row r="197" ht="17.25" customHeight="1" thickBot="1">
      <c r="I197" s="229" t="n">
        <v>45649</v>
      </c>
      <c r="J197" s="230" t="n">
        <v>32.29</v>
      </c>
      <c r="K197" s="230" t="n">
        <v>32.96</v>
      </c>
      <c r="L197" s="230" t="n">
        <v>32.64</v>
      </c>
      <c r="M197" s="231" t="n">
        <v>32.74</v>
      </c>
    </row>
    <row r="198" ht="17.25" customHeight="1" thickBot="1">
      <c r="I198" s="229" t="n">
        <v>45646</v>
      </c>
      <c r="J198" s="230" t="n">
        <v>32.295</v>
      </c>
      <c r="K198" s="230" t="n">
        <v>32.965</v>
      </c>
      <c r="L198" s="230" t="n">
        <v>32.645</v>
      </c>
      <c r="M198" s="231" t="n">
        <v>32.745</v>
      </c>
    </row>
    <row r="199" ht="17.25" customHeight="1" thickBot="1">
      <c r="I199" s="229" t="n">
        <v>45645</v>
      </c>
      <c r="J199" s="230" t="n">
        <v>32.27</v>
      </c>
      <c r="K199" s="230" t="n">
        <v>32.94</v>
      </c>
      <c r="L199" s="230" t="n">
        <v>32.62</v>
      </c>
      <c r="M199" s="231" t="n">
        <v>32.72</v>
      </c>
    </row>
    <row r="200" ht="17.25" customHeight="1" thickBot="1">
      <c r="I200" s="229" t="n">
        <v>45644</v>
      </c>
      <c r="J200" s="230" t="n">
        <v>32.09</v>
      </c>
      <c r="K200" s="230" t="n">
        <v>32.76</v>
      </c>
      <c r="L200" s="230" t="n">
        <v>32.44</v>
      </c>
      <c r="M200" s="231" t="n">
        <v>32.54</v>
      </c>
    </row>
    <row r="201" ht="17.25" customHeight="1" thickBot="1">
      <c r="I201" s="229" t="n">
        <v>45643</v>
      </c>
      <c r="J201" s="230" t="n">
        <v>32.115</v>
      </c>
      <c r="K201" s="230" t="n">
        <v>32.785</v>
      </c>
      <c r="L201" s="230" t="n">
        <v>32.465</v>
      </c>
      <c r="M201" s="231" t="n">
        <v>32.565</v>
      </c>
    </row>
    <row r="202" ht="17.25" customHeight="1" thickBot="1">
      <c r="I202" s="229" t="n">
        <v>45642</v>
      </c>
      <c r="J202" s="230" t="n">
        <v>32.085</v>
      </c>
      <c r="K202" s="230" t="n">
        <v>32.755</v>
      </c>
      <c r="L202" s="230" t="n">
        <v>32.435</v>
      </c>
      <c r="M202" s="231" t="n">
        <v>32.535</v>
      </c>
    </row>
    <row r="203" ht="17.25" customHeight="1" thickBot="1">
      <c r="I203" s="229" t="n">
        <v>45639</v>
      </c>
      <c r="J203" s="230" t="n">
        <v>32.105</v>
      </c>
      <c r="K203" s="230" t="n">
        <v>32.775</v>
      </c>
      <c r="L203" s="230" t="n">
        <v>32.455</v>
      </c>
      <c r="M203" s="231" t="n">
        <v>32.555</v>
      </c>
    </row>
    <row r="204" ht="17.25" customHeight="1" thickBot="1">
      <c r="I204" s="229" t="n">
        <v>45638</v>
      </c>
      <c r="J204" s="230" t="n">
        <v>32.09</v>
      </c>
      <c r="K204" s="230" t="n">
        <v>32.76</v>
      </c>
      <c r="L204" s="230" t="n">
        <v>32.44</v>
      </c>
      <c r="M204" s="231" t="n">
        <v>32.54</v>
      </c>
    </row>
    <row r="205" ht="17.25" customHeight="1" thickBot="1">
      <c r="I205" s="229" t="n">
        <v>45637</v>
      </c>
      <c r="J205" s="230" t="n">
        <v>32.11</v>
      </c>
      <c r="K205" s="230" t="n">
        <v>32.78</v>
      </c>
      <c r="L205" s="230" t="n">
        <v>32.46</v>
      </c>
      <c r="M205" s="231" t="n">
        <v>32.56</v>
      </c>
    </row>
    <row r="206" ht="17.25" customHeight="1" thickBot="1">
      <c r="I206" s="229" t="n">
        <v>45636</v>
      </c>
      <c r="J206" s="230" t="n">
        <v>32.045</v>
      </c>
      <c r="K206" s="230" t="n">
        <v>32.715</v>
      </c>
      <c r="L206" s="230" t="n">
        <v>32.395</v>
      </c>
      <c r="M206" s="231" t="n">
        <v>32.495</v>
      </c>
    </row>
    <row r="207" ht="17.25" customHeight="1" thickBot="1">
      <c r="I207" s="229" t="n">
        <v>45635</v>
      </c>
      <c r="J207" s="230" t="n">
        <v>32.075</v>
      </c>
      <c r="K207" s="230" t="n">
        <v>32.745</v>
      </c>
      <c r="L207" s="230" t="n">
        <v>32.425</v>
      </c>
      <c r="M207" s="231" t="n">
        <v>32.525</v>
      </c>
    </row>
    <row r="208" ht="17.25" customHeight="1" thickBot="1">
      <c r="I208" s="229" t="n">
        <v>45632</v>
      </c>
      <c r="J208" s="230" t="n">
        <v>32.005</v>
      </c>
      <c r="K208" s="230" t="n">
        <v>32.675</v>
      </c>
      <c r="L208" s="230" t="n">
        <v>32.355</v>
      </c>
      <c r="M208" s="231" t="n">
        <v>32.455</v>
      </c>
    </row>
    <row r="209" ht="17.25" customHeight="1" thickBot="1">
      <c r="I209" s="229" t="n">
        <v>45631</v>
      </c>
      <c r="J209" s="230" t="n">
        <v>32.04</v>
      </c>
      <c r="K209" s="230" t="n">
        <v>32.71</v>
      </c>
      <c r="L209" s="230" t="n">
        <v>32.39</v>
      </c>
      <c r="M209" s="231" t="n">
        <v>32.49</v>
      </c>
    </row>
    <row r="210" ht="17.25" customHeight="1" thickBot="1">
      <c r="I210" s="229" t="n">
        <v>45630</v>
      </c>
      <c r="J210" s="230" t="n">
        <v>32.035</v>
      </c>
      <c r="K210" s="230" t="n">
        <v>32.705</v>
      </c>
      <c r="L210" s="230" t="n">
        <v>32.385</v>
      </c>
      <c r="M210" s="231" t="n">
        <v>32.485</v>
      </c>
    </row>
    <row r="211" ht="17.25" customHeight="1" thickBot="1">
      <c r="I211" s="229" t="n">
        <v>45629</v>
      </c>
      <c r="J211" s="230" t="n">
        <v>32.14</v>
      </c>
      <c r="K211" s="230" t="n">
        <v>32.81</v>
      </c>
      <c r="L211" s="230" t="n">
        <v>32.49</v>
      </c>
      <c r="M211" s="231" t="n">
        <v>32.59</v>
      </c>
    </row>
    <row r="212" ht="17.25" customHeight="1" thickBot="1">
      <c r="I212" s="317" t="n">
        <v>45628</v>
      </c>
      <c r="J212" s="318" t="n">
        <v>32.2</v>
      </c>
      <c r="K212" s="318" t="n">
        <v>32.87</v>
      </c>
      <c r="L212" s="318" t="n">
        <v>32.55</v>
      </c>
      <c r="M212" s="319" t="n">
        <v>32.65</v>
      </c>
    </row>
    <row r="213" ht="17.25" customHeight="1" thickBot="1">
      <c r="I213" s="229" t="n">
        <v>45625</v>
      </c>
      <c r="J213" s="230" t="n">
        <v>32.07</v>
      </c>
      <c r="K213" s="230" t="n">
        <v>32.74</v>
      </c>
      <c r="L213" s="230" t="n">
        <v>32.42</v>
      </c>
      <c r="M213" s="231" t="n">
        <v>32.52</v>
      </c>
    </row>
    <row r="214" ht="17.25" customHeight="1" thickBot="1">
      <c r="I214" s="229" t="n">
        <v>45624</v>
      </c>
      <c r="J214" s="230" t="n">
        <v>32.13</v>
      </c>
      <c r="K214" s="230" t="n">
        <v>32.8</v>
      </c>
      <c r="L214" s="230" t="n">
        <v>32.48</v>
      </c>
      <c r="M214" s="231" t="n">
        <v>32.58</v>
      </c>
    </row>
    <row r="215" ht="17.25" customHeight="1" thickBot="1">
      <c r="I215" s="229" t="n">
        <v>45623</v>
      </c>
      <c r="J215" s="230" t="n">
        <v>32.135</v>
      </c>
      <c r="K215" s="230" t="n">
        <v>32.805</v>
      </c>
      <c r="L215" s="230" t="n">
        <v>32.485</v>
      </c>
      <c r="M215" s="231" t="n">
        <v>32.585</v>
      </c>
    </row>
    <row r="216" ht="17.25" customHeight="1" thickBot="1">
      <c r="I216" s="229" t="n">
        <v>45622</v>
      </c>
      <c r="J216" s="230" t="n">
        <v>32.11</v>
      </c>
      <c r="K216" s="230" t="n">
        <v>32.78</v>
      </c>
      <c r="L216" s="230" t="n">
        <v>32.46</v>
      </c>
      <c r="M216" s="231" t="n">
        <v>32.56</v>
      </c>
    </row>
    <row r="217" ht="17.25" customHeight="1" thickBot="1">
      <c r="I217" s="229" t="n">
        <v>45621</v>
      </c>
      <c r="J217" s="230" t="n">
        <v>32.08</v>
      </c>
      <c r="K217" s="230" t="n">
        <v>32.75</v>
      </c>
      <c r="L217" s="230" t="n">
        <v>32.43</v>
      </c>
      <c r="M217" s="231" t="n">
        <v>32.53</v>
      </c>
    </row>
    <row r="218" ht="17.25" customHeight="1" thickBot="1">
      <c r="I218" s="229" t="n">
        <v>45618</v>
      </c>
      <c r="J218" s="230" t="n">
        <v>32.19</v>
      </c>
      <c r="K218" s="230" t="n">
        <v>32.86</v>
      </c>
      <c r="L218" s="230" t="n">
        <v>32.54</v>
      </c>
      <c r="M218" s="231" t="n">
        <v>32.64</v>
      </c>
    </row>
    <row r="219" ht="17.25" customHeight="1" thickBot="1">
      <c r="I219" s="229" t="n">
        <v>45617</v>
      </c>
      <c r="J219" s="230" t="n">
        <v>32.145</v>
      </c>
      <c r="K219" s="230" t="n">
        <v>32.815</v>
      </c>
      <c r="L219" s="230" t="n">
        <v>32.495</v>
      </c>
      <c r="M219" s="231" t="n">
        <v>32.595</v>
      </c>
    </row>
    <row r="220" ht="17.25" customHeight="1" thickBot="1">
      <c r="I220" s="229" t="n">
        <v>45616</v>
      </c>
      <c r="J220" s="230" t="n">
        <v>32.095</v>
      </c>
      <c r="K220" s="230" t="n">
        <v>32.765</v>
      </c>
      <c r="L220" s="230" t="n">
        <v>32.445</v>
      </c>
      <c r="M220" s="231" t="n">
        <v>32.545</v>
      </c>
    </row>
    <row r="221" ht="17.25" customHeight="1" thickBot="1">
      <c r="I221" s="229" t="n">
        <v>45615</v>
      </c>
      <c r="J221" s="230" t="n">
        <v>32.01</v>
      </c>
      <c r="K221" s="230" t="n">
        <v>32.68</v>
      </c>
      <c r="L221" s="230" t="n">
        <v>32.36</v>
      </c>
      <c r="M221" s="231" t="n">
        <v>32.46</v>
      </c>
    </row>
    <row r="222" ht="17.25" customHeight="1" thickBot="1">
      <c r="I222" s="229" t="n">
        <v>45614</v>
      </c>
      <c r="J222" s="230" t="n">
        <v>32.135</v>
      </c>
      <c r="K222" s="230" t="n">
        <v>32.805</v>
      </c>
      <c r="L222" s="230" t="n">
        <v>32.485</v>
      </c>
      <c r="M222" s="231" t="n">
        <v>32.585</v>
      </c>
    </row>
    <row r="223" ht="17.25" customHeight="1" thickBot="1">
      <c r="I223" s="229" t="n">
        <v>45611</v>
      </c>
      <c r="J223" s="230" t="n">
        <v>32.07</v>
      </c>
      <c r="K223" s="230" t="n">
        <v>32.74</v>
      </c>
      <c r="L223" s="230" t="n">
        <v>32.42</v>
      </c>
      <c r="M223" s="231" t="n">
        <v>32.52</v>
      </c>
    </row>
    <row r="224" ht="17.25" customHeight="1" thickBot="1">
      <c r="I224" s="229" t="n">
        <v>45610</v>
      </c>
      <c r="J224" s="230" t="n">
        <v>32.165</v>
      </c>
      <c r="K224" s="230" t="n">
        <v>32.835</v>
      </c>
      <c r="L224" s="230" t="n">
        <v>32.515</v>
      </c>
      <c r="M224" s="231" t="n">
        <v>32.615</v>
      </c>
    </row>
    <row r="225" ht="17.25" customHeight="1" thickBot="1">
      <c r="I225" s="229" t="n">
        <v>45609</v>
      </c>
      <c r="J225" s="230" t="n">
        <v>32.05</v>
      </c>
      <c r="K225" s="230" t="n">
        <v>32.72</v>
      </c>
      <c r="L225" s="230" t="n">
        <v>32.4</v>
      </c>
      <c r="M225" s="231" t="n">
        <v>32.5</v>
      </c>
    </row>
    <row r="226" ht="17.25" customHeight="1" thickBot="1">
      <c r="I226" s="229" t="n">
        <v>45608</v>
      </c>
      <c r="J226" s="230" t="n">
        <v>32.035</v>
      </c>
      <c r="K226" s="230" t="n">
        <v>32.705</v>
      </c>
      <c r="L226" s="230" t="n">
        <v>32.385</v>
      </c>
      <c r="M226" s="231" t="n">
        <v>32.485</v>
      </c>
    </row>
    <row r="227" ht="17.25" customHeight="1" thickBot="1">
      <c r="I227" s="229" t="n">
        <v>45607</v>
      </c>
      <c r="J227" s="230" t="n">
        <v>31.85</v>
      </c>
      <c r="K227" s="230" t="n">
        <v>32.52</v>
      </c>
      <c r="L227" s="230" t="n">
        <v>32.2</v>
      </c>
      <c r="M227" s="231" t="n">
        <v>32.3</v>
      </c>
    </row>
    <row r="228" ht="17.25" customHeight="1" thickBot="1">
      <c r="I228" s="229" t="n">
        <v>45604</v>
      </c>
      <c r="J228" s="230" t="n">
        <v>31.715</v>
      </c>
      <c r="K228" s="230" t="n">
        <v>32.385</v>
      </c>
      <c r="L228" s="230" t="n">
        <v>32.065</v>
      </c>
      <c r="M228" s="231" t="n">
        <v>32.165</v>
      </c>
    </row>
    <row r="229" ht="17.25" customHeight="1" thickBot="1">
      <c r="I229" s="229" t="n">
        <v>45603</v>
      </c>
      <c r="J229" s="230" t="n">
        <v>31.84</v>
      </c>
      <c r="K229" s="230" t="n">
        <v>32.51</v>
      </c>
      <c r="L229" s="230" t="n">
        <v>32.19</v>
      </c>
      <c r="M229" s="231" t="n">
        <v>32.29</v>
      </c>
    </row>
    <row r="230" ht="17.25" customHeight="1" thickBot="1">
      <c r="I230" s="229" t="n">
        <v>45602</v>
      </c>
      <c r="J230" s="230" t="n">
        <v>31.775</v>
      </c>
      <c r="K230" s="230" t="n">
        <v>32.445</v>
      </c>
      <c r="L230" s="230" t="n">
        <v>32.125</v>
      </c>
      <c r="M230" s="231" t="n">
        <v>32.225</v>
      </c>
    </row>
    <row r="231" ht="17.25" customHeight="1" thickBot="1">
      <c r="I231" s="229" t="n">
        <v>45601</v>
      </c>
      <c r="J231" s="230" t="n">
        <v>31.57</v>
      </c>
      <c r="K231" s="230" t="n">
        <v>32.24</v>
      </c>
      <c r="L231" s="230" t="n">
        <v>31.92</v>
      </c>
      <c r="M231" s="231" t="n">
        <v>32.02</v>
      </c>
    </row>
    <row r="232" ht="17.25" customHeight="1" thickBot="1">
      <c r="I232" s="229" t="n">
        <v>45600</v>
      </c>
      <c r="J232" s="230" t="n">
        <v>31.57</v>
      </c>
      <c r="K232" s="230" t="n">
        <v>32.24</v>
      </c>
      <c r="L232" s="230" t="n">
        <v>31.92</v>
      </c>
      <c r="M232" s="231" t="n">
        <v>32.02</v>
      </c>
    </row>
    <row r="233" ht="17.25" customHeight="1" thickBot="1">
      <c r="I233" s="229" t="n">
        <v>45597</v>
      </c>
      <c r="J233" s="230" t="n">
        <v>31.565</v>
      </c>
      <c r="K233" s="230" t="n">
        <v>32.235</v>
      </c>
      <c r="L233" s="230" t="n">
        <v>31.915</v>
      </c>
      <c r="M233" s="231" t="n">
        <v>32.015</v>
      </c>
    </row>
    <row r="234" ht="17.25" customHeight="1" thickBot="1">
      <c r="I234" s="229" t="n">
        <v>45596</v>
      </c>
      <c r="J234" s="230" t="n">
        <v>31.64</v>
      </c>
      <c r="K234" s="230" t="n">
        <v>32.31</v>
      </c>
      <c r="L234" s="230" t="n">
        <v>31.99</v>
      </c>
      <c r="M234" s="231" t="n">
        <v>32.09</v>
      </c>
    </row>
    <row r="235" ht="17.25" customHeight="1" thickBot="1">
      <c r="I235" s="229" t="n">
        <v>45595</v>
      </c>
      <c r="J235" s="230" t="n">
        <v>31.64</v>
      </c>
      <c r="K235" s="230" t="n">
        <v>32.31</v>
      </c>
      <c r="L235" s="230" t="n">
        <v>31.99</v>
      </c>
      <c r="M235" s="231" t="n">
        <v>32.09</v>
      </c>
    </row>
    <row r="236" ht="17.25" customHeight="1" thickBot="1">
      <c r="I236" s="229" t="n">
        <v>45594</v>
      </c>
      <c r="J236" s="230" t="n">
        <v>31.7</v>
      </c>
      <c r="K236" s="230" t="n">
        <v>32.37</v>
      </c>
      <c r="L236" s="230" t="n">
        <v>32.05</v>
      </c>
      <c r="M236" s="231" t="n">
        <v>32.15</v>
      </c>
    </row>
    <row r="237" ht="17.25" customHeight="1" thickBot="1">
      <c r="I237" s="229" t="n">
        <v>45593</v>
      </c>
      <c r="J237" s="230" t="n">
        <v>31.695</v>
      </c>
      <c r="K237" s="230" t="n">
        <v>32.365</v>
      </c>
      <c r="L237" s="230" t="n">
        <v>32.045</v>
      </c>
      <c r="M237" s="231" t="n">
        <v>32.145</v>
      </c>
    </row>
    <row r="238" ht="17.25" customHeight="1" thickBot="1">
      <c r="I238" s="229" t="n">
        <v>45590</v>
      </c>
      <c r="J238" s="230" t="n">
        <v>31.67</v>
      </c>
      <c r="K238" s="230" t="n">
        <v>32.34</v>
      </c>
      <c r="L238" s="230" t="n">
        <v>32.02</v>
      </c>
      <c r="M238" s="231" t="n">
        <v>32.12</v>
      </c>
    </row>
    <row r="239" ht="17.25" customHeight="1" thickBot="1">
      <c r="I239" s="229" t="n">
        <v>45589</v>
      </c>
      <c r="J239" s="230" t="n">
        <v>31.69</v>
      </c>
      <c r="K239" s="230" t="n">
        <v>32.36</v>
      </c>
      <c r="L239" s="230" t="n">
        <v>32.04</v>
      </c>
      <c r="M239" s="231" t="n">
        <v>32.14</v>
      </c>
    </row>
    <row r="240" ht="17.25" customHeight="1" thickBot="1">
      <c r="I240" s="229" t="n">
        <v>45588</v>
      </c>
      <c r="J240" s="230" t="n">
        <v>31.68</v>
      </c>
      <c r="K240" s="230" t="n">
        <v>32.35</v>
      </c>
      <c r="L240" s="230" t="n">
        <v>32.03</v>
      </c>
      <c r="M240" s="231" t="n">
        <v>32.13</v>
      </c>
    </row>
    <row r="241" ht="17.25" customHeight="1" thickBot="1">
      <c r="I241" s="229" t="n">
        <v>45587</v>
      </c>
      <c r="J241" s="230" t="n">
        <v>31.66</v>
      </c>
      <c r="K241" s="230" t="n">
        <v>32.33</v>
      </c>
      <c r="L241" s="230" t="n">
        <v>32.01</v>
      </c>
      <c r="M241" s="231" t="n">
        <v>32.11</v>
      </c>
    </row>
    <row r="242" ht="17.25" customHeight="1" thickBot="1">
      <c r="I242" s="317" t="n">
        <v>45586</v>
      </c>
      <c r="J242" s="318" t="n">
        <v>31.57</v>
      </c>
      <c r="K242" s="318" t="n">
        <v>32.24</v>
      </c>
      <c r="L242" s="318" t="n">
        <v>31.92</v>
      </c>
      <c r="M242" s="319" t="n">
        <v>32.02</v>
      </c>
    </row>
    <row r="243" ht="17.25" customHeight="1" thickBot="1">
      <c r="I243" s="229" t="n">
        <v>45583</v>
      </c>
      <c r="J243" s="230" t="n">
        <v>31.67</v>
      </c>
      <c r="K243" s="230" t="n">
        <v>32.34</v>
      </c>
      <c r="L243" s="230" t="n">
        <v>32.02</v>
      </c>
      <c r="M243" s="231" t="n">
        <v>32.12</v>
      </c>
    </row>
    <row r="244" ht="17.25" customHeight="1" thickBot="1">
      <c r="I244" s="229" t="n">
        <v>45582</v>
      </c>
      <c r="J244" s="230" t="n">
        <v>31.765</v>
      </c>
      <c r="K244" s="230" t="n">
        <v>32.435</v>
      </c>
      <c r="L244" s="230" t="n">
        <v>32.115</v>
      </c>
      <c r="M244" s="231" t="n">
        <v>32.215</v>
      </c>
    </row>
    <row r="245" ht="17.25" customHeight="1" thickBot="1">
      <c r="I245" s="229" t="n">
        <v>45581</v>
      </c>
      <c r="J245" s="230" t="n">
        <v>31.785</v>
      </c>
      <c r="K245" s="230" t="n">
        <v>32.455</v>
      </c>
      <c r="L245" s="230" t="n">
        <v>32.135</v>
      </c>
      <c r="M245" s="231" t="n">
        <v>32.235</v>
      </c>
    </row>
    <row r="246" ht="17.25" customHeight="1" thickBot="1">
      <c r="I246" s="229" t="n">
        <v>45580</v>
      </c>
      <c r="J246" s="230" t="n">
        <v>31.78</v>
      </c>
      <c r="K246" s="230" t="n">
        <v>32.45</v>
      </c>
      <c r="L246" s="230" t="n">
        <v>32.13</v>
      </c>
      <c r="M246" s="231" t="n">
        <v>32.23</v>
      </c>
    </row>
    <row r="247" ht="17.25" customHeight="1" thickBot="1">
      <c r="I247" s="229" t="n">
        <v>45579</v>
      </c>
      <c r="J247" s="230" t="n">
        <v>31.77</v>
      </c>
      <c r="K247" s="230" t="n">
        <v>32.44</v>
      </c>
      <c r="L247" s="230" t="n">
        <v>32.12</v>
      </c>
      <c r="M247" s="231" t="n">
        <v>32.22</v>
      </c>
    </row>
    <row r="248" ht="17.25" customHeight="1" thickBot="1">
      <c r="I248" s="229" t="n">
        <v>45576</v>
      </c>
      <c r="J248" s="230" t="n">
        <v>31.785</v>
      </c>
      <c r="K248" s="230" t="n">
        <v>32.455</v>
      </c>
      <c r="L248" s="230" t="n">
        <v>32.135</v>
      </c>
      <c r="M248" s="231" t="n">
        <v>32.235</v>
      </c>
    </row>
    <row r="249" ht="17.25" customHeight="1" thickBot="1">
      <c r="I249" s="229" t="n">
        <v>45574</v>
      </c>
      <c r="J249" s="230" t="n">
        <v>31.78</v>
      </c>
      <c r="K249" s="230" t="n">
        <v>32.45</v>
      </c>
      <c r="L249" s="230" t="n">
        <v>32.13</v>
      </c>
      <c r="M249" s="231" t="n">
        <v>32.23</v>
      </c>
    </row>
    <row r="250" ht="17.25" customHeight="1" thickBot="1">
      <c r="I250" s="229" t="n">
        <v>45573</v>
      </c>
      <c r="J250" s="230" t="n">
        <v>31.82</v>
      </c>
      <c r="K250" s="230" t="n">
        <v>32.49</v>
      </c>
      <c r="L250" s="230" t="n">
        <v>32.17</v>
      </c>
      <c r="M250" s="231" t="n">
        <v>32.27</v>
      </c>
    </row>
    <row r="251" ht="17.25" customHeight="1" thickBot="1">
      <c r="I251" s="229" t="n">
        <v>45572</v>
      </c>
      <c r="J251" s="230" t="n">
        <v>31.73</v>
      </c>
      <c r="K251" s="230" t="n">
        <v>32.4</v>
      </c>
      <c r="L251" s="230" t="n">
        <v>32.08</v>
      </c>
      <c r="M251" s="231" t="n">
        <v>32.18</v>
      </c>
    </row>
    <row r="252" ht="17.25" customHeight="1" thickBot="1">
      <c r="I252" s="229" t="n">
        <v>45569</v>
      </c>
      <c r="J252" s="230" t="n">
        <v>31.56</v>
      </c>
      <c r="K252" s="230" t="n">
        <v>32.23</v>
      </c>
      <c r="L252" s="230" t="n">
        <v>31.91</v>
      </c>
      <c r="M252" s="231" t="n">
        <v>32.01</v>
      </c>
    </row>
    <row r="253" ht="17.25" customHeight="1" thickBot="1">
      <c r="I253" s="229" t="n">
        <v>45566</v>
      </c>
      <c r="J253" s="230" t="n">
        <v>31.44</v>
      </c>
      <c r="K253" s="230" t="n">
        <v>32.11</v>
      </c>
      <c r="L253" s="230" t="n">
        <v>31.79</v>
      </c>
      <c r="M253" s="231" t="n">
        <v>31.89</v>
      </c>
    </row>
    <row r="254" ht="17.25" customHeight="1" thickBot="1">
      <c r="I254" s="229" t="n">
        <v>45565</v>
      </c>
      <c r="J254" s="230" t="n">
        <v>31.25</v>
      </c>
      <c r="K254" s="230" t="n">
        <v>31.92</v>
      </c>
      <c r="L254" s="230" t="n">
        <v>31.6</v>
      </c>
      <c r="M254" s="231" t="n">
        <v>31.7</v>
      </c>
    </row>
    <row r="255" ht="17.25" customHeight="1" thickBot="1">
      <c r="I255" s="229" t="n">
        <v>45562</v>
      </c>
      <c r="J255" s="230" t="n">
        <v>31.29</v>
      </c>
      <c r="K255" s="230" t="n">
        <v>31.96</v>
      </c>
      <c r="L255" s="230" t="n">
        <v>31.64</v>
      </c>
      <c r="M255" s="231" t="n">
        <v>31.74</v>
      </c>
    </row>
    <row r="256" ht="17.25" customHeight="1" thickBot="1">
      <c r="I256" s="229" t="n">
        <v>45561</v>
      </c>
      <c r="J256" s="230" t="n">
        <v>31.465</v>
      </c>
      <c r="K256" s="230" t="n">
        <v>32.135</v>
      </c>
      <c r="L256" s="230" t="n">
        <v>31.815</v>
      </c>
      <c r="M256" s="231" t="n">
        <v>31.915</v>
      </c>
    </row>
    <row r="257" ht="17.25" customHeight="1" thickBot="1">
      <c r="I257" s="229" t="n">
        <v>45560</v>
      </c>
      <c r="J257" s="230" t="n">
        <v>31.44</v>
      </c>
      <c r="K257" s="230" t="n">
        <v>32.11</v>
      </c>
      <c r="L257" s="230" t="n">
        <v>31.79</v>
      </c>
      <c r="M257" s="231" t="n">
        <v>31.89</v>
      </c>
    </row>
    <row r="258" ht="17.25" customHeight="1" thickBot="1">
      <c r="I258" s="229" t="n">
        <v>45559</v>
      </c>
      <c r="J258" s="230" t="n">
        <v>31.57</v>
      </c>
      <c r="K258" s="230" t="n">
        <v>32.24</v>
      </c>
      <c r="L258" s="230" t="n">
        <v>31.92</v>
      </c>
      <c r="M258" s="231" t="n">
        <v>32.02</v>
      </c>
    </row>
    <row r="259" ht="17.25" customHeight="1" thickBot="1">
      <c r="I259" s="229" t="n">
        <v>45558</v>
      </c>
      <c r="J259" s="230" t="n">
        <v>31.635</v>
      </c>
      <c r="K259" s="230" t="n">
        <v>32.305</v>
      </c>
      <c r="L259" s="230" t="n">
        <v>31.985</v>
      </c>
      <c r="M259" s="231" t="n">
        <v>32.085</v>
      </c>
    </row>
    <row r="260" ht="17.25" customHeight="1" thickBot="1">
      <c r="I260" s="229" t="n">
        <v>45555</v>
      </c>
      <c r="J260" s="230" t="n">
        <v>31.565</v>
      </c>
      <c r="K260" s="230" t="n">
        <v>32.235</v>
      </c>
      <c r="L260" s="230" t="n">
        <v>31.915</v>
      </c>
      <c r="M260" s="231" t="n">
        <v>32.015</v>
      </c>
    </row>
    <row r="261" ht="17.25" customHeight="1" thickBot="1">
      <c r="I261" s="229" t="n">
        <v>45554</v>
      </c>
      <c r="J261" s="230" t="n">
        <v>31.535</v>
      </c>
      <c r="K261" s="230" t="n">
        <v>32.205</v>
      </c>
      <c r="L261" s="230" t="n">
        <v>31.885</v>
      </c>
      <c r="M261" s="231" t="n">
        <v>31.985</v>
      </c>
    </row>
    <row r="262" ht="17.25" customHeight="1" thickBot="1">
      <c r="I262" s="229" t="n">
        <v>45553</v>
      </c>
      <c r="J262" s="230" t="n">
        <v>31.54</v>
      </c>
      <c r="K262" s="230" t="n">
        <v>32.21</v>
      </c>
      <c r="L262" s="230" t="n">
        <v>31.89</v>
      </c>
      <c r="M262" s="231" t="n">
        <v>31.99</v>
      </c>
    </row>
    <row r="263" ht="17.25" customHeight="1" thickBot="1">
      <c r="I263" s="229" t="n">
        <v>45551</v>
      </c>
      <c r="J263" s="230" t="n">
        <v>31.51</v>
      </c>
      <c r="K263" s="230" t="n">
        <v>32.18</v>
      </c>
      <c r="L263" s="230" t="n">
        <v>31.86</v>
      </c>
      <c r="M263" s="231" t="n">
        <v>31.96</v>
      </c>
    </row>
    <row r="264" ht="17.25" customHeight="1" thickBot="1">
      <c r="I264" s="229" t="n">
        <v>45548</v>
      </c>
      <c r="J264" s="230" t="n">
        <v>31.595</v>
      </c>
      <c r="K264" s="230" t="n">
        <v>32.265</v>
      </c>
      <c r="L264" s="230" t="n">
        <v>31.945</v>
      </c>
      <c r="M264" s="231" t="n">
        <v>32.045</v>
      </c>
    </row>
    <row r="265" ht="17.25" customHeight="1" thickBot="1">
      <c r="I265" s="229" t="n">
        <v>45547</v>
      </c>
      <c r="J265" s="230" t="n">
        <v>31.73</v>
      </c>
      <c r="K265" s="230" t="n">
        <v>32.4</v>
      </c>
      <c r="L265" s="230" t="n">
        <v>32.08</v>
      </c>
      <c r="M265" s="231" t="n">
        <v>32.18</v>
      </c>
    </row>
    <row r="266" ht="17.25" customHeight="1" thickBot="1">
      <c r="I266" s="229" t="n">
        <v>45546</v>
      </c>
      <c r="J266" s="230" t="n">
        <v>31.725</v>
      </c>
      <c r="K266" s="230" t="n">
        <v>32.395</v>
      </c>
      <c r="L266" s="230" t="n">
        <v>32.075</v>
      </c>
      <c r="M266" s="231" t="n">
        <v>32.175</v>
      </c>
    </row>
    <row r="267" ht="17.25" customHeight="1" thickBot="1">
      <c r="I267" s="229" t="n">
        <v>45545</v>
      </c>
      <c r="J267" s="230" t="n">
        <v>31.78</v>
      </c>
      <c r="K267" s="230" t="n">
        <v>32.45</v>
      </c>
      <c r="L267" s="230" t="n">
        <v>32.13</v>
      </c>
      <c r="M267" s="231" t="n">
        <v>32.23</v>
      </c>
    </row>
    <row r="268" ht="17.25" customHeight="1" thickBot="1">
      <c r="I268" s="229" t="n">
        <v>45544</v>
      </c>
      <c r="J268" s="230" t="n">
        <v>31.69</v>
      </c>
      <c r="K268" s="230" t="n">
        <v>32.36</v>
      </c>
      <c r="L268" s="230" t="n">
        <v>32.04</v>
      </c>
      <c r="M268" s="231" t="n">
        <v>32.14</v>
      </c>
    </row>
    <row r="269" ht="17.25" customHeight="1" thickBot="1">
      <c r="I269" s="229" t="n">
        <v>45541</v>
      </c>
      <c r="J269" s="230" t="n">
        <v>31.53</v>
      </c>
      <c r="K269" s="230" t="n">
        <v>32.2</v>
      </c>
      <c r="L269" s="230" t="n">
        <v>31.88</v>
      </c>
      <c r="M269" s="231" t="n">
        <v>31.98</v>
      </c>
    </row>
    <row r="270" ht="17.25" customHeight="1" thickBot="1">
      <c r="I270" s="229" t="n">
        <v>45540</v>
      </c>
      <c r="J270" s="230" t="n">
        <v>31.67</v>
      </c>
      <c r="K270" s="230" t="n">
        <v>32.34</v>
      </c>
      <c r="L270" s="230" t="n">
        <v>32.02</v>
      </c>
      <c r="M270" s="231" t="n">
        <v>32.12</v>
      </c>
    </row>
    <row r="271" ht="17.25" customHeight="1" thickBot="1">
      <c r="I271" s="229" t="n">
        <v>45539</v>
      </c>
      <c r="J271" s="230" t="n">
        <v>31.79</v>
      </c>
      <c r="K271" s="230" t="n">
        <v>32.46</v>
      </c>
      <c r="L271" s="230" t="n">
        <v>32.14</v>
      </c>
      <c r="M271" s="231" t="n">
        <v>32.24</v>
      </c>
    </row>
    <row r="272" ht="17.25" customHeight="1" thickBot="1">
      <c r="I272" s="317" t="n">
        <v>45538</v>
      </c>
      <c r="J272" s="318" t="n">
        <v>31.66</v>
      </c>
      <c r="K272" s="318" t="n">
        <v>32.33</v>
      </c>
      <c r="L272" s="318" t="n">
        <v>32.01</v>
      </c>
      <c r="M272" s="319" t="n">
        <v>32.11</v>
      </c>
    </row>
    <row r="273" ht="17.25" customHeight="1" thickBot="1">
      <c r="I273" s="229" t="n">
        <v>45537</v>
      </c>
      <c r="J273" s="230" t="n">
        <v>31.62</v>
      </c>
      <c r="K273" s="230" t="n">
        <v>32.29</v>
      </c>
      <c r="L273" s="230" t="n">
        <v>31.97</v>
      </c>
      <c r="M273" s="231" t="n">
        <v>32.07</v>
      </c>
    </row>
    <row r="274" ht="17.25" customHeight="1" thickBot="1">
      <c r="I274" s="229" t="n">
        <v>45534</v>
      </c>
      <c r="J274" s="230" t="n">
        <v>31.54</v>
      </c>
      <c r="K274" s="230" t="n">
        <v>32.21</v>
      </c>
      <c r="L274" s="230" t="n">
        <v>31.89</v>
      </c>
      <c r="M274" s="231" t="n">
        <v>31.99</v>
      </c>
    </row>
    <row r="275" ht="17.25" customHeight="1" thickBot="1">
      <c r="I275" s="229" t="n">
        <v>45533</v>
      </c>
      <c r="J275" s="230" t="n">
        <v>31.51</v>
      </c>
      <c r="K275" s="230" t="n">
        <v>32.18</v>
      </c>
      <c r="L275" s="230" t="n">
        <v>31.86</v>
      </c>
      <c r="M275" s="231" t="n">
        <v>31.96</v>
      </c>
    </row>
    <row r="276" ht="17.25" customHeight="1" thickBot="1">
      <c r="I276" s="229" t="n">
        <v>45532</v>
      </c>
      <c r="J276" s="230" t="n">
        <v>31.55</v>
      </c>
      <c r="K276" s="230" t="n">
        <v>32.22</v>
      </c>
      <c r="L276" s="230" t="n">
        <v>31.9</v>
      </c>
      <c r="M276" s="231" t="n">
        <v>32</v>
      </c>
    </row>
    <row r="277" ht="17.25" customHeight="1" thickBot="1">
      <c r="I277" s="229" t="n">
        <v>45531</v>
      </c>
      <c r="J277" s="230" t="n">
        <v>31.53</v>
      </c>
      <c r="K277" s="230" t="n">
        <v>32.2</v>
      </c>
      <c r="L277" s="230" t="n">
        <v>31.88</v>
      </c>
      <c r="M277" s="231" t="n">
        <v>31.98</v>
      </c>
    </row>
    <row r="278" ht="17.25" customHeight="1" thickBot="1">
      <c r="I278" s="229" t="n">
        <v>45530</v>
      </c>
      <c r="J278" s="230" t="n">
        <v>31.41</v>
      </c>
      <c r="K278" s="230" t="n">
        <v>32.08</v>
      </c>
      <c r="L278" s="230" t="n">
        <v>31.76</v>
      </c>
      <c r="M278" s="231" t="n">
        <v>31.86</v>
      </c>
    </row>
    <row r="279" ht="17.25" customHeight="1" thickBot="1">
      <c r="I279" s="229" t="n">
        <v>45527</v>
      </c>
      <c r="J279" s="230" t="n">
        <v>31.56</v>
      </c>
      <c r="K279" s="230" t="n">
        <v>32.23</v>
      </c>
      <c r="L279" s="230" t="n">
        <v>31.91</v>
      </c>
      <c r="M279" s="231" t="n">
        <v>32.01</v>
      </c>
    </row>
    <row r="280" ht="17.25" customHeight="1" thickBot="1">
      <c r="I280" s="229" t="n">
        <v>45526</v>
      </c>
      <c r="J280" s="230" t="n">
        <v>31.565</v>
      </c>
      <c r="K280" s="230" t="n">
        <v>32.235</v>
      </c>
      <c r="L280" s="230" t="n">
        <v>31.915</v>
      </c>
      <c r="M280" s="231" t="n">
        <v>32.015</v>
      </c>
    </row>
    <row r="281" ht="17.25" customHeight="1" thickBot="1">
      <c r="I281" s="229" t="n">
        <v>45525</v>
      </c>
      <c r="J281" s="230" t="n">
        <v>31.535</v>
      </c>
      <c r="K281" s="230" t="n">
        <v>32.205</v>
      </c>
      <c r="L281" s="230" t="n">
        <v>31.885</v>
      </c>
      <c r="M281" s="231" t="n">
        <v>31.985</v>
      </c>
    </row>
    <row r="282" ht="17.25" customHeight="1" thickBot="1">
      <c r="I282" s="229" t="n">
        <v>45524</v>
      </c>
      <c r="J282" s="230" t="n">
        <v>31.58</v>
      </c>
      <c r="K282" s="230" t="n">
        <v>32.25</v>
      </c>
      <c r="L282" s="230" t="n">
        <v>31.93</v>
      </c>
      <c r="M282" s="231" t="n">
        <v>32.03</v>
      </c>
    </row>
    <row r="283" ht="17.25" customHeight="1" thickBot="1">
      <c r="I283" s="229" t="n">
        <v>45523</v>
      </c>
      <c r="J283" s="230" t="n">
        <v>31.625</v>
      </c>
      <c r="K283" s="230" t="n">
        <v>32.295</v>
      </c>
      <c r="L283" s="230" t="n">
        <v>31.975</v>
      </c>
      <c r="M283" s="231" t="n">
        <v>32.075</v>
      </c>
    </row>
    <row r="284" ht="17.25" customHeight="1" thickBot="1">
      <c r="I284" s="229" t="n">
        <v>45520</v>
      </c>
      <c r="J284" s="230" t="n">
        <v>31.88</v>
      </c>
      <c r="K284" s="230" t="n">
        <v>32.55</v>
      </c>
      <c r="L284" s="230" t="n">
        <v>32.23</v>
      </c>
      <c r="M284" s="231" t="n">
        <v>32.33</v>
      </c>
    </row>
    <row r="285" ht="17.25" customHeight="1" thickBot="1">
      <c r="I285" s="229" t="n">
        <v>45519</v>
      </c>
      <c r="J285" s="230" t="n">
        <v>31.88</v>
      </c>
      <c r="K285" s="230" t="n">
        <v>32.55</v>
      </c>
      <c r="L285" s="230" t="n">
        <v>32.23</v>
      </c>
      <c r="M285" s="231" t="n">
        <v>32.33</v>
      </c>
    </row>
    <row r="286" ht="17.25" customHeight="1" thickBot="1">
      <c r="I286" s="229" t="n">
        <v>45518</v>
      </c>
      <c r="J286" s="230" t="n">
        <v>31.9</v>
      </c>
      <c r="K286" s="230" t="n">
        <v>32.57</v>
      </c>
      <c r="L286" s="230" t="n">
        <v>32.25</v>
      </c>
      <c r="M286" s="231" t="n">
        <v>32.35</v>
      </c>
    </row>
    <row r="287" ht="17.25" customHeight="1" thickBot="1">
      <c r="I287" s="229" t="n">
        <v>45517</v>
      </c>
      <c r="J287" s="230" t="n">
        <v>32.075</v>
      </c>
      <c r="K287" s="230" t="n">
        <v>32.745</v>
      </c>
      <c r="L287" s="230" t="n">
        <v>32.425</v>
      </c>
      <c r="M287" s="231" t="n">
        <v>32.525</v>
      </c>
    </row>
    <row r="288" ht="17.25" customHeight="1" thickBot="1">
      <c r="I288" s="229" t="n">
        <v>45516</v>
      </c>
      <c r="J288" s="230" t="n">
        <v>32.06</v>
      </c>
      <c r="K288" s="230" t="n">
        <v>32.73</v>
      </c>
      <c r="L288" s="230" t="n">
        <v>32.41</v>
      </c>
      <c r="M288" s="231" t="n">
        <v>32.51</v>
      </c>
    </row>
    <row r="289" ht="17.25" customHeight="1" thickBot="1">
      <c r="I289" s="229" t="n">
        <v>45513</v>
      </c>
      <c r="J289" s="230" t="n">
        <v>32.03</v>
      </c>
      <c r="K289" s="230" t="n">
        <v>32.7</v>
      </c>
      <c r="L289" s="230" t="n">
        <v>32.38</v>
      </c>
      <c r="M289" s="231" t="n">
        <v>32.48</v>
      </c>
    </row>
    <row r="290" ht="17.25" customHeight="1" thickBot="1">
      <c r="I290" s="229" t="n">
        <v>45512</v>
      </c>
      <c r="J290" s="230" t="n">
        <v>32.17</v>
      </c>
      <c r="K290" s="230" t="n">
        <v>32.84</v>
      </c>
      <c r="L290" s="230" t="n">
        <v>32.52</v>
      </c>
      <c r="M290" s="231" t="n">
        <v>32.62</v>
      </c>
    </row>
    <row r="291" ht="17.25" customHeight="1" thickBot="1">
      <c r="I291" s="229" t="n">
        <v>45511</v>
      </c>
      <c r="J291" s="230" t="n">
        <v>32.285</v>
      </c>
      <c r="K291" s="230" t="n">
        <v>32.955</v>
      </c>
      <c r="L291" s="230" t="n">
        <v>32.635</v>
      </c>
      <c r="M291" s="231" t="n">
        <v>32.735</v>
      </c>
    </row>
    <row r="292" ht="17.25" customHeight="1" thickBot="1">
      <c r="I292" s="229" t="n">
        <v>45510</v>
      </c>
      <c r="J292" s="230" t="n">
        <v>32.29</v>
      </c>
      <c r="K292" s="230" t="n">
        <v>32.96</v>
      </c>
      <c r="L292" s="230" t="n">
        <v>32.64</v>
      </c>
      <c r="M292" s="231" t="n">
        <v>32.74</v>
      </c>
    </row>
    <row r="293" ht="17.25" customHeight="1" thickBot="1">
      <c r="I293" s="229" t="n">
        <v>45509</v>
      </c>
      <c r="J293" s="230" t="n">
        <v>32.245</v>
      </c>
      <c r="K293" s="230" t="n">
        <v>32.915</v>
      </c>
      <c r="L293" s="230" t="n">
        <v>32.595</v>
      </c>
      <c r="M293" s="231" t="n">
        <v>32.695</v>
      </c>
    </row>
    <row r="294" ht="17.25" customHeight="1" thickBot="1">
      <c r="I294" s="229" t="n">
        <v>45506</v>
      </c>
      <c r="J294" s="230" t="n">
        <v>32.415</v>
      </c>
      <c r="K294" s="230" t="n">
        <v>33.085</v>
      </c>
      <c r="L294" s="230" t="n">
        <v>32.765</v>
      </c>
      <c r="M294" s="231" t="n">
        <v>32.865</v>
      </c>
    </row>
    <row r="295" ht="17.25" customHeight="1" thickBot="1">
      <c r="I295" s="229" t="n">
        <v>45505</v>
      </c>
      <c r="J295" s="230" t="n">
        <v>32.375</v>
      </c>
      <c r="K295" s="230" t="n">
        <v>33.045</v>
      </c>
      <c r="L295" s="230" t="n">
        <v>32.725</v>
      </c>
      <c r="M295" s="231" t="n">
        <v>32.825</v>
      </c>
    </row>
    <row r="296" ht="17.25" customHeight="1" thickBot="1">
      <c r="I296" s="229" t="n">
        <v>45504</v>
      </c>
      <c r="J296" s="230" t="n">
        <v>32.435</v>
      </c>
      <c r="K296" s="230" t="n">
        <v>33.105</v>
      </c>
      <c r="L296" s="230" t="n">
        <v>32.785</v>
      </c>
      <c r="M296" s="231" t="n">
        <v>32.885</v>
      </c>
    </row>
    <row r="297" ht="17.25" customHeight="1" thickBot="1">
      <c r="I297" s="229" t="n">
        <v>45503</v>
      </c>
      <c r="J297" s="230" t="n">
        <v>32.45</v>
      </c>
      <c r="K297" s="230" t="n">
        <v>33.12</v>
      </c>
      <c r="L297" s="230" t="n">
        <v>32.8</v>
      </c>
      <c r="M297" s="231" t="n">
        <v>32.9</v>
      </c>
    </row>
    <row r="298" ht="17.25" customHeight="1" thickBot="1">
      <c r="I298" s="229" t="n">
        <v>45502</v>
      </c>
      <c r="J298" s="230" t="n">
        <v>32.47</v>
      </c>
      <c r="K298" s="230" t="n">
        <v>33.14</v>
      </c>
      <c r="L298" s="230" t="n">
        <v>32.82</v>
      </c>
      <c r="M298" s="231" t="n">
        <v>32.92</v>
      </c>
    </row>
    <row r="299" ht="17.25" customHeight="1" thickBot="1">
      <c r="I299" s="229" t="n">
        <v>45499</v>
      </c>
      <c r="J299" s="230" t="n">
        <v>32.43</v>
      </c>
      <c r="K299" s="230" t="n">
        <v>33.1</v>
      </c>
      <c r="L299" s="230" t="n">
        <v>32.78</v>
      </c>
      <c r="M299" s="231" t="n">
        <v>32.88</v>
      </c>
    </row>
    <row r="300" ht="17.25" customHeight="1" thickBot="1">
      <c r="I300" s="229" t="n">
        <v>45497</v>
      </c>
      <c r="J300" s="230" t="n">
        <v>32.43</v>
      </c>
      <c r="K300" s="230" t="n">
        <v>33.1</v>
      </c>
      <c r="L300" s="230" t="n">
        <v>32.78</v>
      </c>
      <c r="M300" s="231" t="n">
        <v>32.88</v>
      </c>
    </row>
    <row r="301" ht="17.25" customHeight="1" thickBot="1">
      <c r="I301" s="229" t="n">
        <v>45496</v>
      </c>
      <c r="J301" s="230" t="n">
        <v>32.44</v>
      </c>
      <c r="K301" s="230" t="n">
        <v>33.11</v>
      </c>
      <c r="L301" s="230" t="n">
        <v>32.79</v>
      </c>
      <c r="M301" s="231" t="n">
        <v>32.89</v>
      </c>
    </row>
    <row r="302" ht="17.25" customHeight="1" thickBot="1">
      <c r="I302" s="317" t="n">
        <v>45495</v>
      </c>
      <c r="J302" s="318" t="n">
        <v>32.45</v>
      </c>
      <c r="K302" s="318" t="n">
        <v>33.12</v>
      </c>
      <c r="L302" s="318" t="n">
        <v>32.8</v>
      </c>
      <c r="M302" s="319" t="n">
        <v>32.9</v>
      </c>
    </row>
    <row r="303" ht="17.25" customHeight="1" thickBot="1">
      <c r="I303" s="229" t="n">
        <v>45492</v>
      </c>
      <c r="J303" s="230" t="n">
        <v>32.33</v>
      </c>
      <c r="K303" s="230" t="n">
        <v>33</v>
      </c>
      <c r="L303" s="230" t="n">
        <v>32.68</v>
      </c>
      <c r="M303" s="231" t="n">
        <v>32.78</v>
      </c>
    </row>
    <row r="304" ht="17.25" customHeight="1" thickBot="1">
      <c r="I304" s="229" t="n">
        <v>45491</v>
      </c>
      <c r="J304" s="230" t="n">
        <v>32.205</v>
      </c>
      <c r="K304" s="230" t="n">
        <v>32.875</v>
      </c>
      <c r="L304" s="230" t="n">
        <v>32.555</v>
      </c>
      <c r="M304" s="231" t="n">
        <v>32.655</v>
      </c>
    </row>
    <row r="305" ht="17.25" customHeight="1" thickBot="1">
      <c r="I305" s="229" t="n">
        <v>45490</v>
      </c>
      <c r="J305" s="230" t="n">
        <v>32.215</v>
      </c>
      <c r="K305" s="230" t="n">
        <v>32.885</v>
      </c>
      <c r="L305" s="230" t="n">
        <v>32.565</v>
      </c>
      <c r="M305" s="231" t="n">
        <v>32.665</v>
      </c>
    </row>
    <row r="306" ht="17.25" customHeight="1" thickBot="1">
      <c r="I306" s="229" t="n">
        <v>45489</v>
      </c>
      <c r="J306" s="230" t="n">
        <v>32.225</v>
      </c>
      <c r="K306" s="230" t="n">
        <v>32.895</v>
      </c>
      <c r="L306" s="230" t="n">
        <v>32.575</v>
      </c>
      <c r="M306" s="231" t="n">
        <v>32.675</v>
      </c>
    </row>
    <row r="307" ht="17.25" customHeight="1" thickBot="1">
      <c r="I307" s="229" t="n">
        <v>45488</v>
      </c>
      <c r="J307" s="230" t="n">
        <v>32.175</v>
      </c>
      <c r="K307" s="230" t="n">
        <v>32.845</v>
      </c>
      <c r="L307" s="230" t="n">
        <v>32.525</v>
      </c>
      <c r="M307" s="231" t="n">
        <v>32.625</v>
      </c>
    </row>
    <row r="308" ht="17.25" customHeight="1" thickBot="1">
      <c r="I308" s="229" t="n">
        <v>45485</v>
      </c>
      <c r="J308" s="230" t="n">
        <v>32.16</v>
      </c>
      <c r="K308" s="230" t="n">
        <v>32.83</v>
      </c>
      <c r="L308" s="230" t="n">
        <v>32.51</v>
      </c>
      <c r="M308" s="231" t="n">
        <v>32.61</v>
      </c>
    </row>
    <row r="309" ht="17.25" customHeight="1" thickBot="1">
      <c r="I309" s="229" t="n">
        <v>45484</v>
      </c>
      <c r="J309" s="230" t="n">
        <v>32.11</v>
      </c>
      <c r="K309" s="230" t="n">
        <v>32.78</v>
      </c>
      <c r="L309" s="230" t="n">
        <v>32.46</v>
      </c>
      <c r="M309" s="231" t="n">
        <v>32.56</v>
      </c>
    </row>
    <row r="310" ht="17.25" customHeight="1" thickBot="1">
      <c r="I310" s="229" t="n">
        <v>45483</v>
      </c>
      <c r="J310" s="230" t="n">
        <v>32.185</v>
      </c>
      <c r="K310" s="230" t="n">
        <v>32.855</v>
      </c>
      <c r="L310" s="230" t="n">
        <v>32.535</v>
      </c>
      <c r="M310" s="231" t="n">
        <v>32.635</v>
      </c>
    </row>
    <row r="311" ht="17.25" customHeight="1" thickBot="1">
      <c r="I311" s="229" t="n">
        <v>45482</v>
      </c>
      <c r="J311" s="230" t="n">
        <v>32.15</v>
      </c>
      <c r="K311" s="230" t="n">
        <v>32.82</v>
      </c>
      <c r="L311" s="230" t="n">
        <v>32.5</v>
      </c>
      <c r="M311" s="231" t="n">
        <v>32.6</v>
      </c>
    </row>
    <row r="312" ht="17.25" customHeight="1" thickBot="1">
      <c r="I312" s="229" t="n">
        <v>45481</v>
      </c>
      <c r="J312" s="230" t="n">
        <v>32.095</v>
      </c>
      <c r="K312" s="230" t="n">
        <v>32.765</v>
      </c>
      <c r="L312" s="230" t="n">
        <v>32.445</v>
      </c>
      <c r="M312" s="231" t="n">
        <v>32.545</v>
      </c>
    </row>
    <row r="313" ht="17.25" customHeight="1" thickBot="1">
      <c r="I313" s="229" t="n">
        <v>45478</v>
      </c>
      <c r="J313" s="230" t="n">
        <v>32.075</v>
      </c>
      <c r="K313" s="230" t="n">
        <v>32.745</v>
      </c>
      <c r="L313" s="230" t="n">
        <v>32.425</v>
      </c>
      <c r="M313" s="231" t="n">
        <v>32.525</v>
      </c>
    </row>
    <row r="314" ht="17.25" customHeight="1" thickBot="1">
      <c r="I314" s="229" t="n">
        <v>45477</v>
      </c>
      <c r="J314" s="230" t="n">
        <v>32.075</v>
      </c>
      <c r="K314" s="230" t="n">
        <v>32.745</v>
      </c>
      <c r="L314" s="230" t="n">
        <v>32.425</v>
      </c>
      <c r="M314" s="231" t="n">
        <v>32.525</v>
      </c>
    </row>
    <row r="315" ht="17.25" customHeight="1" thickBot="1">
      <c r="I315" s="229" t="n">
        <v>45476</v>
      </c>
      <c r="J315" s="230" t="n">
        <v>32.23</v>
      </c>
      <c r="K315" s="230" t="n">
        <v>32.9</v>
      </c>
      <c r="L315" s="230" t="n">
        <v>32.58</v>
      </c>
      <c r="M315" s="231" t="n">
        <v>32.68</v>
      </c>
    </row>
    <row r="316" ht="17.25" customHeight="1" thickBot="1">
      <c r="I316" s="229" t="n">
        <v>45475</v>
      </c>
      <c r="J316" s="230" t="n">
        <v>32.22</v>
      </c>
      <c r="K316" s="230" t="n">
        <v>32.89</v>
      </c>
      <c r="L316" s="230" t="n">
        <v>32.57</v>
      </c>
      <c r="M316" s="231" t="n">
        <v>32.67</v>
      </c>
    </row>
    <row r="317" ht="17.25" customHeight="1" thickBot="1">
      <c r="I317" s="229" t="n">
        <v>45474</v>
      </c>
      <c r="J317" s="230" t="n">
        <v>32.145</v>
      </c>
      <c r="K317" s="230" t="n">
        <v>32.815</v>
      </c>
      <c r="L317" s="230" t="n">
        <v>32.495</v>
      </c>
      <c r="M317" s="231" t="n">
        <v>32.595</v>
      </c>
    </row>
    <row r="318" ht="17.25" customHeight="1" thickBot="1">
      <c r="I318" s="229" t="n">
        <v>45471</v>
      </c>
      <c r="J318" s="230" t="n">
        <v>32.05</v>
      </c>
      <c r="K318" s="230" t="n">
        <v>32.72</v>
      </c>
      <c r="L318" s="230" t="n">
        <v>32.4</v>
      </c>
      <c r="M318" s="231" t="n">
        <v>32.5</v>
      </c>
    </row>
    <row r="319" ht="17.25" customHeight="1" thickBot="1">
      <c r="I319" s="229" t="n">
        <v>45470</v>
      </c>
      <c r="J319" s="230" t="n">
        <v>32.13</v>
      </c>
      <c r="K319" s="230" t="n">
        <v>32.8</v>
      </c>
      <c r="L319" s="230" t="n">
        <v>32.48</v>
      </c>
      <c r="M319" s="231" t="n">
        <v>32.58</v>
      </c>
    </row>
    <row r="320" ht="17.25" customHeight="1" thickBot="1">
      <c r="I320" s="229" t="n">
        <v>45469</v>
      </c>
      <c r="J320" s="230" t="n">
        <v>32.15</v>
      </c>
      <c r="K320" s="230" t="n">
        <v>32.82</v>
      </c>
      <c r="L320" s="230" t="n">
        <v>32.5</v>
      </c>
      <c r="M320" s="231" t="n">
        <v>32.6</v>
      </c>
    </row>
    <row r="321" ht="17.25" customHeight="1" thickBot="1">
      <c r="I321" s="229" t="n">
        <v>45468</v>
      </c>
      <c r="J321" s="230" t="n">
        <v>32.045</v>
      </c>
      <c r="K321" s="230" t="n">
        <v>32.715</v>
      </c>
      <c r="L321" s="230" t="n">
        <v>32.395</v>
      </c>
      <c r="M321" s="231" t="n">
        <v>32.495</v>
      </c>
    </row>
    <row r="322" ht="17.25" customHeight="1" thickBot="1">
      <c r="I322" s="229" t="n">
        <v>45467</v>
      </c>
      <c r="J322" s="230" t="n">
        <v>31.99</v>
      </c>
      <c r="K322" s="230" t="n">
        <v>32.66</v>
      </c>
      <c r="L322" s="230" t="n">
        <v>32.34</v>
      </c>
      <c r="M322" s="231" t="n">
        <v>32.44</v>
      </c>
    </row>
    <row r="323" ht="17.25" customHeight="1" thickBot="1">
      <c r="I323" s="229" t="n">
        <v>45464</v>
      </c>
      <c r="J323" s="230" t="n">
        <v>31.97</v>
      </c>
      <c r="K323" s="230" t="n">
        <v>32.64</v>
      </c>
      <c r="L323" s="230" t="n">
        <v>32.32</v>
      </c>
      <c r="M323" s="231" t="n">
        <v>32.42</v>
      </c>
    </row>
    <row r="324" ht="17.25" customHeight="1" thickBot="1">
      <c r="I324" s="229" t="n">
        <v>45463</v>
      </c>
      <c r="J324" s="230" t="n">
        <v>31.925</v>
      </c>
      <c r="K324" s="230" t="n">
        <v>32.595</v>
      </c>
      <c r="L324" s="230" t="n">
        <v>32.275</v>
      </c>
      <c r="M324" s="231" t="n">
        <v>32.375</v>
      </c>
    </row>
    <row r="325" ht="17.25" customHeight="1" thickBot="1">
      <c r="I325" s="229" t="n">
        <v>45462</v>
      </c>
      <c r="J325" s="230" t="n">
        <v>31.955</v>
      </c>
      <c r="K325" s="230" t="n">
        <v>32.625</v>
      </c>
      <c r="L325" s="230" t="n">
        <v>32.305</v>
      </c>
      <c r="M325" s="231" t="n">
        <v>32.405</v>
      </c>
    </row>
    <row r="326" ht="17.25" customHeight="1" thickBot="1">
      <c r="I326" s="229" t="n">
        <v>45461</v>
      </c>
      <c r="J326" s="230" t="n">
        <v>31.995</v>
      </c>
      <c r="K326" s="230" t="n">
        <v>32.665</v>
      </c>
      <c r="L326" s="230" t="n">
        <v>32.345</v>
      </c>
      <c r="M326" s="231" t="n">
        <v>32.445</v>
      </c>
    </row>
    <row r="327" ht="17.25" customHeight="1" thickBot="1">
      <c r="I327" s="229" t="n">
        <v>45460</v>
      </c>
      <c r="J327" s="230" t="n">
        <v>31.985</v>
      </c>
      <c r="K327" s="230" t="n">
        <v>32.655</v>
      </c>
      <c r="L327" s="230" t="n">
        <v>32.335</v>
      </c>
      <c r="M327" s="231" t="n">
        <v>32.435</v>
      </c>
    </row>
    <row r="328" ht="17.25" customHeight="1" thickBot="1">
      <c r="I328" s="229" t="n">
        <v>45457</v>
      </c>
      <c r="J328" s="230" t="n">
        <v>31.945</v>
      </c>
      <c r="K328" s="230" t="n">
        <v>32.615</v>
      </c>
      <c r="L328" s="230" t="n">
        <v>32.295</v>
      </c>
      <c r="M328" s="231" t="n">
        <v>32.395</v>
      </c>
    </row>
    <row r="329" ht="17.25" customHeight="1" thickBot="1">
      <c r="I329" s="229" t="n">
        <v>45456</v>
      </c>
      <c r="J329" s="230" t="n">
        <v>31.93</v>
      </c>
      <c r="K329" s="230" t="n">
        <v>32.6</v>
      </c>
      <c r="L329" s="230" t="n">
        <v>32.28</v>
      </c>
      <c r="M329" s="231" t="n">
        <v>32.38</v>
      </c>
    </row>
    <row r="330" ht="17.25" customHeight="1" thickBot="1">
      <c r="I330" s="229" t="n">
        <v>45455</v>
      </c>
      <c r="J330" s="230" t="n">
        <v>31.985</v>
      </c>
      <c r="K330" s="230" t="n">
        <v>32.655</v>
      </c>
      <c r="L330" s="230" t="n">
        <v>32.335</v>
      </c>
      <c r="M330" s="231" t="n">
        <v>32.435</v>
      </c>
    </row>
    <row r="331" ht="17.25" customHeight="1" thickBot="1">
      <c r="I331" s="229" t="n">
        <v>45454</v>
      </c>
      <c r="J331" s="230" t="n">
        <v>31.995</v>
      </c>
      <c r="K331" s="230" t="n">
        <v>32.665</v>
      </c>
      <c r="L331" s="230" t="n">
        <v>32.345</v>
      </c>
      <c r="M331" s="231" t="n">
        <v>32.445</v>
      </c>
    </row>
    <row r="332" ht="17.25" customHeight="1" thickBot="1">
      <c r="I332" s="229" t="n">
        <v>45450</v>
      </c>
      <c r="J332" s="230" t="n">
        <v>31.85</v>
      </c>
      <c r="K332" s="230" t="n">
        <v>32.52</v>
      </c>
      <c r="L332" s="230" t="n">
        <v>32.2</v>
      </c>
      <c r="M332" s="231" t="n">
        <v>32.3</v>
      </c>
    </row>
    <row r="333" ht="17.25" customHeight="1" thickBot="1">
      <c r="I333" s="229" t="n">
        <v>45449</v>
      </c>
      <c r="J333" s="230" t="n">
        <v>31.87</v>
      </c>
      <c r="K333" s="230" t="n">
        <v>32.54</v>
      </c>
      <c r="L333" s="230" t="n">
        <v>32.22</v>
      </c>
      <c r="M333" s="231" t="n">
        <v>32.32</v>
      </c>
    </row>
    <row r="334" ht="17.25" customHeight="1" thickBot="1">
      <c r="I334" s="229" t="n">
        <v>45448</v>
      </c>
      <c r="J334" s="230" t="n">
        <v>31.94</v>
      </c>
      <c r="K334" s="230" t="n">
        <v>32.61</v>
      </c>
      <c r="L334" s="230" t="n">
        <v>32.29</v>
      </c>
      <c r="M334" s="231" t="n">
        <v>32.39</v>
      </c>
    </row>
    <row r="335" ht="17.25" customHeight="1" thickBot="1">
      <c r="I335" s="229" t="n">
        <v>45447</v>
      </c>
      <c r="J335" s="230" t="n">
        <v>31.995</v>
      </c>
      <c r="K335" s="230" t="n">
        <v>32.665</v>
      </c>
      <c r="L335" s="230" t="n">
        <v>32.345</v>
      </c>
      <c r="M335" s="231" t="n">
        <v>32.445</v>
      </c>
    </row>
    <row r="336" ht="17.25" customHeight="1" thickBot="1">
      <c r="I336" s="229" t="n">
        <v>45446</v>
      </c>
      <c r="J336" s="230" t="n">
        <v>31.995</v>
      </c>
      <c r="K336" s="230" t="n">
        <v>32.665</v>
      </c>
      <c r="L336" s="230" t="n">
        <v>32.345</v>
      </c>
      <c r="M336" s="231" t="n">
        <v>32.445</v>
      </c>
    </row>
    <row r="337" ht="17.25" customHeight="1" thickBot="1">
      <c r="I337" s="229" t="n">
        <v>45443</v>
      </c>
      <c r="J337" s="230" t="n">
        <v>32</v>
      </c>
      <c r="K337" s="230" t="n">
        <v>32.67</v>
      </c>
      <c r="L337" s="230" t="n">
        <v>32.35</v>
      </c>
      <c r="M337" s="231" t="n">
        <v>32.45</v>
      </c>
    </row>
    <row r="338" ht="17.25" customHeight="1" thickBot="1">
      <c r="I338" s="229" t="n">
        <v>45442</v>
      </c>
      <c r="J338" s="230" t="n">
        <v>32.04</v>
      </c>
      <c r="K338" s="230" t="n">
        <v>32.71</v>
      </c>
      <c r="L338" s="230" t="n">
        <v>32.39</v>
      </c>
      <c r="M338" s="231" t="n">
        <v>32.49</v>
      </c>
    </row>
    <row r="339" ht="17.25" customHeight="1" thickBot="1">
      <c r="I339" s="229" t="n">
        <v>45441</v>
      </c>
      <c r="J339" s="230" t="n">
        <v>31.895</v>
      </c>
      <c r="K339" s="230" t="n">
        <v>32.565</v>
      </c>
      <c r="L339" s="230" t="n">
        <v>32.245</v>
      </c>
      <c r="M339" s="231" t="n">
        <v>32.345</v>
      </c>
    </row>
    <row r="340" ht="17.25" customHeight="1" thickBot="1">
      <c r="I340" s="232" t="n">
        <v>45440</v>
      </c>
      <c r="J340" s="233" t="n">
        <v>31.77</v>
      </c>
      <c r="K340" s="233" t="n">
        <v>32.44</v>
      </c>
      <c r="L340" s="233" t="n">
        <v>32.12</v>
      </c>
      <c r="M340" s="234" t="n">
        <v>32.22</v>
      </c>
    </row>
    <row r="341" ht="17.25" customHeight="1" thickBot="1">
      <c r="I341" s="235" t="n">
        <v>45439</v>
      </c>
      <c r="J341" s="236" t="n">
        <v>31.78</v>
      </c>
      <c r="K341" s="236" t="n">
        <v>32.45</v>
      </c>
      <c r="L341" s="236" t="n">
        <v>32.13</v>
      </c>
      <c r="M341" s="237" t="n">
        <v>32.23</v>
      </c>
    </row>
    <row r="342" ht="17.25" customHeight="1" thickBot="1">
      <c r="I342" s="229" t="n">
        <v>45436</v>
      </c>
      <c r="J342" s="230" t="n">
        <v>31.865</v>
      </c>
      <c r="K342" s="230" t="n">
        <v>32.535</v>
      </c>
      <c r="L342" s="230" t="n">
        <v>32.215</v>
      </c>
      <c r="M342" s="231" t="n">
        <v>32.315</v>
      </c>
    </row>
    <row r="343" ht="17.25" customHeight="1" thickBot="1">
      <c r="I343" s="229" t="n">
        <v>45435</v>
      </c>
      <c r="J343" s="230" t="n">
        <v>31.84</v>
      </c>
      <c r="K343" s="230" t="n">
        <v>32.51</v>
      </c>
      <c r="L343" s="230" t="n">
        <v>32.19</v>
      </c>
      <c r="M343" s="231" t="n">
        <v>32.29</v>
      </c>
    </row>
    <row r="344" ht="17.25" customHeight="1" thickBot="1">
      <c r="I344" s="229" t="n">
        <v>45434</v>
      </c>
      <c r="J344" s="230" t="n">
        <v>31.875</v>
      </c>
      <c r="K344" s="230" t="n">
        <v>32.545</v>
      </c>
      <c r="L344" s="230" t="n">
        <v>32.225</v>
      </c>
      <c r="M344" s="231" t="n">
        <v>32.325</v>
      </c>
    </row>
    <row r="345" ht="17.25" customHeight="1" thickBot="1">
      <c r="I345" s="229" t="n">
        <v>45433</v>
      </c>
      <c r="J345" s="230" t="n">
        <v>31.89</v>
      </c>
      <c r="K345" s="230" t="n">
        <v>32.56</v>
      </c>
      <c r="L345" s="230" t="n">
        <v>32.24</v>
      </c>
      <c r="M345" s="231" t="n">
        <v>32.34</v>
      </c>
    </row>
    <row r="346" ht="17.25" customHeight="1" thickBot="1">
      <c r="I346" s="229" t="n">
        <v>45432</v>
      </c>
      <c r="J346" s="230" t="n">
        <v>31.835</v>
      </c>
      <c r="K346" s="230" t="n">
        <v>32.505</v>
      </c>
      <c r="L346" s="230" t="n">
        <v>32.185</v>
      </c>
      <c r="M346" s="231" t="n">
        <v>32.285</v>
      </c>
    </row>
    <row r="347" ht="17.25" customHeight="1" thickBot="1">
      <c r="I347" s="229" t="n">
        <v>45429</v>
      </c>
      <c r="J347" s="230" t="n">
        <v>31.81</v>
      </c>
      <c r="K347" s="230" t="n">
        <v>32.48</v>
      </c>
      <c r="L347" s="230" t="n">
        <v>32.16</v>
      </c>
      <c r="M347" s="231" t="n">
        <v>32.26</v>
      </c>
    </row>
    <row r="348" ht="17.25" customHeight="1" thickBot="1">
      <c r="I348" s="229" t="n">
        <v>45428</v>
      </c>
      <c r="J348" s="230" t="n">
        <v>31.705</v>
      </c>
      <c r="K348" s="230" t="n">
        <v>32.375</v>
      </c>
      <c r="L348" s="230" t="n">
        <v>32.055</v>
      </c>
      <c r="M348" s="231" t="n">
        <v>32.155</v>
      </c>
    </row>
    <row r="349" ht="17.25" customHeight="1" thickBot="1">
      <c r="I349" s="229" t="n">
        <v>45427</v>
      </c>
      <c r="J349" s="230" t="n">
        <v>31.905</v>
      </c>
      <c r="K349" s="230" t="n">
        <v>32.575</v>
      </c>
      <c r="L349" s="230" t="n">
        <v>32.255</v>
      </c>
      <c r="M349" s="231" t="n">
        <v>32.355</v>
      </c>
    </row>
    <row r="350" ht="17.25" customHeight="1" thickBot="1">
      <c r="I350" s="229" t="n">
        <v>45426</v>
      </c>
      <c r="J350" s="230" t="n">
        <v>32.015</v>
      </c>
      <c r="K350" s="230" t="n">
        <v>32.685</v>
      </c>
      <c r="L350" s="230" t="n">
        <v>32.365</v>
      </c>
      <c r="M350" s="231" t="n">
        <v>32.465</v>
      </c>
    </row>
    <row r="351" ht="17.25" customHeight="1" thickBot="1">
      <c r="I351" s="229" t="n">
        <v>45425</v>
      </c>
      <c r="J351" s="230" t="n">
        <v>32.015</v>
      </c>
      <c r="K351" s="230" t="n">
        <v>32.685</v>
      </c>
      <c r="L351" s="230" t="n">
        <v>32.365</v>
      </c>
      <c r="M351" s="231" t="n">
        <v>32.465</v>
      </c>
    </row>
    <row r="352" ht="17.25" customHeight="1" thickBot="1">
      <c r="I352" s="229" t="n">
        <v>45422</v>
      </c>
      <c r="J352" s="230" t="n">
        <v>32.015</v>
      </c>
      <c r="K352" s="230" t="n">
        <v>32.685</v>
      </c>
      <c r="L352" s="230" t="n">
        <v>32.365</v>
      </c>
      <c r="M352" s="231" t="n">
        <v>32.465</v>
      </c>
    </row>
    <row r="353" ht="17.25" customHeight="1" thickBot="1">
      <c r="I353" s="229" t="n">
        <v>45421</v>
      </c>
      <c r="J353" s="230" t="n">
        <v>32.055</v>
      </c>
      <c r="K353" s="230" t="n">
        <v>32.725</v>
      </c>
      <c r="L353" s="230" t="n">
        <v>32.405</v>
      </c>
      <c r="M353" s="231" t="n">
        <v>32.505</v>
      </c>
    </row>
    <row r="354" ht="17.25" customHeight="1" thickBot="1">
      <c r="I354" s="229" t="n">
        <v>45420</v>
      </c>
      <c r="J354" s="230" t="n">
        <v>32.01</v>
      </c>
      <c r="K354" s="230" t="n">
        <v>32.68</v>
      </c>
      <c r="L354" s="230" t="n">
        <v>32.36</v>
      </c>
      <c r="M354" s="231" t="n">
        <v>32.46</v>
      </c>
    </row>
    <row r="355" ht="17.25" customHeight="1" thickBot="1">
      <c r="I355" s="229" t="n">
        <v>45419</v>
      </c>
      <c r="J355" s="230" t="n">
        <v>31.97</v>
      </c>
      <c r="K355" s="230" t="n">
        <v>32.64</v>
      </c>
      <c r="L355" s="230" t="n">
        <v>32.32</v>
      </c>
      <c r="M355" s="231" t="n">
        <v>32.42</v>
      </c>
    </row>
    <row r="356" ht="17.25" customHeight="1" thickBot="1">
      <c r="I356" s="229" t="n">
        <v>45418</v>
      </c>
      <c r="J356" s="230" t="n">
        <v>31.95</v>
      </c>
      <c r="K356" s="230" t="n">
        <v>32.62</v>
      </c>
      <c r="L356" s="230" t="n">
        <v>32.3</v>
      </c>
      <c r="M356" s="231" t="n">
        <v>32.4</v>
      </c>
    </row>
    <row r="357" ht="17.25" customHeight="1" thickBot="1">
      <c r="I357" s="229" t="n">
        <v>45415</v>
      </c>
      <c r="J357" s="230" t="n">
        <v>31.975</v>
      </c>
      <c r="K357" s="230" t="n">
        <v>32.645</v>
      </c>
      <c r="L357" s="230" t="n">
        <v>32.325</v>
      </c>
      <c r="M357" s="231" t="n">
        <v>32.425</v>
      </c>
    </row>
    <row r="358" ht="17.25" customHeight="1" thickBot="1">
      <c r="I358" s="229" t="n">
        <v>45414</v>
      </c>
      <c r="J358" s="230" t="n">
        <v>32.1</v>
      </c>
      <c r="K358" s="230" t="n">
        <v>32.77</v>
      </c>
      <c r="L358" s="230" t="n">
        <v>32.45</v>
      </c>
      <c r="M358" s="231" t="n">
        <v>32.55</v>
      </c>
    </row>
    <row r="359" ht="17.25" customHeight="1" thickBot="1">
      <c r="I359" s="229" t="n">
        <v>45412</v>
      </c>
      <c r="J359" s="230" t="n">
        <v>32.145</v>
      </c>
      <c r="K359" s="230" t="n">
        <v>32.815</v>
      </c>
      <c r="L359" s="230" t="n">
        <v>32.495</v>
      </c>
      <c r="M359" s="231" t="n">
        <v>32.595</v>
      </c>
    </row>
    <row r="360" ht="17.25" customHeight="1" thickBot="1">
      <c r="I360" s="229" t="n">
        <v>45411</v>
      </c>
      <c r="J360" s="230" t="n">
        <v>32.16</v>
      </c>
      <c r="K360" s="230" t="n">
        <v>32.83</v>
      </c>
      <c r="L360" s="230" t="n">
        <v>32.51</v>
      </c>
      <c r="M360" s="231" t="n">
        <v>32.61</v>
      </c>
    </row>
    <row r="361" ht="17.25" customHeight="1" thickBot="1">
      <c r="I361" s="229" t="n">
        <v>45408</v>
      </c>
      <c r="J361" s="230" t="n">
        <v>32.17</v>
      </c>
      <c r="K361" s="230" t="n">
        <v>32.84</v>
      </c>
      <c r="L361" s="230" t="n">
        <v>32.52</v>
      </c>
      <c r="M361" s="231" t="n">
        <v>32.62</v>
      </c>
    </row>
    <row r="362" ht="17.25" customHeight="1" thickBot="1">
      <c r="I362" s="229" t="n">
        <v>45407</v>
      </c>
      <c r="J362" s="230" t="n">
        <v>32.18</v>
      </c>
      <c r="K362" s="230" t="n">
        <v>32.85</v>
      </c>
      <c r="L362" s="230" t="n">
        <v>32.53</v>
      </c>
      <c r="M362" s="231" t="n">
        <v>32.63</v>
      </c>
    </row>
    <row r="363" ht="17.25" customHeight="1" thickBot="1">
      <c r="I363" s="229" t="n">
        <v>45406</v>
      </c>
      <c r="J363" s="230" t="n">
        <v>32.135</v>
      </c>
      <c r="K363" s="230" t="n">
        <v>32.805</v>
      </c>
      <c r="L363" s="230" t="n">
        <v>32.485</v>
      </c>
      <c r="M363" s="231" t="n">
        <v>32.585</v>
      </c>
    </row>
    <row r="364" ht="17.25" customHeight="1" thickBot="1">
      <c r="I364" s="229" t="n">
        <v>45405</v>
      </c>
      <c r="J364" s="230" t="n">
        <v>32.195</v>
      </c>
      <c r="K364" s="230" t="n">
        <v>32.865</v>
      </c>
      <c r="L364" s="230" t="n">
        <v>32.545</v>
      </c>
      <c r="M364" s="231" t="n">
        <v>32.645</v>
      </c>
    </row>
    <row r="365" ht="17.25" customHeight="1" thickBot="1">
      <c r="I365" s="229" t="n">
        <v>45404</v>
      </c>
      <c r="J365" s="230" t="n">
        <v>32.24</v>
      </c>
      <c r="K365" s="230" t="n">
        <v>32.91</v>
      </c>
      <c r="L365" s="230" t="n">
        <v>32.59</v>
      </c>
      <c r="M365" s="231" t="n">
        <v>32.69</v>
      </c>
    </row>
    <row r="366" ht="17.25" customHeight="1" thickBot="1">
      <c r="I366" s="229" t="n">
        <v>45401</v>
      </c>
      <c r="J366" s="230" t="n">
        <v>32.115</v>
      </c>
      <c r="K366" s="230" t="n">
        <v>32.785</v>
      </c>
      <c r="L366" s="230" t="n">
        <v>32.465</v>
      </c>
      <c r="M366" s="231" t="n">
        <v>32.565</v>
      </c>
    </row>
    <row r="367" ht="17.25" customHeight="1" thickBot="1">
      <c r="I367" s="229" t="n">
        <v>45400</v>
      </c>
      <c r="J367" s="230" t="n">
        <v>31.975</v>
      </c>
      <c r="K367" s="230" t="n">
        <v>32.645</v>
      </c>
      <c r="L367" s="230" t="n">
        <v>32.325</v>
      </c>
      <c r="M367" s="231" t="n">
        <v>32.425</v>
      </c>
    </row>
    <row r="368" ht="17.25" customHeight="1" thickBot="1">
      <c r="I368" s="229" t="n">
        <v>45399</v>
      </c>
      <c r="J368" s="230" t="n">
        <v>32.09</v>
      </c>
      <c r="K368" s="230" t="n">
        <v>32.76</v>
      </c>
      <c r="L368" s="230" t="n">
        <v>32.44</v>
      </c>
      <c r="M368" s="231" t="n">
        <v>32.54</v>
      </c>
    </row>
    <row r="369" ht="17.25" customHeight="1" thickBot="1">
      <c r="I369" s="229" t="n">
        <v>45398</v>
      </c>
      <c r="J369" s="230" t="n">
        <v>32.095</v>
      </c>
      <c r="K369" s="230" t="n">
        <v>32.765</v>
      </c>
      <c r="L369" s="230" t="n">
        <v>32.445</v>
      </c>
      <c r="M369" s="231" t="n">
        <v>32.545</v>
      </c>
    </row>
    <row r="370" ht="17.25" customHeight="1" thickBot="1">
      <c r="I370" s="232" t="n">
        <v>45397</v>
      </c>
      <c r="J370" s="233" t="n">
        <v>31.98</v>
      </c>
      <c r="K370" s="233" t="n">
        <v>32.65</v>
      </c>
      <c r="L370" s="233" t="n">
        <v>32.33</v>
      </c>
      <c r="M370" s="234" t="n">
        <v>32.43</v>
      </c>
    </row>
    <row r="371" ht="17.25" customHeight="1" thickBot="1">
      <c r="I371" s="229" t="n">
        <v>45394</v>
      </c>
      <c r="J371" s="230" t="n">
        <v>31.895</v>
      </c>
      <c r="K371" s="230" t="n">
        <v>32.565</v>
      </c>
      <c r="L371" s="230" t="n">
        <v>32.245</v>
      </c>
      <c r="M371" s="231" t="n">
        <v>32.345</v>
      </c>
    </row>
    <row r="372" ht="17.25" customHeight="1" thickBot="1">
      <c r="I372" s="229" t="n">
        <v>45393</v>
      </c>
      <c r="J372" s="230" t="n">
        <v>31.83</v>
      </c>
      <c r="K372" s="230" t="n">
        <v>32.5</v>
      </c>
      <c r="L372" s="230" t="n">
        <v>32.18</v>
      </c>
      <c r="M372" s="231" t="n">
        <v>32.28</v>
      </c>
    </row>
    <row r="373" ht="17.25" customHeight="1" thickBot="1">
      <c r="I373" s="229" t="n">
        <v>45392</v>
      </c>
      <c r="J373" s="230" t="n">
        <v>31.61</v>
      </c>
      <c r="K373" s="230" t="n">
        <v>32.28</v>
      </c>
      <c r="L373" s="230" t="n">
        <v>31.96</v>
      </c>
      <c r="M373" s="231" t="n">
        <v>32.06</v>
      </c>
    </row>
    <row r="374" ht="17.25" customHeight="1" thickBot="1">
      <c r="I374" s="229" t="n">
        <v>45391</v>
      </c>
      <c r="J374" s="230" t="n">
        <v>31.705</v>
      </c>
      <c r="K374" s="230" t="n">
        <v>32.375</v>
      </c>
      <c r="L374" s="230" t="n">
        <v>32.055</v>
      </c>
      <c r="M374" s="231" t="n">
        <v>32.155</v>
      </c>
    </row>
    <row r="375" ht="17.25" customHeight="1" thickBot="1">
      <c r="I375" s="229" t="n">
        <v>45390</v>
      </c>
      <c r="J375" s="230" t="n">
        <v>31.7</v>
      </c>
      <c r="K375" s="230" t="n">
        <v>32.37</v>
      </c>
      <c r="L375" s="230" t="n">
        <v>32.05</v>
      </c>
      <c r="M375" s="231" t="n">
        <v>32.15</v>
      </c>
    </row>
    <row r="376" ht="17.25" customHeight="1" thickBot="1">
      <c r="I376" s="229" t="n">
        <v>45385</v>
      </c>
      <c r="J376" s="230" t="n">
        <v>31.66</v>
      </c>
      <c r="K376" s="230" t="n">
        <v>32.33</v>
      </c>
      <c r="L376" s="230" t="n">
        <v>32.01</v>
      </c>
      <c r="M376" s="231" t="n">
        <v>32.11</v>
      </c>
    </row>
    <row r="377" ht="17.25" customHeight="1" thickBot="1">
      <c r="I377" s="229" t="n">
        <v>45384</v>
      </c>
      <c r="J377" s="230" t="n">
        <v>31.675</v>
      </c>
      <c r="K377" s="230" t="n">
        <v>32.345</v>
      </c>
      <c r="L377" s="230" t="n">
        <v>32.025</v>
      </c>
      <c r="M377" s="231" t="n">
        <v>32.125</v>
      </c>
    </row>
    <row r="378" ht="17.25" customHeight="1" thickBot="1">
      <c r="I378" s="229" t="n">
        <v>45383</v>
      </c>
      <c r="J378" s="230" t="n">
        <v>31.58</v>
      </c>
      <c r="K378" s="230" t="n">
        <v>32.25</v>
      </c>
      <c r="L378" s="230" t="n">
        <v>31.93</v>
      </c>
      <c r="M378" s="231" t="n">
        <v>32.03</v>
      </c>
    </row>
    <row r="379" ht="17.25" customHeight="1" thickBot="1">
      <c r="I379" s="229" t="n">
        <v>45380</v>
      </c>
      <c r="J379" s="230" t="n">
        <v>31.6</v>
      </c>
      <c r="K379" s="230" t="n">
        <v>32.27</v>
      </c>
      <c r="L379" s="230" t="n">
        <v>31.95</v>
      </c>
      <c r="M379" s="231" t="n">
        <v>32.05</v>
      </c>
    </row>
    <row r="380" ht="17.25" customHeight="1" thickBot="1">
      <c r="I380" s="229" t="n">
        <v>45379</v>
      </c>
      <c r="J380" s="230" t="n">
        <v>31.59</v>
      </c>
      <c r="K380" s="230" t="n">
        <v>32.26</v>
      </c>
      <c r="L380" s="230" t="n">
        <v>31.94</v>
      </c>
      <c r="M380" s="231" t="n">
        <v>32.04</v>
      </c>
    </row>
    <row r="381" ht="17.25" customHeight="1" thickBot="1">
      <c r="I381" s="229" t="n">
        <v>45378</v>
      </c>
      <c r="J381" s="230" t="n">
        <v>31.6</v>
      </c>
      <c r="K381" s="230" t="n">
        <v>32.27</v>
      </c>
      <c r="L381" s="230" t="n">
        <v>31.95</v>
      </c>
      <c r="M381" s="231" t="n">
        <v>32.05</v>
      </c>
    </row>
    <row r="382" ht="17.25" customHeight="1" thickBot="1">
      <c r="I382" s="229" t="n">
        <v>45377</v>
      </c>
      <c r="J382" s="230" t="n">
        <v>31.505</v>
      </c>
      <c r="K382" s="230" t="n">
        <v>32.175</v>
      </c>
      <c r="L382" s="230" t="n">
        <v>31.855</v>
      </c>
      <c r="M382" s="231" t="n">
        <v>31.955</v>
      </c>
    </row>
    <row r="383" ht="17.25" customHeight="1" thickBot="1">
      <c r="I383" s="229" t="n">
        <v>45376</v>
      </c>
      <c r="J383" s="230" t="n">
        <v>31.465</v>
      </c>
      <c r="K383" s="230" t="n">
        <v>32.135</v>
      </c>
      <c r="L383" s="230" t="n">
        <v>31.815</v>
      </c>
      <c r="M383" s="231" t="n">
        <v>31.915</v>
      </c>
    </row>
    <row r="384" ht="17.25" customHeight="1" thickBot="1">
      <c r="I384" s="229" t="n">
        <v>45373</v>
      </c>
      <c r="J384" s="230" t="n">
        <v>31.56</v>
      </c>
      <c r="K384" s="230" t="n">
        <v>32.23</v>
      </c>
      <c r="L384" s="230" t="n">
        <v>31.91</v>
      </c>
      <c r="M384" s="231" t="n">
        <v>32.01</v>
      </c>
    </row>
    <row r="385" ht="17.25" customHeight="1" thickBot="1">
      <c r="I385" s="229" t="n">
        <v>45372</v>
      </c>
      <c r="J385" s="230" t="n">
        <v>31.435</v>
      </c>
      <c r="K385" s="230" t="n">
        <v>32.105</v>
      </c>
      <c r="L385" s="230" t="n">
        <v>31.785</v>
      </c>
      <c r="M385" s="231" t="n">
        <v>31.885</v>
      </c>
    </row>
    <row r="386" ht="17.25" customHeight="1" thickBot="1">
      <c r="I386" s="229" t="n">
        <v>45371</v>
      </c>
      <c r="J386" s="230" t="n">
        <v>31.47</v>
      </c>
      <c r="K386" s="230" t="n">
        <v>32.14</v>
      </c>
      <c r="L386" s="230" t="n">
        <v>31.82</v>
      </c>
      <c r="M386" s="231" t="n">
        <v>31.92</v>
      </c>
    </row>
    <row r="387" ht="17.25" customHeight="1" thickBot="1">
      <c r="I387" s="229" t="n">
        <v>45370</v>
      </c>
      <c r="J387" s="230" t="n">
        <v>31.38</v>
      </c>
      <c r="K387" s="230" t="n">
        <v>32.05</v>
      </c>
      <c r="L387" s="230" t="n">
        <v>31.73</v>
      </c>
      <c r="M387" s="231" t="n">
        <v>31.83</v>
      </c>
    </row>
    <row r="388" ht="17.25" customHeight="1" thickBot="1">
      <c r="I388" s="229" t="n">
        <v>45369</v>
      </c>
      <c r="J388" s="230" t="n">
        <v>31.26</v>
      </c>
      <c r="K388" s="230" t="n">
        <v>31.93</v>
      </c>
      <c r="L388" s="230" t="n">
        <v>31.61</v>
      </c>
      <c r="M388" s="231" t="n">
        <v>31.71</v>
      </c>
    </row>
    <row r="389" ht="17.25" customHeight="1" thickBot="1">
      <c r="I389" s="229" t="n">
        <v>45366</v>
      </c>
      <c r="J389" s="230" t="n">
        <v>31.2</v>
      </c>
      <c r="K389" s="230" t="n">
        <v>31.87</v>
      </c>
      <c r="L389" s="230" t="n">
        <v>31.55</v>
      </c>
      <c r="M389" s="231" t="n">
        <v>31.65</v>
      </c>
    </row>
    <row r="390" ht="17.25" customHeight="1" thickBot="1">
      <c r="I390" s="229" t="n">
        <v>45365</v>
      </c>
      <c r="J390" s="230" t="n">
        <v>31.1</v>
      </c>
      <c r="K390" s="230" t="n">
        <v>31.77</v>
      </c>
      <c r="L390" s="230" t="n">
        <v>31.45</v>
      </c>
      <c r="M390" s="231" t="n">
        <v>31.55</v>
      </c>
    </row>
    <row r="391" ht="17.25" customHeight="1" thickBot="1">
      <c r="I391" s="229" t="n">
        <v>45364</v>
      </c>
      <c r="J391" s="230" t="n">
        <v>31.065</v>
      </c>
      <c r="K391" s="230" t="n">
        <v>31.735</v>
      </c>
      <c r="L391" s="230" t="n">
        <v>31.415</v>
      </c>
      <c r="M391" s="231" t="n">
        <v>31.515</v>
      </c>
    </row>
    <row r="392" ht="17.25" customHeight="1" thickBot="1">
      <c r="I392" s="229" t="n">
        <v>45363</v>
      </c>
      <c r="J392" s="230" t="n">
        <v>31.02</v>
      </c>
      <c r="K392" s="230" t="n">
        <v>31.69</v>
      </c>
      <c r="L392" s="230" t="n">
        <v>31.37</v>
      </c>
      <c r="M392" s="231" t="n">
        <v>31.47</v>
      </c>
    </row>
    <row r="393" ht="17.25" customHeight="1" thickBot="1">
      <c r="I393" s="229" t="n">
        <v>45362</v>
      </c>
      <c r="J393" s="230" t="n">
        <v>31.02</v>
      </c>
      <c r="K393" s="230" t="n">
        <v>31.69</v>
      </c>
      <c r="L393" s="230" t="n">
        <v>31.37</v>
      </c>
      <c r="M393" s="231" t="n">
        <v>31.47</v>
      </c>
    </row>
    <row r="394" ht="17.25" customHeight="1" thickBot="1">
      <c r="I394" s="229" t="n">
        <v>45359</v>
      </c>
      <c r="J394" s="230" t="n">
        <v>31.03</v>
      </c>
      <c r="K394" s="230" t="n">
        <v>31.7</v>
      </c>
      <c r="L394" s="230" t="n">
        <v>31.38</v>
      </c>
      <c r="M394" s="231" t="n">
        <v>31.48</v>
      </c>
    </row>
    <row r="395" ht="17.25" customHeight="1" thickBot="1">
      <c r="I395" s="229" t="n">
        <v>45358</v>
      </c>
      <c r="J395" s="230" t="n">
        <v>31.14</v>
      </c>
      <c r="K395" s="230" t="n">
        <v>31.81</v>
      </c>
      <c r="L395" s="230" t="n">
        <v>31.49</v>
      </c>
      <c r="M395" s="231" t="n">
        <v>31.59</v>
      </c>
    </row>
    <row r="396" ht="17.25" customHeight="1" thickBot="1">
      <c r="I396" s="229" t="n">
        <v>45357</v>
      </c>
      <c r="J396" s="230" t="n">
        <v>31.175</v>
      </c>
      <c r="K396" s="230" t="n">
        <v>31.845</v>
      </c>
      <c r="L396" s="230" t="n">
        <v>31.525</v>
      </c>
      <c r="M396" s="231" t="n">
        <v>31.625</v>
      </c>
    </row>
    <row r="397" ht="17.25" customHeight="1" thickBot="1">
      <c r="I397" s="229" t="n">
        <v>45356</v>
      </c>
      <c r="J397" s="230" t="n">
        <v>31.165</v>
      </c>
      <c r="K397" s="230" t="n">
        <v>31.835</v>
      </c>
      <c r="L397" s="230" t="n">
        <v>31.515</v>
      </c>
      <c r="M397" s="231" t="n">
        <v>31.615</v>
      </c>
    </row>
    <row r="398" ht="17.25" customHeight="1" thickBot="1">
      <c r="I398" s="229" t="n">
        <v>45355</v>
      </c>
      <c r="J398" s="230" t="n">
        <v>31.125</v>
      </c>
      <c r="K398" s="230" t="n">
        <v>31.795</v>
      </c>
      <c r="L398" s="230" t="n">
        <v>31.475</v>
      </c>
      <c r="M398" s="231" t="n">
        <v>31.575</v>
      </c>
    </row>
    <row r="399" ht="17.25" customHeight="1" thickBot="1">
      <c r="I399" s="229" t="n">
        <v>45352</v>
      </c>
      <c r="J399" s="230" t="n">
        <v>31.21</v>
      </c>
      <c r="K399" s="230" t="n">
        <v>31.88</v>
      </c>
      <c r="L399" s="230" t="n">
        <v>31.56</v>
      </c>
      <c r="M399" s="231" t="n">
        <v>31.66</v>
      </c>
    </row>
    <row r="400" ht="17.25" customHeight="1" thickBot="1">
      <c r="I400" s="232" t="n">
        <v>45351</v>
      </c>
      <c r="J400" s="233" t="n">
        <v>31.18</v>
      </c>
      <c r="K400" s="233" t="n">
        <v>31.85</v>
      </c>
      <c r="L400" s="233" t="n">
        <v>31.53</v>
      </c>
      <c r="M400" s="234" t="n">
        <v>31.63</v>
      </c>
    </row>
    <row r="401" ht="17.25" customHeight="1" thickBot="1">
      <c r="I401" s="229" t="n">
        <v>45349</v>
      </c>
      <c r="J401" s="230" t="n">
        <v>31.17</v>
      </c>
      <c r="K401" s="230" t="n">
        <v>31.84</v>
      </c>
      <c r="L401" s="230" t="n">
        <v>31.52</v>
      </c>
      <c r="M401" s="231" t="n">
        <v>31.62</v>
      </c>
    </row>
    <row r="402" ht="17.25" customHeight="1" thickBot="1">
      <c r="I402" s="229" t="n">
        <v>45348</v>
      </c>
      <c r="J402" s="230" t="n">
        <v>31.15</v>
      </c>
      <c r="K402" s="230" t="n">
        <v>31.82</v>
      </c>
      <c r="L402" s="230" t="n">
        <v>31.5</v>
      </c>
      <c r="M402" s="231" t="n">
        <v>31.6</v>
      </c>
    </row>
    <row r="403" ht="17.25" customHeight="1" thickBot="1">
      <c r="I403" s="229" t="n">
        <v>45345</v>
      </c>
      <c r="J403" s="230" t="n">
        <v>31.155</v>
      </c>
      <c r="K403" s="230" t="n">
        <v>31.825</v>
      </c>
      <c r="L403" s="230" t="n">
        <v>31.505</v>
      </c>
      <c r="M403" s="231" t="n">
        <v>31.605</v>
      </c>
    </row>
    <row r="404" ht="17.25" customHeight="1" thickBot="1">
      <c r="I404" s="229" t="n">
        <v>45344</v>
      </c>
      <c r="J404" s="230" t="n">
        <v>31.11</v>
      </c>
      <c r="K404" s="230" t="n">
        <v>31.78</v>
      </c>
      <c r="L404" s="230" t="n">
        <v>31.46</v>
      </c>
      <c r="M404" s="231" t="n">
        <v>31.56</v>
      </c>
    </row>
    <row r="405" ht="17.25" customHeight="1" thickBot="1">
      <c r="I405" s="229" t="n">
        <v>45343</v>
      </c>
      <c r="J405" s="230" t="n">
        <v>31.13</v>
      </c>
      <c r="K405" s="230" t="n">
        <v>31.8</v>
      </c>
      <c r="L405" s="230" t="n">
        <v>31.48</v>
      </c>
      <c r="M405" s="231" t="n">
        <v>31.58</v>
      </c>
    </row>
    <row r="406" ht="17.25" customHeight="1" thickBot="1">
      <c r="I406" s="229" t="n">
        <v>45342</v>
      </c>
      <c r="J406" s="230" t="n">
        <v>31.1</v>
      </c>
      <c r="K406" s="230" t="n">
        <v>31.77</v>
      </c>
      <c r="L406" s="230" t="n">
        <v>31.45</v>
      </c>
      <c r="M406" s="231" t="n">
        <v>31.55</v>
      </c>
    </row>
    <row r="407" ht="17.25" customHeight="1" thickBot="1">
      <c r="I407" s="235" t="n">
        <v>45341</v>
      </c>
      <c r="J407" s="236" t="n">
        <v>31</v>
      </c>
      <c r="K407" s="236" t="n">
        <v>31.67</v>
      </c>
      <c r="L407" s="236" t="n">
        <v>31.35</v>
      </c>
      <c r="M407" s="237" t="n">
        <v>31.45</v>
      </c>
    </row>
    <row r="408" ht="17.25" customHeight="1" thickBot="1">
      <c r="I408" s="229" t="n">
        <v>45339</v>
      </c>
      <c r="J408" s="230" t="n">
        <v>30.985</v>
      </c>
      <c r="K408" s="230" t="n">
        <v>31.655</v>
      </c>
      <c r="L408" s="230" t="n">
        <v>31.335</v>
      </c>
      <c r="M408" s="231" t="n">
        <v>31.435</v>
      </c>
    </row>
    <row r="409" ht="17.25" customHeight="1" thickBot="1">
      <c r="I409" s="229" t="n">
        <v>45338</v>
      </c>
      <c r="J409" s="230" t="n">
        <v>30.96</v>
      </c>
      <c r="K409" s="230" t="n">
        <v>31.63</v>
      </c>
      <c r="L409" s="230" t="n">
        <v>31.31</v>
      </c>
      <c r="M409" s="231" t="n">
        <v>31.41</v>
      </c>
    </row>
    <row r="410" ht="17.25" customHeight="1" thickBot="1">
      <c r="I410" s="229" t="n">
        <v>45337</v>
      </c>
      <c r="J410" s="230" t="n">
        <v>31.03</v>
      </c>
      <c r="K410" s="230" t="n">
        <v>31.7</v>
      </c>
      <c r="L410" s="230" t="n">
        <v>31.38</v>
      </c>
      <c r="M410" s="231" t="n">
        <v>31.48</v>
      </c>
    </row>
    <row r="411" ht="17.25" customHeight="1" thickBot="1">
      <c r="I411" s="229" t="n">
        <v>45329</v>
      </c>
      <c r="J411" s="230" t="n">
        <v>30.95</v>
      </c>
      <c r="K411" s="230" t="n">
        <v>31.62</v>
      </c>
      <c r="L411" s="230" t="n">
        <v>31.3</v>
      </c>
      <c r="M411" s="231" t="n">
        <v>31.4</v>
      </c>
    </row>
    <row r="412" ht="17.25" customHeight="1" thickBot="1">
      <c r="I412" s="229" t="n">
        <v>45328</v>
      </c>
      <c r="J412" s="230" t="n">
        <v>30.93</v>
      </c>
      <c r="K412" s="230" t="n">
        <v>31.6</v>
      </c>
      <c r="L412" s="230" t="n">
        <v>31.28</v>
      </c>
      <c r="M412" s="231" t="n">
        <v>31.38</v>
      </c>
    </row>
    <row r="413" ht="17.25" customHeight="1" thickBot="1">
      <c r="I413" s="229" t="n">
        <v>45327</v>
      </c>
      <c r="J413" s="230" t="n">
        <v>30.97</v>
      </c>
      <c r="K413" s="230" t="n">
        <v>31.64</v>
      </c>
      <c r="L413" s="230" t="n">
        <v>31.32</v>
      </c>
      <c r="M413" s="231" t="n">
        <v>31.42</v>
      </c>
    </row>
    <row r="414" ht="17.25" customHeight="1" thickBot="1">
      <c r="I414" s="229" t="n">
        <v>45324</v>
      </c>
      <c r="J414" s="230" t="n">
        <v>30.835</v>
      </c>
      <c r="K414" s="230" t="n">
        <v>31.505</v>
      </c>
      <c r="L414" s="230" t="n">
        <v>31.185</v>
      </c>
      <c r="M414" s="231" t="n">
        <v>31.285</v>
      </c>
    </row>
    <row r="415" ht="17.25" customHeight="1" thickBot="1">
      <c r="I415" s="229" t="n">
        <v>45323</v>
      </c>
      <c r="J415" s="230" t="n">
        <v>30.93</v>
      </c>
      <c r="K415" s="230" t="n">
        <v>31.6</v>
      </c>
      <c r="L415" s="230" t="n">
        <v>31.28</v>
      </c>
      <c r="M415" s="231" t="n">
        <v>31.38</v>
      </c>
    </row>
    <row r="416" ht="17.25" customHeight="1" thickBot="1">
      <c r="I416" s="229" t="n">
        <v>45322</v>
      </c>
      <c r="J416" s="230" t="n">
        <v>30.89</v>
      </c>
      <c r="K416" s="230" t="n">
        <v>31.56</v>
      </c>
      <c r="L416" s="230" t="n">
        <v>31.24</v>
      </c>
      <c r="M416" s="231" t="n">
        <v>31.34</v>
      </c>
    </row>
    <row r="417" ht="17.25" customHeight="1" thickBot="1">
      <c r="I417" s="229" t="n">
        <v>45321</v>
      </c>
      <c r="J417" s="230" t="n">
        <v>30.74</v>
      </c>
      <c r="K417" s="230" t="n">
        <v>31.41</v>
      </c>
      <c r="L417" s="230" t="n">
        <v>31.09</v>
      </c>
      <c r="M417" s="231" t="n">
        <v>31.19</v>
      </c>
    </row>
    <row r="418" ht="17.25" customHeight="1" thickBot="1">
      <c r="I418" s="229" t="n">
        <v>45320</v>
      </c>
      <c r="J418" s="230" t="n">
        <v>30.85</v>
      </c>
      <c r="K418" s="230" t="n">
        <v>31.52</v>
      </c>
      <c r="L418" s="230" t="n">
        <v>31.2</v>
      </c>
      <c r="M418" s="231" t="n">
        <v>31.3</v>
      </c>
    </row>
    <row r="419" ht="17.25" customHeight="1" thickBot="1">
      <c r="I419" s="229" t="n">
        <v>45317</v>
      </c>
      <c r="J419" s="230" t="n">
        <v>30.89</v>
      </c>
      <c r="K419" s="230" t="n">
        <v>31.56</v>
      </c>
      <c r="L419" s="230" t="n">
        <v>31.24</v>
      </c>
      <c r="M419" s="231" t="n">
        <v>31.34</v>
      </c>
    </row>
    <row r="420" ht="17.25" customHeight="1" thickBot="1">
      <c r="I420" s="229" t="n">
        <v>45316</v>
      </c>
      <c r="J420" s="230" t="n">
        <v>30.91</v>
      </c>
      <c r="K420" s="230" t="n">
        <v>31.58</v>
      </c>
      <c r="L420" s="230" t="n">
        <v>31.26</v>
      </c>
      <c r="M420" s="231" t="n">
        <v>31.36</v>
      </c>
    </row>
    <row r="421" ht="17.25" customHeight="1" thickBot="1">
      <c r="I421" s="229" t="n">
        <v>45315</v>
      </c>
      <c r="J421" s="230" t="n">
        <v>30.94</v>
      </c>
      <c r="K421" s="230" t="n">
        <v>31.61</v>
      </c>
      <c r="L421" s="230" t="n">
        <v>31.29</v>
      </c>
      <c r="M421" s="231" t="n">
        <v>31.39</v>
      </c>
    </row>
    <row r="422" ht="17.25" customHeight="1" thickBot="1">
      <c r="I422" s="229" t="n">
        <v>45314</v>
      </c>
      <c r="J422" s="230" t="n">
        <v>30.925</v>
      </c>
      <c r="K422" s="230" t="n">
        <v>31.595</v>
      </c>
      <c r="L422" s="230" t="n">
        <v>31.275</v>
      </c>
      <c r="M422" s="231" t="n">
        <v>31.375</v>
      </c>
    </row>
    <row r="423" ht="17.25" customHeight="1" thickBot="1">
      <c r="I423" s="229" t="n">
        <v>45313</v>
      </c>
      <c r="J423" s="230" t="n">
        <v>30.94</v>
      </c>
      <c r="K423" s="230" t="n">
        <v>31.61</v>
      </c>
      <c r="L423" s="230" t="n">
        <v>31.29</v>
      </c>
      <c r="M423" s="231" t="n">
        <v>31.39</v>
      </c>
    </row>
    <row r="424" ht="17.25" customHeight="1" thickBot="1">
      <c r="I424" s="229" t="n">
        <v>45310</v>
      </c>
      <c r="J424" s="230" t="n">
        <v>31.035</v>
      </c>
      <c r="K424" s="230" t="n">
        <v>31.705</v>
      </c>
      <c r="L424" s="230" t="n">
        <v>31.385</v>
      </c>
      <c r="M424" s="231" t="n">
        <v>31.485</v>
      </c>
    </row>
    <row r="425" ht="17.25" customHeight="1" thickBot="1">
      <c r="I425" s="229" t="n">
        <v>45309</v>
      </c>
      <c r="J425" s="230" t="n">
        <v>31.175</v>
      </c>
      <c r="K425" s="230" t="n">
        <v>31.845</v>
      </c>
      <c r="L425" s="230" t="n">
        <v>31.525</v>
      </c>
      <c r="M425" s="231" t="n">
        <v>31.625</v>
      </c>
    </row>
    <row r="426" ht="17.25" customHeight="1" thickBot="1">
      <c r="I426" s="229" t="n">
        <v>45308</v>
      </c>
      <c r="J426" s="230" t="n">
        <v>31.19</v>
      </c>
      <c r="K426" s="230" t="n">
        <v>31.86</v>
      </c>
      <c r="L426" s="230" t="n">
        <v>31.54</v>
      </c>
      <c r="M426" s="231" t="n">
        <v>31.64</v>
      </c>
    </row>
    <row r="427" ht="17.25" customHeight="1" thickBot="1">
      <c r="I427" s="229" t="n">
        <v>45307</v>
      </c>
      <c r="J427" s="230" t="n">
        <v>30.995</v>
      </c>
      <c r="K427" s="230" t="n">
        <v>31.665</v>
      </c>
      <c r="L427" s="230" t="n">
        <v>31.345</v>
      </c>
      <c r="M427" s="231" t="n">
        <v>31.445</v>
      </c>
    </row>
    <row r="428" ht="17.25" customHeight="1" thickBot="1">
      <c r="I428" s="229" t="n">
        <v>45306</v>
      </c>
      <c r="J428" s="230" t="n">
        <v>30.82</v>
      </c>
      <c r="K428" s="230" t="n">
        <v>31.49</v>
      </c>
      <c r="L428" s="230" t="n">
        <v>31.17</v>
      </c>
      <c r="M428" s="231" t="n">
        <v>31.27</v>
      </c>
    </row>
    <row r="429" ht="17.25" customHeight="1" thickBot="1">
      <c r="I429" s="229" t="n">
        <v>45303</v>
      </c>
      <c r="J429" s="230" t="n">
        <v>30.725</v>
      </c>
      <c r="K429" s="230" t="n">
        <v>31.395</v>
      </c>
      <c r="L429" s="230" t="n">
        <v>31.075</v>
      </c>
      <c r="M429" s="231" t="n">
        <v>31.175</v>
      </c>
    </row>
    <row r="430" ht="17.25" customHeight="1" thickBot="1">
      <c r="I430" s="232" t="n">
        <v>45302</v>
      </c>
      <c r="J430" s="233" t="n">
        <v>30.695</v>
      </c>
      <c r="K430" s="233" t="n">
        <v>31.365</v>
      </c>
      <c r="L430" s="233" t="n">
        <v>31.045</v>
      </c>
      <c r="M430" s="234" t="n">
        <v>31.145</v>
      </c>
    </row>
    <row r="431" ht="17.25" customHeight="1" thickBot="1">
      <c r="I431" s="235" t="n">
        <v>45301</v>
      </c>
      <c r="J431" s="236" t="n">
        <v>30.72</v>
      </c>
      <c r="K431" s="236" t="n">
        <v>31.39</v>
      </c>
      <c r="L431" s="236" t="n">
        <v>31.07</v>
      </c>
      <c r="M431" s="237" t="n">
        <v>31.17</v>
      </c>
    </row>
    <row r="432" ht="17.25" customHeight="1" thickBot="1">
      <c r="I432" s="229" t="n">
        <v>45300</v>
      </c>
      <c r="J432" s="230" t="n">
        <v>30.62</v>
      </c>
      <c r="K432" s="230" t="n">
        <v>31.29</v>
      </c>
      <c r="L432" s="230" t="n">
        <v>30.97</v>
      </c>
      <c r="M432" s="231" t="n">
        <v>31.07</v>
      </c>
    </row>
    <row r="433" ht="17.25" customHeight="1" thickBot="1">
      <c r="I433" s="229" t="n">
        <v>45299</v>
      </c>
      <c r="J433" s="230" t="n">
        <v>30.595</v>
      </c>
      <c r="K433" s="230" t="n">
        <v>31.265</v>
      </c>
      <c r="L433" s="230" t="n">
        <v>30.945</v>
      </c>
      <c r="M433" s="231" t="n">
        <v>31.045</v>
      </c>
    </row>
    <row r="434" ht="17.25" customHeight="1" thickBot="1">
      <c r="I434" s="229" t="n">
        <v>45296</v>
      </c>
      <c r="J434" s="230" t="n">
        <v>30.61</v>
      </c>
      <c r="K434" s="230" t="n">
        <v>31.28</v>
      </c>
      <c r="L434" s="230" t="n">
        <v>30.96</v>
      </c>
      <c r="M434" s="231" t="n">
        <v>31.06</v>
      </c>
    </row>
    <row r="435" ht="17.25" customHeight="1" thickBot="1">
      <c r="I435" s="229" t="n">
        <v>45295</v>
      </c>
      <c r="J435" s="230" t="n">
        <v>30.595</v>
      </c>
      <c r="K435" s="230" t="n">
        <v>31.265</v>
      </c>
      <c r="L435" s="230" t="n">
        <v>30.945</v>
      </c>
      <c r="M435" s="231" t="n">
        <v>31.045</v>
      </c>
    </row>
    <row r="436" ht="17.25" customHeight="1" thickBot="1">
      <c r="I436" s="229" t="n">
        <v>45294</v>
      </c>
      <c r="J436" s="230" t="n">
        <v>30.61</v>
      </c>
      <c r="K436" s="230" t="n">
        <v>31.28</v>
      </c>
      <c r="L436" s="230" t="n">
        <v>30.96</v>
      </c>
      <c r="M436" s="231" t="n">
        <v>31.06</v>
      </c>
    </row>
    <row r="437" ht="17.25" customHeight="1" thickBot="1">
      <c r="I437" s="229" t="n">
        <v>45293</v>
      </c>
      <c r="J437" s="230" t="n">
        <v>30.465</v>
      </c>
      <c r="K437" s="230" t="n">
        <v>31.135</v>
      </c>
      <c r="L437" s="230" t="n">
        <v>30.815</v>
      </c>
      <c r="M437" s="231" t="n">
        <v>30.915</v>
      </c>
    </row>
    <row r="438" ht="17.25" customHeight="1" thickBot="1">
      <c r="I438" s="229" t="n">
        <v>45289</v>
      </c>
      <c r="J438" s="230" t="n">
        <v>30.305</v>
      </c>
      <c r="K438" s="230" t="n">
        <v>30.975</v>
      </c>
      <c r="L438" s="230" t="n">
        <v>30.655</v>
      </c>
      <c r="M438" s="231" t="n">
        <v>30.755</v>
      </c>
    </row>
    <row r="439" ht="17.25" customHeight="1" thickBot="1">
      <c r="I439" s="229" t="n">
        <v>45288</v>
      </c>
      <c r="J439" s="230" t="n">
        <v>30.305</v>
      </c>
      <c r="K439" s="230" t="n">
        <v>30.975</v>
      </c>
      <c r="L439" s="230" t="n">
        <v>30.655</v>
      </c>
      <c r="M439" s="231" t="n">
        <v>30.755</v>
      </c>
    </row>
    <row r="440" ht="17.25" customHeight="1" thickBot="1">
      <c r="I440" s="229" t="n">
        <v>45287</v>
      </c>
      <c r="J440" s="230" t="n">
        <v>30.465</v>
      </c>
      <c r="K440" s="230" t="n">
        <v>31.135</v>
      </c>
      <c r="L440" s="230" t="n">
        <v>30.815</v>
      </c>
      <c r="M440" s="231" t="n">
        <v>30.915</v>
      </c>
    </row>
    <row r="441" ht="17.25" customHeight="1" thickBot="1">
      <c r="I441" s="229" t="n">
        <v>45286</v>
      </c>
      <c r="J441" s="230" t="n">
        <v>30.655</v>
      </c>
      <c r="K441" s="230" t="n">
        <v>31.325</v>
      </c>
      <c r="L441" s="230" t="n">
        <v>31.005</v>
      </c>
      <c r="M441" s="231" t="n">
        <v>31.105</v>
      </c>
    </row>
    <row r="442" ht="17.25" customHeight="1" thickBot="1">
      <c r="I442" s="229" t="n">
        <v>45285</v>
      </c>
      <c r="J442" s="230" t="n">
        <v>30.73</v>
      </c>
      <c r="K442" s="230" t="n">
        <v>31.4</v>
      </c>
      <c r="L442" s="230" t="n">
        <v>31.08</v>
      </c>
      <c r="M442" s="231" t="n">
        <v>31.18</v>
      </c>
    </row>
    <row r="443" ht="17.25" customHeight="1" thickBot="1">
      <c r="I443" s="229" t="n">
        <v>45282</v>
      </c>
      <c r="J443" s="230" t="n">
        <v>30.795</v>
      </c>
      <c r="K443" s="230" t="n">
        <v>31.465</v>
      </c>
      <c r="L443" s="230" t="n">
        <v>31.145</v>
      </c>
      <c r="M443" s="231" t="n">
        <v>31.245</v>
      </c>
    </row>
    <row r="444" ht="17.25" customHeight="1" thickBot="1">
      <c r="I444" s="229" t="n">
        <v>45281</v>
      </c>
      <c r="J444" s="230" t="n">
        <v>30.87</v>
      </c>
      <c r="K444" s="230" t="n">
        <v>31.54</v>
      </c>
      <c r="L444" s="230" t="n">
        <v>31.22</v>
      </c>
      <c r="M444" s="231" t="n">
        <v>31.32</v>
      </c>
    </row>
    <row r="445" ht="17.25" customHeight="1" thickBot="1">
      <c r="I445" s="229" t="n">
        <v>45280</v>
      </c>
      <c r="J445" s="230" t="n">
        <v>30.9</v>
      </c>
      <c r="K445" s="230" t="n">
        <v>31.57</v>
      </c>
      <c r="L445" s="230" t="n">
        <v>31.25</v>
      </c>
      <c r="M445" s="231" t="n">
        <v>31.35</v>
      </c>
    </row>
    <row r="446" ht="17.25" customHeight="1" thickBot="1">
      <c r="I446" s="229" t="n">
        <v>45279</v>
      </c>
      <c r="J446" s="230" t="n">
        <v>30.95</v>
      </c>
      <c r="K446" s="230" t="n">
        <v>31.62</v>
      </c>
      <c r="L446" s="230" t="n">
        <v>31.3</v>
      </c>
      <c r="M446" s="231" t="n">
        <v>31.4</v>
      </c>
    </row>
    <row r="447" ht="17.25" customHeight="1" thickBot="1">
      <c r="I447" s="229" t="n">
        <v>45278</v>
      </c>
      <c r="J447" s="230" t="n">
        <v>30.91</v>
      </c>
      <c r="K447" s="230" t="n">
        <v>31.58</v>
      </c>
      <c r="L447" s="230" t="n">
        <v>31.26</v>
      </c>
      <c r="M447" s="231" t="n">
        <v>31.36</v>
      </c>
    </row>
    <row r="448" ht="17.25" customHeight="1" thickBot="1">
      <c r="I448" s="229" t="n">
        <v>45275</v>
      </c>
      <c r="J448" s="230" t="n">
        <v>30.835</v>
      </c>
      <c r="K448" s="230" t="n">
        <v>31.505</v>
      </c>
      <c r="L448" s="230" t="n">
        <v>31.185</v>
      </c>
      <c r="M448" s="231" t="n">
        <v>31.285</v>
      </c>
    </row>
    <row r="449" ht="17.25" customHeight="1" thickBot="1">
      <c r="I449" s="229" t="n">
        <v>45274</v>
      </c>
      <c r="J449" s="230" t="n">
        <v>30.925</v>
      </c>
      <c r="K449" s="230" t="n">
        <v>31.595</v>
      </c>
      <c r="L449" s="230" t="n">
        <v>31.275</v>
      </c>
      <c r="M449" s="231" t="n">
        <v>31.375</v>
      </c>
    </row>
    <row r="450" ht="17.25" customHeight="1" thickBot="1">
      <c r="I450" s="229" t="n">
        <v>45273</v>
      </c>
      <c r="J450" s="230" t="n">
        <v>31.115</v>
      </c>
      <c r="K450" s="230" t="n">
        <v>31.785</v>
      </c>
      <c r="L450" s="230" t="n">
        <v>31.465</v>
      </c>
      <c r="M450" s="231" t="n">
        <v>31.565</v>
      </c>
    </row>
    <row r="451" ht="17.25" customHeight="1" thickBot="1">
      <c r="I451" s="229" t="n">
        <v>45272</v>
      </c>
      <c r="J451" s="230" t="n">
        <v>31.1</v>
      </c>
      <c r="K451" s="230" t="n">
        <v>31.77</v>
      </c>
      <c r="L451" s="230" t="n">
        <v>31.45</v>
      </c>
      <c r="M451" s="231" t="n">
        <v>31.55</v>
      </c>
    </row>
    <row r="452" ht="17.25" customHeight="1" thickBot="1">
      <c r="I452" s="229" t="n">
        <v>45271</v>
      </c>
      <c r="J452" s="230" t="n">
        <v>31.1</v>
      </c>
      <c r="K452" s="230" t="n">
        <v>31.77</v>
      </c>
      <c r="L452" s="230" t="n">
        <v>31.45</v>
      </c>
      <c r="M452" s="231" t="n">
        <v>31.55</v>
      </c>
    </row>
    <row r="453" ht="17.25" customHeight="1" thickBot="1">
      <c r="I453" s="229" t="n">
        <v>45268</v>
      </c>
      <c r="J453" s="230" t="n">
        <v>30.97</v>
      </c>
      <c r="K453" s="230" t="n">
        <v>31.64</v>
      </c>
      <c r="L453" s="230" t="n">
        <v>31.32</v>
      </c>
      <c r="M453" s="231" t="n">
        <v>31.42</v>
      </c>
    </row>
    <row r="454" ht="17.25" customHeight="1" thickBot="1">
      <c r="I454" s="229" t="n">
        <v>45267</v>
      </c>
      <c r="J454" s="230" t="n">
        <v>31.12</v>
      </c>
      <c r="K454" s="230" t="n">
        <v>31.79</v>
      </c>
      <c r="L454" s="230" t="n">
        <v>31.47</v>
      </c>
      <c r="M454" s="231" t="n">
        <v>31.57</v>
      </c>
    </row>
    <row r="455" ht="17.25" customHeight="1" thickBot="1">
      <c r="I455" s="229" t="n">
        <v>45266</v>
      </c>
      <c r="J455" s="230" t="n">
        <v>31.095</v>
      </c>
      <c r="K455" s="230" t="n">
        <v>31.765</v>
      </c>
      <c r="L455" s="230" t="n">
        <v>31.445</v>
      </c>
      <c r="M455" s="231" t="n">
        <v>31.545</v>
      </c>
    </row>
    <row r="456" ht="17.25" customHeight="1" thickBot="1">
      <c r="I456" s="229" t="n">
        <v>45265</v>
      </c>
      <c r="J456" s="230" t="n">
        <v>31.08</v>
      </c>
      <c r="K456" s="230" t="n">
        <v>31.75</v>
      </c>
      <c r="L456" s="230" t="n">
        <v>31.43</v>
      </c>
      <c r="M456" s="231" t="n">
        <v>31.53</v>
      </c>
    </row>
    <row r="457" ht="17.25" customHeight="1" thickBot="1">
      <c r="I457" s="229" t="n">
        <v>45264</v>
      </c>
      <c r="J457" s="230" t="n">
        <v>31.005</v>
      </c>
      <c r="K457" s="230" t="n">
        <v>31.675</v>
      </c>
      <c r="L457" s="230" t="n">
        <v>31.355</v>
      </c>
      <c r="M457" s="231" t="n">
        <v>31.455</v>
      </c>
    </row>
    <row r="458" ht="17.25" customHeight="1" thickBot="1">
      <c r="I458" s="229" t="n">
        <v>45261</v>
      </c>
      <c r="J458" s="230" t="n">
        <v>31.07</v>
      </c>
      <c r="K458" s="230" t="n">
        <v>31.74</v>
      </c>
      <c r="L458" s="230" t="n">
        <v>31.42</v>
      </c>
      <c r="M458" s="231" t="n">
        <v>31.52</v>
      </c>
    </row>
    <row r="459" ht="17.25" customHeight="1" thickBot="1">
      <c r="I459" s="229" t="n">
        <v>45260</v>
      </c>
      <c r="J459" s="230" t="n">
        <v>30.855</v>
      </c>
      <c r="K459" s="230" t="n">
        <v>31.525</v>
      </c>
      <c r="L459" s="230" t="n">
        <v>31.205</v>
      </c>
      <c r="M459" s="231" t="n">
        <v>31.305</v>
      </c>
    </row>
    <row r="460" ht="17.25" customHeight="1" thickBot="1">
      <c r="I460" s="232" t="n">
        <v>45259</v>
      </c>
      <c r="J460" s="233" t="n">
        <v>30.845</v>
      </c>
      <c r="K460" s="233" t="n">
        <v>31.515</v>
      </c>
      <c r="L460" s="233" t="n">
        <v>31.195</v>
      </c>
      <c r="M460" s="234" t="n">
        <v>31.295</v>
      </c>
    </row>
    <row r="461" ht="17.25" customHeight="1" thickBot="1">
      <c r="I461" s="235" t="n">
        <v>45258</v>
      </c>
      <c r="J461" s="236" t="n">
        <v>31.06</v>
      </c>
      <c r="K461" s="236" t="n">
        <v>31.73</v>
      </c>
      <c r="L461" s="236" t="n">
        <v>31.41</v>
      </c>
      <c r="M461" s="237" t="n">
        <v>31.51</v>
      </c>
    </row>
    <row r="462" ht="17.25" customHeight="1" thickBot="1">
      <c r="I462" s="229" t="n">
        <v>45257</v>
      </c>
      <c r="J462" s="230" t="n">
        <v>31.16</v>
      </c>
      <c r="K462" s="230" t="n">
        <v>31.83</v>
      </c>
      <c r="L462" s="230" t="n">
        <v>31.51</v>
      </c>
      <c r="M462" s="231" t="n">
        <v>31.61</v>
      </c>
    </row>
    <row r="463" ht="17.25" customHeight="1" thickBot="1">
      <c r="I463" s="229" t="n">
        <v>45254</v>
      </c>
      <c r="J463" s="230" t="n">
        <v>31.225</v>
      </c>
      <c r="K463" s="230" t="n">
        <v>31.895</v>
      </c>
      <c r="L463" s="230" t="n">
        <v>31.575</v>
      </c>
      <c r="M463" s="231" t="n">
        <v>31.675</v>
      </c>
    </row>
    <row r="464" ht="17.25" customHeight="1" thickBot="1">
      <c r="I464" s="229" t="n">
        <v>45253</v>
      </c>
      <c r="J464" s="230" t="n">
        <v>31.13</v>
      </c>
      <c r="K464" s="230" t="n">
        <v>31.8</v>
      </c>
      <c r="L464" s="230" t="n">
        <v>31.48</v>
      </c>
      <c r="M464" s="231" t="n">
        <v>31.58</v>
      </c>
    </row>
    <row r="465" ht="17.25" customHeight="1" thickBot="1">
      <c r="I465" s="229" t="n">
        <v>45252</v>
      </c>
      <c r="J465" s="230" t="n">
        <v>31.195</v>
      </c>
      <c r="K465" s="230" t="n">
        <v>31.865</v>
      </c>
      <c r="L465" s="230" t="n">
        <v>31.545</v>
      </c>
      <c r="M465" s="231" t="n">
        <v>31.645</v>
      </c>
    </row>
    <row r="466" ht="17.25" customHeight="1" thickBot="1">
      <c r="I466" s="229" t="n">
        <v>45251</v>
      </c>
      <c r="J466" s="230" t="n">
        <v>31.025</v>
      </c>
      <c r="K466" s="230" t="n">
        <v>31.695</v>
      </c>
      <c r="L466" s="230" t="n">
        <v>31.375</v>
      </c>
      <c r="M466" s="231" t="n">
        <v>31.475</v>
      </c>
    </row>
    <row r="467" ht="17.25" customHeight="1" thickBot="1">
      <c r="I467" s="229" t="n">
        <v>45250</v>
      </c>
      <c r="J467" s="230" t="n">
        <v>31.24</v>
      </c>
      <c r="K467" s="230" t="n">
        <v>31.91</v>
      </c>
      <c r="L467" s="230" t="n">
        <v>31.59</v>
      </c>
      <c r="M467" s="231" t="n">
        <v>31.69</v>
      </c>
    </row>
    <row r="468" ht="17.25" customHeight="1" thickBot="1">
      <c r="I468" s="229" t="n">
        <v>45247</v>
      </c>
      <c r="J468" s="230" t="n">
        <v>31.45</v>
      </c>
      <c r="K468" s="230" t="n">
        <v>32.12</v>
      </c>
      <c r="L468" s="230" t="n">
        <v>31.8</v>
      </c>
      <c r="M468" s="231" t="n">
        <v>31.9</v>
      </c>
    </row>
    <row r="469" ht="17.25" customHeight="1" thickBot="1">
      <c r="I469" s="229" t="n">
        <v>45246</v>
      </c>
      <c r="J469" s="230" t="n">
        <v>31.61</v>
      </c>
      <c r="K469" s="230" t="n">
        <v>32.28</v>
      </c>
      <c r="L469" s="230" t="n">
        <v>31.96</v>
      </c>
      <c r="M469" s="231" t="n">
        <v>32.06</v>
      </c>
    </row>
    <row r="470" ht="17.25" customHeight="1" thickBot="1">
      <c r="I470" s="229" t="n">
        <v>45245</v>
      </c>
      <c r="J470" s="230" t="n">
        <v>31.695</v>
      </c>
      <c r="K470" s="230" t="n">
        <v>32.365</v>
      </c>
      <c r="L470" s="230" t="n">
        <v>32.045</v>
      </c>
      <c r="M470" s="231" t="n">
        <v>32.145</v>
      </c>
    </row>
    <row r="471" ht="17.25" customHeight="1" thickBot="1">
      <c r="I471" s="229" t="n">
        <v>45244</v>
      </c>
      <c r="J471" s="230" t="n">
        <v>31.94</v>
      </c>
      <c r="K471" s="230" t="n">
        <v>32.61</v>
      </c>
      <c r="L471" s="230" t="n">
        <v>32.29</v>
      </c>
      <c r="M471" s="231" t="n">
        <v>32.39</v>
      </c>
    </row>
    <row r="472" ht="17.25" customHeight="1" thickBot="1">
      <c r="I472" s="229" t="n">
        <v>45243</v>
      </c>
      <c r="J472" s="230" t="n">
        <v>31.935</v>
      </c>
      <c r="K472" s="230" t="n">
        <v>32.605</v>
      </c>
      <c r="L472" s="230" t="n">
        <v>32.285</v>
      </c>
      <c r="M472" s="231" t="n">
        <v>32.385</v>
      </c>
    </row>
    <row r="473" ht="17.25" customHeight="1" thickBot="1">
      <c r="I473" s="229" t="n">
        <v>45240</v>
      </c>
      <c r="J473" s="230" t="n">
        <v>31.96</v>
      </c>
      <c r="K473" s="230" t="n">
        <v>32.63</v>
      </c>
      <c r="L473" s="230" t="n">
        <v>32.31</v>
      </c>
      <c r="M473" s="231" t="n">
        <v>32.41</v>
      </c>
    </row>
    <row r="474" ht="17.25" customHeight="1" thickBot="1">
      <c r="I474" s="229" t="n">
        <v>45239</v>
      </c>
      <c r="J474" s="230" t="n">
        <v>31.865</v>
      </c>
      <c r="K474" s="230" t="n">
        <v>32.535</v>
      </c>
      <c r="L474" s="230" t="n">
        <v>32.215</v>
      </c>
      <c r="M474" s="231" t="n">
        <v>32.315</v>
      </c>
    </row>
    <row r="475" ht="17.25" customHeight="1" thickBot="1">
      <c r="I475" s="229" t="n">
        <v>45238</v>
      </c>
      <c r="J475" s="230" t="n">
        <v>31.85</v>
      </c>
      <c r="K475" s="230" t="n">
        <v>32.52</v>
      </c>
      <c r="L475" s="230" t="n">
        <v>32.2</v>
      </c>
      <c r="M475" s="231" t="n">
        <v>32.3</v>
      </c>
    </row>
    <row r="476" ht="17.25" customHeight="1" thickBot="1">
      <c r="I476" s="229" t="n">
        <v>45237</v>
      </c>
      <c r="J476" s="230" t="n">
        <v>31.805</v>
      </c>
      <c r="K476" s="230" t="n">
        <v>32.475</v>
      </c>
      <c r="L476" s="230" t="n">
        <v>32.155</v>
      </c>
      <c r="M476" s="231" t="n">
        <v>32.255</v>
      </c>
    </row>
    <row r="477" ht="17.25" customHeight="1" thickBot="1">
      <c r="I477" s="229" t="n">
        <v>45236</v>
      </c>
      <c r="J477" s="230" t="n">
        <v>31.75</v>
      </c>
      <c r="K477" s="230" t="n">
        <v>32.42</v>
      </c>
      <c r="L477" s="230" t="n">
        <v>32.1</v>
      </c>
      <c r="M477" s="231" t="n">
        <v>32.2</v>
      </c>
    </row>
    <row r="478" ht="17.25" customHeight="1" thickBot="1">
      <c r="I478" s="229" t="n">
        <v>45233</v>
      </c>
      <c r="J478" s="230" t="n">
        <v>31.895</v>
      </c>
      <c r="K478" s="230" t="n">
        <v>32.565</v>
      </c>
      <c r="L478" s="230" t="n">
        <v>32.245</v>
      </c>
      <c r="M478" s="231" t="n">
        <v>32.345</v>
      </c>
    </row>
    <row r="479" ht="17.25" customHeight="1" thickBot="1">
      <c r="I479" s="229" t="n">
        <v>45232</v>
      </c>
      <c r="J479" s="230" t="n">
        <v>31.965</v>
      </c>
      <c r="K479" s="230" t="n">
        <v>32.635</v>
      </c>
      <c r="L479" s="230" t="n">
        <v>32.315</v>
      </c>
      <c r="M479" s="231" t="n">
        <v>32.415</v>
      </c>
    </row>
    <row r="480" ht="17.25" customHeight="1" thickBot="1">
      <c r="I480" s="229" t="n">
        <v>45231</v>
      </c>
      <c r="J480" s="230" t="n">
        <v>32.085</v>
      </c>
      <c r="K480" s="230" t="n">
        <v>32.755</v>
      </c>
      <c r="L480" s="230" t="n">
        <v>32.435</v>
      </c>
      <c r="M480" s="231" t="n">
        <v>32.535</v>
      </c>
    </row>
    <row r="481" ht="17.25" customHeight="1" thickBot="1">
      <c r="I481" s="229" t="n">
        <v>45230</v>
      </c>
      <c r="J481" s="230" t="n">
        <v>32.025</v>
      </c>
      <c r="K481" s="230" t="n">
        <v>32.695</v>
      </c>
      <c r="L481" s="230" t="n">
        <v>32.375</v>
      </c>
      <c r="M481" s="231" t="n">
        <v>32.475</v>
      </c>
    </row>
    <row r="482" ht="17.25" customHeight="1" thickBot="1">
      <c r="I482" s="229" t="n">
        <v>45229</v>
      </c>
      <c r="J482" s="230" t="n">
        <v>32.035</v>
      </c>
      <c r="K482" s="230" t="n">
        <v>32.705</v>
      </c>
      <c r="L482" s="230" t="n">
        <v>32.385</v>
      </c>
      <c r="M482" s="231" t="n">
        <v>32.485</v>
      </c>
    </row>
    <row r="483" ht="17.25" customHeight="1" thickBot="1">
      <c r="I483" s="229" t="n">
        <v>45226</v>
      </c>
      <c r="J483" s="230" t="n">
        <v>32.03</v>
      </c>
      <c r="K483" s="230" t="n">
        <v>32.7</v>
      </c>
      <c r="L483" s="230" t="n">
        <v>32.38</v>
      </c>
      <c r="M483" s="231" t="n">
        <v>32.48</v>
      </c>
    </row>
    <row r="484" ht="17.25" customHeight="1" thickBot="1">
      <c r="I484" s="229" t="n">
        <v>45225</v>
      </c>
      <c r="J484" s="230" t="n">
        <v>32.05</v>
      </c>
      <c r="K484" s="230" t="n">
        <v>32.72</v>
      </c>
      <c r="L484" s="230" t="n">
        <v>32.4</v>
      </c>
      <c r="M484" s="231" t="n">
        <v>32.5</v>
      </c>
    </row>
    <row r="485" ht="17.25" customHeight="1" thickBot="1">
      <c r="I485" s="229" t="n">
        <v>45224</v>
      </c>
      <c r="J485" s="230" t="n">
        <v>31.96</v>
      </c>
      <c r="K485" s="230" t="n">
        <v>32.63</v>
      </c>
      <c r="L485" s="230" t="n">
        <v>32.31</v>
      </c>
      <c r="M485" s="231" t="n">
        <v>32.41</v>
      </c>
    </row>
    <row r="486" ht="17.25" customHeight="1" thickBot="1">
      <c r="I486" s="229" t="n">
        <v>45223</v>
      </c>
      <c r="J486" s="230" t="n">
        <v>31.92</v>
      </c>
      <c r="K486" s="230" t="n">
        <v>32.59</v>
      </c>
      <c r="L486" s="230" t="n">
        <v>32.27</v>
      </c>
      <c r="M486" s="231" t="n">
        <v>32.37</v>
      </c>
    </row>
    <row r="487" ht="17.25" customHeight="1" thickBot="1">
      <c r="I487" s="229" t="n">
        <v>45222</v>
      </c>
      <c r="J487" s="230" t="n">
        <v>31.955</v>
      </c>
      <c r="K487" s="230" t="n">
        <v>32.625</v>
      </c>
      <c r="L487" s="230" t="n">
        <v>32.305</v>
      </c>
      <c r="M487" s="231" t="n">
        <v>32.405</v>
      </c>
    </row>
    <row r="488" ht="17.25" customHeight="1" thickBot="1">
      <c r="I488" s="229" t="n">
        <v>45219</v>
      </c>
      <c r="J488" s="230" t="n">
        <v>31.93</v>
      </c>
      <c r="K488" s="230" t="n">
        <v>32.6</v>
      </c>
      <c r="L488" s="230" t="n">
        <v>32.28</v>
      </c>
      <c r="M488" s="231" t="n">
        <v>32.38</v>
      </c>
    </row>
    <row r="489" ht="17.25" customHeight="1" thickBot="1">
      <c r="I489" s="229" t="n">
        <v>45218</v>
      </c>
      <c r="J489" s="230" t="n">
        <v>31.925</v>
      </c>
      <c r="K489" s="230" t="n">
        <v>32.595</v>
      </c>
      <c r="L489" s="230" t="n">
        <v>32.275</v>
      </c>
      <c r="M489" s="231" t="n">
        <v>32.375</v>
      </c>
    </row>
    <row r="490" ht="17.25" customHeight="1" thickBot="1">
      <c r="I490" s="232" t="n">
        <v>45217</v>
      </c>
      <c r="J490" s="233" t="n">
        <v>31.9</v>
      </c>
      <c r="K490" s="233" t="n">
        <v>32.57</v>
      </c>
      <c r="L490" s="233" t="n">
        <v>32.25</v>
      </c>
      <c r="M490" s="234" t="n">
        <v>32.35</v>
      </c>
    </row>
    <row r="491" ht="17.25" customHeight="1" thickBot="1">
      <c r="I491" s="229" t="n">
        <v>45216</v>
      </c>
      <c r="J491" s="230" t="n">
        <v>31.9</v>
      </c>
      <c r="K491" s="230" t="n">
        <v>32.57</v>
      </c>
      <c r="L491" s="230" t="n">
        <v>32.25</v>
      </c>
      <c r="M491" s="231" t="n">
        <v>32.35</v>
      </c>
    </row>
    <row r="492" ht="17.25" customHeight="1" thickBot="1">
      <c r="I492" s="229" t="n">
        <v>45215</v>
      </c>
      <c r="J492" s="230" t="n">
        <v>31.88</v>
      </c>
      <c r="K492" s="230" t="n">
        <v>32.55</v>
      </c>
      <c r="L492" s="230" t="n">
        <v>32.23</v>
      </c>
      <c r="M492" s="231" t="n">
        <v>32.33</v>
      </c>
    </row>
    <row r="493" ht="17.25" customHeight="1" thickBot="1">
      <c r="I493" s="229" t="n">
        <v>45212</v>
      </c>
      <c r="J493" s="230" t="n">
        <v>31.825</v>
      </c>
      <c r="K493" s="230" t="n">
        <v>32.495</v>
      </c>
      <c r="L493" s="230" t="n">
        <v>32.175</v>
      </c>
      <c r="M493" s="231" t="n">
        <v>32.275</v>
      </c>
    </row>
    <row r="494" ht="17.25" customHeight="1" thickBot="1">
      <c r="I494" s="229" t="n">
        <v>45211</v>
      </c>
      <c r="J494" s="230" t="n">
        <v>31.725</v>
      </c>
      <c r="K494" s="230" t="n">
        <v>32.395</v>
      </c>
      <c r="L494" s="230" t="n">
        <v>32.075</v>
      </c>
      <c r="M494" s="231" t="n">
        <v>32.175</v>
      </c>
    </row>
    <row r="495" ht="17.25" customHeight="1" thickBot="1">
      <c r="I495" s="229" t="n">
        <v>45210</v>
      </c>
      <c r="J495" s="230" t="n">
        <v>31.71</v>
      </c>
      <c r="K495" s="230" t="n">
        <v>32.38</v>
      </c>
      <c r="L495" s="230" t="n">
        <v>32.06</v>
      </c>
      <c r="M495" s="231" t="n">
        <v>32.16</v>
      </c>
    </row>
    <row r="496" ht="17.25" customHeight="1" thickBot="1">
      <c r="I496" s="235" t="n">
        <v>45205</v>
      </c>
      <c r="J496" s="236" t="n">
        <v>31.815</v>
      </c>
      <c r="K496" s="236" t="n">
        <v>32.485</v>
      </c>
      <c r="L496" s="236" t="n">
        <v>32.165</v>
      </c>
      <c r="M496" s="237" t="n">
        <v>32.265</v>
      </c>
    </row>
    <row r="497" ht="17.25" customHeight="1" thickBot="1">
      <c r="I497" s="229" t="n">
        <v>45204</v>
      </c>
      <c r="J497" s="230" t="n">
        <v>31.875</v>
      </c>
      <c r="K497" s="230" t="n">
        <v>32.545</v>
      </c>
      <c r="L497" s="230" t="n">
        <v>32.225</v>
      </c>
      <c r="M497" s="231" t="n">
        <v>32.325</v>
      </c>
    </row>
    <row r="498" ht="17.25" customHeight="1" thickBot="1">
      <c r="I498" s="229" t="n">
        <v>45203</v>
      </c>
      <c r="J498" s="230" t="n">
        <v>31.93</v>
      </c>
      <c r="K498" s="230" t="n">
        <v>32.6</v>
      </c>
      <c r="L498" s="230" t="n">
        <v>32.28</v>
      </c>
      <c r="M498" s="231" t="n">
        <v>32.38</v>
      </c>
    </row>
    <row r="499" ht="17.25" customHeight="1" thickBot="1">
      <c r="I499" s="229" t="n">
        <v>45202</v>
      </c>
      <c r="J499" s="230" t="n">
        <v>31.935</v>
      </c>
      <c r="K499" s="230" t="n">
        <v>32.605</v>
      </c>
      <c r="L499" s="230" t="n">
        <v>32.285</v>
      </c>
      <c r="M499" s="231" t="n">
        <v>32.385</v>
      </c>
    </row>
    <row r="500" ht="17.25" customHeight="1" thickBot="1">
      <c r="I500" s="229" t="n">
        <v>45201</v>
      </c>
      <c r="J500" s="230" t="n">
        <v>31.85</v>
      </c>
      <c r="K500" s="230" t="n">
        <v>32.52</v>
      </c>
      <c r="L500" s="230" t="n">
        <v>32.2</v>
      </c>
      <c r="M500" s="231" t="n">
        <v>32.3</v>
      </c>
    </row>
    <row r="501" ht="17.25" customHeight="1" thickBot="1">
      <c r="I501" s="229" t="n">
        <v>45197</v>
      </c>
      <c r="J501" s="230" t="n">
        <v>31.87</v>
      </c>
      <c r="K501" s="230" t="n">
        <v>32.54</v>
      </c>
      <c r="L501" s="230" t="n">
        <v>32.22</v>
      </c>
      <c r="M501" s="231" t="n">
        <v>32.32</v>
      </c>
    </row>
    <row r="502" ht="17.25" customHeight="1" thickBot="1">
      <c r="I502" s="229" t="n">
        <v>45196</v>
      </c>
      <c r="J502" s="230" t="n">
        <v>31.845</v>
      </c>
      <c r="K502" s="230" t="n">
        <v>32.515</v>
      </c>
      <c r="L502" s="230" t="n">
        <v>32.195</v>
      </c>
      <c r="M502" s="231" t="n">
        <v>32.295</v>
      </c>
    </row>
    <row r="503" ht="17.25" customHeight="1" thickBot="1">
      <c r="I503" s="229" t="n">
        <v>45195</v>
      </c>
      <c r="J503" s="230" t="n">
        <v>31.83</v>
      </c>
      <c r="K503" s="230" t="n">
        <v>32.5</v>
      </c>
      <c r="L503" s="230" t="n">
        <v>32.18</v>
      </c>
      <c r="M503" s="231" t="n">
        <v>32.28</v>
      </c>
    </row>
    <row r="504" ht="17.25" customHeight="1" thickBot="1">
      <c r="I504" s="229" t="n">
        <v>45194</v>
      </c>
      <c r="J504" s="230" t="n">
        <v>31.76</v>
      </c>
      <c r="K504" s="230" t="n">
        <v>32.43</v>
      </c>
      <c r="L504" s="230" t="n">
        <v>32.11</v>
      </c>
      <c r="M504" s="231" t="n">
        <v>32.21</v>
      </c>
    </row>
    <row r="505" ht="17.25" customHeight="1" thickBot="1">
      <c r="I505" s="229" t="n">
        <v>45192</v>
      </c>
      <c r="J505" s="230" t="n">
        <v>31.715</v>
      </c>
      <c r="K505" s="230" t="n">
        <v>32.385</v>
      </c>
      <c r="L505" s="230" t="n">
        <v>32.065</v>
      </c>
      <c r="M505" s="231" t="n">
        <v>32.165</v>
      </c>
    </row>
    <row r="506" ht="17.25" customHeight="1" thickBot="1">
      <c r="I506" s="229" t="n">
        <v>45191</v>
      </c>
      <c r="J506" s="230" t="n">
        <v>31.73</v>
      </c>
      <c r="K506" s="230" t="n">
        <v>32.4</v>
      </c>
      <c r="L506" s="230" t="n">
        <v>32.08</v>
      </c>
      <c r="M506" s="231" t="n">
        <v>32.18</v>
      </c>
    </row>
    <row r="507" ht="17.25" customHeight="1" thickBot="1">
      <c r="I507" s="229" t="n">
        <v>45190</v>
      </c>
      <c r="J507" s="230" t="n">
        <v>31.71</v>
      </c>
      <c r="K507" s="230" t="n">
        <v>32.38</v>
      </c>
      <c r="L507" s="230" t="n">
        <v>32.06</v>
      </c>
      <c r="M507" s="231" t="n">
        <v>32.16</v>
      </c>
    </row>
    <row r="508" ht="17.25" customHeight="1" thickBot="1">
      <c r="I508" s="229" t="n">
        <v>45189</v>
      </c>
      <c r="J508" s="230" t="n">
        <v>31.62</v>
      </c>
      <c r="K508" s="230" t="n">
        <v>32.29</v>
      </c>
      <c r="L508" s="230" t="n">
        <v>31.97</v>
      </c>
      <c r="M508" s="231" t="n">
        <v>32.07</v>
      </c>
    </row>
    <row r="509" ht="17.25" customHeight="1" thickBot="1">
      <c r="I509" s="229" t="n">
        <v>45188</v>
      </c>
      <c r="J509" s="230" t="n">
        <v>31.595</v>
      </c>
      <c r="K509" s="230" t="n">
        <v>32.265</v>
      </c>
      <c r="L509" s="230" t="n">
        <v>31.945</v>
      </c>
      <c r="M509" s="231" t="n">
        <v>32.045</v>
      </c>
    </row>
    <row r="510" ht="17.25" customHeight="1" thickBot="1">
      <c r="I510" s="229" t="n">
        <v>45187</v>
      </c>
      <c r="J510" s="230" t="n">
        <v>31.58</v>
      </c>
      <c r="K510" s="230" t="n">
        <v>32.25</v>
      </c>
      <c r="L510" s="230" t="n">
        <v>31.93</v>
      </c>
      <c r="M510" s="231" t="n">
        <v>32.03</v>
      </c>
    </row>
    <row r="511" ht="17.25" customHeight="1" thickBot="1">
      <c r="I511" s="229" t="n">
        <v>45184</v>
      </c>
      <c r="J511" s="230" t="n">
        <v>31.525</v>
      </c>
      <c r="K511" s="230" t="n">
        <v>32.195</v>
      </c>
      <c r="L511" s="230" t="n">
        <v>31.875</v>
      </c>
      <c r="M511" s="231" t="n">
        <v>31.975</v>
      </c>
    </row>
    <row r="512" ht="17.25" customHeight="1" thickBot="1">
      <c r="I512" s="229" t="n">
        <v>45183</v>
      </c>
      <c r="J512" s="230" t="n">
        <v>31.505</v>
      </c>
      <c r="K512" s="230" t="n">
        <v>32.175</v>
      </c>
      <c r="L512" s="230" t="n">
        <v>31.855</v>
      </c>
      <c r="M512" s="231" t="n">
        <v>31.955</v>
      </c>
    </row>
    <row r="513" ht="17.25" customHeight="1" thickBot="1">
      <c r="I513" s="229" t="n">
        <v>45182</v>
      </c>
      <c r="J513" s="230" t="n">
        <v>31.58</v>
      </c>
      <c r="K513" s="230" t="n">
        <v>32.25</v>
      </c>
      <c r="L513" s="230" t="n">
        <v>31.93</v>
      </c>
      <c r="M513" s="231" t="n">
        <v>32.03</v>
      </c>
    </row>
    <row r="514" ht="17.25" customHeight="1" thickBot="1">
      <c r="I514" s="229" t="n">
        <v>45181</v>
      </c>
      <c r="J514" s="230" t="n">
        <v>31.63</v>
      </c>
      <c r="K514" s="230" t="n">
        <v>32.3</v>
      </c>
      <c r="L514" s="230" t="n">
        <v>31.98</v>
      </c>
      <c r="M514" s="231" t="n">
        <v>32.08</v>
      </c>
    </row>
    <row r="515" ht="17.25" customHeight="1" thickBot="1">
      <c r="I515" s="229" t="n">
        <v>45180</v>
      </c>
      <c r="J515" s="230" t="n">
        <v>31.595</v>
      </c>
      <c r="K515" s="230" t="n">
        <v>32.265</v>
      </c>
      <c r="L515" s="230" t="n">
        <v>31.945</v>
      </c>
      <c r="M515" s="231" t="n">
        <v>32.045</v>
      </c>
    </row>
    <row r="516" ht="17.25" customHeight="1" thickBot="1">
      <c r="I516" s="229" t="n">
        <v>45177</v>
      </c>
      <c r="J516" s="230" t="n">
        <v>31.605</v>
      </c>
      <c r="K516" s="230" t="n">
        <v>32.275</v>
      </c>
      <c r="L516" s="230" t="n">
        <v>31.955</v>
      </c>
      <c r="M516" s="231" t="n">
        <v>32.055</v>
      </c>
    </row>
    <row r="517" ht="17.25" customHeight="1" thickBot="1">
      <c r="I517" s="229" t="n">
        <v>45176</v>
      </c>
      <c r="J517" s="230" t="n">
        <v>31.595</v>
      </c>
      <c r="K517" s="230" t="n">
        <v>32.265</v>
      </c>
      <c r="L517" s="230" t="n">
        <v>31.945</v>
      </c>
      <c r="M517" s="231" t="n">
        <v>32.045</v>
      </c>
    </row>
    <row r="518" ht="17.25" customHeight="1" thickBot="1">
      <c r="I518" s="229" t="n">
        <v>45175</v>
      </c>
      <c r="J518" s="230" t="n">
        <v>31.565</v>
      </c>
      <c r="K518" s="230" t="n">
        <v>32.235</v>
      </c>
      <c r="L518" s="230" t="n">
        <v>31.915</v>
      </c>
      <c r="M518" s="231" t="n">
        <v>32.015</v>
      </c>
    </row>
    <row r="519" ht="17.25" customHeight="1" thickBot="1">
      <c r="I519" s="229" t="n">
        <v>45174</v>
      </c>
      <c r="J519" s="230" t="n">
        <v>31.495</v>
      </c>
      <c r="K519" s="230" t="n">
        <v>32.165</v>
      </c>
      <c r="L519" s="230" t="n">
        <v>31.845</v>
      </c>
      <c r="M519" s="231" t="n">
        <v>31.945</v>
      </c>
    </row>
    <row r="520" ht="17.25" customHeight="1" thickBot="1">
      <c r="I520" s="232" t="n">
        <v>45173</v>
      </c>
      <c r="J520" s="233" t="n">
        <v>31.48</v>
      </c>
      <c r="K520" s="233" t="n">
        <v>32.15</v>
      </c>
      <c r="L520" s="233" t="n">
        <v>31.83</v>
      </c>
      <c r="M520" s="234" t="n">
        <v>31.93</v>
      </c>
    </row>
    <row r="521" ht="17.25" customHeight="1" thickBot="1">
      <c r="I521" s="235" t="n">
        <v>45170</v>
      </c>
      <c r="J521" s="236" t="n">
        <v>31.46</v>
      </c>
      <c r="K521" s="236" t="n">
        <v>32.13</v>
      </c>
      <c r="L521" s="236" t="n">
        <v>31.81</v>
      </c>
      <c r="M521" s="237" t="n">
        <v>31.91</v>
      </c>
    </row>
    <row r="522" ht="17.25" customHeight="1" thickBot="1">
      <c r="I522" s="229" t="n">
        <v>45169</v>
      </c>
      <c r="J522" s="230" t="n">
        <v>31.46</v>
      </c>
      <c r="K522" s="230" t="n">
        <v>32.13</v>
      </c>
      <c r="L522" s="230" t="n">
        <v>31.81</v>
      </c>
      <c r="M522" s="231" t="n">
        <v>31.91</v>
      </c>
    </row>
    <row r="523" ht="17.25" customHeight="1" thickBot="1">
      <c r="I523" s="229" t="n">
        <v>45168</v>
      </c>
      <c r="J523" s="230" t="n">
        <v>31.46</v>
      </c>
      <c r="K523" s="230" t="n">
        <v>32.13</v>
      </c>
      <c r="L523" s="230" t="n">
        <v>31.81</v>
      </c>
      <c r="M523" s="231" t="n">
        <v>31.91</v>
      </c>
    </row>
    <row r="524" ht="17.25" customHeight="1" thickBot="1">
      <c r="I524" s="229" t="n">
        <v>45167</v>
      </c>
      <c r="J524" s="230" t="n">
        <v>31.485</v>
      </c>
      <c r="K524" s="230" t="n">
        <v>32.155</v>
      </c>
      <c r="L524" s="230" t="n">
        <v>31.835</v>
      </c>
      <c r="M524" s="231" t="n">
        <v>31.935</v>
      </c>
    </row>
    <row r="525" ht="17.25" customHeight="1" thickBot="1">
      <c r="I525" s="229" t="n">
        <v>45166</v>
      </c>
      <c r="J525" s="230" t="n">
        <v>31.48</v>
      </c>
      <c r="K525" s="230" t="n">
        <v>32.15</v>
      </c>
      <c r="L525" s="230" t="n">
        <v>31.83</v>
      </c>
      <c r="M525" s="231" t="n">
        <v>31.93</v>
      </c>
    </row>
    <row r="526" ht="17.25" customHeight="1" thickBot="1">
      <c r="I526" s="229" t="n">
        <v>45163</v>
      </c>
      <c r="J526" s="230" t="n">
        <v>31.45</v>
      </c>
      <c r="K526" s="230" t="n">
        <v>32.12</v>
      </c>
      <c r="L526" s="230" t="n">
        <v>31.8</v>
      </c>
      <c r="M526" s="231" t="n">
        <v>31.9</v>
      </c>
    </row>
    <row r="527" ht="17.25" customHeight="1" thickBot="1">
      <c r="I527" s="229" t="n">
        <v>45162</v>
      </c>
      <c r="J527" s="230" t="n">
        <v>31.385</v>
      </c>
      <c r="K527" s="230" t="n">
        <v>32.055</v>
      </c>
      <c r="L527" s="230" t="n">
        <v>31.735</v>
      </c>
      <c r="M527" s="231" t="n">
        <v>31.835</v>
      </c>
    </row>
    <row r="528" ht="17.25" customHeight="1" thickBot="1">
      <c r="I528" s="229" t="n">
        <v>45161</v>
      </c>
      <c r="J528" s="230" t="n">
        <v>31.53</v>
      </c>
      <c r="K528" s="230" t="n">
        <v>32.2</v>
      </c>
      <c r="L528" s="230" t="n">
        <v>31.88</v>
      </c>
      <c r="M528" s="231" t="n">
        <v>31.98</v>
      </c>
    </row>
    <row r="529" ht="17.25" customHeight="1" thickBot="1">
      <c r="I529" s="229" t="n">
        <v>45160</v>
      </c>
      <c r="J529" s="230" t="n">
        <v>31.54</v>
      </c>
      <c r="K529" s="230" t="n">
        <v>32.21</v>
      </c>
      <c r="L529" s="230" t="n">
        <v>31.89</v>
      </c>
      <c r="M529" s="231" t="n">
        <v>31.99</v>
      </c>
    </row>
    <row r="530" ht="17.25" customHeight="1" thickBot="1">
      <c r="I530" s="229" t="n">
        <v>45159</v>
      </c>
      <c r="J530" s="230" t="n">
        <v>31.57</v>
      </c>
      <c r="K530" s="230" t="n">
        <v>32.24</v>
      </c>
      <c r="L530" s="230" t="n">
        <v>31.92</v>
      </c>
      <c r="M530" s="231" t="n">
        <v>32.02</v>
      </c>
    </row>
    <row r="531" ht="17.25" customHeight="1" thickBot="1">
      <c r="I531" s="229" t="n">
        <v>45156</v>
      </c>
      <c r="J531" s="230" t="n">
        <v>31.55</v>
      </c>
      <c r="K531" s="230" t="n">
        <v>32.22</v>
      </c>
      <c r="L531" s="230" t="n">
        <v>31.9</v>
      </c>
      <c r="M531" s="231" t="n">
        <v>32</v>
      </c>
    </row>
    <row r="532" ht="17.25" customHeight="1" thickBot="1">
      <c r="I532" s="229" t="n">
        <v>45155</v>
      </c>
      <c r="J532" s="230" t="n">
        <v>31.575</v>
      </c>
      <c r="K532" s="230" t="n">
        <v>32.245</v>
      </c>
      <c r="L532" s="230" t="n">
        <v>31.925</v>
      </c>
      <c r="M532" s="231" t="n">
        <v>32.025</v>
      </c>
    </row>
    <row r="533" ht="17.25" customHeight="1" thickBot="1">
      <c r="I533" s="229" t="n">
        <v>45154</v>
      </c>
      <c r="J533" s="230" t="n">
        <v>31.495</v>
      </c>
      <c r="K533" s="230" t="n">
        <v>32.165</v>
      </c>
      <c r="L533" s="230" t="n">
        <v>31.845</v>
      </c>
      <c r="M533" s="231" t="n">
        <v>31.945</v>
      </c>
    </row>
    <row r="534" ht="17.25" customHeight="1" thickBot="1">
      <c r="I534" s="229" t="n">
        <v>45153</v>
      </c>
      <c r="J534" s="230" t="n">
        <v>31.525</v>
      </c>
      <c r="K534" s="230" t="n">
        <v>32.195</v>
      </c>
      <c r="L534" s="230" t="n">
        <v>31.875</v>
      </c>
      <c r="M534" s="231" t="n">
        <v>31.975</v>
      </c>
    </row>
    <row r="535" ht="17.25" customHeight="1" thickBot="1">
      <c r="I535" s="229" t="n">
        <v>45152</v>
      </c>
      <c r="J535" s="230" t="n">
        <v>31.53</v>
      </c>
      <c r="K535" s="230" t="n">
        <v>32.2</v>
      </c>
      <c r="L535" s="230" t="n">
        <v>31.88</v>
      </c>
      <c r="M535" s="231" t="n">
        <v>31.98</v>
      </c>
    </row>
    <row r="536" ht="17.25" customHeight="1" thickBot="1">
      <c r="I536" s="229" t="n">
        <v>45149</v>
      </c>
      <c r="J536" s="230" t="n">
        <v>31.4</v>
      </c>
      <c r="K536" s="230" t="n">
        <v>32.07</v>
      </c>
      <c r="L536" s="230" t="n">
        <v>31.75</v>
      </c>
      <c r="M536" s="231" t="n">
        <v>31.85</v>
      </c>
    </row>
    <row r="537" ht="17.25" customHeight="1" thickBot="1">
      <c r="I537" s="229" t="n">
        <v>45148</v>
      </c>
      <c r="J537" s="230" t="n">
        <v>31.365</v>
      </c>
      <c r="K537" s="230" t="n">
        <v>32.035</v>
      </c>
      <c r="L537" s="230" t="n">
        <v>31.715</v>
      </c>
      <c r="M537" s="231" t="n">
        <v>31.815</v>
      </c>
    </row>
    <row r="538" ht="17.25" customHeight="1" thickBot="1">
      <c r="I538" s="229" t="n">
        <v>45147</v>
      </c>
      <c r="J538" s="230" t="n">
        <v>31.34</v>
      </c>
      <c r="K538" s="230" t="n">
        <v>32.01</v>
      </c>
      <c r="L538" s="230" t="n">
        <v>31.69</v>
      </c>
      <c r="M538" s="231" t="n">
        <v>31.79</v>
      </c>
    </row>
    <row r="539" ht="17.25" customHeight="1" thickBot="1">
      <c r="I539" s="229" t="n">
        <v>45146</v>
      </c>
      <c r="J539" s="230" t="n">
        <v>31.41</v>
      </c>
      <c r="K539" s="230" t="n">
        <v>32.08</v>
      </c>
      <c r="L539" s="230" t="n">
        <v>31.76</v>
      </c>
      <c r="M539" s="231" t="n">
        <v>31.86</v>
      </c>
    </row>
    <row r="540" ht="17.25" customHeight="1" thickBot="1">
      <c r="I540" s="229" t="n">
        <v>45145</v>
      </c>
      <c r="J540" s="230" t="n">
        <v>31.27</v>
      </c>
      <c r="K540" s="230" t="n">
        <v>31.94</v>
      </c>
      <c r="L540" s="230" t="n">
        <v>31.62</v>
      </c>
      <c r="M540" s="231" t="n">
        <v>31.72</v>
      </c>
    </row>
    <row r="541" ht="17.25" customHeight="1" thickBot="1">
      <c r="I541" s="229" t="n">
        <v>45142</v>
      </c>
      <c r="J541" s="230" t="n">
        <v>31.29</v>
      </c>
      <c r="K541" s="230" t="n">
        <v>31.96</v>
      </c>
      <c r="L541" s="230" t="n">
        <v>31.64</v>
      </c>
      <c r="M541" s="231" t="n">
        <v>31.74</v>
      </c>
    </row>
    <row r="542" ht="17.25" customHeight="1" thickBot="1">
      <c r="I542" s="229" t="n">
        <v>45141</v>
      </c>
      <c r="J542" s="230" t="n">
        <v>31.235</v>
      </c>
      <c r="K542" s="230" t="n">
        <v>31.905</v>
      </c>
      <c r="L542" s="230" t="n">
        <v>31.585</v>
      </c>
      <c r="M542" s="231" t="n">
        <v>31.685</v>
      </c>
    </row>
    <row r="543" ht="17.25" customHeight="1" thickBot="1">
      <c r="I543" s="229" t="n">
        <v>45140</v>
      </c>
      <c r="J543" s="230" t="n">
        <v>31.225</v>
      </c>
      <c r="K543" s="230" t="n">
        <v>31.895</v>
      </c>
      <c r="L543" s="230" t="n">
        <v>31.575</v>
      </c>
      <c r="M543" s="231" t="n">
        <v>31.675</v>
      </c>
    </row>
    <row r="544" ht="17.25" customHeight="1" thickBot="1">
      <c r="I544" s="229" t="n">
        <v>45139</v>
      </c>
      <c r="J544" s="230" t="n">
        <v>31.11</v>
      </c>
      <c r="K544" s="230" t="n">
        <v>31.78</v>
      </c>
      <c r="L544" s="230" t="n">
        <v>31.46</v>
      </c>
      <c r="M544" s="231" t="n">
        <v>31.56</v>
      </c>
    </row>
    <row r="545" ht="17.25" customHeight="1" thickBot="1">
      <c r="I545" s="229" t="n">
        <v>45138</v>
      </c>
      <c r="J545" s="230" t="n">
        <v>31.02</v>
      </c>
      <c r="K545" s="230" t="n">
        <v>31.69</v>
      </c>
      <c r="L545" s="230" t="n">
        <v>31.37</v>
      </c>
      <c r="M545" s="231" t="n">
        <v>31.47</v>
      </c>
    </row>
    <row r="546" ht="17.25" customHeight="1" thickBot="1">
      <c r="I546" s="229" t="n">
        <v>45135</v>
      </c>
      <c r="J546" s="230" t="n">
        <v>30.995</v>
      </c>
      <c r="K546" s="230" t="n">
        <v>31.665</v>
      </c>
      <c r="L546" s="230" t="n">
        <v>31.345</v>
      </c>
      <c r="M546" s="231" t="n">
        <v>31.445</v>
      </c>
    </row>
    <row r="547" ht="17.25" customHeight="1" thickBot="1">
      <c r="I547" s="229" t="n">
        <v>45134</v>
      </c>
      <c r="J547" s="230" t="n">
        <v>30.825</v>
      </c>
      <c r="K547" s="230" t="n">
        <v>31.495</v>
      </c>
      <c r="L547" s="230" t="n">
        <v>31.175</v>
      </c>
      <c r="M547" s="231" t="n">
        <v>31.275</v>
      </c>
    </row>
    <row r="548" ht="17.25" customHeight="1" thickBot="1">
      <c r="I548" s="229" t="n">
        <v>45133</v>
      </c>
      <c r="J548" s="230" t="n">
        <v>30.835</v>
      </c>
      <c r="K548" s="230" t="n">
        <v>31.505</v>
      </c>
      <c r="L548" s="230" t="n">
        <v>31.185</v>
      </c>
      <c r="M548" s="231" t="n">
        <v>31.285</v>
      </c>
    </row>
    <row r="549" ht="17.25" customHeight="1" thickBot="1">
      <c r="I549" s="229" t="n">
        <v>45132</v>
      </c>
      <c r="J549" s="230" t="n">
        <v>30.905</v>
      </c>
      <c r="K549" s="230" t="n">
        <v>31.575</v>
      </c>
      <c r="L549" s="230" t="n">
        <v>31.255</v>
      </c>
      <c r="M549" s="231" t="n">
        <v>31.355</v>
      </c>
    </row>
    <row r="550" ht="17.25" customHeight="1" thickBot="1">
      <c r="I550" s="232" t="n">
        <v>45131</v>
      </c>
      <c r="J550" s="233" t="n">
        <v>30.96</v>
      </c>
      <c r="K550" s="233" t="n">
        <v>31.63</v>
      </c>
      <c r="L550" s="233" t="n">
        <v>31.31</v>
      </c>
      <c r="M550" s="234" t="n">
        <v>31.41</v>
      </c>
    </row>
    <row r="551" ht="17.25" customHeight="1" thickBot="1">
      <c r="I551" s="229" t="n">
        <v>45128</v>
      </c>
      <c r="J551" s="230" t="n">
        <v>30.835</v>
      </c>
      <c r="K551" s="230" t="n">
        <v>31.505</v>
      </c>
      <c r="L551" s="230" t="n">
        <v>31.185</v>
      </c>
      <c r="M551" s="231" t="n">
        <v>31.285</v>
      </c>
    </row>
    <row r="552" ht="17.25" customHeight="1" thickBot="1">
      <c r="I552" s="229" t="n">
        <v>45127</v>
      </c>
      <c r="J552" s="230" t="n">
        <v>30.67</v>
      </c>
      <c r="K552" s="230" t="n">
        <v>31.34</v>
      </c>
      <c r="L552" s="230" t="n">
        <v>31.02</v>
      </c>
      <c r="M552" s="231" t="n">
        <v>31.12</v>
      </c>
    </row>
    <row r="553" ht="17.25" customHeight="1" thickBot="1">
      <c r="I553" s="229" t="n">
        <v>45126</v>
      </c>
      <c r="J553" s="230" t="n">
        <v>30.66</v>
      </c>
      <c r="K553" s="230" t="n">
        <v>31.33</v>
      </c>
      <c r="L553" s="230" t="n">
        <v>31.01</v>
      </c>
      <c r="M553" s="231" t="n">
        <v>31.11</v>
      </c>
    </row>
    <row r="554" ht="17.25" customHeight="1" thickBot="1">
      <c r="I554" s="229" t="n">
        <v>45125</v>
      </c>
      <c r="J554" s="230" t="n">
        <v>30.585</v>
      </c>
      <c r="K554" s="230" t="n">
        <v>31.255</v>
      </c>
      <c r="L554" s="230" t="n">
        <v>30.935</v>
      </c>
      <c r="M554" s="231" t="n">
        <v>31.035</v>
      </c>
    </row>
    <row r="555" ht="17.25" customHeight="1" thickBot="1">
      <c r="I555" s="229" t="n">
        <v>45124</v>
      </c>
      <c r="J555" s="230" t="n">
        <v>30.645</v>
      </c>
      <c r="K555" s="230" t="n">
        <v>31.315</v>
      </c>
      <c r="L555" s="230" t="n">
        <v>30.995</v>
      </c>
      <c r="M555" s="231" t="n">
        <v>31.095</v>
      </c>
    </row>
    <row r="556" ht="17.25" customHeight="1" thickBot="1">
      <c r="I556" s="229" t="n">
        <v>45121</v>
      </c>
      <c r="J556" s="230" t="n">
        <v>30.485</v>
      </c>
      <c r="K556" s="230" t="n">
        <v>31.155</v>
      </c>
      <c r="L556" s="230" t="n">
        <v>30.835</v>
      </c>
      <c r="M556" s="231" t="n">
        <v>30.935</v>
      </c>
    </row>
    <row r="557" ht="17.25" customHeight="1" thickBot="1">
      <c r="I557" s="229" t="n">
        <v>45120</v>
      </c>
      <c r="J557" s="230" t="n">
        <v>30.67</v>
      </c>
      <c r="K557" s="230" t="n">
        <v>31.34</v>
      </c>
      <c r="L557" s="230" t="n">
        <v>31.02</v>
      </c>
      <c r="M557" s="231" t="n">
        <v>31.12</v>
      </c>
    </row>
    <row r="558" ht="17.25" customHeight="1" thickBot="1">
      <c r="I558" s="229" t="n">
        <v>45119</v>
      </c>
      <c r="J558" s="230" t="n">
        <v>30.83</v>
      </c>
      <c r="K558" s="230" t="n">
        <v>31.5</v>
      </c>
      <c r="L558" s="230" t="n">
        <v>31.18</v>
      </c>
      <c r="M558" s="231" t="n">
        <v>31.28</v>
      </c>
    </row>
    <row r="559" ht="17.25" customHeight="1" thickBot="1">
      <c r="I559" s="229" t="n">
        <v>45118</v>
      </c>
      <c r="J559" s="230" t="n">
        <v>30.915</v>
      </c>
      <c r="K559" s="230" t="n">
        <v>31.585</v>
      </c>
      <c r="L559" s="230" t="n">
        <v>31.265</v>
      </c>
      <c r="M559" s="231" t="n">
        <v>31.365</v>
      </c>
    </row>
    <row r="560" ht="17.25" customHeight="1" thickBot="1">
      <c r="I560" s="229" t="n">
        <v>45117</v>
      </c>
      <c r="J560" s="230" t="n">
        <v>30.985</v>
      </c>
      <c r="K560" s="230" t="n">
        <v>31.655</v>
      </c>
      <c r="L560" s="230" t="n">
        <v>31.335</v>
      </c>
      <c r="M560" s="231" t="n">
        <v>31.435</v>
      </c>
    </row>
    <row r="561" ht="17.25" customHeight="1" thickBot="1">
      <c r="I561" s="229" t="n">
        <v>45114</v>
      </c>
      <c r="J561" s="230" t="n">
        <v>30.935</v>
      </c>
      <c r="K561" s="230" t="n">
        <v>31.605</v>
      </c>
      <c r="L561" s="230" t="n">
        <v>31.285</v>
      </c>
      <c r="M561" s="231" t="n">
        <v>31.385</v>
      </c>
    </row>
    <row r="562" ht="17.25" customHeight="1" thickBot="1">
      <c r="I562" s="229" t="n">
        <v>45113</v>
      </c>
      <c r="J562" s="230" t="n">
        <v>30.83</v>
      </c>
      <c r="K562" s="230" t="n">
        <v>31.5</v>
      </c>
      <c r="L562" s="230" t="n">
        <v>31.18</v>
      </c>
      <c r="M562" s="231" t="n">
        <v>31.28</v>
      </c>
    </row>
    <row r="563" ht="17.25" customHeight="1" thickBot="1">
      <c r="I563" s="229" t="n">
        <v>45112</v>
      </c>
      <c r="J563" s="230" t="n">
        <v>30.75</v>
      </c>
      <c r="K563" s="230" t="n">
        <v>31.42</v>
      </c>
      <c r="L563" s="230" t="n">
        <v>31.1</v>
      </c>
      <c r="M563" s="231" t="n">
        <v>31.2</v>
      </c>
    </row>
    <row r="564" ht="17.25" customHeight="1" thickBot="1">
      <c r="I564" s="229" t="n">
        <v>45111</v>
      </c>
      <c r="J564" s="230" t="n">
        <v>30.715</v>
      </c>
      <c r="K564" s="230" t="n">
        <v>31.385</v>
      </c>
      <c r="L564" s="230" t="n">
        <v>31.065</v>
      </c>
      <c r="M564" s="231" t="n">
        <v>31.165</v>
      </c>
    </row>
    <row r="565" ht="17.25" customHeight="1" thickBot="1">
      <c r="I565" s="229" t="n">
        <v>45110</v>
      </c>
      <c r="J565" s="230" t="n">
        <v>30.735</v>
      </c>
      <c r="K565" s="230" t="n">
        <v>31.405</v>
      </c>
      <c r="L565" s="230" t="n">
        <v>31.085</v>
      </c>
      <c r="M565" s="231" t="n">
        <v>31.185</v>
      </c>
    </row>
    <row r="566" ht="17.25" customHeight="1" thickBot="1">
      <c r="I566" s="229" t="n">
        <v>45107</v>
      </c>
      <c r="J566" s="230" t="n">
        <v>30.74</v>
      </c>
      <c r="K566" s="230" t="n">
        <v>31.41</v>
      </c>
      <c r="L566" s="230" t="n">
        <v>31.09</v>
      </c>
      <c r="M566" s="231" t="n">
        <v>31.19</v>
      </c>
    </row>
    <row r="567" ht="17.25" customHeight="1" thickBot="1">
      <c r="I567" s="229" t="n">
        <v>45106</v>
      </c>
      <c r="J567" s="230" t="n">
        <v>30.67</v>
      </c>
      <c r="K567" s="230" t="n">
        <v>31.34</v>
      </c>
      <c r="L567" s="230" t="n">
        <v>31.02</v>
      </c>
      <c r="M567" s="231" t="n">
        <v>31.12</v>
      </c>
    </row>
    <row r="568" ht="17.25" customHeight="1" thickBot="1">
      <c r="I568" s="229" t="n">
        <v>45105</v>
      </c>
      <c r="J568" s="230" t="n">
        <v>30.67</v>
      </c>
      <c r="K568" s="230" t="n">
        <v>31.34</v>
      </c>
      <c r="L568" s="230" t="n">
        <v>31.02</v>
      </c>
      <c r="M568" s="231" t="n">
        <v>31.12</v>
      </c>
    </row>
    <row r="569" ht="17.25" customHeight="1" thickBot="1">
      <c r="I569" s="229" t="n">
        <v>45104</v>
      </c>
      <c r="J569" s="230" t="n">
        <v>30.625</v>
      </c>
      <c r="K569" s="230" t="n">
        <v>31.295</v>
      </c>
      <c r="L569" s="230" t="n">
        <v>30.975</v>
      </c>
      <c r="M569" s="231" t="n">
        <v>31.075</v>
      </c>
    </row>
    <row r="570" ht="17.25" customHeight="1" thickBot="1">
      <c r="I570" s="229" t="n">
        <v>45103</v>
      </c>
      <c r="J570" s="230" t="n">
        <v>30.61</v>
      </c>
      <c r="K570" s="230" t="n">
        <v>31.28</v>
      </c>
      <c r="L570" s="230" t="n">
        <v>30.96</v>
      </c>
      <c r="M570" s="231" t="n">
        <v>31.06</v>
      </c>
    </row>
    <row r="571" ht="17.25" customHeight="1" thickBot="1">
      <c r="I571" s="229" t="n">
        <v>45098</v>
      </c>
      <c r="J571" s="230" t="n">
        <v>30.51</v>
      </c>
      <c r="K571" s="230" t="n">
        <v>31.18</v>
      </c>
      <c r="L571" s="230" t="n">
        <v>30.86</v>
      </c>
      <c r="M571" s="231" t="n">
        <v>30.96</v>
      </c>
    </row>
    <row r="572" ht="17.25" customHeight="1" thickBot="1">
      <c r="I572" s="229" t="n">
        <v>45097</v>
      </c>
      <c r="J572" s="230" t="n">
        <v>30.495</v>
      </c>
      <c r="K572" s="230" t="n">
        <v>31.165</v>
      </c>
      <c r="L572" s="230" t="n">
        <v>30.845</v>
      </c>
      <c r="M572" s="231" t="n">
        <v>30.945</v>
      </c>
    </row>
    <row r="573" ht="17.25" customHeight="1" thickBot="1">
      <c r="I573" s="229" t="n">
        <v>45096</v>
      </c>
      <c r="J573" s="230" t="n">
        <v>30.395</v>
      </c>
      <c r="K573" s="230" t="n">
        <v>31.065</v>
      </c>
      <c r="L573" s="230" t="n">
        <v>30.745</v>
      </c>
      <c r="M573" s="231" t="n">
        <v>30.845</v>
      </c>
    </row>
    <row r="574" ht="17.25" customHeight="1" thickBot="1">
      <c r="I574" s="229" t="n">
        <v>45094</v>
      </c>
      <c r="J574" s="230" t="n">
        <v>30.335</v>
      </c>
      <c r="K574" s="230" t="n">
        <v>31.005</v>
      </c>
      <c r="L574" s="230" t="n">
        <v>30.685</v>
      </c>
      <c r="M574" s="231" t="n">
        <v>30.785</v>
      </c>
    </row>
    <row r="575" ht="17.25" customHeight="1" thickBot="1">
      <c r="I575" s="229" t="n">
        <v>45093</v>
      </c>
      <c r="J575" s="230" t="n">
        <v>30.3</v>
      </c>
      <c r="K575" s="230" t="n">
        <v>30.97</v>
      </c>
      <c r="L575" s="230" t="n">
        <v>30.65</v>
      </c>
      <c r="M575" s="231" t="n">
        <v>30.75</v>
      </c>
    </row>
    <row r="576" ht="17.25" customHeight="1" thickBot="1">
      <c r="I576" s="229" t="n">
        <v>45092</v>
      </c>
      <c r="J576" s="230" t="n">
        <v>30.315</v>
      </c>
      <c r="K576" s="230" t="n">
        <v>30.985</v>
      </c>
      <c r="L576" s="230" t="n">
        <v>30.665</v>
      </c>
      <c r="M576" s="231" t="n">
        <v>30.765</v>
      </c>
    </row>
    <row r="577" ht="17.25" customHeight="1" thickBot="1">
      <c r="I577" s="229" t="n">
        <v>45091</v>
      </c>
      <c r="J577" s="230" t="n">
        <v>30.31</v>
      </c>
      <c r="K577" s="230" t="n">
        <v>30.98</v>
      </c>
      <c r="L577" s="230" t="n">
        <v>30.66</v>
      </c>
      <c r="M577" s="231" t="n">
        <v>30.76</v>
      </c>
    </row>
    <row r="578" ht="17.25" customHeight="1" thickBot="1">
      <c r="I578" s="229" t="n">
        <v>45090</v>
      </c>
      <c r="J578" s="230" t="n">
        <v>30.3</v>
      </c>
      <c r="K578" s="230" t="n">
        <v>30.97</v>
      </c>
      <c r="L578" s="230" t="n">
        <v>30.65</v>
      </c>
      <c r="M578" s="231" t="n">
        <v>30.75</v>
      </c>
    </row>
    <row r="579" ht="17.25" customHeight="1" thickBot="1">
      <c r="I579" s="229" t="n">
        <v>45089</v>
      </c>
      <c r="J579" s="230" t="n">
        <v>30.345</v>
      </c>
      <c r="K579" s="230" t="n">
        <v>31.015</v>
      </c>
      <c r="L579" s="230" t="n">
        <v>30.695</v>
      </c>
      <c r="M579" s="231" t="n">
        <v>30.795</v>
      </c>
    </row>
    <row r="580" ht="17.25" customHeight="1" thickBot="1">
      <c r="I580" s="232" t="n">
        <v>45086</v>
      </c>
      <c r="J580" s="233" t="n">
        <v>30.32</v>
      </c>
      <c r="K580" s="233" t="n">
        <v>30.99</v>
      </c>
      <c r="L580" s="233" t="n">
        <v>30.67</v>
      </c>
      <c r="M580" s="234" t="n">
        <v>30.77</v>
      </c>
    </row>
    <row r="581" ht="17.25" customHeight="1" thickBot="1">
      <c r="I581" s="229" t="n">
        <v>45085</v>
      </c>
      <c r="J581" s="230" t="n">
        <v>30.355</v>
      </c>
      <c r="K581" s="230" t="n">
        <v>31.025</v>
      </c>
      <c r="L581" s="230" t="n">
        <v>30.705</v>
      </c>
      <c r="M581" s="231" t="n">
        <v>30.805</v>
      </c>
    </row>
    <row r="582" ht="17.25" customHeight="1" thickBot="1">
      <c r="I582" s="229" t="n">
        <v>45084</v>
      </c>
      <c r="J582" s="230" t="n">
        <v>30.305</v>
      </c>
      <c r="K582" s="230" t="n">
        <v>30.975</v>
      </c>
      <c r="L582" s="230" t="n">
        <v>30.655</v>
      </c>
      <c r="M582" s="231" t="n">
        <v>30.755</v>
      </c>
    </row>
    <row r="583" ht="17.25" customHeight="1" thickBot="1">
      <c r="I583" s="229" t="n">
        <v>45083</v>
      </c>
      <c r="J583" s="230" t="n">
        <v>30.325</v>
      </c>
      <c r="K583" s="230" t="n">
        <v>30.995</v>
      </c>
      <c r="L583" s="230" t="n">
        <v>30.675</v>
      </c>
      <c r="M583" s="231" t="n">
        <v>30.775</v>
      </c>
    </row>
    <row r="584" ht="17.25" customHeight="1" thickBot="1">
      <c r="I584" s="229" t="n">
        <v>45082</v>
      </c>
      <c r="J584" s="230" t="n">
        <v>30.29</v>
      </c>
      <c r="K584" s="230" t="n">
        <v>30.96</v>
      </c>
      <c r="L584" s="230" t="n">
        <v>30.64</v>
      </c>
      <c r="M584" s="231" t="n">
        <v>30.74</v>
      </c>
    </row>
    <row r="585" ht="17.25" customHeight="1" thickBot="1">
      <c r="I585" s="229" t="n">
        <v>45079</v>
      </c>
      <c r="J585" s="230" t="n">
        <v>30.26</v>
      </c>
      <c r="K585" s="230" t="n">
        <v>30.93</v>
      </c>
      <c r="L585" s="230" t="n">
        <v>30.61</v>
      </c>
      <c r="M585" s="231" t="n">
        <v>30.71</v>
      </c>
    </row>
    <row r="586" ht="17.25" customHeight="1" thickBot="1">
      <c r="I586" s="229" t="n">
        <v>45078</v>
      </c>
      <c r="J586" s="230" t="n">
        <v>30.335</v>
      </c>
      <c r="K586" s="230" t="n">
        <v>31.005</v>
      </c>
      <c r="L586" s="230" t="n">
        <v>30.685</v>
      </c>
      <c r="M586" s="231" t="n">
        <v>30.785</v>
      </c>
    </row>
    <row r="587" ht="17.25" customHeight="1" thickBot="1">
      <c r="I587" s="229" t="n">
        <v>45077</v>
      </c>
      <c r="J587" s="230" t="n">
        <v>30.35</v>
      </c>
      <c r="K587" s="230" t="n">
        <v>31.02</v>
      </c>
      <c r="L587" s="230" t="n">
        <v>30.7</v>
      </c>
      <c r="M587" s="231" t="n">
        <v>30.8</v>
      </c>
    </row>
    <row r="588" ht="17.25" customHeight="1" thickBot="1">
      <c r="I588" s="229" t="n">
        <v>45076</v>
      </c>
      <c r="J588" s="230" t="n">
        <v>30.245</v>
      </c>
      <c r="K588" s="230" t="n">
        <v>30.915</v>
      </c>
      <c r="L588" s="230" t="n">
        <v>30.595</v>
      </c>
      <c r="M588" s="231" t="n">
        <v>30.695</v>
      </c>
    </row>
    <row r="589" ht="17.25" customHeight="1" thickBot="1">
      <c r="I589" s="229" t="n">
        <v>45075</v>
      </c>
      <c r="J589" s="230" t="n">
        <v>30.245</v>
      </c>
      <c r="K589" s="230" t="n">
        <v>30.915</v>
      </c>
      <c r="L589" s="230" t="n">
        <v>30.595</v>
      </c>
      <c r="M589" s="231" t="n">
        <v>30.695</v>
      </c>
    </row>
    <row r="590" ht="17.25" customHeight="1" thickBot="1">
      <c r="I590" s="229" t="n">
        <v>45072</v>
      </c>
      <c r="J590" s="230" t="n">
        <v>30.345</v>
      </c>
      <c r="K590" s="230" t="n">
        <v>31.015</v>
      </c>
      <c r="L590" s="230" t="n">
        <v>30.695</v>
      </c>
      <c r="M590" s="231" t="n">
        <v>30.795</v>
      </c>
    </row>
    <row r="591" ht="17.25" customHeight="1" thickBot="1">
      <c r="I591" s="229" t="n">
        <v>45071</v>
      </c>
      <c r="J591" s="230" t="n">
        <v>30.385</v>
      </c>
      <c r="K591" s="230" t="n">
        <v>31.055</v>
      </c>
      <c r="L591" s="230" t="n">
        <v>30.735</v>
      </c>
      <c r="M591" s="231" t="n">
        <v>30.835</v>
      </c>
    </row>
    <row r="592" ht="17.25" customHeight="1" thickBot="1">
      <c r="I592" s="229" t="n">
        <v>45070</v>
      </c>
      <c r="J592" s="230" t="n">
        <v>30.395</v>
      </c>
      <c r="K592" s="230" t="n">
        <v>31.065</v>
      </c>
      <c r="L592" s="230" t="n">
        <v>30.745</v>
      </c>
      <c r="M592" s="231" t="n">
        <v>30.845</v>
      </c>
    </row>
    <row r="593" ht="17.25" customHeight="1" thickBot="1">
      <c r="I593" s="229" t="n">
        <v>45069</v>
      </c>
      <c r="J593" s="230" t="n">
        <v>30.35</v>
      </c>
      <c r="K593" s="230" t="n">
        <v>31.02</v>
      </c>
      <c r="L593" s="230" t="n">
        <v>30.7</v>
      </c>
      <c r="M593" s="231" t="n">
        <v>30.8</v>
      </c>
    </row>
    <row r="594" ht="17.25" customHeight="1" thickBot="1">
      <c r="I594" s="229" t="n">
        <v>45068</v>
      </c>
      <c r="J594" s="230" t="n">
        <v>30.28</v>
      </c>
      <c r="K594" s="230" t="n">
        <v>30.95</v>
      </c>
      <c r="L594" s="230" t="n">
        <v>30.63</v>
      </c>
      <c r="M594" s="231" t="n">
        <v>30.73</v>
      </c>
    </row>
    <row r="595" ht="17.25" customHeight="1" thickBot="1">
      <c r="I595" s="229" t="n">
        <v>45065</v>
      </c>
      <c r="J595" s="230" t="n">
        <v>30.275</v>
      </c>
      <c r="K595" s="230" t="n">
        <v>30.945</v>
      </c>
      <c r="L595" s="230" t="n">
        <v>30.625</v>
      </c>
      <c r="M595" s="231" t="n">
        <v>30.725</v>
      </c>
    </row>
    <row r="596" ht="17.25" customHeight="1" thickBot="1">
      <c r="I596" s="229" t="n">
        <v>45064</v>
      </c>
      <c r="J596" s="230" t="n">
        <v>30.365</v>
      </c>
      <c r="K596" s="230" t="n">
        <v>31.035</v>
      </c>
      <c r="L596" s="230" t="n">
        <v>30.715</v>
      </c>
      <c r="M596" s="231" t="n">
        <v>30.815</v>
      </c>
    </row>
    <row r="597" ht="17.25" customHeight="1" thickBot="1">
      <c r="I597" s="229" t="n">
        <v>45063</v>
      </c>
      <c r="J597" s="230" t="n">
        <v>30.415</v>
      </c>
      <c r="K597" s="230" t="n">
        <v>31.085</v>
      </c>
      <c r="L597" s="230" t="n">
        <v>30.765</v>
      </c>
      <c r="M597" s="231" t="n">
        <v>30.865</v>
      </c>
    </row>
    <row r="598" ht="17.25" customHeight="1" thickBot="1">
      <c r="I598" s="229" t="n">
        <v>45062</v>
      </c>
      <c r="J598" s="230" t="n">
        <v>30.405</v>
      </c>
      <c r="K598" s="230" t="n">
        <v>31.075</v>
      </c>
      <c r="L598" s="230" t="n">
        <v>30.755</v>
      </c>
      <c r="M598" s="231" t="n">
        <v>30.855</v>
      </c>
    </row>
    <row r="599" ht="17.25" customHeight="1" thickBot="1">
      <c r="I599" s="229" t="n">
        <v>45061</v>
      </c>
      <c r="J599" s="230" t="n">
        <v>30.405</v>
      </c>
      <c r="K599" s="230" t="n">
        <v>31.075</v>
      </c>
      <c r="L599" s="230" t="n">
        <v>30.755</v>
      </c>
      <c r="M599" s="231" t="n">
        <v>30.855</v>
      </c>
    </row>
    <row r="600" ht="17.25" customHeight="1" thickBot="1">
      <c r="I600" s="229" t="n">
        <v>45058</v>
      </c>
      <c r="J600" s="230" t="n">
        <v>30.35</v>
      </c>
      <c r="K600" s="230" t="n">
        <v>31.02</v>
      </c>
      <c r="L600" s="230" t="n">
        <v>30.7</v>
      </c>
      <c r="M600" s="231" t="n">
        <v>30.8</v>
      </c>
    </row>
    <row r="601" ht="17.25" customHeight="1" thickBot="1">
      <c r="I601" s="229" t="n">
        <v>45057</v>
      </c>
      <c r="J601" s="230" t="n">
        <v>30.33</v>
      </c>
      <c r="K601" s="230" t="n">
        <v>31</v>
      </c>
      <c r="L601" s="230" t="n">
        <v>30.68</v>
      </c>
      <c r="M601" s="231" t="n">
        <v>30.78</v>
      </c>
    </row>
    <row r="602" ht="17.25" customHeight="1" thickBot="1">
      <c r="I602" s="229" t="n">
        <v>45056</v>
      </c>
      <c r="J602" s="230" t="n">
        <v>30.325</v>
      </c>
      <c r="K602" s="230" t="n">
        <v>30.995</v>
      </c>
      <c r="L602" s="230" t="n">
        <v>30.675</v>
      </c>
      <c r="M602" s="231" t="n">
        <v>30.775</v>
      </c>
    </row>
    <row r="603" ht="17.25" customHeight="1" thickBot="1">
      <c r="I603" s="229" t="n">
        <v>45055</v>
      </c>
      <c r="J603" s="230" t="n">
        <v>30.295</v>
      </c>
      <c r="K603" s="230" t="n">
        <v>30.965</v>
      </c>
      <c r="L603" s="230" t="n">
        <v>30.645</v>
      </c>
      <c r="M603" s="231" t="n">
        <v>30.745</v>
      </c>
    </row>
    <row r="604" ht="17.25" customHeight="1" thickBot="1">
      <c r="I604" s="229" t="n">
        <v>45054</v>
      </c>
      <c r="J604" s="230" t="n">
        <v>30.275</v>
      </c>
      <c r="K604" s="230" t="n">
        <v>30.945</v>
      </c>
      <c r="L604" s="230" t="n">
        <v>30.625</v>
      </c>
      <c r="M604" s="231" t="n">
        <v>30.725</v>
      </c>
    </row>
    <row r="605" ht="17.25" customHeight="1" thickBot="1">
      <c r="I605" s="229" t="n">
        <v>45051</v>
      </c>
      <c r="J605" s="230" t="n">
        <v>30.235</v>
      </c>
      <c r="K605" s="230" t="n">
        <v>30.905</v>
      </c>
      <c r="L605" s="230" t="n">
        <v>30.585</v>
      </c>
      <c r="M605" s="231" t="n">
        <v>30.685</v>
      </c>
    </row>
    <row r="606" ht="17.25" customHeight="1" thickBot="1">
      <c r="I606" s="229" t="n">
        <v>45050</v>
      </c>
      <c r="J606" s="230" t="n">
        <v>30.27</v>
      </c>
      <c r="K606" s="230" t="n">
        <v>30.94</v>
      </c>
      <c r="L606" s="230" t="n">
        <v>30.62</v>
      </c>
      <c r="M606" s="231" t="n">
        <v>30.72</v>
      </c>
    </row>
    <row r="607" ht="17.25" customHeight="1" thickBot="1">
      <c r="I607" s="229" t="n">
        <v>45049</v>
      </c>
      <c r="J607" s="230" t="n">
        <v>30.345</v>
      </c>
      <c r="K607" s="230" t="n">
        <v>31.015</v>
      </c>
      <c r="L607" s="230" t="n">
        <v>30.695</v>
      </c>
      <c r="M607" s="231" t="n">
        <v>30.795</v>
      </c>
    </row>
    <row r="608" ht="17.25" customHeight="1" thickBot="1">
      <c r="I608" s="229" t="n">
        <v>45048</v>
      </c>
      <c r="J608" s="230" t="n">
        <v>30.375</v>
      </c>
      <c r="K608" s="230" t="n">
        <v>31.045</v>
      </c>
      <c r="L608" s="230" t="n">
        <v>30.725</v>
      </c>
      <c r="M608" s="231" t="n">
        <v>30.825</v>
      </c>
    </row>
    <row r="609" ht="17.25" customHeight="1" thickBot="1">
      <c r="I609" s="229" t="n">
        <v>45044</v>
      </c>
      <c r="J609" s="230" t="n">
        <v>30.34</v>
      </c>
      <c r="K609" s="230" t="n">
        <v>31.01</v>
      </c>
      <c r="L609" s="230" t="n">
        <v>30.69</v>
      </c>
      <c r="M609" s="231" t="n">
        <v>30.79</v>
      </c>
    </row>
    <row r="610" ht="17.25" customHeight="1" thickBot="1">
      <c r="I610" s="232" t="n">
        <v>45043</v>
      </c>
      <c r="J610" s="233" t="n">
        <v>30.305</v>
      </c>
      <c r="K610" s="233" t="n">
        <v>30.975</v>
      </c>
      <c r="L610" s="233" t="n">
        <v>30.655</v>
      </c>
      <c r="M610" s="234" t="n">
        <v>30.755</v>
      </c>
    </row>
  </sheetData>
  <hyperlinks>
    <hyperlink xmlns:r="http://schemas.openxmlformats.org/officeDocument/2006/relationships" ref="A1" r:id="rId1"/>
    <hyperlink xmlns:r="http://schemas.openxmlformats.org/officeDocument/2006/relationships" ref="I1" r:id="rId2"/>
  </hyperlinks>
  <pageMargins left="0.7" right="0.7" top="0.75" bottom="0.75" header="0.3" footer="0.3"/>
  <drawing xmlns:r="http://schemas.openxmlformats.org/officeDocument/2006/relationships" r:id="rId3"/>
  <tableParts count="1">
    <tablePart xmlns:r="http://schemas.openxmlformats.org/officeDocument/2006/relationships" r:id="rId4"/>
  </tableParts>
</worksheet>
</file>

<file path=xl/worksheets/sheet15.xml><?xml version="1.0" encoding="utf-8"?>
<worksheet xmlns="http://schemas.openxmlformats.org/spreadsheetml/2006/main">
  <sheetPr codeName="Sheet2">
    <outlinePr summaryBelow="0" summaryRight="0"/>
    <pageSetUpPr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baseColWidth="8" defaultRowHeight="16.5" outlineLevelRow="1"/>
  <cols>
    <col width="15" bestFit="1" customWidth="1" min="1" max="1"/>
    <col width="13.5" bestFit="1" customWidth="1" min="2" max="2"/>
    <col width="11.125" bestFit="1" customWidth="1" min="3" max="3"/>
    <col width="10.75" bestFit="1" customWidth="1" min="4" max="4"/>
    <col width="11.125" bestFit="1" customWidth="1" style="81" min="5" max="5"/>
    <col width="11.125" customWidth="1" style="81" min="6" max="6"/>
    <col width="11.5" bestFit="1" customWidth="1" min="7" max="7"/>
    <col width="13.875" customWidth="1" min="8" max="8"/>
    <col width="11.625" customWidth="1" min="9" max="9"/>
    <col width="16.125" bestFit="1" customWidth="1" min="10" max="10"/>
    <col width="9.25" bestFit="1" customWidth="1" min="11" max="12"/>
    <col width="11.375" bestFit="1" customWidth="1" min="13" max="13"/>
    <col width="16.5" bestFit="1" customWidth="1" min="14" max="14"/>
    <col width="13.375" bestFit="1" customWidth="1" min="15" max="15"/>
    <col width="26.125" bestFit="1" customWidth="1" min="16" max="16"/>
    <col width="8.625" bestFit="1" customWidth="1" min="17" max="17"/>
  </cols>
  <sheetData>
    <row r="1">
      <c r="A1" t="inlineStr">
        <is>
          <t>Today:</t>
        </is>
      </c>
      <c r="C1" s="79">
        <f>TODAY()</f>
        <v/>
      </c>
      <c r="D1" s="79" t="n">
        <v>45291</v>
      </c>
      <c r="E1" s="79" t="n">
        <v>44926</v>
      </c>
      <c r="F1" s="79" t="n">
        <v>44561</v>
      </c>
      <c r="G1" s="79" t="n">
        <v>44196</v>
      </c>
      <c r="H1" s="79" t="n">
        <v>43830</v>
      </c>
      <c r="I1" s="79" t="n">
        <v>43465</v>
      </c>
    </row>
    <row r="2">
      <c r="C2" s="79" t="n"/>
      <c r="D2" s="79" t="n"/>
      <c r="E2" s="144" t="n"/>
      <c r="F2" s="144" t="n"/>
      <c r="G2" s="79" t="n"/>
    </row>
    <row r="3" ht="17.25" customHeight="1" thickBot="1">
      <c r="A3" t="inlineStr">
        <is>
          <t>起始日</t>
        </is>
      </c>
      <c r="B3" t="inlineStr">
        <is>
          <t>終止日</t>
        </is>
      </c>
      <c r="C3" s="398" t="inlineStr">
        <is>
          <t>存入</t>
        </is>
      </c>
      <c r="D3" s="83" t="inlineStr">
        <is>
          <t>提出</t>
        </is>
      </c>
      <c r="E3" s="145" t="inlineStr">
        <is>
          <t>結餘</t>
        </is>
      </c>
      <c r="F3" s="83" t="inlineStr">
        <is>
          <t>損益</t>
        </is>
      </c>
      <c r="G3" s="83" t="inlineStr">
        <is>
          <t>總損益</t>
        </is>
      </c>
      <c r="H3" s="398" t="inlineStr">
        <is>
          <t>年投資天數</t>
        </is>
      </c>
      <c r="I3" s="398" t="inlineStr">
        <is>
          <t>總投資天數</t>
        </is>
      </c>
      <c r="J3" s="398" t="n"/>
    </row>
    <row r="4">
      <c r="A4" s="508" t="n">
        <v>43403</v>
      </c>
      <c r="B4" s="66" t="n"/>
      <c r="C4" s="122" t="n">
        <v>750000</v>
      </c>
      <c r="D4" s="509" t="n"/>
      <c r="E4" s="510">
        <f>C4-D4</f>
        <v/>
      </c>
      <c r="F4" s="510" t="n"/>
      <c r="G4" s="511">
        <f>E4-C4</f>
        <v/>
      </c>
      <c r="H4" s="511">
        <f>IF(B4="",DATEDIF(A4,$I$1,"d"),DATEDIF(A4,B4,"d"))</f>
        <v/>
      </c>
      <c r="I4">
        <f>IF(B4="",$C$1-A4,H4)</f>
        <v/>
      </c>
      <c r="K4">
        <f>(H4*$C4)/365.25</f>
        <v/>
      </c>
      <c r="L4">
        <f>(I4*$C4)/365.25</f>
        <v/>
      </c>
      <c r="M4" s="65" t="n"/>
      <c r="N4" s="217" t="inlineStr">
        <is>
          <t>2019 Total</t>
        </is>
      </c>
      <c r="O4" s="512">
        <f>SUM(D4:D110)</f>
        <v/>
      </c>
    </row>
    <row r="5" collapsed="1" ht="17.25" customHeight="1" thickBot="1">
      <c r="A5" s="513" t="n">
        <v>43455</v>
      </c>
      <c r="B5" s="513" t="n"/>
      <c r="C5" s="154" t="n">
        <v>106</v>
      </c>
      <c r="D5" s="514" t="n"/>
      <c r="E5" s="515">
        <f>E4+C5-D5</f>
        <v/>
      </c>
      <c r="F5" s="515">
        <f>C5-D5</f>
        <v/>
      </c>
      <c r="G5" s="516">
        <f>G4+F5</f>
        <v/>
      </c>
      <c r="H5" s="516">
        <f>IF(B5="",DATEDIF(A5,$I$1,"d"),DATEDIF(A5,B5,"d"))</f>
        <v/>
      </c>
      <c r="I5" s="158">
        <f>IF(B5="",$C$1-A5,H5)</f>
        <v/>
      </c>
      <c r="J5" s="158" t="inlineStr">
        <is>
          <t>利息</t>
        </is>
      </c>
      <c r="K5" s="158">
        <f>IF(F5&gt;0,(H5*$F5)/365.25,0)</f>
        <v/>
      </c>
      <c r="L5" s="158">
        <f>IF(F5&gt;0,(I5*$F5)/365.25,0)</f>
        <v/>
      </c>
      <c r="M5" s="159" t="n"/>
      <c r="N5" s="215" t="inlineStr">
        <is>
          <t>2019 Total Avg</t>
        </is>
      </c>
      <c r="O5" s="517">
        <f>(SUMPRODUCT(C4:C110,I4:I110)+SUMPRODUCT(D4:D110,I4:I110))/($C$1-$A$4)</f>
        <v/>
      </c>
    </row>
    <row r="6" hidden="1" outlineLevel="1">
      <c r="A6" s="508" t="n">
        <v>43481</v>
      </c>
      <c r="B6" s="66" t="n">
        <v>43483</v>
      </c>
      <c r="C6" s="123" t="n"/>
      <c r="D6" s="509" t="n">
        <v>198070</v>
      </c>
      <c r="E6" s="510">
        <f>E5+C6-D6</f>
        <v/>
      </c>
      <c r="F6" s="510" t="n"/>
      <c r="G6" s="511">
        <f>G5+F6</f>
        <v/>
      </c>
      <c r="H6" s="511">
        <f>IF(B6="",DATEDIF(A6,$H$1,"d"),DATEDIF(A6,B6,"d"))</f>
        <v/>
      </c>
      <c r="I6">
        <f>IF(B6="",$C$1-A6,H6)</f>
        <v/>
      </c>
      <c r="J6" t="inlineStr">
        <is>
          <t>M31</t>
        </is>
      </c>
      <c r="K6">
        <f>IF(F6&gt;0,(H6*$F6)/365.25,0)</f>
        <v/>
      </c>
      <c r="L6">
        <f>IF(F6&gt;0,(I6*$F6)/365.25,0)</f>
        <v/>
      </c>
      <c r="M6" s="65" t="inlineStr">
        <is>
          <t>承銷申購</t>
        </is>
      </c>
    </row>
    <row r="7" hidden="1" outlineLevel="1">
      <c r="A7" s="508" t="n">
        <v>43481</v>
      </c>
      <c r="B7" s="66" t="n">
        <v>43483</v>
      </c>
      <c r="C7" s="123" t="n">
        <v>198050</v>
      </c>
      <c r="D7" s="509" t="n"/>
      <c r="E7" s="510">
        <f>E6+C7-D7</f>
        <v/>
      </c>
      <c r="F7" s="510">
        <f>-D6+C7</f>
        <v/>
      </c>
      <c r="G7" s="511">
        <f>G6+F7</f>
        <v/>
      </c>
      <c r="H7" s="511">
        <f>IF(B7="",DATEDIF(A7,$H$1,"d"),DATEDIF(A7,B7,"d"))</f>
        <v/>
      </c>
      <c r="I7">
        <f>IF(B7="",$C$1-A7,H7)</f>
        <v/>
      </c>
      <c r="J7" t="inlineStr">
        <is>
          <t>M31</t>
        </is>
      </c>
      <c r="K7">
        <f>IF(F7&gt;0,(H7*$F7)/365.25,0)</f>
        <v/>
      </c>
      <c r="L7">
        <f>IF(F7&gt;0,(I7*$F7)/365.25,0)</f>
        <v/>
      </c>
      <c r="M7" s="65" t="inlineStr">
        <is>
          <t>承銷申購</t>
        </is>
      </c>
    </row>
    <row r="8" hidden="1" outlineLevel="1">
      <c r="A8" s="508" t="n">
        <v>43483</v>
      </c>
      <c r="B8" s="66" t="n">
        <v>43487</v>
      </c>
      <c r="C8" s="123" t="n"/>
      <c r="D8" s="509" t="n">
        <v>26070</v>
      </c>
      <c r="E8" s="510">
        <f>E7+C8-D8</f>
        <v/>
      </c>
      <c r="F8" s="510" t="n"/>
      <c r="G8" s="511">
        <f>G7+F8</f>
        <v/>
      </c>
      <c r="H8" s="511">
        <f>IF(B8="",DATEDIF(A8,$H$1,"d"),DATEDIF(A8,B8,"d"))</f>
        <v/>
      </c>
      <c r="I8">
        <f>IF(B8="",$C$1-A8,H8)</f>
        <v/>
      </c>
      <c r="J8" t="inlineStr">
        <is>
          <t>長榮航</t>
        </is>
      </c>
      <c r="K8">
        <f>IF(F8&gt;0,(H8*$F8)/365.25,0)</f>
        <v/>
      </c>
      <c r="L8">
        <f>IF(F8&gt;0,(I8*$F8)/365.25,0)</f>
        <v/>
      </c>
      <c r="M8" s="65" t="inlineStr">
        <is>
          <t>承銷申購</t>
        </is>
      </c>
    </row>
    <row r="9" hidden="1" outlineLevel="1">
      <c r="A9" s="508" t="n">
        <v>43483</v>
      </c>
      <c r="B9" s="66" t="n">
        <v>43487</v>
      </c>
      <c r="C9" s="123" t="n">
        <v>26050</v>
      </c>
      <c r="D9" s="509" t="n"/>
      <c r="E9" s="510">
        <f>E8+C9-D9</f>
        <v/>
      </c>
      <c r="F9" s="510">
        <f>-D8+C9</f>
        <v/>
      </c>
      <c r="G9" s="511">
        <f>G8+F9</f>
        <v/>
      </c>
      <c r="H9" s="511">
        <f>IF(B9="",DATEDIF(A9,$H$1,"d"),DATEDIF(A9,B9,"d"))</f>
        <v/>
      </c>
      <c r="I9">
        <f>IF(B9="",$C$1-A9,H9)</f>
        <v/>
      </c>
      <c r="J9" t="inlineStr">
        <is>
          <t>長榮航</t>
        </is>
      </c>
      <c r="K9">
        <f>IF(F9&gt;0,(H9*$F9)/365.25,0)</f>
        <v/>
      </c>
      <c r="L9">
        <f>IF(F9&gt;0,(I9*$F9)/365.25,0)</f>
        <v/>
      </c>
      <c r="M9" s="65" t="inlineStr">
        <is>
          <t>承銷申購</t>
        </is>
      </c>
    </row>
    <row r="10" hidden="1" outlineLevel="1">
      <c r="A10" s="508" t="n">
        <v>43490</v>
      </c>
      <c r="B10" s="66" t="n">
        <v>43494</v>
      </c>
      <c r="C10" s="123" t="n"/>
      <c r="D10" s="509" t="n">
        <v>22590</v>
      </c>
      <c r="E10" s="510">
        <f>E9+C10-D10</f>
        <v/>
      </c>
      <c r="F10" s="510" t="n"/>
      <c r="G10" s="511">
        <f>G9+F10</f>
        <v/>
      </c>
      <c r="H10" s="511">
        <f>IF(B10="",DATEDIF(A10,$H$1,"d"),DATEDIF(A10,B10,"d"))</f>
        <v/>
      </c>
      <c r="I10">
        <f>IF(B10="",$C$1-A10,H10)</f>
        <v/>
      </c>
      <c r="J10" t="inlineStr">
        <is>
          <t>台船</t>
        </is>
      </c>
      <c r="K10">
        <f>IF(F10&gt;0,(H10*$F10)/365.25,0)</f>
        <v/>
      </c>
      <c r="L10">
        <f>IF(F10&gt;0,(I10*$F10)/365.25,0)</f>
        <v/>
      </c>
      <c r="M10" s="65" t="inlineStr">
        <is>
          <t>承銷申購</t>
        </is>
      </c>
    </row>
    <row r="11" hidden="1" outlineLevel="1">
      <c r="A11" s="508" t="n">
        <v>43490</v>
      </c>
      <c r="B11" s="66" t="n">
        <v>43494</v>
      </c>
      <c r="C11" s="123" t="n">
        <v>22570</v>
      </c>
      <c r="D11" s="509" t="n"/>
      <c r="E11" s="510">
        <f>E10+C11-D11</f>
        <v/>
      </c>
      <c r="F11" s="510">
        <f>-D10+C11</f>
        <v/>
      </c>
      <c r="G11" s="511">
        <f>G10+F11</f>
        <v/>
      </c>
      <c r="H11" s="511">
        <f>IF(B11="",DATEDIF(A11,$H$1,"d"),DATEDIF(A11,B11,"d"))</f>
        <v/>
      </c>
      <c r="I11">
        <f>IF(B11="",$C$1-A11,H11)</f>
        <v/>
      </c>
      <c r="J11" t="inlineStr">
        <is>
          <t>台船</t>
        </is>
      </c>
      <c r="K11">
        <f>IF(F11&gt;0,(H11*$F11)/365.25,0)</f>
        <v/>
      </c>
      <c r="L11">
        <f>IF(F11&gt;0,(I11*$F11)/365.25,0)</f>
        <v/>
      </c>
      <c r="M11" s="65" t="inlineStr">
        <is>
          <t>承銷申購</t>
        </is>
      </c>
    </row>
    <row r="12" hidden="1" outlineLevel="1">
      <c r="A12" s="508" t="n">
        <v>43511</v>
      </c>
      <c r="B12" s="66" t="n">
        <v>43517</v>
      </c>
      <c r="C12" s="123" t="n"/>
      <c r="D12" s="509" t="n">
        <v>20278</v>
      </c>
      <c r="E12" s="510">
        <f>E11+C12-D12</f>
        <v/>
      </c>
      <c r="F12" s="510" t="n"/>
      <c r="G12" s="511">
        <f>G11+F12</f>
        <v/>
      </c>
      <c r="H12" s="511">
        <f>IF(B12="",DATEDIF(A12,$H$1,"d"),DATEDIF(A12,B12,"d"))</f>
        <v/>
      </c>
      <c r="I12">
        <f>IF(B12="",$C$1-A12,H12)</f>
        <v/>
      </c>
      <c r="J12" t="inlineStr">
        <is>
          <t>台紙</t>
        </is>
      </c>
      <c r="K12">
        <f>IF(F12&gt;0,(H12*$F12)/365.25,0)</f>
        <v/>
      </c>
      <c r="L12">
        <f>IF(F12&gt;0,(I12*$F12)/365.25,0)</f>
        <v/>
      </c>
    </row>
    <row r="13" hidden="1" outlineLevel="1">
      <c r="A13" s="508" t="n">
        <v>43511</v>
      </c>
      <c r="B13" s="66" t="n">
        <v>43521</v>
      </c>
      <c r="C13" s="123" t="n"/>
      <c r="D13" s="509" t="n">
        <v>42059</v>
      </c>
      <c r="E13" s="510">
        <f>E12+C13-D13</f>
        <v/>
      </c>
      <c r="F13" s="510" t="n"/>
      <c r="G13" s="511">
        <f>G12+F13</f>
        <v/>
      </c>
      <c r="H13" s="511">
        <f>IF(B13="",DATEDIF(A13,$H$1,"d"),DATEDIF(A13,B13,"d"))</f>
        <v/>
      </c>
      <c r="I13">
        <f>IF(B13="",$C$1-A13,H13)</f>
        <v/>
      </c>
      <c r="J13" t="inlineStr">
        <is>
          <t>敬鵬</t>
        </is>
      </c>
      <c r="K13">
        <f>IF(F13&gt;0,(H13*$F13)/365.25,0)</f>
        <v/>
      </c>
      <c r="L13">
        <f>IF(F13&gt;0,(I13*$F13)/365.25,0)</f>
        <v/>
      </c>
    </row>
    <row r="14" hidden="1" outlineLevel="1">
      <c r="A14" s="508" t="n">
        <v>43511</v>
      </c>
      <c r="B14" s="66" t="n">
        <v>43532</v>
      </c>
      <c r="C14" s="123" t="n"/>
      <c r="D14" s="509" t="n">
        <v>95636</v>
      </c>
      <c r="E14" s="510">
        <f>E13+C14-D14</f>
        <v/>
      </c>
      <c r="F14" s="510" t="n"/>
      <c r="G14" s="511">
        <f>G13+F14</f>
        <v/>
      </c>
      <c r="H14" s="511">
        <f>IF(B14="",DATEDIF(A14,$H$1,"d"),DATEDIF(A14,B14,"d"))</f>
        <v/>
      </c>
      <c r="I14">
        <f>IF(B14="",$C$1-A14,H14)</f>
        <v/>
      </c>
      <c r="J14" t="inlineStr">
        <is>
          <t>新日興</t>
        </is>
      </c>
      <c r="K14">
        <f>IF(F14&gt;0,(H14*$F14)/365.25,0)</f>
        <v/>
      </c>
      <c r="L14">
        <f>IF(F14&gt;0,(I14*$F14)/365.25,0)</f>
        <v/>
      </c>
    </row>
    <row r="15" hidden="1" outlineLevel="1">
      <c r="A15" s="508" t="n">
        <v>43511</v>
      </c>
      <c r="B15" s="66" t="n">
        <v>43522</v>
      </c>
      <c r="C15" s="123" t="n"/>
      <c r="D15" s="509" t="n">
        <v>188267</v>
      </c>
      <c r="E15" s="510">
        <f>E14+C15-D15</f>
        <v/>
      </c>
      <c r="F15" s="510" t="n"/>
      <c r="G15" s="511">
        <f>G14+F15</f>
        <v/>
      </c>
      <c r="H15" s="511">
        <f>IF(B15="",DATEDIF(A15,$H$1,"d"),DATEDIF(A15,B15,"d"))</f>
        <v/>
      </c>
      <c r="I15">
        <f>IF(B15="",$C$1-A15,H15)</f>
        <v/>
      </c>
      <c r="J15" t="inlineStr">
        <is>
          <t>昂寶-KY</t>
        </is>
      </c>
      <c r="K15">
        <f>IF(F15&gt;0,(H15*$F15)/365.25,0)</f>
        <v/>
      </c>
      <c r="L15">
        <f>IF(F15&gt;0,(I15*$F15)/365.25,0)</f>
        <v/>
      </c>
    </row>
    <row r="16" hidden="1" outlineLevel="1">
      <c r="A16" s="508" t="n">
        <v>43511</v>
      </c>
      <c r="B16" s="66" t="n">
        <v>43517</v>
      </c>
      <c r="C16" s="123" t="n">
        <v>19912</v>
      </c>
      <c r="D16" s="509" t="n"/>
      <c r="E16" s="510">
        <f>E15+C16-D16</f>
        <v/>
      </c>
      <c r="F16" s="510">
        <f>-D12+C16</f>
        <v/>
      </c>
      <c r="G16" s="511">
        <f>G15+F16</f>
        <v/>
      </c>
      <c r="H16" s="511">
        <f>IF(B16="",DATEDIF(A16,$H$1,"d"),DATEDIF(A16,B16,"d"))</f>
        <v/>
      </c>
      <c r="I16">
        <f>IF(B16="",$C$1-A16,H16)</f>
        <v/>
      </c>
      <c r="J16" t="inlineStr">
        <is>
          <t>台紙</t>
        </is>
      </c>
      <c r="K16">
        <f>IF(F16&gt;0,(H16*$F16)/365.25,0)</f>
        <v/>
      </c>
      <c r="L16">
        <f>IF(F16&gt;0,(I16*$F16)/365.25,0)</f>
        <v/>
      </c>
    </row>
    <row r="17" hidden="1" outlineLevel="1">
      <c r="A17" s="508" t="n">
        <v>43511</v>
      </c>
      <c r="B17" s="66" t="n">
        <v>43521</v>
      </c>
      <c r="C17" s="123" t="n">
        <v>42014</v>
      </c>
      <c r="D17" s="509" t="n"/>
      <c r="E17" s="510">
        <f>E16+C17-D17</f>
        <v/>
      </c>
      <c r="F17" s="510">
        <f>-D13+C17</f>
        <v/>
      </c>
      <c r="G17" s="511">
        <f>G16+F17</f>
        <v/>
      </c>
      <c r="H17" s="511">
        <f>IF(B17="",DATEDIF(A17,$H$1,"d"),DATEDIF(A17,B17,"d"))</f>
        <v/>
      </c>
      <c r="I17">
        <f>IF(B17="",$C$1-A17,H17)</f>
        <v/>
      </c>
      <c r="J17" t="inlineStr">
        <is>
          <t>敬鵬</t>
        </is>
      </c>
      <c r="K17">
        <f>IF(F17&gt;0,(H17*$F17)/365.25,0)</f>
        <v/>
      </c>
      <c r="L17">
        <f>IF(F17&gt;0,(I17*$F17)/365.25,0)</f>
        <v/>
      </c>
    </row>
    <row r="18" hidden="1" outlineLevel="1">
      <c r="A18" s="508" t="n">
        <v>43511</v>
      </c>
      <c r="B18" s="66" t="n">
        <v>43522</v>
      </c>
      <c r="C18" s="123" t="n">
        <v>190155</v>
      </c>
      <c r="D18" s="509" t="n"/>
      <c r="E18" s="510">
        <f>E17+C18-D18</f>
        <v/>
      </c>
      <c r="F18" s="510">
        <f>-D15+C18</f>
        <v/>
      </c>
      <c r="G18" s="511">
        <f>G17+F18</f>
        <v/>
      </c>
      <c r="H18" s="511">
        <f>IF(B18="",DATEDIF(A18,$H$1,"d"),DATEDIF(A18,B18,"d"))</f>
        <v/>
      </c>
      <c r="I18">
        <f>IF(B18="",$C$1-A18,H18)</f>
        <v/>
      </c>
      <c r="J18" t="inlineStr">
        <is>
          <t>昂寶-KY</t>
        </is>
      </c>
      <c r="K18">
        <f>IF(F18&gt;0,(H18*$F18)/365.25,0)</f>
        <v/>
      </c>
      <c r="L18">
        <f>IF(F18&gt;0,(I18*$F18)/365.25,0)</f>
        <v/>
      </c>
    </row>
    <row r="19" hidden="1" outlineLevel="1">
      <c r="A19" s="518" t="n">
        <v>43532</v>
      </c>
      <c r="B19" s="518" t="n"/>
      <c r="C19" s="148" t="n">
        <v>337</v>
      </c>
      <c r="D19" s="519" t="n"/>
      <c r="E19" s="520">
        <f>E18+C19-D19</f>
        <v/>
      </c>
      <c r="F19" s="520">
        <f>C19-D19</f>
        <v/>
      </c>
      <c r="G19" s="521">
        <f>G18+F19</f>
        <v/>
      </c>
      <c r="H19" s="521">
        <f>IF(B19="",DATEDIF(A19,$H$1,"d"),DATEDIF(A19,B19,"d"))</f>
        <v/>
      </c>
      <c r="I19" s="152">
        <f>IF(B19="",$C$1-A19,H19)</f>
        <v/>
      </c>
      <c r="J19" s="152" t="inlineStr">
        <is>
          <t>折讓入帳</t>
        </is>
      </c>
      <c r="K19" s="152">
        <f>IF(F19&gt;0,(H19*$F19)/365.25,0)</f>
        <v/>
      </c>
      <c r="L19" s="152">
        <f>IF(F19&gt;0,(I19*$F19)/365.25,0)</f>
        <v/>
      </c>
      <c r="M19" s="152" t="n"/>
    </row>
    <row r="20" hidden="1" outlineLevel="1">
      <c r="A20" s="508" t="n">
        <v>43511</v>
      </c>
      <c r="B20" s="66" t="n">
        <v>43532</v>
      </c>
      <c r="C20" s="123" t="n">
        <v>102047</v>
      </c>
      <c r="D20" s="509" t="n"/>
      <c r="E20" s="510">
        <f>E19+C20-D20</f>
        <v/>
      </c>
      <c r="F20" s="510">
        <f>-D14+C20</f>
        <v/>
      </c>
      <c r="G20" s="511">
        <f>G19+F20</f>
        <v/>
      </c>
      <c r="H20" s="511">
        <f>IF(B20="",DATEDIF(A20,$H$1,"d"),DATEDIF(A20,B20,"d"))</f>
        <v/>
      </c>
      <c r="I20">
        <f>IF(B20="",$C$1-A20,H20)</f>
        <v/>
      </c>
      <c r="J20" t="inlineStr">
        <is>
          <t>新日興</t>
        </is>
      </c>
      <c r="K20">
        <f>IF(F20&gt;0,(H20*$F20)/365.25,0)</f>
        <v/>
      </c>
      <c r="L20">
        <f>IF(F20&gt;0,(I20*$F20)/365.25,0)</f>
        <v/>
      </c>
    </row>
    <row r="21" hidden="1" outlineLevel="1">
      <c r="A21" s="508" t="n">
        <v>43537</v>
      </c>
      <c r="B21" s="66" t="n">
        <v>43539</v>
      </c>
      <c r="C21" s="123" t="n"/>
      <c r="D21" s="509" t="n">
        <v>21870</v>
      </c>
      <c r="E21" s="510">
        <f>E20+C21-D21</f>
        <v/>
      </c>
      <c r="F21" s="510">
        <f>-D21+C23</f>
        <v/>
      </c>
      <c r="G21" s="511">
        <f>G20+F21</f>
        <v/>
      </c>
      <c r="H21" s="511">
        <f>IF(B21="",DATEDIF(A21,$H$1,"d"),DATEDIF(A21,B21,"d"))</f>
        <v/>
      </c>
      <c r="I21">
        <f>IF(B21="",$C$1-A21,H21)</f>
        <v/>
      </c>
      <c r="J21" t="inlineStr">
        <is>
          <t>三洋紡</t>
        </is>
      </c>
      <c r="K21">
        <f>IF(F21&gt;0,(H21*$F21)/365.25,0)</f>
        <v/>
      </c>
      <c r="L21">
        <f>IF(F21&gt;0,(I21*$F21)/365.25,0)</f>
        <v/>
      </c>
      <c r="M21" s="65" t="inlineStr">
        <is>
          <t>承銷申購</t>
        </is>
      </c>
    </row>
    <row r="22" hidden="1" outlineLevel="1">
      <c r="A22" s="508" t="n">
        <v>43538</v>
      </c>
      <c r="B22" s="66" t="n">
        <v>43542</v>
      </c>
      <c r="C22" s="123" t="n"/>
      <c r="D22" s="509" t="n">
        <v>22670</v>
      </c>
      <c r="E22" s="510">
        <f>E21+C22-D22</f>
        <v/>
      </c>
      <c r="F22" s="510">
        <f>-D22+C24</f>
        <v/>
      </c>
      <c r="G22" s="511">
        <f>G21+F22</f>
        <v/>
      </c>
      <c r="H22" s="511">
        <f>IF(B22="",DATEDIF(A22,$H$1,"d"),DATEDIF(A22,B22,"d"))</f>
        <v/>
      </c>
      <c r="I22">
        <f>IF(B22="",$C$1-A22,H22)</f>
        <v/>
      </c>
      <c r="J22" t="inlineStr">
        <is>
          <t>勤凱</t>
        </is>
      </c>
      <c r="K22">
        <f>IF(F22&gt;0,(H22*$F22)/365.25,0)</f>
        <v/>
      </c>
      <c r="L22">
        <f>IF(F22&gt;0,(I22*$F22)/365.25,0)</f>
        <v/>
      </c>
      <c r="M22" s="65" t="inlineStr">
        <is>
          <t>承銷申購</t>
        </is>
      </c>
    </row>
    <row r="23" hidden="1" outlineLevel="1">
      <c r="A23" s="66" t="n">
        <v>43539</v>
      </c>
      <c r="B23" s="66" t="n">
        <v>43539</v>
      </c>
      <c r="C23" s="123" t="n">
        <v>21850</v>
      </c>
      <c r="D23" s="509" t="n"/>
      <c r="E23" s="510">
        <f>E22+C23-D23</f>
        <v/>
      </c>
      <c r="F23" s="510" t="n"/>
      <c r="G23" s="511">
        <f>G22+F23</f>
        <v/>
      </c>
      <c r="H23" s="511">
        <f>IF(B23="",DATEDIF(A23,$H$1,"d"),DATEDIF(A23,B23,"d"))</f>
        <v/>
      </c>
      <c r="I23">
        <f>IF(B23="",$C$1-A23,H23)</f>
        <v/>
      </c>
      <c r="J23" t="inlineStr">
        <is>
          <t>三洋紡</t>
        </is>
      </c>
      <c r="K23">
        <f>IF(F23&gt;0,(H23*$F23)/365.25,0)</f>
        <v/>
      </c>
      <c r="L23">
        <f>IF(F23&gt;0,(I23*$F23)/365.25,0)</f>
        <v/>
      </c>
      <c r="M23" s="65" t="inlineStr">
        <is>
          <t>承銷申購</t>
        </is>
      </c>
    </row>
    <row r="24" hidden="1" outlineLevel="1">
      <c r="A24" s="66" t="n">
        <v>43542</v>
      </c>
      <c r="B24" s="66" t="n">
        <v>43542</v>
      </c>
      <c r="C24" s="123" t="n">
        <v>22650</v>
      </c>
      <c r="D24" s="509" t="n"/>
      <c r="E24" s="510">
        <f>E23+C24-D24</f>
        <v/>
      </c>
      <c r="F24" s="510" t="n"/>
      <c r="G24" s="511">
        <f>G23+F24</f>
        <v/>
      </c>
      <c r="H24" s="511">
        <f>IF(B24="",DATEDIF(A24,$H$1,"d"),DATEDIF(A24,B24,"d"))</f>
        <v/>
      </c>
      <c r="I24">
        <f>IF(B24="",$C$1-A24,H24)</f>
        <v/>
      </c>
      <c r="J24" t="inlineStr">
        <is>
          <t>勤凱</t>
        </is>
      </c>
      <c r="K24">
        <f>IF(F24&gt;0,(H24*$F24)/365.25,0)</f>
        <v/>
      </c>
      <c r="L24">
        <f>IF(F24&gt;0,(I24*$F24)/365.25,0)</f>
        <v/>
      </c>
      <c r="M24" s="65" t="inlineStr">
        <is>
          <t>承銷申購</t>
        </is>
      </c>
    </row>
    <row r="25" hidden="1" outlineLevel="1">
      <c r="A25" s="508" t="n">
        <v>43543</v>
      </c>
      <c r="B25" s="66" t="n">
        <v>43545</v>
      </c>
      <c r="C25" s="123" t="n"/>
      <c r="D25" s="509" t="n">
        <v>29070</v>
      </c>
      <c r="E25" s="510">
        <f>E24+C25-D25</f>
        <v/>
      </c>
      <c r="F25" s="510">
        <f>-D25+C28</f>
        <v/>
      </c>
      <c r="G25" s="511">
        <f>G24+F25</f>
        <v/>
      </c>
      <c r="H25" s="511">
        <f>IF(B25="",DATEDIF(A25,$H$1,"d"),DATEDIF(A25,B25,"d"))</f>
        <v/>
      </c>
      <c r="I25">
        <f>IF(B25="",$C$1-A25,H25)</f>
        <v/>
      </c>
      <c r="J25" t="inlineStr">
        <is>
          <t>麗清</t>
        </is>
      </c>
      <c r="K25">
        <f>IF(F25&gt;0,(H25*$F25)/365.25,0)</f>
        <v/>
      </c>
      <c r="L25">
        <f>IF(F25&gt;0,(I25*$F25)/365.25,0)</f>
        <v/>
      </c>
      <c r="M25" s="65" t="inlineStr">
        <is>
          <t>承銷申購</t>
        </is>
      </c>
    </row>
    <row r="26" hidden="1" outlineLevel="1">
      <c r="A26" s="508" t="n">
        <v>43543</v>
      </c>
      <c r="B26" s="66" t="n">
        <v>43545</v>
      </c>
      <c r="C26" s="123" t="n"/>
      <c r="D26" s="509" t="n">
        <v>36870</v>
      </c>
      <c r="E26" s="510">
        <f>E25+C26-D26</f>
        <v/>
      </c>
      <c r="F26" s="510">
        <f>-D26+C29</f>
        <v/>
      </c>
      <c r="G26" s="511">
        <f>G25+F26</f>
        <v/>
      </c>
      <c r="H26" s="511">
        <f>IF(B26="",DATEDIF(A26,$H$1,"d"),DATEDIF(A26,B26,"d"))</f>
        <v/>
      </c>
      <c r="I26">
        <f>IF(B26="",$C$1-A26,H26)</f>
        <v/>
      </c>
      <c r="J26" t="inlineStr">
        <is>
          <t>樂斯科</t>
        </is>
      </c>
      <c r="K26">
        <f>IF(F26&gt;0,(H26*$F26)/365.25,0)</f>
        <v/>
      </c>
      <c r="L26">
        <f>IF(F26&gt;0,(I26*$F26)/365.25,0)</f>
        <v/>
      </c>
      <c r="M26" s="65" t="inlineStr">
        <is>
          <t>承銷申購</t>
        </is>
      </c>
    </row>
    <row r="27" hidden="1" outlineLevel="1">
      <c r="A27" s="508" t="n">
        <v>43544</v>
      </c>
      <c r="B27" s="66" t="n">
        <v>43546</v>
      </c>
      <c r="C27" s="123" t="n"/>
      <c r="D27" s="509" t="n">
        <v>248070</v>
      </c>
      <c r="E27" s="510">
        <f>E26+C27-D27</f>
        <v/>
      </c>
      <c r="F27" s="510">
        <f>-D27+C30</f>
        <v/>
      </c>
      <c r="G27" s="511">
        <f>G26+F27</f>
        <v/>
      </c>
      <c r="H27" s="511">
        <f>IF(B27="",DATEDIF(A27,$H$1,"d"),DATEDIF(A27,B27,"d"))</f>
        <v/>
      </c>
      <c r="I27">
        <f>IF(B27="",$C$1-A27,H27)</f>
        <v/>
      </c>
      <c r="J27" t="inlineStr">
        <is>
          <t>緯穎</t>
        </is>
      </c>
      <c r="K27">
        <f>IF(F27&gt;0,(H27*$F27)/365.25,0)</f>
        <v/>
      </c>
      <c r="L27">
        <f>IF(F27&gt;0,(I27*$F27)/365.25,0)</f>
        <v/>
      </c>
      <c r="M27" s="65" t="inlineStr">
        <is>
          <t>承銷申購</t>
        </is>
      </c>
    </row>
    <row r="28" hidden="1" outlineLevel="1">
      <c r="A28" s="66" t="n">
        <v>43545</v>
      </c>
      <c r="B28" s="66" t="n">
        <v>43545</v>
      </c>
      <c r="C28" s="123" t="n">
        <v>29050</v>
      </c>
      <c r="D28" s="509" t="n"/>
      <c r="E28" s="510">
        <f>E27+C28-D28</f>
        <v/>
      </c>
      <c r="F28" s="510" t="n"/>
      <c r="G28" s="511">
        <f>G27+F28</f>
        <v/>
      </c>
      <c r="H28" s="511">
        <f>IF(B28="",DATEDIF(A28,$H$1,"d"),DATEDIF(A28,B28,"d"))</f>
        <v/>
      </c>
      <c r="I28">
        <f>IF(B28="",$C$1-A28,H28)</f>
        <v/>
      </c>
      <c r="J28" t="inlineStr">
        <is>
          <t>麗清</t>
        </is>
      </c>
      <c r="K28">
        <f>IF(F28&gt;0,(H28*$F28)/365.25,0)</f>
        <v/>
      </c>
      <c r="L28">
        <f>IF(F28&gt;0,(I28*$F28)/365.25,0)</f>
        <v/>
      </c>
      <c r="M28" s="65" t="inlineStr">
        <is>
          <t>承銷申購</t>
        </is>
      </c>
    </row>
    <row r="29" hidden="1" outlineLevel="1">
      <c r="A29" s="66" t="n">
        <v>43545</v>
      </c>
      <c r="B29" s="66" t="n">
        <v>43545</v>
      </c>
      <c r="C29" s="123" t="n">
        <v>36850</v>
      </c>
      <c r="D29" s="509" t="n"/>
      <c r="E29" s="510">
        <f>E28+C29-D29</f>
        <v/>
      </c>
      <c r="F29" s="510" t="n"/>
      <c r="G29" s="511">
        <f>G28+F29</f>
        <v/>
      </c>
      <c r="H29" s="511">
        <f>IF(B29="",DATEDIF(A29,$H$1,"d"),DATEDIF(A29,B29,"d"))</f>
        <v/>
      </c>
      <c r="I29">
        <f>IF(B29="",$C$1-A29,H29)</f>
        <v/>
      </c>
      <c r="J29" t="inlineStr">
        <is>
          <t>樂斯科</t>
        </is>
      </c>
      <c r="K29">
        <f>IF(F29&gt;0,(H29*$F29)/365.25,0)</f>
        <v/>
      </c>
      <c r="L29">
        <f>IF(F29&gt;0,(I29*$F29)/365.25,0)</f>
        <v/>
      </c>
      <c r="M29" s="65" t="inlineStr">
        <is>
          <t>承銷申購</t>
        </is>
      </c>
    </row>
    <row r="30" collapsed="1">
      <c r="A30" s="66" t="n">
        <v>43546</v>
      </c>
      <c r="B30" s="66" t="n">
        <v>43546</v>
      </c>
      <c r="C30" s="123" t="n">
        <v>248050</v>
      </c>
      <c r="D30" s="509" t="n"/>
      <c r="E30" s="510">
        <f>E29+C30-D30</f>
        <v/>
      </c>
      <c r="F30" s="510" t="n"/>
      <c r="G30" s="511">
        <f>G29+F30</f>
        <v/>
      </c>
      <c r="H30" s="511">
        <f>IF(B30="",DATEDIF(A30,$H$1,"d"),DATEDIF(A30,B30,"d"))</f>
        <v/>
      </c>
      <c r="I30">
        <f>IF(B30="",$C$1-A30,H30)</f>
        <v/>
      </c>
      <c r="J30" t="inlineStr">
        <is>
          <t>緯穎</t>
        </is>
      </c>
      <c r="K30">
        <f>IF(F30&gt;0,(H30*$F30)/365.25,0)</f>
        <v/>
      </c>
      <c r="L30">
        <f>IF(F30&gt;0,(I30*$F30)/365.25,0)</f>
        <v/>
      </c>
      <c r="M30" s="65" t="inlineStr">
        <is>
          <t>承銷申購</t>
        </is>
      </c>
    </row>
    <row r="31" hidden="1" outlineLevel="1">
      <c r="A31" s="508" t="n">
        <v>43557</v>
      </c>
      <c r="B31" s="508" t="n">
        <v>43572</v>
      </c>
      <c r="C31" s="123" t="n"/>
      <c r="D31" s="509" t="n">
        <v>69999</v>
      </c>
      <c r="E31" s="510">
        <f>E30+C31-D31</f>
        <v/>
      </c>
      <c r="F31" s="510">
        <f>-D31+C38</f>
        <v/>
      </c>
      <c r="G31" s="511">
        <f>G30+F31</f>
        <v/>
      </c>
      <c r="H31" s="511">
        <f>IF(B31="",DATEDIF(A31,$H$1,"d"),DATEDIF(A31,B31,"d"))</f>
        <v/>
      </c>
      <c r="I31">
        <f>IF(B31="",$C$1-A31,H31)</f>
        <v/>
      </c>
      <c r="J31" t="inlineStr">
        <is>
          <t>創見</t>
        </is>
      </c>
      <c r="K31">
        <f>IF(F31&gt;0,(H31*$F31)/365.25,0)</f>
        <v/>
      </c>
      <c r="L31">
        <f>IF(F31&gt;0,(I31*$F31)/365.25,0)</f>
        <v/>
      </c>
      <c r="M31" s="65" t="n"/>
    </row>
    <row r="32" hidden="1" outlineLevel="1">
      <c r="A32" s="508" t="n">
        <v>43557</v>
      </c>
      <c r="B32" s="508" t="n">
        <v>43579</v>
      </c>
      <c r="C32" s="123" t="n"/>
      <c r="D32" s="509" t="n">
        <v>43912</v>
      </c>
      <c r="E32" s="510">
        <f>E31+C32-D32</f>
        <v/>
      </c>
      <c r="F32" s="510">
        <f>-D32+C40</f>
        <v/>
      </c>
      <c r="G32" s="511">
        <f>G31+F32</f>
        <v/>
      </c>
      <c r="H32" s="511">
        <f>IF(B32="",DATEDIF(A32,$H$1,"d"),DATEDIF(A32,B32,"d"))</f>
        <v/>
      </c>
      <c r="I32">
        <f>IF(B32="",$C$1-A32,H32)</f>
        <v/>
      </c>
      <c r="J32" t="inlineStr">
        <is>
          <t>茂訊</t>
        </is>
      </c>
      <c r="K32">
        <f>IF(F32&gt;0,(H32*$F32)/365.25,0)</f>
        <v/>
      </c>
      <c r="L32">
        <f>IF(F32&gt;0,(I32*$F32)/365.25,0)</f>
        <v/>
      </c>
      <c r="M32" s="65" t="n"/>
    </row>
    <row r="33" hidden="1" outlineLevel="1">
      <c r="A33" s="508" t="n">
        <v>43557</v>
      </c>
      <c r="B33" s="508" t="n">
        <v>43580</v>
      </c>
      <c r="C33" s="123" t="n"/>
      <c r="D33" s="509" t="n">
        <v>27288</v>
      </c>
      <c r="E33" s="510">
        <f>E32+C33-D33</f>
        <v/>
      </c>
      <c r="F33" s="510">
        <f>-D33+C41</f>
        <v/>
      </c>
      <c r="G33" s="511">
        <f>G32+F33</f>
        <v/>
      </c>
      <c r="H33" s="511">
        <f>IF(B33="",DATEDIF(A33,$H$1,"d"),DATEDIF(A33,B33,"d"))</f>
        <v/>
      </c>
      <c r="I33">
        <f>IF(B33="",$C$1-A33,H33)</f>
        <v/>
      </c>
      <c r="J33" t="inlineStr">
        <is>
          <t>建榮</t>
        </is>
      </c>
      <c r="K33">
        <f>IF(F33&gt;0,(H33*$F33)/365.25,0)</f>
        <v/>
      </c>
      <c r="L33">
        <f>IF(F33&gt;0,(I33*$F33)/365.25,0)</f>
        <v/>
      </c>
      <c r="M33" s="65" t="n"/>
    </row>
    <row r="34" hidden="1" outlineLevel="1">
      <c r="A34" s="508" t="n">
        <v>43564</v>
      </c>
      <c r="B34" s="508" t="n">
        <v>43567</v>
      </c>
      <c r="C34" s="123" t="n"/>
      <c r="D34" s="509" t="n">
        <v>30593</v>
      </c>
      <c r="E34" s="510">
        <f>E33+C34-D34</f>
        <v/>
      </c>
      <c r="F34" s="510">
        <f>-D34+C36</f>
        <v/>
      </c>
      <c r="G34" s="511">
        <f>G33+F34</f>
        <v/>
      </c>
      <c r="H34" s="511">
        <f>IF(B34="",DATEDIF(A34,$H$1,"d"),DATEDIF(A34,B34,"d"))</f>
        <v/>
      </c>
      <c r="I34">
        <f>IF(B34="",$C$1-A34,H34)</f>
        <v/>
      </c>
      <c r="J34" t="inlineStr">
        <is>
          <t>競國</t>
        </is>
      </c>
      <c r="K34">
        <f>IF(F34&gt;0,(H34*$F34)/365.25,0)</f>
        <v/>
      </c>
      <c r="L34">
        <f>IF(F34&gt;0,(I34*$F34)/365.25,0)</f>
        <v/>
      </c>
      <c r="M34" s="65" t="n"/>
    </row>
    <row r="35" hidden="1" outlineLevel="1">
      <c r="A35" s="518" t="n">
        <v>43565</v>
      </c>
      <c r="B35" s="518" t="n"/>
      <c r="C35" s="148" t="n">
        <v>136</v>
      </c>
      <c r="D35" s="519" t="n"/>
      <c r="E35" s="520">
        <f>E34+C35-D35</f>
        <v/>
      </c>
      <c r="F35" s="520">
        <f>C35-D35</f>
        <v/>
      </c>
      <c r="G35" s="521">
        <f>G34+F35</f>
        <v/>
      </c>
      <c r="H35" s="521">
        <f>IF(B35="",DATEDIF(A35,$H$1,"d"),DATEDIF(A35,B35,"d"))</f>
        <v/>
      </c>
      <c r="I35" s="152">
        <f>IF(B35="",$C$1-A35,H35)</f>
        <v/>
      </c>
      <c r="J35" s="152" t="inlineStr">
        <is>
          <t>折讓入帳</t>
        </is>
      </c>
      <c r="K35" s="152">
        <f>IF(F35&gt;0,(H35*$F35)/365.25,0)</f>
        <v/>
      </c>
      <c r="L35" s="152">
        <f>IF(F35&gt;0,(I35*$F35)/365.25,0)</f>
        <v/>
      </c>
      <c r="M35" s="152" t="n"/>
    </row>
    <row r="36" hidden="1" outlineLevel="1">
      <c r="A36" s="508" t="n">
        <v>43567</v>
      </c>
      <c r="B36" s="508" t="n">
        <v>43567</v>
      </c>
      <c r="C36" s="123" t="n">
        <v>29370</v>
      </c>
      <c r="D36" s="509" t="n"/>
      <c r="E36" s="510">
        <f>E35+C36-D36</f>
        <v/>
      </c>
      <c r="F36" s="510" t="n"/>
      <c r="G36" s="511">
        <f>G35+F36</f>
        <v/>
      </c>
      <c r="H36" s="511">
        <f>IF(B36="",DATEDIF(A36,$H$1,"d"),DATEDIF(A36,B36,"d"))</f>
        <v/>
      </c>
      <c r="I36">
        <f>IF(B36="",$C$1-A36,H36)</f>
        <v/>
      </c>
      <c r="J36" t="inlineStr">
        <is>
          <t>競國</t>
        </is>
      </c>
      <c r="K36">
        <f>IF(F36&gt;0,(H36*$F36)/365.25,0)</f>
        <v/>
      </c>
      <c r="L36">
        <f>IF(F36&gt;0,(I36*$F36)/365.25,0)</f>
        <v/>
      </c>
      <c r="M36" s="65" t="n"/>
    </row>
    <row r="37" hidden="1" outlineLevel="1">
      <c r="A37" s="508" t="n">
        <v>43571</v>
      </c>
      <c r="B37" s="508" t="n">
        <v>43573</v>
      </c>
      <c r="C37" s="123" t="n"/>
      <c r="D37" s="509" t="n">
        <v>75070</v>
      </c>
      <c r="E37" s="510">
        <f>E36+C37-D37</f>
        <v/>
      </c>
      <c r="F37" s="510">
        <f>-D37+C39</f>
        <v/>
      </c>
      <c r="G37" s="511">
        <f>G36+F37</f>
        <v/>
      </c>
      <c r="H37" s="511">
        <f>IF(B37="",DATEDIF(A37,$H$1,"d"),DATEDIF(A37,B37,"d"))</f>
        <v/>
      </c>
      <c r="I37">
        <f>IF(B37="",$C$1-A37,H37)</f>
        <v/>
      </c>
      <c r="J37" t="inlineStr">
        <is>
          <t>雍智科技</t>
        </is>
      </c>
      <c r="K37">
        <f>IF(F37&gt;0,(H37*$F37)/365.25,0)</f>
        <v/>
      </c>
      <c r="L37">
        <f>IF(F37&gt;0,(I37*$F37)/365.25,0)</f>
        <v/>
      </c>
      <c r="M37" s="65" t="inlineStr">
        <is>
          <t>承銷申購</t>
        </is>
      </c>
    </row>
    <row r="38" hidden="1" outlineLevel="1">
      <c r="A38" s="508" t="n">
        <v>43572</v>
      </c>
      <c r="B38" s="508" t="n">
        <v>43572</v>
      </c>
      <c r="C38" s="123" t="n">
        <v>69293</v>
      </c>
      <c r="D38" s="509" t="n"/>
      <c r="E38" s="510">
        <f>E37+C38-D38</f>
        <v/>
      </c>
      <c r="F38" s="510" t="n"/>
      <c r="G38" s="511">
        <f>G37+F38</f>
        <v/>
      </c>
      <c r="H38" s="511">
        <f>IF(B38="",DATEDIF(A38,$H$1,"d"),DATEDIF(A38,B38,"d"))</f>
        <v/>
      </c>
      <c r="I38">
        <f>IF(B38="",$C$1-A38,H38)</f>
        <v/>
      </c>
      <c r="J38" t="inlineStr">
        <is>
          <t>創見</t>
        </is>
      </c>
      <c r="K38">
        <f>IF(F38&gt;0,(H38*$F38)/365.25,0)</f>
        <v/>
      </c>
      <c r="L38">
        <f>IF(F38&gt;0,(I38*$F38)/365.25,0)</f>
        <v/>
      </c>
      <c r="M38" s="65" t="n"/>
    </row>
    <row r="39" hidden="1" outlineLevel="1">
      <c r="A39" s="508" t="n">
        <v>43573</v>
      </c>
      <c r="B39" s="508" t="n">
        <v>43573</v>
      </c>
      <c r="C39" s="123" t="n">
        <v>75050</v>
      </c>
      <c r="D39" s="509" t="n"/>
      <c r="E39" s="510">
        <f>E38+C39-D39</f>
        <v/>
      </c>
      <c r="F39" s="510" t="n"/>
      <c r="G39" s="511">
        <f>G38+F39</f>
        <v/>
      </c>
      <c r="H39" s="511">
        <f>IF(B39="",DATEDIF(A39,$H$1,"d"),DATEDIF(A39,B39,"d"))</f>
        <v/>
      </c>
      <c r="I39">
        <f>IF(B39="",$C$1-A39,H39)</f>
        <v/>
      </c>
      <c r="J39" t="inlineStr">
        <is>
          <t>雍智科技</t>
        </is>
      </c>
      <c r="K39">
        <f>IF(F39&gt;0,(H39*$F39)/365.25,0)</f>
        <v/>
      </c>
      <c r="L39">
        <f>IF(F39&gt;0,(I39*$F39)/365.25,0)</f>
        <v/>
      </c>
      <c r="M39" s="65" t="inlineStr">
        <is>
          <t>承銷申購</t>
        </is>
      </c>
    </row>
    <row r="40" hidden="1" outlineLevel="1">
      <c r="A40" s="508" t="n">
        <v>43579</v>
      </c>
      <c r="B40" s="508" t="n">
        <v>43579</v>
      </c>
      <c r="C40" s="123" t="n">
        <v>44454</v>
      </c>
      <c r="D40" s="509" t="n"/>
      <c r="E40" s="510">
        <f>E39+C40-D40</f>
        <v/>
      </c>
      <c r="F40" s="510" t="n"/>
      <c r="G40" s="511">
        <f>G39+F40</f>
        <v/>
      </c>
      <c r="H40" s="511">
        <f>IF(B40="",DATEDIF(A40,$H$1,"d"),DATEDIF(A40,B40,"d"))</f>
        <v/>
      </c>
      <c r="I40">
        <f>IF(B40="",$C$1-A40,H40)</f>
        <v/>
      </c>
      <c r="J40" t="inlineStr">
        <is>
          <t>茂訊</t>
        </is>
      </c>
      <c r="K40">
        <f>IF(F40&gt;0,(H40*$F40)/365.25,0)</f>
        <v/>
      </c>
      <c r="L40">
        <f>IF(F40&gt;0,(I40*$F40)/365.25,0)</f>
        <v/>
      </c>
      <c r="M40" s="65" t="n"/>
    </row>
    <row r="41" hidden="1" outlineLevel="1">
      <c r="A41" s="508" t="n">
        <v>43580</v>
      </c>
      <c r="B41" s="508" t="n">
        <v>43580</v>
      </c>
      <c r="C41" s="123" t="n">
        <v>45598</v>
      </c>
      <c r="D41" s="509" t="n"/>
      <c r="E41" s="510">
        <f>E40+C41-D41</f>
        <v/>
      </c>
      <c r="F41" s="510" t="n"/>
      <c r="G41" s="511">
        <f>G40+F41</f>
        <v/>
      </c>
      <c r="H41" s="511">
        <f>IF(B41="",DATEDIF(A41,$H$1,"d"),DATEDIF(A41,B41,"d"))</f>
        <v/>
      </c>
      <c r="I41">
        <f>IF(B41="",$C$1-A41,H41)</f>
        <v/>
      </c>
      <c r="J41" t="inlineStr">
        <is>
          <t>建榮</t>
        </is>
      </c>
      <c r="K41">
        <f>IF(F41&gt;0,(H41*$F41)/365.25,0)</f>
        <v/>
      </c>
      <c r="L41">
        <f>IF(F41&gt;0,(I41*$F41)/365.25,0)</f>
        <v/>
      </c>
      <c r="M41" s="65" t="n"/>
    </row>
    <row r="42" hidden="1" outlineLevel="1">
      <c r="A42" s="508" t="n">
        <v>43587</v>
      </c>
      <c r="B42" s="508" t="n">
        <v>43591</v>
      </c>
      <c r="C42" s="123" t="n"/>
      <c r="D42" s="509" t="n">
        <v>70070</v>
      </c>
      <c r="E42" s="510">
        <f>E41+C42-D42</f>
        <v/>
      </c>
      <c r="F42" s="510">
        <f>-D42+C43</f>
        <v/>
      </c>
      <c r="G42" s="511">
        <f>G41+F42</f>
        <v/>
      </c>
      <c r="H42" s="511">
        <f>IF(B42="",DATEDIF(A42,$H$1,"d"),DATEDIF(A42,B42,"d"))</f>
        <v/>
      </c>
      <c r="I42">
        <f>IF(B42="",$C$1-A42,H42)</f>
        <v/>
      </c>
      <c r="J42" t="inlineStr">
        <is>
          <t>鈺太</t>
        </is>
      </c>
      <c r="K42">
        <f>IF(F42&gt;0,(H42*$F42)/365.25,0)</f>
        <v/>
      </c>
      <c r="L42">
        <f>IF(F42&gt;0,(I42*$F42)/365.25,0)</f>
        <v/>
      </c>
      <c r="M42" s="65" t="inlineStr">
        <is>
          <t>承銷申購</t>
        </is>
      </c>
    </row>
    <row r="43" hidden="1" outlineLevel="1">
      <c r="A43" s="508" t="n">
        <v>43591</v>
      </c>
      <c r="B43" s="508" t="n">
        <v>43591</v>
      </c>
      <c r="C43" s="123" t="n">
        <v>70050</v>
      </c>
      <c r="D43" s="509" t="n"/>
      <c r="E43" s="510">
        <f>E42+C43-D43</f>
        <v/>
      </c>
      <c r="F43" s="510" t="n"/>
      <c r="G43" s="511">
        <f>G42+F43</f>
        <v/>
      </c>
      <c r="H43" s="511">
        <f>IF(B43="",DATEDIF(A43,$H$1,"d"),DATEDIF(A43,B43,"d"))</f>
        <v/>
      </c>
      <c r="I43">
        <f>IF(B43="",$C$1-A43,H43)</f>
        <v/>
      </c>
      <c r="J43" t="inlineStr">
        <is>
          <t>鈺太</t>
        </is>
      </c>
      <c r="K43">
        <f>IF(F43&gt;0,(H43*$F43)/365.25,0)</f>
        <v/>
      </c>
      <c r="L43">
        <f>IF(F43&gt;0,(I43*$F43)/365.25,0)</f>
        <v/>
      </c>
      <c r="M43" s="65" t="inlineStr">
        <is>
          <t>承銷申購</t>
        </is>
      </c>
    </row>
    <row r="44" hidden="1" outlineLevel="1">
      <c r="A44" s="518" t="n">
        <v>43595</v>
      </c>
      <c r="B44" s="518" t="n"/>
      <c r="C44" s="148" t="n">
        <v>123</v>
      </c>
      <c r="D44" s="519" t="n"/>
      <c r="E44" s="520">
        <f>E43+C44-D44</f>
        <v/>
      </c>
      <c r="F44" s="520">
        <f>C44-D44</f>
        <v/>
      </c>
      <c r="G44" s="521">
        <f>G43+F44</f>
        <v/>
      </c>
      <c r="H44" s="521">
        <f>IF(B44="",DATEDIF(A44,$H$1,"d"),DATEDIF(A44,B44,"d"))</f>
        <v/>
      </c>
      <c r="I44" s="152">
        <f>IF(B44="",$C$1-A44,H44)</f>
        <v/>
      </c>
      <c r="J44" s="152" t="inlineStr">
        <is>
          <t>折讓入帳</t>
        </is>
      </c>
      <c r="K44" s="152">
        <f>IF(F44&gt;0,(H44*$F44)/365.25,0)</f>
        <v/>
      </c>
      <c r="L44" s="152">
        <f>IF(F44&gt;0,(I44*$F44)/365.25,0)</f>
        <v/>
      </c>
      <c r="M44" s="152" t="n"/>
    </row>
    <row r="45" hidden="1" outlineLevel="1">
      <c r="A45" s="513" t="n">
        <v>43637</v>
      </c>
      <c r="B45" s="513" t="n"/>
      <c r="C45" s="154" t="n">
        <v>352</v>
      </c>
      <c r="D45" s="514" t="n"/>
      <c r="E45" s="515">
        <f>E44+C45-D45</f>
        <v/>
      </c>
      <c r="F45" s="515">
        <f>C45-D45</f>
        <v/>
      </c>
      <c r="G45" s="516">
        <f>G44+F45</f>
        <v/>
      </c>
      <c r="H45" s="516">
        <f>IF(B45="",DATEDIF(A45,$H$1,"d"),DATEDIF(A45,B45,"d"))</f>
        <v/>
      </c>
      <c r="I45" s="158">
        <f>IF(B45="",$C$1-A45,H45)</f>
        <v/>
      </c>
      <c r="J45" s="158" t="inlineStr">
        <is>
          <t>利息</t>
        </is>
      </c>
      <c r="K45" s="158">
        <f>IF(F45&gt;0,(H45*$F45)/365.25,0)</f>
        <v/>
      </c>
      <c r="L45" s="158">
        <f>IF(F45&gt;0,(I45*$F45)/365.25,0)</f>
        <v/>
      </c>
      <c r="M45" s="159" t="n"/>
    </row>
    <row r="46" hidden="1" outlineLevel="1">
      <c r="A46" s="508" t="n">
        <v>43641</v>
      </c>
      <c r="B46" s="508" t="n">
        <v>43649</v>
      </c>
      <c r="C46" s="123" t="n"/>
      <c r="D46" s="509" t="n">
        <v>78611</v>
      </c>
      <c r="E46" s="510">
        <f>E45+C46-D46</f>
        <v/>
      </c>
      <c r="F46" s="510">
        <f>-D46+C59+C73</f>
        <v/>
      </c>
      <c r="G46" s="511">
        <f>G45+F46</f>
        <v/>
      </c>
      <c r="H46" s="511">
        <f>IF(B46="",DATEDIF(A46,$H$1,"d"),DATEDIF(A46,B46,"d"))</f>
        <v/>
      </c>
      <c r="I46">
        <f>IF(B46="",$C$1-A46,H46)</f>
        <v/>
      </c>
      <c r="J46" s="129" t="inlineStr">
        <is>
          <t>群光</t>
        </is>
      </c>
      <c r="K46">
        <f>IF(F46&gt;0,(H46*$F46)/365.25,0)</f>
        <v/>
      </c>
      <c r="L46">
        <f>IF(F46&gt;0,(I46*$F46)/365.25,0)</f>
        <v/>
      </c>
      <c r="M46" s="66" t="n"/>
      <c r="O46" s="123" t="n"/>
    </row>
    <row r="47" hidden="1" outlineLevel="1">
      <c r="A47" s="508" t="n">
        <v>43641</v>
      </c>
      <c r="B47" s="508" t="n">
        <v>43649</v>
      </c>
      <c r="C47" s="123" t="n"/>
      <c r="D47" s="509" t="n">
        <v>73003</v>
      </c>
      <c r="E47" s="510">
        <f>E46+C47-D47</f>
        <v/>
      </c>
      <c r="F47" s="510">
        <f>-D47+C57+C77</f>
        <v/>
      </c>
      <c r="G47" s="511">
        <f>G46+F47</f>
        <v/>
      </c>
      <c r="H47" s="511">
        <f>IF(B47="",DATEDIF(A47,$H$1,"d"),DATEDIF(A47,B47,"d"))</f>
        <v/>
      </c>
      <c r="I47">
        <f>IF(B47="",$C$1-A47,H47)</f>
        <v/>
      </c>
      <c r="J47" t="inlineStr">
        <is>
          <t>鈺緯</t>
        </is>
      </c>
      <c r="K47">
        <f>IF(F47&gt;0,(H47*$F47)/365.25,0)</f>
        <v/>
      </c>
      <c r="L47">
        <f>IF(F47&gt;0,(I47*$F47)/365.25,0)</f>
        <v/>
      </c>
      <c r="M47" s="66" t="n">
        <v>43672</v>
      </c>
      <c r="O47" s="123" t="n">
        <v>2950</v>
      </c>
    </row>
    <row r="48" hidden="1" outlineLevel="1">
      <c r="A48" s="508" t="n">
        <v>43641</v>
      </c>
      <c r="B48" s="508" t="n">
        <v>43648</v>
      </c>
      <c r="C48" s="123" t="n"/>
      <c r="D48" s="509" t="n">
        <v>74105</v>
      </c>
      <c r="E48" s="510">
        <f>E47+C48-D48</f>
        <v/>
      </c>
      <c r="F48" s="510">
        <f>-D48+C51+C68</f>
        <v/>
      </c>
      <c r="G48" s="511">
        <f>G47+F48</f>
        <v/>
      </c>
      <c r="H48" s="511">
        <f>IF(B48="",DATEDIF(A48,$H$1,"d"),DATEDIF(A48,B48,"d"))</f>
        <v/>
      </c>
      <c r="I48">
        <f>IF(B48="",$C$1-A48,H48)</f>
        <v/>
      </c>
      <c r="J48" t="inlineStr">
        <is>
          <t>橘子</t>
        </is>
      </c>
      <c r="K48">
        <f>IF(F48&gt;0,(H48*$F48)/365.25,0)</f>
        <v/>
      </c>
      <c r="L48">
        <f>IF(F48&gt;0,(I48*$F48)/365.25,0)</f>
        <v/>
      </c>
      <c r="M48" s="66" t="n"/>
      <c r="O48" s="123" t="n"/>
    </row>
    <row r="49" hidden="1" outlineLevel="1">
      <c r="A49" s="508" t="n">
        <v>43641</v>
      </c>
      <c r="B49" s="508" t="n">
        <v>43648</v>
      </c>
      <c r="C49" s="123" t="n"/>
      <c r="D49" s="509" t="n">
        <v>175249</v>
      </c>
      <c r="E49" s="510">
        <f>E48+C49-D49</f>
        <v/>
      </c>
      <c r="F49" s="510">
        <f>-D49+C52+C69</f>
        <v/>
      </c>
      <c r="G49" s="511">
        <f>G48+F49</f>
        <v/>
      </c>
      <c r="H49" s="511">
        <f>IF(B49="",DATEDIF(A49,$H$1,"d"),DATEDIF(A49,B49,"d"))</f>
        <v/>
      </c>
      <c r="I49">
        <f>IF(B49="",$C$1-A49,H49)</f>
        <v/>
      </c>
      <c r="J49" t="inlineStr">
        <is>
          <t>朋億</t>
        </is>
      </c>
      <c r="K49">
        <f>IF(F49&gt;0,(H49*$F49)/365.25,0)</f>
        <v/>
      </c>
      <c r="L49">
        <f>IF(F49&gt;0,(I49*$F49)/365.25,0)</f>
        <v/>
      </c>
      <c r="M49" s="66" t="n"/>
      <c r="O49" s="123" t="n"/>
    </row>
    <row r="50" collapsed="1">
      <c r="A50" s="508" t="n">
        <v>43643</v>
      </c>
      <c r="B50" s="508" t="n">
        <v>43649</v>
      </c>
      <c r="C50" s="123" t="n"/>
      <c r="D50" s="509" t="n">
        <v>49220</v>
      </c>
      <c r="E50" s="510">
        <f>E49+C50-D50</f>
        <v/>
      </c>
      <c r="F50" s="510">
        <f>-D50+C58+C82</f>
        <v/>
      </c>
      <c r="G50" s="511">
        <f>G49+F50</f>
        <v/>
      </c>
      <c r="H50" s="511">
        <f>IF(B50="",DATEDIF(A50,$H$1,"d"),DATEDIF(A50,B50,"d"))</f>
        <v/>
      </c>
      <c r="I50">
        <f>IF(B50="",$C$1-A50,H50)</f>
        <v/>
      </c>
      <c r="J50" t="inlineStr">
        <is>
          <t>光隆</t>
        </is>
      </c>
      <c r="K50">
        <f>IF(F50&gt;0,(H50*$F50)/365.25,0)</f>
        <v/>
      </c>
      <c r="L50">
        <f>IF(F50&gt;0,(I50*$F50)/365.25,0)</f>
        <v/>
      </c>
      <c r="M50" s="66" t="n"/>
      <c r="O50" s="123" t="n"/>
    </row>
    <row r="51" hidden="1" outlineLevel="1">
      <c r="A51" s="508" t="n">
        <v>43648</v>
      </c>
      <c r="B51" s="508" t="n">
        <v>43648</v>
      </c>
      <c r="C51" s="123" t="n">
        <v>66008</v>
      </c>
      <c r="D51" s="509" t="n"/>
      <c r="E51" s="510">
        <f>E50+C51-D51</f>
        <v/>
      </c>
      <c r="F51" s="510" t="n"/>
      <c r="G51" s="511">
        <f>G50+F51</f>
        <v/>
      </c>
      <c r="H51" s="511">
        <f>IF(B51="",DATEDIF(A51,$H$1,"d"),DATEDIF(A51,B51,"d"))</f>
        <v/>
      </c>
      <c r="I51">
        <f>IF(B51="",$C$1-A51,H51)</f>
        <v/>
      </c>
      <c r="J51" t="inlineStr">
        <is>
          <t>橘子</t>
        </is>
      </c>
      <c r="K51">
        <f>IF(F51&gt;0,(H51*$F51)/365.25,0)</f>
        <v/>
      </c>
      <c r="L51">
        <f>IF(F51&gt;0,(I51*$F51)/365.25,0)</f>
        <v/>
      </c>
      <c r="M51" s="66" t="n">
        <v>43658</v>
      </c>
      <c r="O51" s="123" t="n">
        <v>6190</v>
      </c>
    </row>
    <row r="52" hidden="1" outlineLevel="1">
      <c r="A52" s="508" t="n">
        <v>43648</v>
      </c>
      <c r="B52" s="508" t="n">
        <v>43648</v>
      </c>
      <c r="C52" s="123" t="n">
        <v>158795</v>
      </c>
      <c r="D52" s="509" t="n"/>
      <c r="E52" s="510">
        <f>E51+C52-D52</f>
        <v/>
      </c>
      <c r="F52" s="510" t="n"/>
      <c r="G52" s="511">
        <f>G51+F52</f>
        <v/>
      </c>
      <c r="H52" s="511">
        <f>IF(B52="",DATEDIF(A52,$H$1,"d"),DATEDIF(A52,B52,"d"))</f>
        <v/>
      </c>
      <c r="I52">
        <f>IF(B52="",$C$1-A52,H52)</f>
        <v/>
      </c>
      <c r="J52" t="inlineStr">
        <is>
          <t>朋億</t>
        </is>
      </c>
      <c r="K52">
        <f>IF(F52&gt;0,(H52*$F52)/365.25,0)</f>
        <v/>
      </c>
      <c r="L52">
        <f>IF(F52&gt;0,(I52*$F52)/365.25,0)</f>
        <v/>
      </c>
      <c r="M52" s="66" t="n">
        <v>43658</v>
      </c>
      <c r="O52" s="123" t="n">
        <v>14990</v>
      </c>
    </row>
    <row r="53" hidden="1" outlineLevel="1">
      <c r="A53" s="508" t="n">
        <v>43648</v>
      </c>
      <c r="B53" s="508" t="n">
        <v>43656</v>
      </c>
      <c r="C53" s="123" t="n"/>
      <c r="D53" s="509" t="n">
        <v>31344</v>
      </c>
      <c r="E53" s="510">
        <f>E52+C53-D53</f>
        <v/>
      </c>
      <c r="F53" s="510">
        <f>-D53+C67+C79</f>
        <v/>
      </c>
      <c r="G53" s="511">
        <f>G52+F53</f>
        <v/>
      </c>
      <c r="H53" s="511">
        <f>IF(B53="",DATEDIF(A53,$H$1,"d"),DATEDIF(A53,B53,"d"))</f>
        <v/>
      </c>
      <c r="I53">
        <f>IF(B53="",$C$1-A53,H53)</f>
        <v/>
      </c>
      <c r="J53" t="inlineStr">
        <is>
          <t>承啟</t>
        </is>
      </c>
      <c r="K53">
        <f>IF(F53&gt;0,(H53*$F53)/365.25,0)</f>
        <v/>
      </c>
      <c r="L53">
        <f>IF(F53&gt;0,(I53*$F53)/365.25,0)</f>
        <v/>
      </c>
      <c r="M53" s="66" t="n"/>
      <c r="O53" s="123" t="n"/>
    </row>
    <row r="54" hidden="1" outlineLevel="1">
      <c r="A54" s="508" t="n">
        <v>43648</v>
      </c>
      <c r="B54" s="508" t="n">
        <v>43654</v>
      </c>
      <c r="C54" s="123" t="n"/>
      <c r="D54" s="509" t="n">
        <v>45414</v>
      </c>
      <c r="E54" s="510">
        <f>E53+C54-D54</f>
        <v/>
      </c>
      <c r="F54" s="510">
        <f>-D54+C63+C75</f>
        <v/>
      </c>
      <c r="G54" s="511">
        <f>G53+F54</f>
        <v/>
      </c>
      <c r="H54" s="511">
        <f>IF(B54="",DATEDIF(A54,$H$1,"d"),DATEDIF(A54,B54,"d"))</f>
        <v/>
      </c>
      <c r="I54">
        <f>IF(B54="",$C$1-A54,H54)</f>
        <v/>
      </c>
      <c r="J54" t="inlineStr">
        <is>
          <t>亞泰</t>
        </is>
      </c>
      <c r="K54">
        <f>IF(F54&gt;0,(H54*$F54)/365.25,0)</f>
        <v/>
      </c>
      <c r="L54">
        <f>IF(F54&gt;0,(I54*$F54)/365.25,0)</f>
        <v/>
      </c>
      <c r="M54" s="66" t="n"/>
      <c r="O54" s="123" t="n"/>
    </row>
    <row r="55" hidden="1" outlineLevel="1">
      <c r="A55" s="508" t="n">
        <v>43648</v>
      </c>
      <c r="B55" s="508" t="n">
        <v>43656</v>
      </c>
      <c r="C55" s="123" t="n"/>
      <c r="D55" s="509" t="n">
        <v>104148</v>
      </c>
      <c r="E55" s="510">
        <f>E54+C55-D55</f>
        <v/>
      </c>
      <c r="F55" s="510">
        <f>-D55+C70+C80</f>
        <v/>
      </c>
      <c r="G55" s="511">
        <f>G54+F55</f>
        <v/>
      </c>
      <c r="H55" s="511">
        <f>IF(B55="",DATEDIF(A55,$H$1,"d"),DATEDIF(A55,B55,"d"))</f>
        <v/>
      </c>
      <c r="I55">
        <f>IF(B55="",$C$1-A55,H55)</f>
        <v/>
      </c>
      <c r="J55" t="inlineStr">
        <is>
          <t>瑞儀</t>
        </is>
      </c>
      <c r="K55">
        <f>IF(F55&gt;0,(H55*$F55)/365.25,0)</f>
        <v/>
      </c>
      <c r="L55">
        <f>IF(F55&gt;0,(I55*$F55)/365.25,0)</f>
        <v/>
      </c>
      <c r="M55" s="66" t="n"/>
      <c r="O55" s="123" t="n"/>
    </row>
    <row r="56" hidden="1" outlineLevel="1">
      <c r="A56" s="508" t="n">
        <v>43648</v>
      </c>
      <c r="B56" s="508" t="n">
        <v>43655</v>
      </c>
      <c r="C56" s="123" t="n"/>
      <c r="D56" s="509" t="n">
        <v>51373</v>
      </c>
      <c r="E56" s="510">
        <f>E55+C56-D56</f>
        <v/>
      </c>
      <c r="F56" s="510">
        <f>-D56+C64+C74</f>
        <v/>
      </c>
      <c r="G56" s="511">
        <f>G55+F56</f>
        <v/>
      </c>
      <c r="H56" s="511">
        <f>IF(B56="",DATEDIF(A56,$H$1,"d"),DATEDIF(A56,B56,"d"))</f>
        <v/>
      </c>
      <c r="I56">
        <f>IF(B56="",$C$1-A56,H56)</f>
        <v/>
      </c>
      <c r="J56" t="inlineStr">
        <is>
          <t>鉅邁</t>
        </is>
      </c>
      <c r="K56">
        <f>IF(F56&gt;0,(H56*$F56)/365.25,0)</f>
        <v/>
      </c>
      <c r="L56">
        <f>IF(F56&gt;0,(I56*$F56)/365.25,0)</f>
        <v/>
      </c>
      <c r="M56" s="66" t="n"/>
      <c r="O56" s="123" t="n"/>
    </row>
    <row r="57" hidden="1" outlineLevel="1">
      <c r="A57" s="508" t="n">
        <v>43649</v>
      </c>
      <c r="B57" s="508" t="n">
        <v>43649</v>
      </c>
      <c r="C57" s="123" t="n">
        <v>71483</v>
      </c>
      <c r="D57" s="509" t="n"/>
      <c r="E57" s="510">
        <f>E56+C57-D57</f>
        <v/>
      </c>
      <c r="F57" s="510" t="n"/>
      <c r="G57" s="511">
        <f>G56+F57</f>
        <v/>
      </c>
      <c r="H57" s="511">
        <f>IF(B57="",DATEDIF(A57,$H$1,"d"),DATEDIF(A57,B57,"d"))</f>
        <v/>
      </c>
      <c r="I57">
        <f>IF(B57="",$C$1-A57,H57)</f>
        <v/>
      </c>
      <c r="J57" t="inlineStr">
        <is>
          <t>鈺緯</t>
        </is>
      </c>
      <c r="K57">
        <f>IF(F57&gt;0,(H57*$F57)/365.25,0)</f>
        <v/>
      </c>
      <c r="L57">
        <f>IF(F57&gt;0,(I57*$F57)/365.25,0)</f>
        <v/>
      </c>
      <c r="M57" s="66" t="n"/>
      <c r="O57" s="123" t="n"/>
    </row>
    <row r="58" hidden="1" outlineLevel="1">
      <c r="A58" s="508" t="n">
        <v>43649</v>
      </c>
      <c r="B58" s="508" t="n">
        <v>43649</v>
      </c>
      <c r="C58" s="123" t="n">
        <v>46992</v>
      </c>
      <c r="D58" s="509" t="n"/>
      <c r="E58" s="510">
        <f>E57+C58-D58</f>
        <v/>
      </c>
      <c r="F58" s="510" t="n"/>
      <c r="G58" s="511">
        <f>G57+F58</f>
        <v/>
      </c>
      <c r="H58" s="511">
        <f>IF(B58="",DATEDIF(A58,$H$1,"d"),DATEDIF(A58,B58,"d"))</f>
        <v/>
      </c>
      <c r="I58">
        <f>IF(B58="",$C$1-A58,H58)</f>
        <v/>
      </c>
      <c r="J58" t="inlineStr">
        <is>
          <t>光隆</t>
        </is>
      </c>
      <c r="K58">
        <f>IF(F58&gt;0,(H58*$F58)/365.25,0)</f>
        <v/>
      </c>
      <c r="L58">
        <f>IF(F58&gt;0,(I58*$F58)/365.25,0)</f>
        <v/>
      </c>
      <c r="M58" s="66" t="n">
        <v>43679</v>
      </c>
      <c r="O58" s="123" t="n">
        <v>3360</v>
      </c>
    </row>
    <row r="59" hidden="1" outlineLevel="1">
      <c r="A59" s="508" t="n">
        <v>43649</v>
      </c>
      <c r="B59" s="508" t="n">
        <v>43649</v>
      </c>
      <c r="C59" s="123" t="n">
        <v>76561</v>
      </c>
      <c r="D59" s="509" t="n"/>
      <c r="E59" s="510">
        <f>E58+C59-D59</f>
        <v/>
      </c>
      <c r="F59" s="510" t="n"/>
      <c r="G59" s="511">
        <f>G58+F59</f>
        <v/>
      </c>
      <c r="H59" s="511">
        <f>IF(B59="",DATEDIF(A59,$H$1,"d"),DATEDIF(A59,B59,"d"))</f>
        <v/>
      </c>
      <c r="I59">
        <f>IF(B59="",$C$1-A59,H59)</f>
        <v/>
      </c>
      <c r="J59" s="201" t="inlineStr">
        <is>
          <t>群光</t>
        </is>
      </c>
      <c r="K59">
        <f>IF(F59&gt;0,(H59*$F59)/365.25,0)</f>
        <v/>
      </c>
      <c r="L59">
        <f>IF(F59&gt;0,(I59*$F59)/365.25,0)</f>
        <v/>
      </c>
      <c r="M59" s="66" t="n">
        <v>43665</v>
      </c>
      <c r="O59" s="123" t="n">
        <v>3790</v>
      </c>
    </row>
    <row r="60" hidden="1" outlineLevel="1">
      <c r="A60" s="508" t="n">
        <v>43651</v>
      </c>
      <c r="B60" s="508" t="n">
        <v>43656</v>
      </c>
      <c r="C60" s="123" t="n"/>
      <c r="D60" s="509" t="n">
        <v>65393</v>
      </c>
      <c r="E60" s="510">
        <f>E59+C60-D60</f>
        <v/>
      </c>
      <c r="F60" s="510">
        <f>-D60+C66+C78</f>
        <v/>
      </c>
      <c r="G60" s="511">
        <f>G59+F60</f>
        <v/>
      </c>
      <c r="H60" s="511">
        <f>IF(B60="",DATEDIF(A60,$H$1,"d"),DATEDIF(A60,B60,"d"))</f>
        <v/>
      </c>
      <c r="I60">
        <f>IF(B60="",$C$1-A60,H60)</f>
        <v/>
      </c>
      <c r="J60" t="inlineStr">
        <is>
          <t>南亞科</t>
        </is>
      </c>
      <c r="K60">
        <f>IF(F60&gt;0,(H60*$F60)/365.25,0)</f>
        <v/>
      </c>
      <c r="L60">
        <f>IF(F60&gt;0,(I60*$F60)/365.25,0)</f>
        <v/>
      </c>
      <c r="M60" s="66" t="n"/>
      <c r="O60" s="123" t="n"/>
    </row>
    <row r="61" hidden="1" outlineLevel="1">
      <c r="A61" s="508" t="n">
        <v>43651</v>
      </c>
      <c r="B61" s="508" t="n">
        <v>43663</v>
      </c>
      <c r="C61" s="123" t="n"/>
      <c r="D61" s="509" t="n">
        <v>93833</v>
      </c>
      <c r="E61" s="510">
        <f>E60+C61-D61</f>
        <v/>
      </c>
      <c r="F61" s="510">
        <f>-D61+C72+C76</f>
        <v/>
      </c>
      <c r="G61" s="511">
        <f>G60+F61</f>
        <v/>
      </c>
      <c r="H61" s="511">
        <f>IF(B61="",DATEDIF(A61,$H$1,"d"),DATEDIF(A61,B61,"d"))</f>
        <v/>
      </c>
      <c r="I61">
        <f>IF(B61="",$C$1-A61,H61)</f>
        <v/>
      </c>
      <c r="J61" t="inlineStr">
        <is>
          <t>奇力新</t>
        </is>
      </c>
      <c r="K61">
        <f>IF(F61&gt;0,(H61*$F61)/365.25,0)</f>
        <v/>
      </c>
      <c r="L61">
        <f>IF(F61&gt;0,(I61*$F61)/365.25,0)</f>
        <v/>
      </c>
      <c r="M61" s="66" t="n">
        <v>43672</v>
      </c>
      <c r="O61" s="123" t="n">
        <v>7975</v>
      </c>
    </row>
    <row r="62" hidden="1" outlineLevel="1">
      <c r="A62" s="508" t="n">
        <v>43651</v>
      </c>
      <c r="B62" s="508" t="n">
        <v>43658</v>
      </c>
      <c r="C62" s="123" t="n"/>
      <c r="D62" s="509" t="n">
        <v>99942</v>
      </c>
      <c r="E62" s="510">
        <f>E61+C62-D62</f>
        <v/>
      </c>
      <c r="F62" s="510">
        <f>-D62+C71+C81</f>
        <v/>
      </c>
      <c r="G62" s="511">
        <f>G61+F62</f>
        <v/>
      </c>
      <c r="H62" s="511">
        <f>IF(B62="",DATEDIF(A62,$H$1,"d"),DATEDIF(A62,B62,"d"))</f>
        <v/>
      </c>
      <c r="I62">
        <f>IF(B62="",$C$1-A62,H62)</f>
        <v/>
      </c>
      <c r="J62" t="inlineStr">
        <is>
          <t>朋程</t>
        </is>
      </c>
      <c r="K62">
        <f>IF(F62&gt;0,(H62*$F62)/365.25,0)</f>
        <v/>
      </c>
      <c r="L62">
        <f>IF(F62&gt;0,(I62*$F62)/365.25,0)</f>
        <v/>
      </c>
      <c r="M62" s="66" t="n"/>
      <c r="O62" s="123" t="n"/>
    </row>
    <row r="63" hidden="1" outlineLevel="1">
      <c r="A63" s="508" t="n">
        <v>43654</v>
      </c>
      <c r="B63" s="508" t="n">
        <v>43654</v>
      </c>
      <c r="C63" s="123" t="n">
        <v>42612</v>
      </c>
      <c r="D63" s="509" t="n"/>
      <c r="E63" s="510">
        <f>E62+C63-D63</f>
        <v/>
      </c>
      <c r="F63" s="510" t="n"/>
      <c r="G63" s="511">
        <f>G62+F63</f>
        <v/>
      </c>
      <c r="H63" s="511">
        <f>IF(B63="",DATEDIF(A63,$H$1,"d"),DATEDIF(A63,B63,"d"))</f>
        <v/>
      </c>
      <c r="I63">
        <f>IF(B63="",$C$1-A63,H63)</f>
        <v/>
      </c>
      <c r="J63" t="inlineStr">
        <is>
          <t>亞泰</t>
        </is>
      </c>
      <c r="K63">
        <f>IF(F63&gt;0,(H63*$F63)/365.25,0)</f>
        <v/>
      </c>
      <c r="L63">
        <f>IF(F63&gt;0,(I63*$F63)/365.25,0)</f>
        <v/>
      </c>
      <c r="M63" s="66" t="n">
        <v>43671</v>
      </c>
      <c r="O63" s="123" t="n">
        <v>3090</v>
      </c>
    </row>
    <row r="64" hidden="1" outlineLevel="1">
      <c r="A64" s="508" t="n">
        <v>43655</v>
      </c>
      <c r="B64" s="508" t="n">
        <v>43655</v>
      </c>
      <c r="C64" s="123" t="n">
        <v>49132</v>
      </c>
      <c r="D64" s="509" t="n"/>
      <c r="E64" s="510">
        <f>E63+C64-D64</f>
        <v/>
      </c>
      <c r="F64" s="510" t="n"/>
      <c r="G64" s="511">
        <f>G63+F64</f>
        <v/>
      </c>
      <c r="H64" s="511">
        <f>IF(B64="",DATEDIF(A64,$H$1,"d"),DATEDIF(A64,B64,"d"))</f>
        <v/>
      </c>
      <c r="I64">
        <f>IF(B64="",$C$1-A64,H64)</f>
        <v/>
      </c>
      <c r="J64" t="inlineStr">
        <is>
          <t>鉅邁</t>
        </is>
      </c>
      <c r="K64">
        <f>IF(F64&gt;0,(H64*$F64)/365.25,0)</f>
        <v/>
      </c>
      <c r="L64">
        <f>IF(F64&gt;0,(I64*$F64)/365.25,0)</f>
        <v/>
      </c>
      <c r="M64" s="66" t="n">
        <v>43669</v>
      </c>
      <c r="O64" s="123" t="n">
        <v>3190</v>
      </c>
    </row>
    <row r="65" hidden="1" outlineLevel="1">
      <c r="A65" s="518" t="n">
        <v>43656</v>
      </c>
      <c r="B65" s="518" t="n"/>
      <c r="C65" s="148" t="n">
        <v>511</v>
      </c>
      <c r="D65" s="519" t="n"/>
      <c r="E65" s="520">
        <f>E64+C65-D65</f>
        <v/>
      </c>
      <c r="F65" s="520">
        <f>C65-D65</f>
        <v/>
      </c>
      <c r="G65" s="521">
        <f>G64+F65</f>
        <v/>
      </c>
      <c r="H65" s="521">
        <f>IF(B65="",DATEDIF(A65,$H$1,"d"),DATEDIF(A65,B65,"d"))</f>
        <v/>
      </c>
      <c r="I65" s="152">
        <f>IF(B65="",$C$1-A65,H65)</f>
        <v/>
      </c>
      <c r="J65" s="152" t="inlineStr">
        <is>
          <t>折讓入帳</t>
        </is>
      </c>
      <c r="K65" s="152">
        <f>IF(F65&gt;0,(H65*$F65)/365.25,0)</f>
        <v/>
      </c>
      <c r="L65" s="152">
        <f>IF(F65&gt;0,(I65*$F65)/365.25,0)</f>
        <v/>
      </c>
      <c r="M65" s="152" t="n"/>
    </row>
    <row r="66" hidden="1" outlineLevel="1">
      <c r="A66" s="508" t="n">
        <v>43656</v>
      </c>
      <c r="B66" s="508" t="n">
        <v>43656</v>
      </c>
      <c r="C66" s="123" t="n">
        <v>60133</v>
      </c>
      <c r="D66" s="509" t="n"/>
      <c r="E66" s="510">
        <f>E65+C66-D66</f>
        <v/>
      </c>
      <c r="F66" s="510" t="n"/>
      <c r="G66" s="511">
        <f>G65+F66</f>
        <v/>
      </c>
      <c r="H66" s="511">
        <f>IF(B66="",DATEDIF(A66,$H$1,"d"),DATEDIF(A66,B66,"d"))</f>
        <v/>
      </c>
      <c r="I66">
        <f>IF(B66="",$C$1-A66,H66)</f>
        <v/>
      </c>
      <c r="J66" t="inlineStr">
        <is>
          <t>南亞科</t>
        </is>
      </c>
      <c r="K66">
        <f>IF(F66&gt;0,(H66*$F66)/365.25,0)</f>
        <v/>
      </c>
      <c r="L66">
        <f>IF(F66&gt;0,(I66*$F66)/365.25,0)</f>
        <v/>
      </c>
      <c r="M66" s="66" t="n">
        <v>43672</v>
      </c>
    </row>
    <row r="67" hidden="1" outlineLevel="1">
      <c r="A67" s="508" t="n">
        <v>43656</v>
      </c>
      <c r="B67" s="508" t="n">
        <v>43656</v>
      </c>
      <c r="C67" s="123" t="n">
        <v>31859</v>
      </c>
      <c r="D67" s="509" t="n"/>
      <c r="E67" s="510">
        <f>E66+C67-D67</f>
        <v/>
      </c>
      <c r="F67" s="510" t="n"/>
      <c r="G67" s="511">
        <f>G66+F67</f>
        <v/>
      </c>
      <c r="H67" s="511">
        <f>IF(B67="",DATEDIF(A67,$H$1,"d"),DATEDIF(A67,B67,"d"))</f>
        <v/>
      </c>
      <c r="I67">
        <f>IF(B67="",$C$1-A67,H67)</f>
        <v/>
      </c>
      <c r="J67" t="inlineStr">
        <is>
          <t>承啟</t>
        </is>
      </c>
      <c r="K67">
        <f>IF(F67&gt;0,(H67*$F67)/365.25,0)</f>
        <v/>
      </c>
      <c r="L67">
        <f>IF(F67&gt;0,(I67*$F67)/365.25,0)</f>
        <v/>
      </c>
      <c r="M67" s="66" t="n">
        <v>43677</v>
      </c>
      <c r="O67" s="123" t="n"/>
    </row>
    <row r="68" hidden="1" outlineLevel="1">
      <c r="A68" s="522" t="n">
        <v>43658</v>
      </c>
      <c r="B68" s="522" t="n"/>
      <c r="C68" s="196" t="n">
        <v>6190</v>
      </c>
      <c r="D68" s="523" t="n"/>
      <c r="E68" s="524">
        <f>E67+C68-D68</f>
        <v/>
      </c>
      <c r="F68" s="524">
        <f>C68</f>
        <v/>
      </c>
      <c r="G68" s="525">
        <f>G67+F68</f>
        <v/>
      </c>
      <c r="H68" s="525">
        <f>IF(B68="",DATEDIF(A68,$H$1,"d"),DATEDIF(A68,B68,"d"))</f>
        <v/>
      </c>
      <c r="I68" s="200">
        <f>IF(B68="",$C$1-A68,H68)</f>
        <v/>
      </c>
      <c r="J68" s="200" t="inlineStr">
        <is>
          <t>橘子</t>
        </is>
      </c>
      <c r="K68" s="200">
        <f>IF(F68&gt;0,(H68*$F68)/365.25,0)</f>
        <v/>
      </c>
      <c r="L68" s="200">
        <f>IF(F68&gt;0,(I68*$F68)/365.25,0)</f>
        <v/>
      </c>
      <c r="M68" s="200" t="inlineStr">
        <is>
          <t>現金股利</t>
        </is>
      </c>
      <c r="O68" s="123" t="n"/>
    </row>
    <row r="69" hidden="1" outlineLevel="1">
      <c r="A69" s="522" t="n">
        <v>43658</v>
      </c>
      <c r="B69" s="522" t="n"/>
      <c r="C69" s="196" t="n">
        <v>14990</v>
      </c>
      <c r="D69" s="523" t="n"/>
      <c r="E69" s="524">
        <f>E68+C69-D69</f>
        <v/>
      </c>
      <c r="F69" s="524">
        <f>C69</f>
        <v/>
      </c>
      <c r="G69" s="525">
        <f>G68+F69</f>
        <v/>
      </c>
      <c r="H69" s="525">
        <f>IF(B69="",DATEDIF(A69,$H$1,"d"),DATEDIF(A69,B69,"d"))</f>
        <v/>
      </c>
      <c r="I69" s="200">
        <f>IF(B69="",$C$1-A69,H69)</f>
        <v/>
      </c>
      <c r="J69" s="200" t="inlineStr">
        <is>
          <t>朋億</t>
        </is>
      </c>
      <c r="K69" s="200">
        <f>IF(F69&gt;0,(H69*$F69)/365.25,0)</f>
        <v/>
      </c>
      <c r="L69" s="200">
        <f>IF(F69&gt;0,(I69*$F69)/365.25,0)</f>
        <v/>
      </c>
      <c r="M69" s="200" t="inlineStr">
        <is>
          <t>現金股利</t>
        </is>
      </c>
      <c r="O69" s="123" t="n"/>
    </row>
    <row r="70" hidden="1" outlineLevel="1">
      <c r="A70" s="508" t="n">
        <v>43658</v>
      </c>
      <c r="B70" s="508" t="n">
        <v>43658</v>
      </c>
      <c r="C70" s="123" t="n">
        <v>104039</v>
      </c>
      <c r="D70" s="509" t="n"/>
      <c r="E70" s="510">
        <f>E69+C70-D70</f>
        <v/>
      </c>
      <c r="F70" s="510" t="n"/>
      <c r="G70" s="511">
        <f>G69+F70</f>
        <v/>
      </c>
      <c r="H70" s="511">
        <f>IF(B70="",DATEDIF(A70,$H$1,"d"),DATEDIF(A70,B70,"d"))</f>
        <v/>
      </c>
      <c r="I70">
        <f>IF(B70="",$C$1-A70,H70)</f>
        <v/>
      </c>
      <c r="J70" t="inlineStr">
        <is>
          <t>瑞儀</t>
        </is>
      </c>
      <c r="K70">
        <f>IF(F70&gt;0,(H70*$F70)/365.25,0)</f>
        <v/>
      </c>
      <c r="L70">
        <f>IF(F70&gt;0,(I70*$F70)/365.25,0)</f>
        <v/>
      </c>
      <c r="M70" s="66" t="n">
        <v>43677</v>
      </c>
    </row>
    <row r="71" hidden="1" outlineLevel="1">
      <c r="A71" s="508" t="n">
        <v>43658</v>
      </c>
      <c r="B71" s="508" t="n">
        <v>43658</v>
      </c>
      <c r="C71" s="123" t="n">
        <v>94680</v>
      </c>
      <c r="D71" s="509" t="n"/>
      <c r="E71" s="510">
        <f>E70+C71-D71</f>
        <v/>
      </c>
      <c r="F71" s="510" t="n"/>
      <c r="G71" s="511">
        <f>G70+F71</f>
        <v/>
      </c>
      <c r="H71" s="511">
        <f>IF(B71="",DATEDIF(A71,$H$1,"d"),DATEDIF(A71,B71,"d"))</f>
        <v/>
      </c>
      <c r="I71">
        <f>IF(B71="",$C$1-A71,H71)</f>
        <v/>
      </c>
      <c r="J71" t="inlineStr">
        <is>
          <t>朋程</t>
        </is>
      </c>
      <c r="K71">
        <f>IF(F71&gt;0,(H71*$F71)/365.25,0)</f>
        <v/>
      </c>
      <c r="L71">
        <f>IF(F71&gt;0,(I71*$F71)/365.25,0)</f>
        <v/>
      </c>
      <c r="M71" s="66" t="n">
        <v>43679</v>
      </c>
    </row>
    <row r="72" hidden="1" outlineLevel="1">
      <c r="A72" s="508" t="n">
        <v>43663</v>
      </c>
      <c r="B72" s="508" t="n">
        <v>43663</v>
      </c>
      <c r="C72" s="123" t="n">
        <v>87214</v>
      </c>
      <c r="D72" s="509" t="n"/>
      <c r="E72" s="510">
        <f>E71+C72-D72</f>
        <v/>
      </c>
      <c r="F72" s="510" t="n"/>
      <c r="G72" s="511">
        <f>G71+F72</f>
        <v/>
      </c>
      <c r="H72" s="511">
        <f>IF(B72="",DATEDIF(A72,$H$1,"d"),DATEDIF(A72,B72,"d"))</f>
        <v/>
      </c>
      <c r="I72">
        <f>IF(B72="",$C$1-A72,H72)</f>
        <v/>
      </c>
      <c r="J72" t="inlineStr">
        <is>
          <t>奇力新</t>
        </is>
      </c>
      <c r="K72">
        <f>IF(F72&gt;0,(H72*$F72)/365.25,0)</f>
        <v/>
      </c>
      <c r="L72">
        <f>IF(F72&gt;0,(I72*$F72)/365.25,0)</f>
        <v/>
      </c>
      <c r="M72" s="66" t="n">
        <v>43672</v>
      </c>
    </row>
    <row r="73" hidden="1" outlineLevel="1">
      <c r="A73" s="522" t="n">
        <v>43665</v>
      </c>
      <c r="B73" s="522" t="n"/>
      <c r="C73" s="196" t="n">
        <v>3790</v>
      </c>
      <c r="D73" s="523" t="n"/>
      <c r="E73" s="524">
        <f>E72+C73-D73</f>
        <v/>
      </c>
      <c r="F73" s="524">
        <f>C73</f>
        <v/>
      </c>
      <c r="G73" s="525">
        <f>G72+F73</f>
        <v/>
      </c>
      <c r="H73" s="525">
        <f>IF(B73="",DATEDIF(A73,$H$1,"d"),DATEDIF(A73,B73,"d"))</f>
        <v/>
      </c>
      <c r="I73" s="200">
        <f>IF(B73="",$C$1-A73,H73)</f>
        <v/>
      </c>
      <c r="J73" s="200" t="inlineStr">
        <is>
          <t>群光</t>
        </is>
      </c>
      <c r="K73" s="200">
        <f>IF(F73&gt;0,(H73*$F73)/365.25,0)</f>
        <v/>
      </c>
      <c r="L73" s="200">
        <f>IF(F73&gt;0,(I73*$F73)/365.25,0)</f>
        <v/>
      </c>
      <c r="M73" s="200" t="inlineStr">
        <is>
          <t>現金股利</t>
        </is>
      </c>
      <c r="O73" s="123" t="n"/>
    </row>
    <row r="74" hidden="1" outlineLevel="1">
      <c r="A74" s="522" t="n">
        <v>43669</v>
      </c>
      <c r="B74" s="522" t="n"/>
      <c r="C74" s="196" t="n">
        <v>3190</v>
      </c>
      <c r="D74" s="523" t="n"/>
      <c r="E74" s="524">
        <f>E73+C74-D74</f>
        <v/>
      </c>
      <c r="F74" s="524">
        <f>C74</f>
        <v/>
      </c>
      <c r="G74" s="525">
        <f>G73+F74</f>
        <v/>
      </c>
      <c r="H74" s="525">
        <f>IF(B74="",DATEDIF(A74,$H$1,"d"),DATEDIF(A74,B74,"d"))</f>
        <v/>
      </c>
      <c r="I74" s="200">
        <f>IF(B74="",$C$1-A74,H74)</f>
        <v/>
      </c>
      <c r="J74" s="200" t="inlineStr">
        <is>
          <t>鉅邁</t>
        </is>
      </c>
      <c r="K74" s="200">
        <f>IF(F74&gt;0,(H74*$F74)/365.25,0)</f>
        <v/>
      </c>
      <c r="L74" s="200">
        <f>IF(F74&gt;0,(I74*$F74)/365.25,0)</f>
        <v/>
      </c>
      <c r="M74" s="200" t="inlineStr">
        <is>
          <t>現金股利</t>
        </is>
      </c>
      <c r="O74" s="123" t="n"/>
    </row>
    <row r="75" hidden="1" outlineLevel="1">
      <c r="A75" s="522" t="n">
        <v>43671</v>
      </c>
      <c r="B75" s="522" t="n"/>
      <c r="C75" s="196" t="n">
        <v>3090</v>
      </c>
      <c r="D75" s="523" t="n"/>
      <c r="E75" s="524">
        <f>E74+C75-D75</f>
        <v/>
      </c>
      <c r="F75" s="524">
        <f>C75</f>
        <v/>
      </c>
      <c r="G75" s="525">
        <f>G74+F75</f>
        <v/>
      </c>
      <c r="H75" s="525">
        <f>IF(B75="",DATEDIF(A75,$H$1,"d"),DATEDIF(A75,B75,"d"))</f>
        <v/>
      </c>
      <c r="I75" s="200">
        <f>IF(B75="",$C$1-A75,H75)</f>
        <v/>
      </c>
      <c r="J75" s="200" t="inlineStr">
        <is>
          <t>亞泰</t>
        </is>
      </c>
      <c r="K75" s="200">
        <f>IF(F75&gt;0,(H75*$F75)/365.25,0)</f>
        <v/>
      </c>
      <c r="L75" s="200">
        <f>IF(F75&gt;0,(I75*$F75)/365.25,0)</f>
        <v/>
      </c>
      <c r="M75" s="200" t="inlineStr">
        <is>
          <t>現金股利</t>
        </is>
      </c>
      <c r="O75" s="123" t="n"/>
    </row>
    <row r="76" hidden="1" outlineLevel="1">
      <c r="A76" s="522" t="n">
        <v>43672</v>
      </c>
      <c r="B76" s="522" t="n"/>
      <c r="C76" s="196" t="n">
        <v>7975</v>
      </c>
      <c r="D76" s="523" t="n"/>
      <c r="E76" s="524">
        <f>E75+C76-D76</f>
        <v/>
      </c>
      <c r="F76" s="524">
        <f>C76</f>
        <v/>
      </c>
      <c r="G76" s="525">
        <f>G75+F76</f>
        <v/>
      </c>
      <c r="H76" s="525">
        <f>IF(B76="",DATEDIF(A76,$H$1,"d"),DATEDIF(A76,B76,"d"))</f>
        <v/>
      </c>
      <c r="I76" s="200">
        <f>IF(B76="",$C$1-A76,H76)</f>
        <v/>
      </c>
      <c r="J76" s="200" t="inlineStr">
        <is>
          <t>奇力新</t>
        </is>
      </c>
      <c r="K76" s="200">
        <f>IF(F76&gt;0,(H76*$F76)/365.25,0)</f>
        <v/>
      </c>
      <c r="L76" s="200">
        <f>IF(F76&gt;0,(I76*$F76)/365.25,0)</f>
        <v/>
      </c>
      <c r="M76" s="200" t="inlineStr">
        <is>
          <t>現金股利</t>
        </is>
      </c>
      <c r="O76" s="123" t="n"/>
    </row>
    <row r="77" hidden="1" outlineLevel="1">
      <c r="A77" s="522" t="n">
        <v>43672</v>
      </c>
      <c r="B77" s="522" t="n"/>
      <c r="C77" s="196" t="n">
        <v>2950</v>
      </c>
      <c r="D77" s="523" t="n"/>
      <c r="E77" s="524">
        <f>E76+C77-D77</f>
        <v/>
      </c>
      <c r="F77" s="524">
        <f>C77</f>
        <v/>
      </c>
      <c r="G77" s="525">
        <f>G76+F77</f>
        <v/>
      </c>
      <c r="H77" s="525">
        <f>IF(B77="",DATEDIF(A77,$H$1,"d"),DATEDIF(A77,B77,"d"))</f>
        <v/>
      </c>
      <c r="I77" s="200">
        <f>IF(B77="",$C$1-A77,H77)</f>
        <v/>
      </c>
      <c r="J77" s="200" t="inlineStr">
        <is>
          <t>鈺緯</t>
        </is>
      </c>
      <c r="K77" s="200">
        <f>IF(F77&gt;0,(H77*$F77)/365.25,0)</f>
        <v/>
      </c>
      <c r="L77" s="200">
        <f>IF(F77&gt;0,(I77*$F77)/365.25,0)</f>
        <v/>
      </c>
      <c r="M77" s="200" t="inlineStr">
        <is>
          <t>現金股利</t>
        </is>
      </c>
      <c r="O77" s="123" t="n"/>
    </row>
    <row r="78" hidden="1" outlineLevel="1">
      <c r="A78" s="522" t="n">
        <v>43672</v>
      </c>
      <c r="B78" s="522" t="n"/>
      <c r="C78" s="196" t="n">
        <v>7100</v>
      </c>
      <c r="D78" s="523" t="n"/>
      <c r="E78" s="524">
        <f>E77+C78-D78</f>
        <v/>
      </c>
      <c r="F78" s="524">
        <f>C78</f>
        <v/>
      </c>
      <c r="G78" s="525">
        <f>G77+F78</f>
        <v/>
      </c>
      <c r="H78" s="525">
        <f>IF(B78="",DATEDIF(A78,$H$1,"d"),DATEDIF(A78,B78,"d"))</f>
        <v/>
      </c>
      <c r="I78" s="200">
        <f>IF(B78="",$C$1-A78,H78)</f>
        <v/>
      </c>
      <c r="J78" s="200" t="inlineStr">
        <is>
          <t>南亞科</t>
        </is>
      </c>
      <c r="K78" s="200">
        <f>IF(F78&gt;0,(H78*$F78)/365.25,0)</f>
        <v/>
      </c>
      <c r="L78" s="200">
        <f>IF(F78&gt;0,(I78*$F78)/365.25,0)</f>
        <v/>
      </c>
      <c r="M78" s="200" t="inlineStr">
        <is>
          <t>現金股利</t>
        </is>
      </c>
      <c r="O78" s="123" t="n"/>
    </row>
    <row r="79" hidden="1" outlineLevel="1">
      <c r="A79" s="522" t="n">
        <v>43677</v>
      </c>
      <c r="B79" s="522" t="n"/>
      <c r="C79" s="196" t="n">
        <v>1490</v>
      </c>
      <c r="D79" s="523" t="n"/>
      <c r="E79" s="524">
        <f>E78+C79-D79</f>
        <v/>
      </c>
      <c r="F79" s="524">
        <f>C79</f>
        <v/>
      </c>
      <c r="G79" s="525">
        <f>G78+F79</f>
        <v/>
      </c>
      <c r="H79" s="525">
        <f>IF(B79="",DATEDIF(A79,$H$1,"d"),DATEDIF(A79,B79,"d"))</f>
        <v/>
      </c>
      <c r="I79" s="200">
        <f>IF(B79="",$C$1-A79,H79)</f>
        <v/>
      </c>
      <c r="J79" s="200" t="inlineStr">
        <is>
          <t>承啟</t>
        </is>
      </c>
      <c r="K79" s="200">
        <f>IF(F79&gt;0,(H79*$F79)/365.25,0)</f>
        <v/>
      </c>
      <c r="L79" s="200">
        <f>IF(F79&gt;0,(I79*$F79)/365.25,0)</f>
        <v/>
      </c>
      <c r="M79" s="200" t="inlineStr">
        <is>
          <t>現金股利</t>
        </is>
      </c>
      <c r="O79" s="123" t="n"/>
    </row>
    <row r="80" hidden="1" outlineLevel="1">
      <c r="A80" s="522" t="n">
        <v>43677</v>
      </c>
      <c r="B80" s="522" t="n"/>
      <c r="C80" s="196" t="n">
        <v>6990</v>
      </c>
      <c r="D80" s="523" t="n"/>
      <c r="E80" s="524">
        <f>E79+C80-D80</f>
        <v/>
      </c>
      <c r="F80" s="524">
        <f>C80</f>
        <v/>
      </c>
      <c r="G80" s="525">
        <f>G79+F80</f>
        <v/>
      </c>
      <c r="H80" s="525">
        <f>IF(B80="",DATEDIF(A80,$H$1,"d"),DATEDIF(A80,B80,"d"))</f>
        <v/>
      </c>
      <c r="I80" s="200">
        <f>IF(B80="",$C$1-A80,H80)</f>
        <v/>
      </c>
      <c r="J80" s="200" t="inlineStr">
        <is>
          <t>瑞儀</t>
        </is>
      </c>
      <c r="K80" s="200">
        <f>IF(F80&gt;0,(H80*$F80)/365.25,0)</f>
        <v/>
      </c>
      <c r="L80" s="200">
        <f>IF(F80&gt;0,(I80*$F80)/365.25,0)</f>
        <v/>
      </c>
      <c r="M80" s="200" t="inlineStr">
        <is>
          <t>現金股利</t>
        </is>
      </c>
      <c r="O80" s="123" t="n"/>
    </row>
    <row r="81" hidden="1" outlineLevel="1">
      <c r="A81" s="522" t="n">
        <v>43679</v>
      </c>
      <c r="B81" s="522" t="n"/>
      <c r="C81" s="196" t="n">
        <v>4990</v>
      </c>
      <c r="D81" s="523" t="n"/>
      <c r="E81" s="524">
        <f>E80+C81-D81</f>
        <v/>
      </c>
      <c r="F81" s="524">
        <f>C81</f>
        <v/>
      </c>
      <c r="G81" s="525">
        <f>G80+F81</f>
        <v/>
      </c>
      <c r="H81" s="525">
        <f>IF(B81="",DATEDIF(A81,$H$1,"d"),DATEDIF(A81,B81,"d"))</f>
        <v/>
      </c>
      <c r="I81" s="200">
        <f>IF(B81="",$C$1-A81,H81)</f>
        <v/>
      </c>
      <c r="J81" s="200" t="inlineStr">
        <is>
          <t>朋程</t>
        </is>
      </c>
      <c r="K81" s="200">
        <f>IF(F81&gt;0,(H81*$F81)/365.25,0)</f>
        <v/>
      </c>
      <c r="L81" s="200">
        <f>IF(F81&gt;0,(I81*$F81)/365.25,0)</f>
        <v/>
      </c>
      <c r="M81" s="200" t="inlineStr">
        <is>
          <t>現金股利</t>
        </is>
      </c>
      <c r="O81" s="123" t="n"/>
    </row>
    <row r="82" hidden="1" outlineLevel="1">
      <c r="A82" s="522" t="n">
        <v>43679</v>
      </c>
      <c r="B82" s="522" t="n"/>
      <c r="C82" s="196" t="n">
        <v>3360</v>
      </c>
      <c r="D82" s="523" t="n"/>
      <c r="E82" s="524">
        <f>E81+C82-D82</f>
        <v/>
      </c>
      <c r="F82" s="524">
        <f>C82</f>
        <v/>
      </c>
      <c r="G82" s="525">
        <f>G81+F82</f>
        <v/>
      </c>
      <c r="H82" s="525">
        <f>IF(B82="",DATEDIF(A82,$H$1,"d"),DATEDIF(A82,B82,"d"))</f>
        <v/>
      </c>
      <c r="I82" s="200">
        <f>IF(B82="",$C$1-A82,H82)</f>
        <v/>
      </c>
      <c r="J82" s="200" t="inlineStr">
        <is>
          <t>光隆</t>
        </is>
      </c>
      <c r="K82" s="200">
        <f>IF(F82&gt;0,(H82*$F82)/365.25,0)</f>
        <v/>
      </c>
      <c r="L82" s="200">
        <f>IF(F82&gt;0,(I82*$F82)/365.25,0)</f>
        <v/>
      </c>
      <c r="M82" s="200" t="inlineStr">
        <is>
          <t>現金股利</t>
        </is>
      </c>
      <c r="O82" s="123" t="n"/>
    </row>
    <row r="83" collapsed="1">
      <c r="A83" s="518" t="n">
        <v>43689</v>
      </c>
      <c r="B83" s="518" t="n"/>
      <c r="C83" s="148" t="n">
        <v>521</v>
      </c>
      <c r="D83" s="519" t="n"/>
      <c r="E83" s="520">
        <f>E82+C83-D83</f>
        <v/>
      </c>
      <c r="F83" s="520">
        <f>C83-D83</f>
        <v/>
      </c>
      <c r="G83" s="521">
        <f>G82+F83</f>
        <v/>
      </c>
      <c r="H83" s="521">
        <f>IF(B83="",DATEDIF(A83,$H$1,"d"),DATEDIF(A83,B83,"d"))</f>
        <v/>
      </c>
      <c r="I83" s="152">
        <f>IF(B83="",$C$1-A83,H83)</f>
        <v/>
      </c>
      <c r="J83" s="152" t="inlineStr">
        <is>
          <t>折讓入帳</t>
        </is>
      </c>
      <c r="K83" s="152">
        <f>IF(F83&gt;0,(H83*$F83)/365.25,0)</f>
        <v/>
      </c>
      <c r="L83" s="152">
        <f>IF(F83&gt;0,(I83*$F83)/365.25,0)</f>
        <v/>
      </c>
      <c r="M83" s="152" t="n"/>
    </row>
    <row r="84" hidden="1" outlineLevel="1">
      <c r="A84" s="508" t="n">
        <v>43740</v>
      </c>
      <c r="B84" s="508" t="n">
        <v>43742</v>
      </c>
      <c r="C84" s="123" t="n"/>
      <c r="D84" s="509" t="n">
        <v>120070</v>
      </c>
      <c r="E84" s="510">
        <f>E83+C84-D84</f>
        <v/>
      </c>
      <c r="F84" s="510">
        <f>-D84+C85</f>
        <v/>
      </c>
      <c r="G84" s="511">
        <f>G83+F84</f>
        <v/>
      </c>
      <c r="H84" s="511">
        <f>IF(B84="",DATEDIF(A84,$H$1,"d"),DATEDIF(A84,B84,"d"))</f>
        <v/>
      </c>
      <c r="I84">
        <f>IF(B84="",$C$1-A84,H84)</f>
        <v/>
      </c>
      <c r="J84" t="inlineStr">
        <is>
          <t>生展</t>
        </is>
      </c>
      <c r="K84">
        <f>IF(F84&gt;0,(H84*$F84)/365.25,0)</f>
        <v/>
      </c>
      <c r="L84">
        <f>IF(F84&gt;0,(I84*$F84)/365.25,0)</f>
        <v/>
      </c>
      <c r="M84" s="65" t="inlineStr">
        <is>
          <t>承銷申購</t>
        </is>
      </c>
    </row>
    <row r="85" hidden="1" outlineLevel="1">
      <c r="A85" s="508" t="n">
        <v>43742</v>
      </c>
      <c r="B85" s="508" t="n">
        <v>43742</v>
      </c>
      <c r="C85" s="123" t="n">
        <v>120050</v>
      </c>
      <c r="D85" s="509" t="n"/>
      <c r="E85" s="510">
        <f>E84+C85-D85</f>
        <v/>
      </c>
      <c r="F85" s="510" t="n"/>
      <c r="G85" s="511">
        <f>G84+F85</f>
        <v/>
      </c>
      <c r="H85" s="511">
        <f>IF(B85="",DATEDIF(A85,$H$1,"d"),DATEDIF(A85,B85,"d"))</f>
        <v/>
      </c>
      <c r="I85">
        <f>IF(B85="",$C$1-A85,H85)</f>
        <v/>
      </c>
      <c r="J85" t="inlineStr">
        <is>
          <t>生展</t>
        </is>
      </c>
      <c r="K85">
        <f>IF(F85&gt;0,(H85*$F85)/365.25,0)</f>
        <v/>
      </c>
      <c r="L85">
        <f>IF(F85&gt;0,(I85*$F85)/365.25,0)</f>
        <v/>
      </c>
      <c r="M85" s="65" t="n"/>
    </row>
    <row r="86" hidden="1" outlineLevel="1">
      <c r="A86" s="508" t="n">
        <v>43745</v>
      </c>
      <c r="B86" s="508" t="n">
        <v>43747</v>
      </c>
      <c r="C86" s="123" t="n"/>
      <c r="D86" s="509" t="n">
        <v>36070</v>
      </c>
      <c r="E86" s="510">
        <f>E85+C86-D86</f>
        <v/>
      </c>
      <c r="F86" s="510">
        <f>-D86+C87</f>
        <v/>
      </c>
      <c r="G86" s="511">
        <f>G85+F86</f>
        <v/>
      </c>
      <c r="H86" s="511">
        <f>IF(B86="",DATEDIF(A86,$H$1,"d"),DATEDIF(A86,B86,"d"))</f>
        <v/>
      </c>
      <c r="I86">
        <f>IF(B86="",$C$1-A86,H86)</f>
        <v/>
      </c>
      <c r="J86" t="inlineStr">
        <is>
          <t>上海商銀</t>
        </is>
      </c>
      <c r="K86">
        <f>IF(F86&gt;0,(H86*$F86)/365.25,0)</f>
        <v/>
      </c>
      <c r="L86">
        <f>IF(F86&gt;0,(I86*$F86)/365.25,0)</f>
        <v/>
      </c>
      <c r="M86" s="65" t="inlineStr">
        <is>
          <t>承銷申購</t>
        </is>
      </c>
    </row>
    <row r="87" hidden="1" outlineLevel="1">
      <c r="A87" s="508" t="n">
        <v>43747</v>
      </c>
      <c r="B87" s="508" t="n">
        <v>43747</v>
      </c>
      <c r="C87" s="123" t="n">
        <v>36050</v>
      </c>
      <c r="D87" s="509" t="n"/>
      <c r="E87" s="510">
        <f>E86+C87-D87</f>
        <v/>
      </c>
      <c r="F87" s="510" t="n"/>
      <c r="G87" s="511">
        <f>G86+F87</f>
        <v/>
      </c>
      <c r="H87" s="511">
        <f>IF(B87="",DATEDIF(A87,$H$1,"d"),DATEDIF(A87,B87,"d"))</f>
        <v/>
      </c>
      <c r="I87">
        <f>IF(B87="",$C$1-A87,H87)</f>
        <v/>
      </c>
      <c r="J87" t="inlineStr">
        <is>
          <t>上海商銀</t>
        </is>
      </c>
      <c r="K87">
        <f>IF(F87&gt;0,(H87*$F87)/365.25,0)</f>
        <v/>
      </c>
      <c r="L87">
        <f>IF(F87&gt;0,(I87*$F87)/365.25,0)</f>
        <v/>
      </c>
      <c r="M87" s="65" t="n"/>
    </row>
    <row r="88" hidden="1" outlineLevel="1">
      <c r="A88" s="508" t="n">
        <v>43753</v>
      </c>
      <c r="B88" s="508" t="n">
        <v>43755</v>
      </c>
      <c r="C88" s="123" t="n"/>
      <c r="D88" s="509" t="n">
        <v>16570</v>
      </c>
      <c r="E88" s="510">
        <f>E87+C88-D88</f>
        <v/>
      </c>
      <c r="F88" s="510">
        <f>-D88+C89</f>
        <v/>
      </c>
      <c r="G88" s="511">
        <f>G87+F88</f>
        <v/>
      </c>
      <c r="H88" s="511">
        <f>IF(B88="",DATEDIF(A88,$H$1,"d"),DATEDIF(A88,B88,"d"))</f>
        <v/>
      </c>
      <c r="I88">
        <f>IF(B88="",$C$1-A88,H88)</f>
        <v/>
      </c>
      <c r="J88" t="inlineStr">
        <is>
          <t>遠雄港</t>
        </is>
      </c>
      <c r="K88">
        <f>IF(F88&gt;0,(H88*$F88)/365.25,0)</f>
        <v/>
      </c>
      <c r="L88">
        <f>IF(F88&gt;0,(I88*$F88)/365.25,0)</f>
        <v/>
      </c>
      <c r="M88" s="65" t="inlineStr">
        <is>
          <t>承銷申購</t>
        </is>
      </c>
    </row>
    <row r="89" hidden="1" outlineLevel="1">
      <c r="A89" s="508" t="n">
        <v>43755</v>
      </c>
      <c r="B89" s="508" t="n">
        <v>43755</v>
      </c>
      <c r="C89" s="123" t="n">
        <v>16550</v>
      </c>
      <c r="D89" s="509" t="n"/>
      <c r="E89" s="510">
        <f>E88+C89-D89</f>
        <v/>
      </c>
      <c r="F89" s="510" t="n"/>
      <c r="G89" s="511">
        <f>G88+F89</f>
        <v/>
      </c>
      <c r="H89" s="511">
        <f>IF(B89="",DATEDIF(A89,$H$1,"d"),DATEDIF(A89,B89,"d"))</f>
        <v/>
      </c>
      <c r="I89">
        <f>IF(B89="",$C$1-A89,H89)</f>
        <v/>
      </c>
      <c r="J89" t="inlineStr">
        <is>
          <t>遠雄港</t>
        </is>
      </c>
      <c r="K89">
        <f>IF(F89&gt;0,(H89*$F89)/365.25,0)</f>
        <v/>
      </c>
      <c r="L89">
        <f>IF(F89&gt;0,(I89*$F89)/365.25,0)</f>
        <v/>
      </c>
      <c r="M89" s="65" t="n"/>
    </row>
    <row r="90" hidden="1" outlineLevel="1">
      <c r="A90" s="508" t="n">
        <v>43755</v>
      </c>
      <c r="B90" s="508" t="n">
        <v>43759</v>
      </c>
      <c r="C90" s="123" t="n"/>
      <c r="D90" s="509" t="n">
        <v>45070</v>
      </c>
      <c r="E90" s="510">
        <f>E89+C90-D90</f>
        <v/>
      </c>
      <c r="F90" s="510">
        <f>-D90+C91</f>
        <v/>
      </c>
      <c r="G90" s="511">
        <f>G89+F90</f>
        <v/>
      </c>
      <c r="H90" s="511">
        <f>IF(B90="",DATEDIF(A90,$H$1,"d"),DATEDIF(A90,B90,"d"))</f>
        <v/>
      </c>
      <c r="I90">
        <f>IF(B90="",$C$1-A90,H90)</f>
        <v/>
      </c>
      <c r="J90" t="inlineStr">
        <is>
          <t>新唐</t>
        </is>
      </c>
      <c r="K90">
        <f>IF(F90&gt;0,(H90*$F90)/365.25,0)</f>
        <v/>
      </c>
      <c r="L90">
        <f>IF(F90&gt;0,(I90*$F90)/365.25,0)</f>
        <v/>
      </c>
      <c r="M90" s="65" t="inlineStr">
        <is>
          <t>承銷申購</t>
        </is>
      </c>
    </row>
    <row r="91" hidden="1" outlineLevel="1">
      <c r="A91" s="508" t="n">
        <v>43759</v>
      </c>
      <c r="B91" s="508" t="n">
        <v>43759</v>
      </c>
      <c r="C91" s="123" t="n">
        <v>45050</v>
      </c>
      <c r="D91" s="509" t="n"/>
      <c r="E91" s="510">
        <f>E90+C91-D91</f>
        <v/>
      </c>
      <c r="F91" s="510" t="n"/>
      <c r="G91" s="511">
        <f>G90+F91</f>
        <v/>
      </c>
      <c r="H91" s="511">
        <f>IF(B91="",DATEDIF(A91,$H$1,"d"),DATEDIF(A91,B91,"d"))</f>
        <v/>
      </c>
      <c r="I91">
        <f>IF(B91="",$C$1-A91,H91)</f>
        <v/>
      </c>
      <c r="J91" t="inlineStr">
        <is>
          <t>新唐</t>
        </is>
      </c>
      <c r="K91">
        <f>IF(F91&gt;0,(H91*$F91)/365.25,0)</f>
        <v/>
      </c>
      <c r="L91">
        <f>IF(F91&gt;0,(I91*$F91)/365.25,0)</f>
        <v/>
      </c>
      <c r="M91" s="65" t="n"/>
    </row>
    <row r="92" hidden="1" outlineLevel="1">
      <c r="A92" s="508" t="n">
        <v>43808</v>
      </c>
      <c r="B92" s="508" t="n">
        <v>43810</v>
      </c>
      <c r="C92" s="123" t="n"/>
      <c r="D92" s="509" t="n">
        <v>26070</v>
      </c>
      <c r="E92" s="510">
        <f>E91+C92-D92</f>
        <v/>
      </c>
      <c r="F92" s="510">
        <f>-D92+C95</f>
        <v/>
      </c>
      <c r="G92" s="511">
        <f>G91+F92</f>
        <v/>
      </c>
      <c r="H92" s="511">
        <f>IF(B92="",DATEDIF(A92,$H$1,"d"),DATEDIF(A92,B92,"d"))</f>
        <v/>
      </c>
      <c r="I92">
        <f>IF(B92="",$C$1-A92,H92)</f>
        <v/>
      </c>
      <c r="J92" t="inlineStr">
        <is>
          <t>艾美特-KY</t>
        </is>
      </c>
      <c r="K92">
        <f>IF(F92&gt;0,(H92*$F92)/365.25,0)</f>
        <v/>
      </c>
      <c r="L92">
        <f>IF(F92&gt;0,(I92*$F92)/365.25,0)</f>
        <v/>
      </c>
      <c r="M92" s="65" t="inlineStr">
        <is>
          <t>承銷申購</t>
        </is>
      </c>
    </row>
    <row r="93" hidden="1" outlineLevel="1">
      <c r="A93" s="508" t="n">
        <v>43808</v>
      </c>
      <c r="B93" s="508" t="n">
        <v>43810</v>
      </c>
      <c r="C93" s="123" t="n"/>
      <c r="D93" s="509" t="n">
        <v>15070</v>
      </c>
      <c r="E93" s="510">
        <f>E92+C93-D93</f>
        <v/>
      </c>
      <c r="F93" s="510">
        <f>-D93+C96</f>
        <v/>
      </c>
      <c r="G93" s="511">
        <f>G92+F93</f>
        <v/>
      </c>
      <c r="H93" s="511">
        <f>IF(B93="",DATEDIF(A93,$H$1,"d"),DATEDIF(A93,B93,"d"))</f>
        <v/>
      </c>
      <c r="I93">
        <f>IF(B93="",$C$1-A93,H93)</f>
        <v/>
      </c>
      <c r="J93" t="inlineStr">
        <is>
          <t>鑫龍騰</t>
        </is>
      </c>
      <c r="K93">
        <f>IF(F93&gt;0,(H93*$F93)/365.25,0)</f>
        <v/>
      </c>
      <c r="L93">
        <f>IF(F93&gt;0,(I93*$F93)/365.25,0)</f>
        <v/>
      </c>
      <c r="M93" s="65" t="inlineStr">
        <is>
          <t>承銷申購</t>
        </is>
      </c>
    </row>
    <row r="94" hidden="1" outlineLevel="1">
      <c r="A94" s="508" t="n">
        <v>43809</v>
      </c>
      <c r="B94" s="508" t="n">
        <v>43811</v>
      </c>
      <c r="C94" s="123" t="n"/>
      <c r="D94" s="509" t="n">
        <v>100070</v>
      </c>
      <c r="E94" s="510">
        <f>E93+C94-D94</f>
        <v/>
      </c>
      <c r="F94" s="510">
        <f>-D94+C97</f>
        <v/>
      </c>
      <c r="G94" s="511">
        <f>G93+F94</f>
        <v/>
      </c>
      <c r="H94" s="511">
        <f>IF(B94="",DATEDIF(A94,$H$1,"d"),DATEDIF(A94,B94,"d"))</f>
        <v/>
      </c>
      <c r="I94">
        <f>IF(B94="",$C$1-A94,H94)</f>
        <v/>
      </c>
      <c r="J94" t="inlineStr">
        <is>
          <t>統新</t>
        </is>
      </c>
      <c r="K94">
        <f>IF(F94&gt;0,(H94*$F94)/365.25,0)</f>
        <v/>
      </c>
      <c r="L94">
        <f>IF(F94&gt;0,(I94*$F94)/365.25,0)</f>
        <v/>
      </c>
      <c r="M94" s="65" t="inlineStr">
        <is>
          <t>承銷申購</t>
        </is>
      </c>
    </row>
    <row r="95" hidden="1" outlineLevel="1">
      <c r="A95" s="508" t="n">
        <v>43810</v>
      </c>
      <c r="B95" s="508" t="n">
        <v>43810</v>
      </c>
      <c r="C95" s="123" t="n">
        <v>26050</v>
      </c>
      <c r="D95" s="509" t="n"/>
      <c r="E95" s="510">
        <f>E94+C95-D95</f>
        <v/>
      </c>
      <c r="F95" s="510" t="n"/>
      <c r="G95" s="511">
        <f>G94+F95</f>
        <v/>
      </c>
      <c r="H95" s="511">
        <f>IF(B95="",DATEDIF(A95,$H$1,"d"),DATEDIF(A95,B95,"d"))</f>
        <v/>
      </c>
      <c r="I95">
        <f>IF(B95="",$C$1-A95,H95)</f>
        <v/>
      </c>
      <c r="J95" t="inlineStr">
        <is>
          <t>艾美特-KY</t>
        </is>
      </c>
      <c r="K95">
        <f>IF(F95&gt;0,(H95*$F95)/365.25,0)</f>
        <v/>
      </c>
      <c r="L95">
        <f>IF(F95&gt;0,(I95*$F95)/365.25,0)</f>
        <v/>
      </c>
      <c r="M95" s="65" t="n"/>
    </row>
    <row r="96" hidden="1" outlineLevel="1">
      <c r="A96" s="508" t="n">
        <v>43810</v>
      </c>
      <c r="B96" s="508" t="n">
        <v>43810</v>
      </c>
      <c r="C96" s="123" t="n">
        <v>15050</v>
      </c>
      <c r="D96" s="509" t="n"/>
      <c r="E96" s="510">
        <f>E95+C96-D96</f>
        <v/>
      </c>
      <c r="F96" s="510" t="n"/>
      <c r="G96" s="511">
        <f>G95+F96</f>
        <v/>
      </c>
      <c r="H96" s="511">
        <f>IF(B96="",DATEDIF(A96,$H$1,"d"),DATEDIF(A96,B96,"d"))</f>
        <v/>
      </c>
      <c r="I96">
        <f>IF(B96="",$C$1-A96,H96)</f>
        <v/>
      </c>
      <c r="J96" t="inlineStr">
        <is>
          <t>鑫龍騰</t>
        </is>
      </c>
      <c r="K96">
        <f>IF(F96&gt;0,(H96*$F96)/365.25,0)</f>
        <v/>
      </c>
      <c r="L96">
        <f>IF(F96&gt;0,(I96*$F96)/365.25,0)</f>
        <v/>
      </c>
      <c r="M96" s="65" t="n"/>
    </row>
    <row r="97" hidden="1" outlineLevel="1">
      <c r="A97" s="508" t="n">
        <v>43811</v>
      </c>
      <c r="B97" s="508" t="n">
        <v>43811</v>
      </c>
      <c r="C97" s="123" t="n">
        <v>100050</v>
      </c>
      <c r="D97" s="509" t="n"/>
      <c r="E97" s="510">
        <f>E96+C97-D97</f>
        <v/>
      </c>
      <c r="F97" s="510" t="n"/>
      <c r="G97" s="511">
        <f>G96+F97</f>
        <v/>
      </c>
      <c r="H97" s="511">
        <f>IF(B97="",DATEDIF(A97,$H$1,"d"),DATEDIF(A97,B97,"d"))</f>
        <v/>
      </c>
      <c r="I97">
        <f>IF(B97="",$C$1-A97,H97)</f>
        <v/>
      </c>
      <c r="J97" t="inlineStr">
        <is>
          <t>統新</t>
        </is>
      </c>
      <c r="K97">
        <f>IF(F97&gt;0,(H97*$F97)/365.25,0)</f>
        <v/>
      </c>
      <c r="L97">
        <f>IF(F97&gt;0,(I97*$F97)/365.25,0)</f>
        <v/>
      </c>
      <c r="M97" s="65" t="n"/>
    </row>
    <row r="98" hidden="1" outlineLevel="1">
      <c r="A98" s="508" t="n">
        <v>43811</v>
      </c>
      <c r="B98" s="508" t="n">
        <v>43815</v>
      </c>
      <c r="C98" s="123" t="n"/>
      <c r="D98" s="509" t="n">
        <v>56070</v>
      </c>
      <c r="E98" s="510">
        <f>E97+C98-D98</f>
        <v/>
      </c>
      <c r="F98" s="510">
        <f>-D98+C100</f>
        <v/>
      </c>
      <c r="G98" s="511">
        <f>G97+F98</f>
        <v/>
      </c>
      <c r="H98" s="511">
        <f>IF(B98="",DATEDIF(A98,$H$1,"d"),DATEDIF(A98,B98,"d"))</f>
        <v/>
      </c>
      <c r="I98">
        <f>IF(B98="",$C$1-A98,H98)</f>
        <v/>
      </c>
      <c r="J98" t="inlineStr">
        <is>
          <t>惠特</t>
        </is>
      </c>
      <c r="K98">
        <f>IF(F98&gt;0,(H98*$F98)/365.25,0)</f>
        <v/>
      </c>
      <c r="L98">
        <f>IF(F98&gt;0,(I98*$F98)/365.25,0)</f>
        <v/>
      </c>
      <c r="M98" s="65" t="inlineStr">
        <is>
          <t>承銷申購</t>
        </is>
      </c>
    </row>
    <row r="99" hidden="1" outlineLevel="1">
      <c r="A99" s="508" t="n">
        <v>43811</v>
      </c>
      <c r="B99" s="508" t="n">
        <v>43815</v>
      </c>
      <c r="C99" s="123" t="n"/>
      <c r="D99" s="509" t="n">
        <v>14270</v>
      </c>
      <c r="E99" s="510">
        <f>E98+C99-D99</f>
        <v/>
      </c>
      <c r="F99" s="510">
        <f>-D99+C101</f>
        <v/>
      </c>
      <c r="G99" s="511">
        <f>G98+F99</f>
        <v/>
      </c>
      <c r="H99" s="511">
        <f>IF(B99="",DATEDIF(A99,$H$1,"d"),DATEDIF(A99,B99,"d"))</f>
        <v/>
      </c>
      <c r="I99">
        <f>IF(B99="",$C$1-A99,H99)</f>
        <v/>
      </c>
      <c r="J99" t="inlineStr">
        <is>
          <t>大世科</t>
        </is>
      </c>
      <c r="K99">
        <f>IF(F99&gt;0,(H99*$F99)/365.25,0)</f>
        <v/>
      </c>
      <c r="L99">
        <f>IF(F99&gt;0,(I99*$F99)/365.25,0)</f>
        <v/>
      </c>
      <c r="M99" s="65" t="inlineStr">
        <is>
          <t>承銷申購</t>
        </is>
      </c>
    </row>
    <row r="100" hidden="1" outlineLevel="1">
      <c r="A100" s="508" t="n">
        <v>43815</v>
      </c>
      <c r="B100" s="508" t="n">
        <v>43815</v>
      </c>
      <c r="C100" s="123" t="n">
        <v>56050</v>
      </c>
      <c r="D100" s="509" t="n"/>
      <c r="E100" s="510">
        <f>E99+C100-D100</f>
        <v/>
      </c>
      <c r="F100" s="510" t="n"/>
      <c r="G100" s="511">
        <f>G99+F100</f>
        <v/>
      </c>
      <c r="H100" s="511">
        <f>IF(B100="",DATEDIF(A100,$H$1,"d"),DATEDIF(A100,B100,"d"))</f>
        <v/>
      </c>
      <c r="I100">
        <f>IF(B100="",$C$1-A100,H100)</f>
        <v/>
      </c>
      <c r="J100" t="inlineStr">
        <is>
          <t>惠特</t>
        </is>
      </c>
      <c r="K100">
        <f>IF(F100&gt;0,(H100*$F100)/365.25,0)</f>
        <v/>
      </c>
      <c r="L100">
        <f>IF(F100&gt;0,(I100*$F100)/365.25,0)</f>
        <v/>
      </c>
      <c r="M100" s="65" t="n"/>
    </row>
    <row r="101" hidden="1" outlineLevel="1">
      <c r="A101" s="508" t="n">
        <v>43815</v>
      </c>
      <c r="B101" s="508" t="n">
        <v>43815</v>
      </c>
      <c r="C101" s="123" t="n">
        <v>14250</v>
      </c>
      <c r="D101" s="509" t="n"/>
      <c r="E101" s="510">
        <f>E100+C101-D101</f>
        <v/>
      </c>
      <c r="F101" s="510" t="n"/>
      <c r="G101" s="511">
        <f>G100+F101</f>
        <v/>
      </c>
      <c r="H101" s="511">
        <f>IF(B101="",DATEDIF(A101,$H$1,"d"),DATEDIF(A101,B101,"d"))</f>
        <v/>
      </c>
      <c r="I101">
        <f>IF(B101="",$C$1-A101,H101)</f>
        <v/>
      </c>
      <c r="J101" t="inlineStr">
        <is>
          <t>大世科</t>
        </is>
      </c>
      <c r="K101">
        <f>IF(F101&gt;0,(H101*$F101)/365.25,0)</f>
        <v/>
      </c>
      <c r="L101">
        <f>IF(F101&gt;0,(I101*$F101)/365.25,0)</f>
        <v/>
      </c>
      <c r="M101" s="65" t="n"/>
    </row>
    <row r="102" hidden="1" outlineLevel="1">
      <c r="A102" s="508" t="n">
        <v>43818</v>
      </c>
      <c r="B102" s="508" t="n">
        <v>43822</v>
      </c>
      <c r="C102" s="123" t="n"/>
      <c r="D102" s="509" t="n">
        <v>42670</v>
      </c>
      <c r="E102" s="510">
        <f>E101+C102-D102</f>
        <v/>
      </c>
      <c r="F102" s="510">
        <f>-D102+C105</f>
        <v/>
      </c>
      <c r="G102" s="511">
        <f>G101+F102</f>
        <v/>
      </c>
      <c r="H102" s="511">
        <f>IF(B102="",DATEDIF(A102,$H$1,"d"),DATEDIF(A102,B102,"d"))</f>
        <v/>
      </c>
      <c r="I102">
        <f>IF(B102="",$C$1-A102,H102)</f>
        <v/>
      </c>
      <c r="J102" t="inlineStr">
        <is>
          <t>東捷資訊</t>
        </is>
      </c>
      <c r="K102">
        <f>IF(F102&gt;0,(H102*$F102)/365.25,0)</f>
        <v/>
      </c>
      <c r="L102">
        <f>IF(F102&gt;0,(I102*$F102)/365.25,0)</f>
        <v/>
      </c>
      <c r="M102" s="65" t="inlineStr">
        <is>
          <t>承銷申購</t>
        </is>
      </c>
    </row>
    <row r="103" hidden="1" outlineLevel="1">
      <c r="A103" s="508" t="n">
        <v>43819</v>
      </c>
      <c r="B103" s="508" t="n">
        <v>43823</v>
      </c>
      <c r="C103" s="123" t="n"/>
      <c r="D103" s="509" t="n">
        <v>20460</v>
      </c>
      <c r="E103" s="510">
        <f>E102+C103-D103</f>
        <v/>
      </c>
      <c r="F103" s="510">
        <f>-D103+C106</f>
        <v/>
      </c>
      <c r="G103" s="511">
        <f>G102+F103</f>
        <v/>
      </c>
      <c r="H103" s="511">
        <f>IF(B103="",DATEDIF(A103,$H$1,"d"),DATEDIF(A103,B103,"d"))</f>
        <v/>
      </c>
      <c r="I103">
        <f>IF(B103="",$C$1-A103,H103)</f>
        <v/>
      </c>
      <c r="J103" t="inlineStr">
        <is>
          <t>華星光</t>
        </is>
      </c>
      <c r="K103">
        <f>IF(F103&gt;0,(H103*$F103)/365.25,0)</f>
        <v/>
      </c>
      <c r="L103">
        <f>IF(F103&gt;0,(I103*$F103)/365.25,0)</f>
        <v/>
      </c>
      <c r="M103" s="65" t="inlineStr">
        <is>
          <t>承銷申購</t>
        </is>
      </c>
    </row>
    <row r="104" hidden="1" outlineLevel="1">
      <c r="A104" s="513" t="n">
        <v>43820</v>
      </c>
      <c r="B104" s="513" t="n"/>
      <c r="C104" s="154" t="n">
        <v>366</v>
      </c>
      <c r="D104" s="514" t="n"/>
      <c r="E104" s="515">
        <f>E103+C104-D104</f>
        <v/>
      </c>
      <c r="F104" s="515">
        <f>C104-D104</f>
        <v/>
      </c>
      <c r="G104" s="516">
        <f>G103+F104</f>
        <v/>
      </c>
      <c r="H104" s="516">
        <f>IF(B104="",DATEDIF(A104,$H$1,"d"),DATEDIF(A104,B104,"d"))</f>
        <v/>
      </c>
      <c r="I104" s="158">
        <f>IF(B104="",$C$1-A104,H104)</f>
        <v/>
      </c>
      <c r="J104" s="158" t="inlineStr">
        <is>
          <t>利息</t>
        </is>
      </c>
      <c r="K104" s="158">
        <f>IF(F104&gt;0,(H104*$F104)/365.25,0)</f>
        <v/>
      </c>
      <c r="L104" s="158">
        <f>IF(F104&gt;0,(I104*$F104)/365.25,0)</f>
        <v/>
      </c>
      <c r="M104" s="159" t="n"/>
    </row>
    <row r="105" hidden="1" outlineLevel="1">
      <c r="A105" s="508" t="n">
        <v>43822</v>
      </c>
      <c r="B105" s="508" t="n">
        <v>43822</v>
      </c>
      <c r="C105" s="123" t="n">
        <v>42650</v>
      </c>
      <c r="D105" s="509" t="n"/>
      <c r="E105" s="510">
        <f>E104+C105-D105</f>
        <v/>
      </c>
      <c r="F105" s="510" t="n"/>
      <c r="G105" s="511">
        <f>G104+F105</f>
        <v/>
      </c>
      <c r="H105" s="511">
        <f>IF(B105="",DATEDIF(A105,$H$1,"d"),DATEDIF(A105,B105,"d"))</f>
        <v/>
      </c>
      <c r="I105">
        <f>IF(B105="",$C$1-A105,H105)</f>
        <v/>
      </c>
      <c r="J105" t="inlineStr">
        <is>
          <t>東捷資訊</t>
        </is>
      </c>
      <c r="K105">
        <f>IF(F105&gt;0,(H105*$F105)/365.25,0)</f>
        <v/>
      </c>
      <c r="L105">
        <f>IF(F105&gt;0,(I105*$F105)/365.25,0)</f>
        <v/>
      </c>
      <c r="M105" s="65" t="n"/>
    </row>
    <row r="106" hidden="1" outlineLevel="1">
      <c r="A106" s="508" t="n">
        <v>43823</v>
      </c>
      <c r="B106" s="508" t="n">
        <v>43823</v>
      </c>
      <c r="C106" s="123" t="n">
        <v>20440</v>
      </c>
      <c r="D106" s="509" t="n"/>
      <c r="E106" s="510">
        <f>E105+C106-D106</f>
        <v/>
      </c>
      <c r="F106" s="510" t="n"/>
      <c r="G106" s="511">
        <f>G105+F106</f>
        <v/>
      </c>
      <c r="H106" s="511">
        <f>IF(B106="",DATEDIF(A106,$H$1,"d"),DATEDIF(A106,B106,"d"))</f>
        <v/>
      </c>
      <c r="I106">
        <f>IF(B106="",$C$1-A106,H106)</f>
        <v/>
      </c>
      <c r="J106" t="inlineStr">
        <is>
          <t>華星光</t>
        </is>
      </c>
      <c r="K106">
        <f>IF(F106&gt;0,(H106*$F106)/365.25,0)</f>
        <v/>
      </c>
      <c r="L106">
        <f>IF(F106&gt;0,(I106*$F106)/365.25,0)</f>
        <v/>
      </c>
      <c r="M106" s="65" t="n"/>
    </row>
    <row r="107" hidden="1" outlineLevel="1">
      <c r="A107" s="508" t="n">
        <v>43826</v>
      </c>
      <c r="B107" s="508" t="n">
        <v>43830</v>
      </c>
      <c r="C107" s="123" t="n"/>
      <c r="D107" s="509" t="n">
        <v>110070</v>
      </c>
      <c r="E107" s="510">
        <f>E106+C107-D107</f>
        <v/>
      </c>
      <c r="F107" s="510">
        <f>-D107+C109</f>
        <v/>
      </c>
      <c r="G107" s="511">
        <f>G106+F107</f>
        <v/>
      </c>
      <c r="H107" s="511">
        <f>IF(B107="",DATEDIF(A107,$H$1,"d"),DATEDIF(A107,B107,"d"))</f>
        <v/>
      </c>
      <c r="I107">
        <f>IF(B107="",$C$1-A107,H107)</f>
        <v/>
      </c>
      <c r="J107" t="inlineStr">
        <is>
          <t>家登</t>
        </is>
      </c>
      <c r="K107">
        <f>IF(F107&gt;0,(H107*$F107)/365.25,0)</f>
        <v/>
      </c>
      <c r="L107">
        <f>IF(F107&gt;0,(I107*$F107)/365.25,0)</f>
        <v/>
      </c>
      <c r="M107" s="65" t="inlineStr">
        <is>
          <t>承銷申購</t>
        </is>
      </c>
    </row>
    <row r="108" hidden="1" outlineLevel="1">
      <c r="A108" s="508" t="n">
        <v>43826</v>
      </c>
      <c r="B108" s="508" t="n">
        <v>43830</v>
      </c>
      <c r="C108" s="123" t="n"/>
      <c r="D108" s="509" t="n">
        <v>78070</v>
      </c>
      <c r="E108" s="510">
        <f>E107+C108-D108</f>
        <v/>
      </c>
      <c r="F108" s="510">
        <f>-D108+C110</f>
        <v/>
      </c>
      <c r="G108" s="511">
        <f>G107+F108</f>
        <v/>
      </c>
      <c r="H108" s="511">
        <f>IF(B108="",DATEDIF(A108,$H$1,"d"),DATEDIF(A108,B108,"d"))</f>
        <v/>
      </c>
      <c r="I108">
        <f>IF(B108="",$C$1-A108,H108)</f>
        <v/>
      </c>
      <c r="J108" t="inlineStr">
        <is>
          <t>捷流閥業</t>
        </is>
      </c>
      <c r="K108">
        <f>IF(F108&gt;0,(H108*$F108)/365.25,0)</f>
        <v/>
      </c>
      <c r="L108">
        <f>IF(F108&gt;0,(I108*$F108)/365.25,0)</f>
        <v/>
      </c>
      <c r="M108" s="65" t="inlineStr">
        <is>
          <t>承銷申購</t>
        </is>
      </c>
    </row>
    <row r="109" hidden="1" outlineLevel="1">
      <c r="A109" s="508" t="n">
        <v>43830</v>
      </c>
      <c r="B109" s="508" t="n">
        <v>43830</v>
      </c>
      <c r="C109" s="123" t="n">
        <v>110050</v>
      </c>
      <c r="D109" s="509" t="n"/>
      <c r="E109" s="510">
        <f>E108+C109-D109</f>
        <v/>
      </c>
      <c r="F109" s="510" t="n"/>
      <c r="G109" s="511">
        <f>G108+F109</f>
        <v/>
      </c>
      <c r="H109" s="511">
        <f>IF(B109="",DATEDIF(A109,$H$1,"d"),DATEDIF(A109,B109,"d"))</f>
        <v/>
      </c>
      <c r="I109">
        <f>IF(B109="",$C$1-A109,H109)</f>
        <v/>
      </c>
      <c r="J109" t="inlineStr">
        <is>
          <t>家登</t>
        </is>
      </c>
      <c r="K109">
        <f>IF(F109&gt;0,(H109*$F109)/365.25,0)</f>
        <v/>
      </c>
      <c r="L109">
        <f>IF(F109&gt;0,(I109*$F109)/365.25,0)</f>
        <v/>
      </c>
      <c r="M109" s="65" t="n"/>
    </row>
    <row r="110" ht="17.25" customHeight="1" thickBot="1">
      <c r="A110" s="508" t="n">
        <v>43830</v>
      </c>
      <c r="B110" s="508" t="n">
        <v>43830</v>
      </c>
      <c r="C110" s="123" t="n">
        <v>78050</v>
      </c>
      <c r="D110" s="509" t="n"/>
      <c r="E110" s="510">
        <f>E109+C110-D110</f>
        <v/>
      </c>
      <c r="F110" s="510" t="n"/>
      <c r="G110" s="511">
        <f>G109+F110</f>
        <v/>
      </c>
      <c r="H110" s="511">
        <f>IF(B110="",DATEDIF(A110,$H$1,"d"),DATEDIF(A110,B110,"d"))</f>
        <v/>
      </c>
      <c r="I110">
        <f>IF(B110="",$C$1-A110,H110)</f>
        <v/>
      </c>
      <c r="J110" t="inlineStr">
        <is>
          <t>捷流閥業</t>
        </is>
      </c>
      <c r="K110">
        <f>IF(F110&gt;0,(H110*$F110)/365.25,0)</f>
        <v/>
      </c>
      <c r="L110">
        <f>IF(F110&gt;0,(I110*$F110)/365.25,0)</f>
        <v/>
      </c>
      <c r="M110" s="65" t="n"/>
    </row>
    <row r="111">
      <c r="A111" s="508" t="n">
        <v>43839</v>
      </c>
      <c r="B111" s="66" t="n"/>
      <c r="C111" s="526" t="n"/>
      <c r="D111" s="509" t="n">
        <v>20</v>
      </c>
      <c r="E111" s="510">
        <f>E110+C111-D111</f>
        <v/>
      </c>
      <c r="F111" s="510">
        <f>C111-D111</f>
        <v/>
      </c>
      <c r="G111" s="511">
        <f>G110+F111</f>
        <v/>
      </c>
      <c r="H111" s="511">
        <f>IF(B111="",DATEDIF(A111,$G$1,"d"),DATEDIF(A111,B111,"d"))</f>
        <v/>
      </c>
      <c r="I111">
        <f>IF(B111="",$C$1-A111,H111)</f>
        <v/>
      </c>
      <c r="J111" t="inlineStr">
        <is>
          <t>佳醫</t>
        </is>
      </c>
      <c r="K111">
        <f>IF(F111&gt;0,(H111*$F111)/365.25,0)</f>
        <v/>
      </c>
      <c r="L111">
        <f>IF(F111&gt;0,(I111*$F111)/365.25,0)</f>
        <v/>
      </c>
      <c r="M111" s="65" t="n"/>
      <c r="N111" s="217" t="inlineStr">
        <is>
          <t>2020 Total</t>
        </is>
      </c>
      <c r="O111" s="512">
        <f>SUM(D111:D196)</f>
        <v/>
      </c>
    </row>
    <row r="112" collapsed="1" ht="17.25" customHeight="1" thickBot="1">
      <c r="A112" s="508" t="n">
        <v>43839</v>
      </c>
      <c r="B112" s="508" t="n">
        <v>43843</v>
      </c>
      <c r="C112" s="123" t="n"/>
      <c r="D112" s="509" t="n">
        <v>20</v>
      </c>
      <c r="E112" s="510">
        <f>E111+C112-D112</f>
        <v/>
      </c>
      <c r="F112" s="510">
        <f>C112-D112</f>
        <v/>
      </c>
      <c r="G112" s="511">
        <f>G111+F112</f>
        <v/>
      </c>
      <c r="H112" s="511">
        <f>IF(B112="",DATEDIF(A112,$G$1,"d"),DATEDIF(A112,B112,"d"))</f>
        <v/>
      </c>
      <c r="I112">
        <f>IF(B112="",$C$1-A112,H112)</f>
        <v/>
      </c>
      <c r="J112" t="inlineStr">
        <is>
          <t>上凡</t>
        </is>
      </c>
      <c r="K112">
        <f>IF(F112&gt;0,(H112*$F112)/365.25,0)</f>
        <v/>
      </c>
      <c r="L112">
        <f>IF(F112&gt;0,(I112*$F112)/365.25,0)</f>
        <v/>
      </c>
      <c r="M112" s="65" t="inlineStr">
        <is>
          <t>股票申購</t>
        </is>
      </c>
      <c r="N112" s="215" t="inlineStr">
        <is>
          <t>2020 Total Avg</t>
        </is>
      </c>
      <c r="O112" s="517">
        <f>(SUMPRODUCT(C111:C196,I111:I196)+SUMPRODUCT(D111:D196,I111:I196))/($C$1-$A$111)</f>
        <v/>
      </c>
    </row>
    <row r="113" hidden="1" outlineLevel="1">
      <c r="A113" s="508" t="n">
        <v>43959</v>
      </c>
      <c r="B113" s="508" t="n">
        <v>43963</v>
      </c>
      <c r="C113" s="123" t="n"/>
      <c r="D113" s="509" t="n">
        <v>20</v>
      </c>
      <c r="E113" s="510">
        <f>E112+C113-D113</f>
        <v/>
      </c>
      <c r="F113" s="510">
        <f>C113-D113</f>
        <v/>
      </c>
      <c r="G113" s="511">
        <f>G112+F113</f>
        <v/>
      </c>
      <c r="H113" s="511">
        <f>IF(B113="",DATEDIF(A113,$G$1,"d"),DATEDIF(A113,B113,"d"))</f>
        <v/>
      </c>
      <c r="I113">
        <f>IF(B113="",$C$1-A113,H113)</f>
        <v/>
      </c>
      <c r="J113" s="65" t="inlineStr">
        <is>
          <t>牧德</t>
        </is>
      </c>
      <c r="K113">
        <f>IF(F113&gt;0,(H113*$F113)/365.25,0)</f>
        <v/>
      </c>
      <c r="L113">
        <f>IF(F113&gt;0,(I113*$F113)/365.25,0)</f>
        <v/>
      </c>
      <c r="M113" s="65" t="inlineStr">
        <is>
          <t>股票申購</t>
        </is>
      </c>
    </row>
    <row r="114" hidden="1" outlineLevel="1">
      <c r="A114" s="508" t="n">
        <v>43962</v>
      </c>
      <c r="B114" s="508" t="n">
        <v>43966</v>
      </c>
      <c r="C114" s="123" t="n"/>
      <c r="D114" s="509" t="n">
        <v>20</v>
      </c>
      <c r="E114" s="510">
        <f>E113+C114-D114</f>
        <v/>
      </c>
      <c r="F114" s="510">
        <f>C114-D114</f>
        <v/>
      </c>
      <c r="G114" s="511">
        <f>G113+F114</f>
        <v/>
      </c>
      <c r="H114" s="511">
        <f>IF(B114="",DATEDIF(A114,$G$1,"d"),DATEDIF(A114,B114,"d"))</f>
        <v/>
      </c>
      <c r="I114">
        <f>IF(B114="",$C$1-A114,H114)</f>
        <v/>
      </c>
      <c r="J114" s="65" t="inlineStr">
        <is>
          <t>三竹</t>
        </is>
      </c>
      <c r="K114">
        <f>IF(F114&gt;0,(H114*$F114)/365.25,0)</f>
        <v/>
      </c>
      <c r="L114">
        <f>IF(F114&gt;0,(I114*$F114)/365.25,0)</f>
        <v/>
      </c>
      <c r="M114" s="65" t="inlineStr">
        <is>
          <t>股票申購</t>
        </is>
      </c>
    </row>
    <row r="115" hidden="1" outlineLevel="1">
      <c r="A115" s="508" t="n">
        <v>43994</v>
      </c>
      <c r="B115" s="508" t="n">
        <v>43998</v>
      </c>
      <c r="C115" s="123" t="n"/>
      <c r="D115" s="509" t="n">
        <v>20</v>
      </c>
      <c r="E115" s="510">
        <f>E114+C115-D115</f>
        <v/>
      </c>
      <c r="F115" s="510">
        <f>C115-D115</f>
        <v/>
      </c>
      <c r="G115" s="511">
        <f>G114+F115</f>
        <v/>
      </c>
      <c r="H115" s="511">
        <f>IF(B115="",DATEDIF(A115,$G$1,"d"),DATEDIF(A115,B115,"d"))</f>
        <v/>
      </c>
      <c r="I115">
        <f>IF(B115="",$C$1-A115,H115)</f>
        <v/>
      </c>
      <c r="J115" s="65" t="inlineStr">
        <is>
          <t>定穎</t>
        </is>
      </c>
      <c r="K115">
        <f>IF(F115&gt;0,(H115*$F115)/365.25,0)</f>
        <v/>
      </c>
      <c r="L115">
        <f>IF(F115&gt;0,(I115*$F115)/365.25,0)</f>
        <v/>
      </c>
      <c r="M115" s="65" t="inlineStr">
        <is>
          <t>股票申購</t>
        </is>
      </c>
    </row>
    <row r="116" hidden="1" outlineLevel="1" customFormat="1" s="65">
      <c r="A116" s="513" t="n">
        <v>44003</v>
      </c>
      <c r="B116" s="513" t="n"/>
      <c r="C116" s="154" t="n">
        <v>292</v>
      </c>
      <c r="D116" s="514" t="n"/>
      <c r="E116" s="515">
        <f>E115+C116-D116</f>
        <v/>
      </c>
      <c r="F116" s="515">
        <f>C116-D116</f>
        <v/>
      </c>
      <c r="G116" s="516">
        <f>G115+F116</f>
        <v/>
      </c>
      <c r="H116" s="516">
        <f>IF(B116="",DATEDIF(A116,$G$1,"d"),DATEDIF(A116,B116,"d"))</f>
        <v/>
      </c>
      <c r="I116" s="158">
        <f>IF(B116="",$C$1-A116,H116)</f>
        <v/>
      </c>
      <c r="J116" s="158" t="inlineStr">
        <is>
          <t>利息</t>
        </is>
      </c>
      <c r="K116" s="158">
        <f>IF(F116&gt;0,(H116*$F116)/365.25,0)</f>
        <v/>
      </c>
      <c r="L116" s="158">
        <f>IF(F116&gt;0,(I116*$F116)/365.25,0)</f>
        <v/>
      </c>
      <c r="M116" s="159" t="n"/>
    </row>
    <row r="117" hidden="1" outlineLevel="1" customFormat="1" s="65">
      <c r="A117" s="508" t="n">
        <v>44006</v>
      </c>
      <c r="B117" s="508" t="n">
        <v>44042</v>
      </c>
      <c r="C117" s="123" t="n"/>
      <c r="D117" s="509" t="n">
        <v>39806</v>
      </c>
      <c r="E117" s="510">
        <f>E116+C117-D117</f>
        <v/>
      </c>
      <c r="F117" s="510">
        <f>-D117+C124</f>
        <v/>
      </c>
      <c r="G117" s="511">
        <f>G116+F117</f>
        <v/>
      </c>
      <c r="H117" s="511">
        <f>IF(B117="",DATEDIF(A117,$G$1,"d"),DATEDIF(A117,B117,"d"))</f>
        <v/>
      </c>
      <c r="I117">
        <f>IF(B117="",$C$1-A117,H117)</f>
        <v/>
      </c>
      <c r="J117" s="65" t="inlineStr">
        <is>
          <t>東陽</t>
        </is>
      </c>
      <c r="K117">
        <f>IF(F117&gt;0,(H117*$F117)/365.25,0)</f>
        <v/>
      </c>
      <c r="L117">
        <f>IF(F117&gt;0,(I117*$F117)/365.25,0)</f>
        <v/>
      </c>
    </row>
    <row r="118" collapsed="1" customFormat="1" s="65">
      <c r="A118" s="508" t="n">
        <v>44007</v>
      </c>
      <c r="B118" s="508" t="n">
        <v>44071</v>
      </c>
      <c r="C118" s="123" t="n"/>
      <c r="D118" s="509" t="n">
        <v>246851</v>
      </c>
      <c r="E118" s="510">
        <f>E117+C118-D118</f>
        <v/>
      </c>
      <c r="F118" s="510">
        <f>-D118+C131</f>
        <v/>
      </c>
      <c r="G118" s="511">
        <f>G117+F118</f>
        <v/>
      </c>
      <c r="H118" s="511">
        <f>IF(B118="",DATEDIF(A118,$G$1,"d"),DATEDIF(A118,B118,"d"))</f>
        <v/>
      </c>
      <c r="I118">
        <f>IF(B118="",$C$1-A118,H118)</f>
        <v/>
      </c>
      <c r="J118" s="65" t="inlineStr">
        <is>
          <t>華碩</t>
        </is>
      </c>
      <c r="K118">
        <f>IF(F118&gt;0,(H118*$F118)/365.25,0)</f>
        <v/>
      </c>
      <c r="L118">
        <f>IF(F118&gt;0,(I118*$F118)/365.25,0)</f>
        <v/>
      </c>
    </row>
    <row r="119" hidden="1" outlineLevel="1" customFormat="1" s="65">
      <c r="A119" s="508" t="n">
        <v>44017</v>
      </c>
      <c r="B119" s="508" t="n">
        <v>44027</v>
      </c>
      <c r="C119" s="123" t="n"/>
      <c r="D119" s="509" t="n">
        <v>49118</v>
      </c>
      <c r="E119" s="510">
        <f>E118+C119-D119</f>
        <v/>
      </c>
      <c r="F119" s="510">
        <f>-D119+C121</f>
        <v/>
      </c>
      <c r="G119" s="511">
        <f>G118+F119</f>
        <v/>
      </c>
      <c r="H119" s="511">
        <f>IF(B119="",DATEDIF(A119,$G$1,"d"),DATEDIF(A119,B119,"d"))</f>
        <v/>
      </c>
      <c r="I119">
        <f>IF(B119="",$C$1-A119,H119)</f>
        <v/>
      </c>
      <c r="J119" s="65" t="inlineStr">
        <is>
          <t>全台</t>
        </is>
      </c>
      <c r="K119">
        <f>IF(F119&gt;0,(H119*$F119)/365.25,0)</f>
        <v/>
      </c>
      <c r="L119">
        <f>IF(F119&gt;0,(I119*$F119)/365.25,0)</f>
        <v/>
      </c>
    </row>
    <row r="120" hidden="1" outlineLevel="1" customFormat="1" s="65">
      <c r="A120" s="518" t="n">
        <v>44022</v>
      </c>
      <c r="B120" s="518" t="n"/>
      <c r="C120" s="148" t="n">
        <v>162</v>
      </c>
      <c r="D120" s="519" t="n"/>
      <c r="E120" s="520">
        <f>E119+C120-D120</f>
        <v/>
      </c>
      <c r="F120" s="520">
        <f>C120-D120</f>
        <v/>
      </c>
      <c r="G120" s="521">
        <f>G119+F120</f>
        <v/>
      </c>
      <c r="H120" s="521">
        <f>IF(B120="",DATEDIF(A120,$G$1,"d"),DATEDIF(A120,B120,"d"))</f>
        <v/>
      </c>
      <c r="I120" s="152">
        <f>IF(B120="",$C$1-A120,H120)</f>
        <v/>
      </c>
      <c r="J120" s="152" t="inlineStr">
        <is>
          <t>折讓入帳</t>
        </is>
      </c>
      <c r="K120" s="152">
        <f>IF(F120&gt;0,(H120*$F120)/365.25,0)</f>
        <v/>
      </c>
      <c r="L120" s="152">
        <f>IF(F120&gt;0,(I120*$F120)/365.25,0)</f>
        <v/>
      </c>
      <c r="M120" s="152" t="n"/>
    </row>
    <row r="121" hidden="1" outlineLevel="1" customFormat="1" s="65">
      <c r="A121" s="508" t="n">
        <v>44027</v>
      </c>
      <c r="B121" s="508" t="n">
        <v>44027</v>
      </c>
      <c r="C121" s="123" t="n">
        <v>39127</v>
      </c>
      <c r="D121" s="509" t="n"/>
      <c r="E121" s="510">
        <f>E120+C121-D121</f>
        <v/>
      </c>
      <c r="F121" s="510" t="n"/>
      <c r="G121" s="511">
        <f>G120+F121</f>
        <v/>
      </c>
      <c r="H121" s="511">
        <f>IF(B121="",DATEDIF(A121,$G$1,"d"),DATEDIF(A121,B121,"d"))</f>
        <v/>
      </c>
      <c r="I121">
        <f>IF(B121="",$C$1-A121,H121)</f>
        <v/>
      </c>
      <c r="J121" s="65" t="inlineStr">
        <is>
          <t>全台</t>
        </is>
      </c>
      <c r="K121">
        <f>IF(F121&gt;0,(H121*$F121)/365.25,0)</f>
        <v/>
      </c>
      <c r="L121">
        <f>IF(F121&gt;0,(I121*$F121)/365.25,0)</f>
        <v/>
      </c>
    </row>
    <row r="122" hidden="1" outlineLevel="1" customFormat="1" s="65">
      <c r="A122" s="522" t="n">
        <v>44029</v>
      </c>
      <c r="B122" s="522" t="n">
        <v>44029</v>
      </c>
      <c r="C122" s="196" t="n">
        <v>1790</v>
      </c>
      <c r="D122" s="523" t="n"/>
      <c r="E122" s="524">
        <f>E121+C122-D122</f>
        <v/>
      </c>
      <c r="F122" s="524">
        <f>C122</f>
        <v/>
      </c>
      <c r="G122" s="525">
        <f>G121+C122-D122</f>
        <v/>
      </c>
      <c r="H122" s="525">
        <f>IF(B122="",DATEDIF(A122,$G$1,"d"),DATEDIF(A122,B122,"d"))</f>
        <v/>
      </c>
      <c r="I122" s="200">
        <f>IF(B122="",$C$1-A122,H122)</f>
        <v/>
      </c>
      <c r="J122" s="200" t="inlineStr">
        <is>
          <t>東陽現金股</t>
        </is>
      </c>
      <c r="K122" s="200">
        <f>(H122*$C122)/365.25</f>
        <v/>
      </c>
      <c r="L122" s="200">
        <f>(I122*$C122)/365.25</f>
        <v/>
      </c>
      <c r="M122" s="200" t="inlineStr">
        <is>
          <t>現金股利</t>
        </is>
      </c>
    </row>
    <row r="123" hidden="1" outlineLevel="1" customFormat="1" s="65">
      <c r="A123" s="522" t="n">
        <v>44035</v>
      </c>
      <c r="B123" s="522" t="n">
        <v>44035</v>
      </c>
      <c r="C123" s="196" t="n">
        <v>13990</v>
      </c>
      <c r="D123" s="523" t="n"/>
      <c r="E123" s="524">
        <f>E122+C123-D123</f>
        <v/>
      </c>
      <c r="F123" s="524">
        <f>C123</f>
        <v/>
      </c>
      <c r="G123" s="525">
        <f>G122+C123-D123</f>
        <v/>
      </c>
      <c r="H123" s="525">
        <f>IF(B123="",DATEDIF(A123,$G$1,"d"),DATEDIF(A123,B123,"d"))</f>
        <v/>
      </c>
      <c r="I123" s="200">
        <f>IF(B123="",$C$1-A123,H123)</f>
        <v/>
      </c>
      <c r="J123" s="200" t="inlineStr">
        <is>
          <t>華碩電腦現金股</t>
        </is>
      </c>
      <c r="K123" s="200">
        <f>(H123*$C123)/365.25</f>
        <v/>
      </c>
      <c r="L123" s="200">
        <f>(I123*$C123)/365.25</f>
        <v/>
      </c>
      <c r="M123" s="200" t="inlineStr">
        <is>
          <t>現金股利</t>
        </is>
      </c>
    </row>
    <row r="124" hidden="1" outlineLevel="1" customFormat="1" s="65">
      <c r="A124" s="508" t="n">
        <v>44042</v>
      </c>
      <c r="B124" s="508" t="n">
        <v>44042</v>
      </c>
      <c r="C124" s="123" t="n">
        <v>34050</v>
      </c>
      <c r="D124" s="509" t="n"/>
      <c r="E124" s="510">
        <f>E123+C124-D124</f>
        <v/>
      </c>
      <c r="F124" s="510" t="n"/>
      <c r="G124" s="511">
        <f>G123+F124</f>
        <v/>
      </c>
      <c r="H124" s="511">
        <f>IF(B124="",DATEDIF(A124,$G$1,"d"),DATEDIF(A124,B124,"d"))</f>
        <v/>
      </c>
      <c r="I124">
        <f>IF(B124="",$C$1-A124,H124)</f>
        <v/>
      </c>
      <c r="J124" s="65" t="inlineStr">
        <is>
          <t>東陽</t>
        </is>
      </c>
      <c r="K124">
        <f>IF(F124&gt;0,(H124*$F124)/365.25,0)</f>
        <v/>
      </c>
      <c r="L124">
        <f>IF(F124&gt;0,(I124*$F124)/365.25,0)</f>
        <v/>
      </c>
    </row>
    <row r="125" hidden="1" outlineLevel="1" customFormat="1" s="65">
      <c r="A125" s="508" t="n">
        <v>44043</v>
      </c>
      <c r="B125" s="508" t="n">
        <v>44047</v>
      </c>
      <c r="C125" s="123" t="n"/>
      <c r="D125" s="509" t="n">
        <v>20</v>
      </c>
      <c r="E125" s="510">
        <f>E124+C125-D125</f>
        <v/>
      </c>
      <c r="F125" s="510">
        <f>C125-D125</f>
        <v/>
      </c>
      <c r="G125" s="511">
        <f>G124+F125</f>
        <v/>
      </c>
      <c r="H125" s="511">
        <f>IF(B125="",DATEDIF(A125,$G$1,"d"),DATEDIF(A125,B125,"d"))</f>
        <v/>
      </c>
      <c r="I125">
        <f>IF(B125="",$C$1-A125,H125)</f>
        <v/>
      </c>
      <c r="J125" s="65" t="inlineStr">
        <is>
          <t>立凱-KY</t>
        </is>
      </c>
      <c r="K125">
        <f>IF(F125&gt;0,(H125*$F125)/365.25,0)</f>
        <v/>
      </c>
      <c r="L125">
        <f>IF(F125&gt;0,(I125*$F125)/365.25,0)</f>
        <v/>
      </c>
      <c r="M125" s="65" t="inlineStr">
        <is>
          <t>股票申購</t>
        </is>
      </c>
    </row>
    <row r="126" hidden="1" outlineLevel="1" customFormat="1" s="65">
      <c r="A126" s="518" t="n">
        <v>44053</v>
      </c>
      <c r="B126" s="518" t="n"/>
      <c r="C126" s="148" t="n">
        <v>67</v>
      </c>
      <c r="D126" s="519" t="n"/>
      <c r="E126" s="520">
        <f>E125+C126-D126</f>
        <v/>
      </c>
      <c r="F126" s="520">
        <f>C126-D126</f>
        <v/>
      </c>
      <c r="G126" s="521">
        <f>G125+F126</f>
        <v/>
      </c>
      <c r="H126" s="521">
        <f>IF(B126="",DATEDIF(A126,$G$1,"d"),DATEDIF(A126,B126,"d"))</f>
        <v/>
      </c>
      <c r="I126" s="152">
        <f>IF(B126="",$C$1-A126,H126)</f>
        <v/>
      </c>
      <c r="J126" s="152" t="inlineStr">
        <is>
          <t>折讓入帳</t>
        </is>
      </c>
      <c r="K126" s="152">
        <f>IF(F126&gt;0,(H126*$F126)/365.25,0)</f>
        <v/>
      </c>
      <c r="L126" s="152">
        <f>IF(F126&gt;0,(I126*$F126)/365.25,0)</f>
        <v/>
      </c>
      <c r="M126" s="152" t="n"/>
    </row>
    <row r="127" hidden="1" outlineLevel="1" customFormat="1" s="65">
      <c r="A127" s="508" t="n">
        <v>44062</v>
      </c>
      <c r="B127" s="508" t="n">
        <v>44064</v>
      </c>
      <c r="C127" s="123" t="n"/>
      <c r="D127" s="509" t="n">
        <v>20</v>
      </c>
      <c r="E127" s="510">
        <f>E126+C127-D127</f>
        <v/>
      </c>
      <c r="F127" s="510">
        <f>C127-D127</f>
        <v/>
      </c>
      <c r="G127" s="511">
        <f>G126+F127</f>
        <v/>
      </c>
      <c r="H127" s="511">
        <f>IF(B127="",DATEDIF(A127,$G$1,"d"),DATEDIF(A127,B127,"d"))</f>
        <v/>
      </c>
      <c r="I127">
        <f>IF(B127="",$C$1-A127,H127)</f>
        <v/>
      </c>
      <c r="J127" s="65" t="inlineStr">
        <is>
          <t>艾姆勒</t>
        </is>
      </c>
      <c r="K127">
        <f>IF(F127&gt;0,(H127*$F127)/365.25,0)</f>
        <v/>
      </c>
      <c r="L127">
        <f>IF(F127&gt;0,(I127*$F127)/365.25,0)</f>
        <v/>
      </c>
      <c r="M127" s="65" t="inlineStr">
        <is>
          <t>股票申購</t>
        </is>
      </c>
    </row>
    <row r="128" hidden="1" outlineLevel="1" customFormat="1" s="65">
      <c r="A128" s="508" t="n">
        <v>44062</v>
      </c>
      <c r="B128" s="508" t="n">
        <v>44064</v>
      </c>
      <c r="C128" s="123" t="n"/>
      <c r="D128" s="509" t="n">
        <v>20</v>
      </c>
      <c r="E128" s="510">
        <f>E127+C128-D128</f>
        <v/>
      </c>
      <c r="F128" s="510">
        <f>C128-D128</f>
        <v/>
      </c>
      <c r="G128" s="511">
        <f>G127+F128</f>
        <v/>
      </c>
      <c r="H128" s="511">
        <f>IF(B128="",DATEDIF(A128,$G$1,"d"),DATEDIF(A128,B128,"d"))</f>
        <v/>
      </c>
      <c r="I128">
        <f>IF(B128="",$C$1-A128,H128)</f>
        <v/>
      </c>
      <c r="J128" s="65" t="inlineStr">
        <is>
          <t>優群</t>
        </is>
      </c>
      <c r="K128">
        <f>IF(F128&gt;0,(H128*$F128)/365.25,0)</f>
        <v/>
      </c>
      <c r="L128">
        <f>IF(F128&gt;0,(I128*$F128)/365.25,0)</f>
        <v/>
      </c>
      <c r="M128" s="65" t="inlineStr">
        <is>
          <t>股票申購</t>
        </is>
      </c>
    </row>
    <row r="129" hidden="1" outlineLevel="1" customFormat="1" s="65">
      <c r="A129" s="508" t="n">
        <v>44063</v>
      </c>
      <c r="B129" s="508" t="n">
        <v>44146</v>
      </c>
      <c r="C129" s="123" t="n"/>
      <c r="D129" s="509" t="n">
        <v>265878</v>
      </c>
      <c r="E129" s="510">
        <f>E128+C129-D129</f>
        <v/>
      </c>
      <c r="F129" s="510">
        <f>-D129+C148</f>
        <v/>
      </c>
      <c r="G129" s="511">
        <f>G128+F129</f>
        <v/>
      </c>
      <c r="H129" s="511">
        <f>IF(B129="",DATEDIF(A129,$G$1,"d"),DATEDIF(A129,B129,"d"))</f>
        <v/>
      </c>
      <c r="I129">
        <f>IF(B129="",$C$1-A129,H129)</f>
        <v/>
      </c>
      <c r="J129" s="65" t="inlineStr">
        <is>
          <t>聯詠</t>
        </is>
      </c>
      <c r="K129">
        <f>IF(F129&gt;0,(H129*$F129)/365.25,0)</f>
        <v/>
      </c>
      <c r="L129">
        <f>IF(F129&gt;0,(I129*$F129)/365.25,0)</f>
        <v/>
      </c>
    </row>
    <row r="130" hidden="1" outlineLevel="1" customFormat="1" s="65">
      <c r="A130" s="508" t="n">
        <v>44069</v>
      </c>
      <c r="B130" s="508" t="n">
        <v>44073</v>
      </c>
      <c r="C130" s="123" t="n"/>
      <c r="D130" s="509" t="n">
        <v>20</v>
      </c>
      <c r="E130" s="510">
        <f>E129+C130-D130</f>
        <v/>
      </c>
      <c r="F130" s="510">
        <f>C130-D130</f>
        <v/>
      </c>
      <c r="G130" s="511">
        <f>G129+F130</f>
        <v/>
      </c>
      <c r="H130" s="511">
        <f>IF(B130="",DATEDIF(A130,$G$1,"d"),DATEDIF(A130,B130,"d"))</f>
        <v/>
      </c>
      <c r="I130">
        <f>IF(B130="",$C$1-A130,H130)</f>
        <v/>
      </c>
      <c r="J130" s="65" t="inlineStr">
        <is>
          <t>新日興</t>
        </is>
      </c>
      <c r="K130">
        <f>IF(F130&gt;0,(H130*$F130)/365.25,0)</f>
        <v/>
      </c>
      <c r="L130">
        <f>IF(F130&gt;0,(I130*$F130)/365.25,0)</f>
        <v/>
      </c>
      <c r="M130" s="65" t="inlineStr">
        <is>
          <t>股票申購</t>
        </is>
      </c>
    </row>
    <row r="131" hidden="1" outlineLevel="1" customFormat="1" s="65">
      <c r="A131" s="508" t="n">
        <v>44071</v>
      </c>
      <c r="B131" s="508" t="n">
        <v>44071</v>
      </c>
      <c r="C131" s="123" t="n">
        <v>251881</v>
      </c>
      <c r="D131" s="509" t="n"/>
      <c r="E131" s="510">
        <f>E130+C131-D131</f>
        <v/>
      </c>
      <c r="F131" s="510" t="n"/>
      <c r="G131" s="511">
        <f>G130+F131</f>
        <v/>
      </c>
      <c r="H131" s="511">
        <f>IF(B131="",DATEDIF(A131,$G$1,"d"),DATEDIF(A131,B131,"d"))</f>
        <v/>
      </c>
      <c r="I131">
        <f>IF(B131="",$C$1-A131,H131)</f>
        <v/>
      </c>
      <c r="J131" s="65" t="inlineStr">
        <is>
          <t>華碩</t>
        </is>
      </c>
      <c r="K131">
        <f>IF(F131&gt;0,(H131*$F131)/365.25,0)</f>
        <v/>
      </c>
      <c r="L131">
        <f>IF(F131&gt;0,(I131*$F131)/365.25,0)</f>
        <v/>
      </c>
    </row>
    <row r="132" hidden="1" outlineLevel="1" customFormat="1" s="65">
      <c r="A132" s="508" t="n">
        <v>44071</v>
      </c>
      <c r="B132" s="508" t="n">
        <v>44091</v>
      </c>
      <c r="C132" s="123" t="n"/>
      <c r="D132" s="509" t="n">
        <v>68797</v>
      </c>
      <c r="E132" s="510">
        <f>E131+C132-D132</f>
        <v/>
      </c>
      <c r="F132" s="510">
        <f>-D132+C140</f>
        <v/>
      </c>
      <c r="G132" s="511">
        <f>G131+F132</f>
        <v/>
      </c>
      <c r="H132" s="511">
        <f>IF(B132="",DATEDIF(A132,$G$1,"d"),DATEDIF(A132,B132,"d"))</f>
        <v/>
      </c>
      <c r="I132">
        <f>IF(B132="",$C$1-A132,H132)</f>
        <v/>
      </c>
      <c r="J132" s="65" t="inlineStr">
        <is>
          <t>新晶投控</t>
        </is>
      </c>
      <c r="K132">
        <f>IF(F132&gt;0,(H132*$F132)/365.25,0)</f>
        <v/>
      </c>
      <c r="L132">
        <f>IF(F132&gt;0,(I132*$F132)/365.25,0)</f>
        <v/>
      </c>
    </row>
    <row r="133" hidden="1" outlineLevel="1" customFormat="1" s="65">
      <c r="A133" s="508" t="n">
        <v>44072</v>
      </c>
      <c r="B133" s="508" t="n">
        <v>44078</v>
      </c>
      <c r="C133" s="123" t="n"/>
      <c r="D133" s="509" t="n">
        <v>17424</v>
      </c>
      <c r="E133" s="510">
        <f>E132+C133-D133</f>
        <v/>
      </c>
      <c r="F133" s="510">
        <f>-D133+C135</f>
        <v/>
      </c>
      <c r="G133" s="511">
        <f>G132+F133</f>
        <v/>
      </c>
      <c r="H133" s="511">
        <f>IF(B133="",DATEDIF(A133,$G$1,"d"),DATEDIF(A133,B133,"d"))</f>
        <v/>
      </c>
      <c r="I133">
        <f>IF(B133="",$C$1-A133,H133)</f>
        <v/>
      </c>
      <c r="J133" s="65" t="inlineStr">
        <is>
          <t>亞元</t>
        </is>
      </c>
      <c r="K133">
        <f>IF(F133&gt;0,(H133*$F133)/365.25,0)</f>
        <v/>
      </c>
      <c r="L133">
        <f>IF(F133&gt;0,(I133*$F133)/365.25,0)</f>
        <v/>
      </c>
    </row>
    <row r="134" hidden="1" outlineLevel="1" customFormat="1" s="65">
      <c r="A134" s="508" t="n">
        <v>44072</v>
      </c>
      <c r="B134" s="508" t="n">
        <v>44089</v>
      </c>
      <c r="C134" s="123" t="n"/>
      <c r="D134" s="509" t="n">
        <v>47517</v>
      </c>
      <c r="E134" s="510">
        <f>E133+C134-D134</f>
        <v/>
      </c>
      <c r="F134" s="510">
        <f>-D134+C139</f>
        <v/>
      </c>
      <c r="G134" s="511">
        <f>G133+F134</f>
        <v/>
      </c>
      <c r="H134" s="511">
        <f>IF(B134="",DATEDIF(A134,$G$1,"d"),DATEDIF(A134,B134,"d"))</f>
        <v/>
      </c>
      <c r="I134">
        <f>IF(B134="",$C$1-A134,H134)</f>
        <v/>
      </c>
      <c r="J134" s="65" t="inlineStr">
        <is>
          <t>維熹</t>
        </is>
      </c>
      <c r="K134">
        <f>IF(F134&gt;0,(H134*$F134)/365.25,0)</f>
        <v/>
      </c>
      <c r="L134">
        <f>IF(F134&gt;0,(I134*$F134)/365.25,0)</f>
        <v/>
      </c>
    </row>
    <row r="135" hidden="1" outlineLevel="1" customFormat="1" s="65">
      <c r="A135" s="508" t="n">
        <v>44078</v>
      </c>
      <c r="B135" s="508" t="n">
        <v>44078</v>
      </c>
      <c r="C135" s="123" t="n">
        <v>16278</v>
      </c>
      <c r="D135" s="509" t="n"/>
      <c r="E135" s="510">
        <f>E134+C135-D135</f>
        <v/>
      </c>
      <c r="F135" s="510" t="n"/>
      <c r="G135" s="511">
        <f>G134+F135</f>
        <v/>
      </c>
      <c r="H135" s="511">
        <f>IF(B135="",DATEDIF(A135,$G$1,"d"),DATEDIF(A135,B135,"d"))</f>
        <v/>
      </c>
      <c r="I135">
        <f>IF(B135="",$C$1-A135,H135)</f>
        <v/>
      </c>
      <c r="J135" s="65" t="inlineStr">
        <is>
          <t>亞元</t>
        </is>
      </c>
      <c r="K135">
        <f>IF(F135&gt;0,(H135*$F135)/365.25,0)</f>
        <v/>
      </c>
      <c r="L135">
        <f>IF(F135&gt;0,(I135*$F135)/365.25,0)</f>
        <v/>
      </c>
    </row>
    <row r="136" hidden="1" outlineLevel="1" customFormat="1" s="65">
      <c r="A136" s="508" t="n">
        <v>44079</v>
      </c>
      <c r="B136" s="508" t="n">
        <v>44083</v>
      </c>
      <c r="C136" s="123" t="n"/>
      <c r="D136" s="509" t="n">
        <v>36552</v>
      </c>
      <c r="E136" s="510">
        <f>E135+C136-D136</f>
        <v/>
      </c>
      <c r="F136" s="510">
        <f>-D136+C137</f>
        <v/>
      </c>
      <c r="G136" s="511">
        <f>G135+F136</f>
        <v/>
      </c>
      <c r="H136" s="511">
        <f>IF(B136="",DATEDIF(A136,$G$1,"d"),DATEDIF(A136,B136,"d"))</f>
        <v/>
      </c>
      <c r="I136">
        <f>IF(B136="",$C$1-A136,H136)</f>
        <v/>
      </c>
      <c r="J136" s="65" t="inlineStr">
        <is>
          <t>全漢</t>
        </is>
      </c>
      <c r="K136">
        <f>IF(F136&gt;0,(H136*$F136)/365.25,0)</f>
        <v/>
      </c>
      <c r="L136">
        <f>IF(F136&gt;0,(I136*$F136)/365.25,0)</f>
        <v/>
      </c>
    </row>
    <row r="137" hidden="1" outlineLevel="1" customFormat="1" s="65">
      <c r="A137" s="508" t="n">
        <v>44083</v>
      </c>
      <c r="B137" s="508" t="n">
        <v>44083</v>
      </c>
      <c r="C137" s="123" t="n">
        <v>34398</v>
      </c>
      <c r="D137" s="509" t="n"/>
      <c r="E137" s="510">
        <f>E136+C137-D137</f>
        <v/>
      </c>
      <c r="F137" s="510" t="n"/>
      <c r="G137" s="511">
        <f>G136+F137</f>
        <v/>
      </c>
      <c r="H137" s="511">
        <f>IF(B137="",DATEDIF(A137,$G$1,"d"),DATEDIF(A137,B137,"d"))</f>
        <v/>
      </c>
      <c r="I137">
        <f>IF(B137="",$C$1-A137,H137)</f>
        <v/>
      </c>
      <c r="J137" s="65" t="inlineStr">
        <is>
          <t>全漢</t>
        </is>
      </c>
      <c r="K137">
        <f>IF(F137&gt;0,(H137*$F137)/365.25,0)</f>
        <v/>
      </c>
      <c r="L137">
        <f>IF(F137&gt;0,(I137*$F137)/365.25,0)</f>
        <v/>
      </c>
    </row>
    <row r="138" hidden="1" outlineLevel="1" customFormat="1" s="65">
      <c r="A138" s="518" t="n">
        <v>44084</v>
      </c>
      <c r="B138" s="518" t="n"/>
      <c r="C138" s="148" t="n">
        <v>368</v>
      </c>
      <c r="D138" s="519" t="n"/>
      <c r="E138" s="520">
        <f>E137+C138-D138</f>
        <v/>
      </c>
      <c r="F138" s="520">
        <f>C138-D138</f>
        <v/>
      </c>
      <c r="G138" s="521">
        <f>G137+F138</f>
        <v/>
      </c>
      <c r="H138" s="521">
        <f>IF(B138="",DATEDIF(A138,$G$1,"d"),DATEDIF(A138,B138,"d"))</f>
        <v/>
      </c>
      <c r="I138" s="152">
        <f>IF(B138="",$C$1-A138,H138)</f>
        <v/>
      </c>
      <c r="J138" s="152" t="inlineStr">
        <is>
          <t>折讓入帳</t>
        </is>
      </c>
      <c r="K138" s="152">
        <f>IF(F138&gt;0,(H138*$F138)/365.25,0)</f>
        <v/>
      </c>
      <c r="L138" s="152">
        <f>IF(F138&gt;0,(I138*$F138)/365.25,0)</f>
        <v/>
      </c>
      <c r="M138" s="152" t="n"/>
    </row>
    <row r="139" hidden="1" outlineLevel="1" customFormat="1" s="65">
      <c r="A139" s="508" t="n">
        <v>44089</v>
      </c>
      <c r="B139" s="508" t="n">
        <v>44089</v>
      </c>
      <c r="C139" s="123" t="n">
        <v>46345</v>
      </c>
      <c r="D139" s="509" t="n"/>
      <c r="E139" s="510">
        <f>E138+C139-D139</f>
        <v/>
      </c>
      <c r="F139" s="510" t="n"/>
      <c r="G139" s="511">
        <f>G138+F139</f>
        <v/>
      </c>
      <c r="H139" s="511">
        <f>IF(B139="",DATEDIF(A139,$G$1,"d"),DATEDIF(A139,B139,"d"))</f>
        <v/>
      </c>
      <c r="I139">
        <f>IF(B139="",$C$1-A139,H139)</f>
        <v/>
      </c>
      <c r="J139" s="65" t="inlineStr">
        <is>
          <t>維熹</t>
        </is>
      </c>
      <c r="K139">
        <f>IF(F139&gt;0,(H139*$F139)/365.25,0)</f>
        <v/>
      </c>
      <c r="L139">
        <f>IF(F139&gt;0,(I139*$F139)/365.25,0)</f>
        <v/>
      </c>
    </row>
    <row r="140" collapsed="1" customFormat="1" s="65">
      <c r="A140" s="508" t="n">
        <v>44091</v>
      </c>
      <c r="B140" s="508" t="n">
        <v>44091</v>
      </c>
      <c r="C140" s="123" t="n">
        <v>68995</v>
      </c>
      <c r="D140" s="509" t="n"/>
      <c r="E140" s="510">
        <f>E139+C140-D140</f>
        <v/>
      </c>
      <c r="F140" s="510" t="n"/>
      <c r="G140" s="511">
        <f>G139+F140</f>
        <v/>
      </c>
      <c r="H140" s="511">
        <f>IF(B140="",DATEDIF(A140,$G$1,"d"),DATEDIF(A140,B140,"d"))</f>
        <v/>
      </c>
      <c r="I140">
        <f>IF(B140="",$C$1-A140,H140)</f>
        <v/>
      </c>
      <c r="J140" s="65" t="inlineStr">
        <is>
          <t>新晶投控</t>
        </is>
      </c>
      <c r="K140">
        <f>IF(F140&gt;0,(H140*$F140)/365.25,0)</f>
        <v/>
      </c>
      <c r="L140">
        <f>IF(F140&gt;0,(I140*$F140)/365.25,0)</f>
        <v/>
      </c>
    </row>
    <row r="141" hidden="1" outlineLevel="1" customFormat="1" s="65">
      <c r="A141" s="508" t="n">
        <v>44109</v>
      </c>
      <c r="B141" s="508" t="n">
        <v>44113</v>
      </c>
      <c r="C141" s="123" t="n"/>
      <c r="D141" s="509" t="n">
        <v>20</v>
      </c>
      <c r="E141" s="510">
        <f>E140+C141-D141</f>
        <v/>
      </c>
      <c r="F141" s="510">
        <f>C141-D141</f>
        <v/>
      </c>
      <c r="G141" s="511">
        <f>G140+F141</f>
        <v/>
      </c>
      <c r="H141" s="511">
        <f>IF(B141="",DATEDIF(A141,$G$1,"d"),DATEDIF(A141,B141,"d"))</f>
        <v/>
      </c>
      <c r="I141">
        <f>IF(B141="",$C$1-A141,H141)</f>
        <v/>
      </c>
      <c r="J141" s="65" t="inlineStr">
        <is>
          <t>動力-KY</t>
        </is>
      </c>
      <c r="K141">
        <f>IF(F141&gt;0,(H141*$F141)/365.25,0)</f>
        <v/>
      </c>
      <c r="L141">
        <f>IF(F141&gt;0,(I141*$F141)/365.25,0)</f>
        <v/>
      </c>
      <c r="M141" s="65" t="inlineStr">
        <is>
          <t>股票申購</t>
        </is>
      </c>
    </row>
    <row r="142" hidden="1" outlineLevel="1" customFormat="1" s="65">
      <c r="A142" s="508" t="n">
        <v>44110</v>
      </c>
      <c r="B142" s="508" t="n">
        <v>44114</v>
      </c>
      <c r="C142" s="123" t="n"/>
      <c r="D142" s="509" t="n">
        <v>20</v>
      </c>
      <c r="E142" s="510">
        <f>E141+C142-D142</f>
        <v/>
      </c>
      <c r="F142" s="510">
        <f>C142-D142</f>
        <v/>
      </c>
      <c r="G142" s="511">
        <f>G141+F142</f>
        <v/>
      </c>
      <c r="H142" s="511">
        <f>IF(B142="",DATEDIF(A142,$G$1,"d"),DATEDIF(A142,B142,"d"))</f>
        <v/>
      </c>
      <c r="I142">
        <f>IF(B142="",$C$1-A142,H142)</f>
        <v/>
      </c>
      <c r="J142" s="65" t="inlineStr">
        <is>
          <t>汎德永業</t>
        </is>
      </c>
      <c r="K142">
        <f>IF(F142&gt;0,(H142*$F142)/365.25,0)</f>
        <v/>
      </c>
      <c r="L142">
        <f>IF(F142&gt;0,(I142*$F142)/365.25,0)</f>
        <v/>
      </c>
      <c r="M142" s="65" t="inlineStr">
        <is>
          <t>股票申購</t>
        </is>
      </c>
    </row>
    <row r="143" hidden="1" outlineLevel="1" customFormat="1" s="65">
      <c r="A143" s="508" t="n">
        <v>44112</v>
      </c>
      <c r="B143" s="508" t="n">
        <v>44116</v>
      </c>
      <c r="C143" s="123" t="n"/>
      <c r="D143" s="509" t="n">
        <v>20</v>
      </c>
      <c r="E143" s="510">
        <f>E142+C143-D143</f>
        <v/>
      </c>
      <c r="F143" s="510">
        <f>C143-D143</f>
        <v/>
      </c>
      <c r="G143" s="511">
        <f>G142+F143</f>
        <v/>
      </c>
      <c r="H143" s="511">
        <f>IF(B143="",DATEDIF(A143,$G$1,"d"),DATEDIF(A143,B143,"d"))</f>
        <v/>
      </c>
      <c r="I143">
        <f>IF(B143="",$C$1-A143,H143)</f>
        <v/>
      </c>
      <c r="J143" s="65" t="inlineStr">
        <is>
          <t>晶焱</t>
        </is>
      </c>
      <c r="K143">
        <f>IF(F143&gt;0,(H143*$F143)/365.25,0)</f>
        <v/>
      </c>
      <c r="L143">
        <f>IF(F143&gt;0,(I143*$F143)/365.25,0)</f>
        <v/>
      </c>
      <c r="M143" s="65" t="inlineStr">
        <is>
          <t>股票申購</t>
        </is>
      </c>
    </row>
    <row r="144" hidden="1" outlineLevel="1" customFormat="1" s="65">
      <c r="A144" s="518" t="n">
        <v>44112</v>
      </c>
      <c r="B144" s="518" t="n"/>
      <c r="C144" s="148" t="n">
        <v>113</v>
      </c>
      <c r="D144" s="519" t="n"/>
      <c r="E144" s="520">
        <f>E143+C144-D144</f>
        <v/>
      </c>
      <c r="F144" s="520">
        <f>C144-D144</f>
        <v/>
      </c>
      <c r="G144" s="521">
        <f>G143+F144</f>
        <v/>
      </c>
      <c r="H144" s="521">
        <f>IF(B144="",DATEDIF(A144,$G$1,"d"),DATEDIF(A144,B144,"d"))</f>
        <v/>
      </c>
      <c r="I144" s="152">
        <f>IF(B144="",$C$1-A144,H144)</f>
        <v/>
      </c>
      <c r="J144" s="152" t="inlineStr">
        <is>
          <t>折讓入帳</t>
        </is>
      </c>
      <c r="K144" s="152">
        <f>IF(F144&gt;0,(H144*$F144)/365.25,0)</f>
        <v/>
      </c>
      <c r="L144" s="152">
        <f>IF(F144&gt;0,(I144*$F144)/365.25,0)</f>
        <v/>
      </c>
      <c r="M144" s="152" t="n"/>
    </row>
    <row r="145" hidden="1" outlineLevel="1" customFormat="1" s="65">
      <c r="A145" s="508" t="n">
        <v>44117</v>
      </c>
      <c r="B145" s="508" t="n">
        <v>44121</v>
      </c>
      <c r="C145" s="123" t="n"/>
      <c r="D145" s="509" t="n">
        <v>20</v>
      </c>
      <c r="E145" s="510">
        <f>E144+C145-D145</f>
        <v/>
      </c>
      <c r="F145" s="510">
        <f>C145-D145</f>
        <v/>
      </c>
      <c r="G145" s="511">
        <f>G144+F145</f>
        <v/>
      </c>
      <c r="H145" s="511">
        <f>IF(B145="",DATEDIF(A145,$G$1,"d"),DATEDIF(A145,B145,"d"))</f>
        <v/>
      </c>
      <c r="I145">
        <f>IF(B145="",$C$1-A145,H145)</f>
        <v/>
      </c>
      <c r="J145" s="65" t="inlineStr">
        <is>
          <t>永冠-KY</t>
        </is>
      </c>
      <c r="K145">
        <f>IF(F145&gt;0,(H145*$F145)/365.25,0)</f>
        <v/>
      </c>
      <c r="L145">
        <f>IF(F145&gt;0,(I145*$F145)/365.25,0)</f>
        <v/>
      </c>
      <c r="M145" s="65" t="inlineStr">
        <is>
          <t>股票申購</t>
        </is>
      </c>
    </row>
    <row r="146" hidden="1" outlineLevel="1" customFormat="1" s="65">
      <c r="A146" s="508" t="n">
        <v>44136</v>
      </c>
      <c r="B146" s="508" t="n">
        <v>44154</v>
      </c>
      <c r="C146" s="123" t="n"/>
      <c r="D146" s="509" t="n">
        <v>39055</v>
      </c>
      <c r="E146" s="510">
        <f>E145+C146-D146</f>
        <v/>
      </c>
      <c r="F146" s="510">
        <f>-D146+C149</f>
        <v/>
      </c>
      <c r="G146" s="511">
        <f>G145+F146</f>
        <v/>
      </c>
      <c r="H146" s="511">
        <f>IF(B146="",DATEDIF(A146,$G$1,"d"),DATEDIF(A146,B146,"d"))</f>
        <v/>
      </c>
      <c r="I146">
        <f>IF(B146="",$C$1-A146,H146)</f>
        <v/>
      </c>
      <c r="J146" s="65" t="inlineStr">
        <is>
          <t>天宇</t>
        </is>
      </c>
      <c r="K146">
        <f>IF(F146&gt;0,(H146*$F146)/365.25,0)</f>
        <v/>
      </c>
      <c r="L146">
        <f>IF(F146&gt;0,(I146*$F146)/365.25,0)</f>
        <v/>
      </c>
    </row>
    <row r="147" hidden="1" outlineLevel="1" customFormat="1" s="65">
      <c r="A147" s="518" t="n">
        <v>44145</v>
      </c>
      <c r="B147" s="518" t="n"/>
      <c r="C147" s="148" t="n">
        <v>22</v>
      </c>
      <c r="D147" s="519" t="n"/>
      <c r="E147" s="520">
        <f>E146+C147-D147</f>
        <v/>
      </c>
      <c r="F147" s="520">
        <f>C147-D147</f>
        <v/>
      </c>
      <c r="G147" s="521">
        <f>G146+F147</f>
        <v/>
      </c>
      <c r="H147" s="521">
        <f>IF(B147="",DATEDIF(A147,$G$1,"d"),DATEDIF(A147,B147,"d"))</f>
        <v/>
      </c>
      <c r="I147" s="152">
        <f>IF(B147="",$C$1-A147,H147)</f>
        <v/>
      </c>
      <c r="J147" s="152" t="inlineStr">
        <is>
          <t>折讓入帳</t>
        </is>
      </c>
      <c r="K147" s="152">
        <f>IF(F147&gt;0,(H147*$F147)/365.25,0)</f>
        <v/>
      </c>
      <c r="L147" s="152">
        <f>IF(F147&gt;0,(I147*$F147)/365.25,0)</f>
        <v/>
      </c>
      <c r="M147" s="152" t="n"/>
    </row>
    <row r="148" hidden="1" outlineLevel="1" customFormat="1" s="65">
      <c r="A148" s="508" t="n">
        <v>44146</v>
      </c>
      <c r="B148" s="508" t="n">
        <v>44146</v>
      </c>
      <c r="C148" s="123" t="n">
        <v>295686</v>
      </c>
      <c r="D148" s="509" t="n"/>
      <c r="E148" s="510">
        <f>E147+C148-D148</f>
        <v/>
      </c>
      <c r="F148" s="510" t="n"/>
      <c r="G148" s="511">
        <f>G147+F148</f>
        <v/>
      </c>
      <c r="H148" s="511">
        <f>IF(B148="",DATEDIF(A148,$G$1,"d"),DATEDIF(A148,B148,"d"))</f>
        <v/>
      </c>
      <c r="I148">
        <f>IF(B148="",$C$1-A148,H148)</f>
        <v/>
      </c>
      <c r="J148" s="65" t="inlineStr">
        <is>
          <t>聯詠</t>
        </is>
      </c>
      <c r="K148">
        <f>IF(F148&gt;0,(H148*$F148)/365.25,0)</f>
        <v/>
      </c>
      <c r="L148">
        <f>IF(F148&gt;0,(I148*$F148)/365.25,0)</f>
        <v/>
      </c>
    </row>
    <row r="149" hidden="1" outlineLevel="1" customFormat="1" s="65">
      <c r="A149" s="508" t="n">
        <v>44136</v>
      </c>
      <c r="B149" s="508" t="n">
        <v>44154</v>
      </c>
      <c r="C149" s="123" t="n">
        <v>38679</v>
      </c>
      <c r="D149" s="509" t="n"/>
      <c r="E149" s="510">
        <f>E148+C149-D149</f>
        <v/>
      </c>
      <c r="F149" s="510" t="n"/>
      <c r="G149" s="511">
        <f>G148+F149</f>
        <v/>
      </c>
      <c r="H149" s="511">
        <f>IF(B149="",DATEDIF(A149,$G$1,"d"),DATEDIF(A149,B149,"d"))</f>
        <v/>
      </c>
      <c r="I149">
        <f>IF(B149="",$C$1-A149,H149)</f>
        <v/>
      </c>
      <c r="J149" s="65" t="inlineStr">
        <is>
          <t>天宇</t>
        </is>
      </c>
      <c r="K149">
        <f>IF(F149&gt;0,(H149*$F149)/365.25,0)</f>
        <v/>
      </c>
      <c r="L149">
        <f>IF(F149&gt;0,(I149*$F149)/365.25,0)</f>
        <v/>
      </c>
    </row>
    <row r="150" hidden="1" outlineLevel="1" customFormat="1" s="65">
      <c r="A150" s="508" t="n">
        <v>44159</v>
      </c>
      <c r="B150" s="508" t="n">
        <v>44264</v>
      </c>
      <c r="C150" s="123" t="n"/>
      <c r="D150" s="509" t="n">
        <v>34749</v>
      </c>
      <c r="E150" s="510">
        <f>E149+C150-D150</f>
        <v/>
      </c>
      <c r="F150" s="510">
        <f>-D150+C260</f>
        <v/>
      </c>
      <c r="G150" s="511">
        <f>G149+F150</f>
        <v/>
      </c>
      <c r="H150" s="511">
        <f>IF(B150="",DATEDIF(A150,$G$1,"d"),DATEDIF(A150,B150,"d"))</f>
        <v/>
      </c>
      <c r="I150">
        <f>IF(B150="",$C$1-A150,H150)</f>
        <v/>
      </c>
      <c r="J150" s="65" t="inlineStr">
        <is>
          <t>大立光</t>
        </is>
      </c>
      <c r="K150">
        <f>IF(F150&gt;0,(H150*$F150)/365.25,0)</f>
        <v/>
      </c>
      <c r="L150">
        <f>IF(F150&gt;0,(I150*$F150)/365.25,0)</f>
        <v/>
      </c>
    </row>
    <row r="151" hidden="1" outlineLevel="1" customFormat="1" s="65">
      <c r="A151" s="527" t="n">
        <v>44159</v>
      </c>
      <c r="B151" s="162" t="n"/>
      <c r="C151" s="163" t="n">
        <v>1000000</v>
      </c>
      <c r="D151" s="528" t="n"/>
      <c r="E151" s="529">
        <f>E150+C151-D151</f>
        <v/>
      </c>
      <c r="F151" s="529" t="n"/>
      <c r="G151" s="530">
        <f>G150+F151</f>
        <v/>
      </c>
      <c r="H151" s="530">
        <f>IF(B151="",DATEDIF(A151,$G$1,"d"),DATEDIF(A151,B151,"d"))</f>
        <v/>
      </c>
      <c r="I151" s="167">
        <f>IF(B151="",$C$1-A151,H151)</f>
        <v/>
      </c>
      <c r="J151" s="168" t="inlineStr">
        <is>
          <t>曾儀婷</t>
        </is>
      </c>
      <c r="K151" s="167">
        <f>IF(F151&gt;0,(H151*$F151)/365.25,0)</f>
        <v/>
      </c>
      <c r="L151" s="167">
        <f>IF(F151&gt;0,(I151*$F151)/365.25,0)</f>
        <v/>
      </c>
      <c r="M151" s="168" t="inlineStr">
        <is>
          <t>網路自轉</t>
        </is>
      </c>
    </row>
    <row r="152" hidden="1" outlineLevel="1" customFormat="1" s="65">
      <c r="A152" s="508" t="n">
        <v>44160</v>
      </c>
      <c r="B152" s="508" t="n">
        <v>44232</v>
      </c>
      <c r="C152" s="123" t="n"/>
      <c r="D152" s="509" t="n">
        <v>75307</v>
      </c>
      <c r="E152" s="510">
        <f>E151+C152-D152</f>
        <v/>
      </c>
      <c r="F152" s="510">
        <f>-D152+C227</f>
        <v/>
      </c>
      <c r="G152" s="511">
        <f>G151+F152</f>
        <v/>
      </c>
      <c r="H152" s="511">
        <f>IF(B152="",DATEDIF(A152,$G$1,"d"),DATEDIF(A152,B152,"d"))</f>
        <v/>
      </c>
      <c r="I152">
        <f>IF(B152="",$C$1-A152,H152)</f>
        <v/>
      </c>
      <c r="J152" s="65" t="inlineStr">
        <is>
          <t>聯發科</t>
        </is>
      </c>
      <c r="K152">
        <f>IF(F152&gt;0,(H152*$F152)/365.25,0)</f>
        <v/>
      </c>
      <c r="L152">
        <f>IF(F152&gt;0,(I152*$F152)/365.25,0)</f>
        <v/>
      </c>
    </row>
    <row r="153" hidden="1" outlineLevel="1" customFormat="1" s="65">
      <c r="A153" s="508" t="n">
        <v>44160</v>
      </c>
      <c r="B153" s="508" t="n">
        <v>44204</v>
      </c>
      <c r="C153" s="123" t="n"/>
      <c r="D153" s="509" t="n">
        <v>38204</v>
      </c>
      <c r="E153" s="510">
        <f>E152+C153-D153</f>
        <v/>
      </c>
      <c r="F153" s="510" t="n"/>
      <c r="G153" s="511">
        <f>G152+F153</f>
        <v/>
      </c>
      <c r="H153" s="511">
        <f>IF(B153="",DATEDIF(A153,$G$1,"d"),DATEDIF(A153,B153,"d"))</f>
        <v/>
      </c>
      <c r="I153">
        <f>IF(B153="",$C$1-A153,H153)</f>
        <v/>
      </c>
      <c r="J153" s="65" t="inlineStr">
        <is>
          <t>萬海</t>
        </is>
      </c>
      <c r="K153">
        <f>IF(F153&gt;0,(H153*$F153)/365.25,0)</f>
        <v/>
      </c>
      <c r="L153">
        <f>IF(F153&gt;0,(I153*$F153)/365.25,0)</f>
        <v/>
      </c>
    </row>
    <row r="154" hidden="1" outlineLevel="1" customFormat="1" s="65">
      <c r="A154" s="508" t="n">
        <v>44160</v>
      </c>
      <c r="B154" s="508" t="n">
        <v>44204</v>
      </c>
      <c r="C154" s="123" t="n"/>
      <c r="D154" s="509" t="n">
        <v>29141</v>
      </c>
      <c r="E154" s="510">
        <f>E153+C154-D154</f>
        <v/>
      </c>
      <c r="F154" s="510" t="n"/>
      <c r="G154" s="511">
        <f>G153+F154</f>
        <v/>
      </c>
      <c r="H154" s="511">
        <f>IF(B154="",DATEDIF(A154,$G$1,"d"),DATEDIF(A154,B154,"d"))</f>
        <v/>
      </c>
      <c r="I154">
        <f>IF(B154="",$C$1-A154,H154)</f>
        <v/>
      </c>
      <c r="J154" s="65" t="inlineStr">
        <is>
          <t>漢翔</t>
        </is>
      </c>
      <c r="K154">
        <f>IF(F154&gt;0,(H154*$F154)/365.25,0)</f>
        <v/>
      </c>
      <c r="L154">
        <f>IF(F154&gt;0,(I154*$F154)/365.25,0)</f>
        <v/>
      </c>
    </row>
    <row r="155" hidden="1" outlineLevel="1" customFormat="1" s="65">
      <c r="A155" s="508" t="n">
        <v>44160</v>
      </c>
      <c r="B155" s="508" t="n">
        <v>44209</v>
      </c>
      <c r="C155" s="123" t="n"/>
      <c r="D155" s="509" t="n">
        <v>41709</v>
      </c>
      <c r="E155" s="510">
        <f>E154+C155-D155</f>
        <v/>
      </c>
      <c r="F155" s="510">
        <f>-D155+C205</f>
        <v/>
      </c>
      <c r="G155" s="511">
        <f>G154+F155</f>
        <v/>
      </c>
      <c r="H155" s="511">
        <f>IF(B155="",DATEDIF(A155,$G$1,"d"),DATEDIF(A155,B155,"d"))</f>
        <v/>
      </c>
      <c r="I155">
        <f>IF(B155="",$C$1-A155,H155)</f>
        <v/>
      </c>
      <c r="J155" s="65" t="inlineStr">
        <is>
          <t>國泰金</t>
        </is>
      </c>
      <c r="K155">
        <f>IF(F155&gt;0,(H155*$F155)/365.25,0)</f>
        <v/>
      </c>
      <c r="L155">
        <f>IF(F155&gt;0,(I155*$F155)/365.25,0)</f>
        <v/>
      </c>
    </row>
    <row r="156" hidden="1" outlineLevel="1" customFormat="1" s="65">
      <c r="A156" s="508" t="n">
        <v>44160</v>
      </c>
      <c r="B156" s="66" t="n">
        <v>44266</v>
      </c>
      <c r="C156" s="123" t="n"/>
      <c r="D156" s="509" t="n">
        <v>25636</v>
      </c>
      <c r="E156" s="510">
        <f>E155+C156-D156</f>
        <v/>
      </c>
      <c r="F156" s="510">
        <f>-D156+C268</f>
        <v/>
      </c>
      <c r="G156" s="511">
        <f>G155+F156</f>
        <v/>
      </c>
      <c r="H156" s="511">
        <f>IF(B156="",DATEDIF(A156,$G$1,"d"),DATEDIF(A156,B156,"d"))</f>
        <v/>
      </c>
      <c r="I156">
        <f>IF(B156="",$C$1-A156,H156)</f>
        <v/>
      </c>
      <c r="J156" s="65" t="inlineStr">
        <is>
          <t>玉山金(2884)</t>
        </is>
      </c>
      <c r="K156">
        <f>IF(F156&gt;0,(H156*$F156)/365.25,0)</f>
        <v/>
      </c>
      <c r="L156">
        <f>IF(F156&gt;0,(I156*$F156)/365.25,0)</f>
        <v/>
      </c>
    </row>
    <row r="157" hidden="1" outlineLevel="1" customFormat="1" s="65">
      <c r="A157" s="508" t="n">
        <v>44160</v>
      </c>
      <c r="B157" s="508" t="n">
        <v>44175</v>
      </c>
      <c r="C157" s="123" t="n"/>
      <c r="D157" s="509" t="n">
        <v>35400</v>
      </c>
      <c r="E157" s="510">
        <f>E156+C157-D157</f>
        <v/>
      </c>
      <c r="F157" s="510">
        <f>-D157+C173</f>
        <v/>
      </c>
      <c r="G157" s="511">
        <f>G156+F157</f>
        <v/>
      </c>
      <c r="H157" s="511">
        <f>IF(B157="",DATEDIF(A157,$G$1,"d"),DATEDIF(A157,B157,"d"))</f>
        <v/>
      </c>
      <c r="I157">
        <f>IF(B157="",$C$1-A157,H157)</f>
        <v/>
      </c>
      <c r="J157" s="65" t="inlineStr">
        <is>
          <t>聯電</t>
        </is>
      </c>
      <c r="K157">
        <f>IF(F157&gt;0,(H157*$F157)/365.25,0)</f>
        <v/>
      </c>
      <c r="L157">
        <f>IF(F157&gt;0,(I157*$F157)/365.25,0)</f>
        <v/>
      </c>
    </row>
    <row r="158" hidden="1" outlineLevel="1" customFormat="1" s="65">
      <c r="A158" s="508" t="n">
        <v>44160</v>
      </c>
      <c r="B158" s="508" t="n">
        <v>44176</v>
      </c>
      <c r="C158" s="123" t="n"/>
      <c r="D158" s="509" t="n">
        <v>110156</v>
      </c>
      <c r="E158" s="510">
        <f>E157+C158-D158</f>
        <v/>
      </c>
      <c r="F158" s="510">
        <f>-D158+C176</f>
        <v/>
      </c>
      <c r="G158" s="511">
        <f>G157+F158</f>
        <v/>
      </c>
      <c r="H158" s="511">
        <f>IF(B158="",DATEDIF(A158,$G$1,"d"),DATEDIF(A158,B158,"d"))</f>
        <v/>
      </c>
      <c r="I158">
        <f>IF(B158="",$C$1-A158,H158)</f>
        <v/>
      </c>
      <c r="J158" s="65" t="inlineStr">
        <is>
          <t>世界</t>
        </is>
      </c>
      <c r="K158">
        <f>IF(F158&gt;0,(H158*$F158)/365.25,0)</f>
        <v/>
      </c>
      <c r="L158">
        <f>IF(F158&gt;0,(I158*$F158)/365.25,0)</f>
        <v/>
      </c>
    </row>
    <row r="159" hidden="1" outlineLevel="1" customFormat="1" s="65">
      <c r="A159" s="508" t="n">
        <v>44160</v>
      </c>
      <c r="B159" s="508" t="n">
        <v>44175</v>
      </c>
      <c r="C159" s="123" t="n"/>
      <c r="D159" s="509" t="n">
        <v>9160</v>
      </c>
      <c r="E159" s="510">
        <f>E158+C159-D159</f>
        <v/>
      </c>
      <c r="F159" s="510">
        <f>-D159+C174</f>
        <v/>
      </c>
      <c r="G159" s="511">
        <f>G158+F159</f>
        <v/>
      </c>
      <c r="H159" s="511">
        <f>IF(B159="",DATEDIF(A159,$G$1,"d"),DATEDIF(A159,B159,"d"))</f>
        <v/>
      </c>
      <c r="I159">
        <f>IF(B159="",$C$1-A159,H159)</f>
        <v/>
      </c>
      <c r="J159" s="65" t="inlineStr">
        <is>
          <t>華航</t>
        </is>
      </c>
      <c r="K159">
        <f>IF(F159&gt;0,(H159*$F159)/365.25,0)</f>
        <v/>
      </c>
      <c r="L159">
        <f>IF(F159&gt;0,(I159*$F159)/365.25,0)</f>
        <v/>
      </c>
    </row>
    <row r="160" hidden="1" outlineLevel="1" customFormat="1" s="65">
      <c r="A160" s="508" t="n">
        <v>44161</v>
      </c>
      <c r="B160" s="508" t="n">
        <v>44210</v>
      </c>
      <c r="C160" s="123" t="n"/>
      <c r="D160" s="509" t="n">
        <v>40858</v>
      </c>
      <c r="E160" s="510">
        <f>E159+C160-D160</f>
        <v/>
      </c>
      <c r="F160" s="510">
        <f>-D160+C206</f>
        <v/>
      </c>
      <c r="G160" s="511">
        <f>G159+F160</f>
        <v/>
      </c>
      <c r="H160" s="511">
        <f>IF(B160="",DATEDIF(A160,$G$1,"d"),DATEDIF(A160,B160,"d"))</f>
        <v/>
      </c>
      <c r="I160">
        <f>IF(B160="",$C$1-A160,H160)</f>
        <v/>
      </c>
      <c r="J160" s="65" t="inlineStr">
        <is>
          <t>台聚</t>
        </is>
      </c>
      <c r="K160">
        <f>IF(F160&gt;0,(H160*$F160)/365.25,0)</f>
        <v/>
      </c>
      <c r="L160">
        <f>IF(F160&gt;0,(I160*$F160)/365.25,0)</f>
        <v/>
      </c>
    </row>
    <row r="161" hidden="1" outlineLevel="1" customFormat="1" s="65">
      <c r="A161" s="508" t="n">
        <v>44161</v>
      </c>
      <c r="B161" s="508" t="n">
        <v>44168</v>
      </c>
      <c r="C161" s="123" t="n"/>
      <c r="D161" s="509" t="n">
        <v>604860</v>
      </c>
      <c r="E161" s="510">
        <f>E160+C161-D161</f>
        <v/>
      </c>
      <c r="F161" s="510">
        <f>-D161+C166</f>
        <v/>
      </c>
      <c r="G161" s="511">
        <f>G160+F161</f>
        <v/>
      </c>
      <c r="H161" s="511">
        <f>IF(B161="",DATEDIF(A161,$G$1,"d"),DATEDIF(A161,B161,"d"))</f>
        <v/>
      </c>
      <c r="I161">
        <f>IF(B161="",$C$1-A161,H161)</f>
        <v/>
      </c>
      <c r="J161" s="65" t="inlineStr">
        <is>
          <t>玉晶光</t>
        </is>
      </c>
      <c r="K161">
        <f>IF(F161&gt;0,(H161*$F161)/365.25,0)</f>
        <v/>
      </c>
      <c r="L161">
        <f>IF(F161&gt;0,(I161*$F161)/365.25,0)</f>
        <v/>
      </c>
    </row>
    <row r="162" hidden="1" outlineLevel="1" customFormat="1" s="65">
      <c r="A162" s="508" t="n">
        <v>44163</v>
      </c>
      <c r="B162" s="508" t="n">
        <v>44175</v>
      </c>
      <c r="C162" s="123" t="n"/>
      <c r="D162" s="509" t="n">
        <v>36451</v>
      </c>
      <c r="E162" s="510">
        <f>E161+C162-D162</f>
        <v/>
      </c>
      <c r="F162" s="510">
        <f>-D162+C175</f>
        <v/>
      </c>
      <c r="G162" s="511">
        <f>G161+F162</f>
        <v/>
      </c>
      <c r="H162" s="511">
        <f>IF(B162="",DATEDIF(A162,$G$1,"d"),DATEDIF(A162,B162,"d"))</f>
        <v/>
      </c>
      <c r="I162">
        <f>IF(B162="",$C$1-A162,H162)</f>
        <v/>
      </c>
      <c r="J162" s="65" t="inlineStr">
        <is>
          <t>亞昕</t>
        </is>
      </c>
      <c r="K162">
        <f>IF(F162&gt;0,(H162*$F162)/365.25,0)</f>
        <v/>
      </c>
      <c r="L162">
        <f>IF(F162&gt;0,(I162*$F162)/365.25,0)</f>
        <v/>
      </c>
    </row>
    <row r="163" hidden="1" outlineLevel="1" customFormat="1" s="65">
      <c r="A163" s="508" t="n">
        <v>44166</v>
      </c>
      <c r="B163" s="508" t="n">
        <v>44232</v>
      </c>
      <c r="C163" s="123" t="n"/>
      <c r="D163" s="509" t="n">
        <v>72703</v>
      </c>
      <c r="E163" s="510">
        <f>E162+C163-D163</f>
        <v/>
      </c>
      <c r="F163" s="510">
        <f>-D163+C232</f>
        <v/>
      </c>
      <c r="G163" s="511">
        <f>G162+F163</f>
        <v/>
      </c>
      <c r="H163" s="511">
        <f>IF(B163="",DATEDIF(A163,$G$1,"d"),DATEDIF(A163,B163,"d"))</f>
        <v/>
      </c>
      <c r="I163">
        <f>IF(B163="",$C$1-A163,H163)</f>
        <v/>
      </c>
      <c r="J163" s="65" t="inlineStr">
        <is>
          <t>聯發科</t>
        </is>
      </c>
      <c r="K163">
        <f>IF(F163&gt;0,(H163*$F163)/365.25,0)</f>
        <v/>
      </c>
      <c r="L163">
        <f>IF(F163&gt;0,(I163*$F163)/365.25,0)</f>
        <v/>
      </c>
    </row>
    <row r="164" hidden="1" outlineLevel="1" customFormat="1" s="65">
      <c r="A164" s="508" t="n">
        <v>44167</v>
      </c>
      <c r="B164" s="508" t="n">
        <v>44230</v>
      </c>
      <c r="C164" s="123" t="n"/>
      <c r="D164" s="509" t="n">
        <v>35049</v>
      </c>
      <c r="E164" s="510">
        <f>E163+C164-D164</f>
        <v/>
      </c>
      <c r="F164" s="510">
        <f>-D164+C224</f>
        <v/>
      </c>
      <c r="G164" s="511">
        <f>G163+F164</f>
        <v/>
      </c>
      <c r="H164" s="511">
        <f>IF(B164="",DATEDIF(A164,$G$1,"d"),DATEDIF(A164,B164,"d"))</f>
        <v/>
      </c>
      <c r="I164">
        <f>IF(B164="",$C$1-A164,H164)</f>
        <v/>
      </c>
      <c r="J164" s="65" t="inlineStr">
        <is>
          <t>東和鋼鐵</t>
        </is>
      </c>
      <c r="K164">
        <f>IF(F164&gt;0,(H164*$F164)/365.25,0)</f>
        <v/>
      </c>
      <c r="L164">
        <f>IF(F164&gt;0,(I164*$F164)/365.25,0)</f>
        <v/>
      </c>
    </row>
    <row r="165" hidden="1" outlineLevel="1" customFormat="1" s="65">
      <c r="A165" s="508" t="n">
        <v>44168</v>
      </c>
      <c r="B165" s="508" t="n">
        <v>44264</v>
      </c>
      <c r="C165" s="123" t="n"/>
      <c r="D165" s="509" t="n">
        <v>76809</v>
      </c>
      <c r="E165" s="510">
        <f>E164+C165-D165</f>
        <v/>
      </c>
      <c r="F165" s="510">
        <f>-D165+C259</f>
        <v/>
      </c>
      <c r="G165" s="511">
        <f>G164+F165</f>
        <v/>
      </c>
      <c r="H165" s="511">
        <f>IF(B165="",DATEDIF(A165,$G$1,"d"),DATEDIF(A165,B165,"d"))</f>
        <v/>
      </c>
      <c r="I165">
        <f>IF(B165="",$C$1-A165,H165)</f>
        <v/>
      </c>
      <c r="J165" s="65" t="inlineStr">
        <is>
          <t>日月光投控</t>
        </is>
      </c>
      <c r="K165">
        <f>IF(F165&gt;0,(H165*$F165)/365.25,0)</f>
        <v/>
      </c>
      <c r="L165">
        <f>IF(F165&gt;0,(I165*$F165)/365.25,0)</f>
        <v/>
      </c>
    </row>
    <row r="166" hidden="1" outlineLevel="1" customFormat="1" s="65">
      <c r="A166" s="508" t="n">
        <v>44168</v>
      </c>
      <c r="B166" s="508" t="n">
        <v>44168</v>
      </c>
      <c r="C166" s="123" t="n">
        <v>634182</v>
      </c>
      <c r="D166" s="509" t="n"/>
      <c r="E166" s="510">
        <f>E165+C166-D166</f>
        <v/>
      </c>
      <c r="F166" s="510" t="n"/>
      <c r="G166" s="511">
        <f>G165+F166</f>
        <v/>
      </c>
      <c r="H166" s="511">
        <f>IF(B166="",DATEDIF(A166,$G$1,"d"),DATEDIF(A166,B166,"d"))</f>
        <v/>
      </c>
      <c r="I166">
        <f>IF(B166="",$C$1-A166,H166)</f>
        <v/>
      </c>
      <c r="J166" s="65" t="inlineStr">
        <is>
          <t>玉晶光</t>
        </is>
      </c>
      <c r="K166">
        <f>IF(F166&gt;0,(H166*$F166)/365.25,0)</f>
        <v/>
      </c>
      <c r="L166">
        <f>IF(F166&gt;0,(I166*$F166)/365.25,0)</f>
        <v/>
      </c>
    </row>
    <row r="167" hidden="1" outlineLevel="1" customFormat="1" s="65">
      <c r="A167" s="508" t="n">
        <v>44172</v>
      </c>
      <c r="B167" s="508" t="n">
        <v>44230</v>
      </c>
      <c r="C167" s="123" t="n"/>
      <c r="D167" s="509" t="n">
        <v>117166</v>
      </c>
      <c r="E167" s="510">
        <f>E166+C167-D167</f>
        <v/>
      </c>
      <c r="F167" s="510">
        <f>-D167+C225</f>
        <v/>
      </c>
      <c r="G167" s="511">
        <f>G166+F167</f>
        <v/>
      </c>
      <c r="H167" s="511">
        <f>IF(B167="",DATEDIF(A167,$G$1,"d"),DATEDIF(A167,B167,"d"))</f>
        <v/>
      </c>
      <c r="I167">
        <f>IF(B167="",$C$1-A167,H167)</f>
        <v/>
      </c>
      <c r="J167" s="65" t="inlineStr">
        <is>
          <t>禾伸堂</t>
        </is>
      </c>
      <c r="K167">
        <f>IF(F167&gt;0,(H167*$F167)/365.25,0)</f>
        <v/>
      </c>
      <c r="L167">
        <f>IF(F167&gt;0,(I167*$F167)/365.25,0)</f>
        <v/>
      </c>
    </row>
    <row r="168" hidden="1" outlineLevel="1" customFormat="1" s="65">
      <c r="A168" s="508" t="n">
        <v>44174</v>
      </c>
      <c r="B168" s="508" t="n">
        <v>44186</v>
      </c>
      <c r="C168" s="123" t="n"/>
      <c r="D168" s="509" t="n">
        <v>45815</v>
      </c>
      <c r="E168" s="510">
        <f>E167+C168-D168</f>
        <v/>
      </c>
      <c r="F168" s="510">
        <f>-D168+C193</f>
        <v/>
      </c>
      <c r="G168" s="511">
        <f>G167+F168</f>
        <v/>
      </c>
      <c r="H168" s="511">
        <f>IF(B168="",DATEDIF(A168,$G$1,"d"),DATEDIF(A168,B168,"d"))</f>
        <v/>
      </c>
      <c r="I168">
        <f>IF(B168="",$C$1-A168,H168)</f>
        <v/>
      </c>
      <c r="J168" s="65" t="inlineStr">
        <is>
          <t>達方</t>
        </is>
      </c>
      <c r="K168">
        <f>IF(F168&gt;0,(H168*$F168)/365.25,0)</f>
        <v/>
      </c>
      <c r="L168">
        <f>IF(F168&gt;0,(I168*$F168)/365.25,0)</f>
        <v/>
      </c>
    </row>
    <row r="169" hidden="1" outlineLevel="1" customFormat="1" s="65">
      <c r="A169" s="508" t="n">
        <v>44174</v>
      </c>
      <c r="B169" s="508" t="n">
        <v>44180</v>
      </c>
      <c r="C169" s="123" t="n"/>
      <c r="D169" s="509" t="n">
        <v>46265</v>
      </c>
      <c r="E169" s="510">
        <f>E168+C169-D169</f>
        <v/>
      </c>
      <c r="F169" s="510">
        <f>-D169+C181</f>
        <v/>
      </c>
      <c r="G169" s="511">
        <f>G168+F169</f>
        <v/>
      </c>
      <c r="H169" s="511">
        <f>IF(B169="",DATEDIF(A169,$G$1,"d"),DATEDIF(A169,B169,"d"))</f>
        <v/>
      </c>
      <c r="I169">
        <f>IF(B169="",$C$1-A169,H169)</f>
        <v/>
      </c>
      <c r="J169" s="65" t="inlineStr">
        <is>
          <t>大洋-KY</t>
        </is>
      </c>
      <c r="K169">
        <f>IF(F169&gt;0,(H169*$F169)/365.25,0)</f>
        <v/>
      </c>
      <c r="L169">
        <f>IF(F169&gt;0,(I169*$F169)/365.25,0)</f>
        <v/>
      </c>
    </row>
    <row r="170" hidden="1" outlineLevel="1" customFormat="1" s="65">
      <c r="A170" s="518" t="n">
        <v>44175</v>
      </c>
      <c r="B170" s="518" t="n"/>
      <c r="C170" s="148" t="n">
        <v>863</v>
      </c>
      <c r="D170" s="519" t="n"/>
      <c r="E170" s="520">
        <f>E169+C170-D170</f>
        <v/>
      </c>
      <c r="F170" s="520">
        <f>C170-D170</f>
        <v/>
      </c>
      <c r="G170" s="521">
        <f>G169+F170</f>
        <v/>
      </c>
      <c r="H170" s="521">
        <f>IF(B170="",DATEDIF(A170,$G$1,"d"),DATEDIF(A170,B170,"d"))</f>
        <v/>
      </c>
      <c r="I170" s="152">
        <f>IF(B170="",$C$1-A170,H170)</f>
        <v/>
      </c>
      <c r="J170" s="152" t="inlineStr">
        <is>
          <t>折讓入帳</t>
        </is>
      </c>
      <c r="K170" s="152">
        <f>IF(F170&gt;0,(H170*$F170)/365.25,0)</f>
        <v/>
      </c>
      <c r="L170" s="152">
        <f>IF(F170&gt;0,(I170*$F170)/365.25,0)</f>
        <v/>
      </c>
      <c r="M170" s="152" t="n"/>
    </row>
    <row r="171" hidden="1" outlineLevel="1" customFormat="1" s="65">
      <c r="A171" s="508" t="n">
        <v>44175</v>
      </c>
      <c r="B171" s="508" t="n">
        <v>44180</v>
      </c>
      <c r="C171" s="123" t="n"/>
      <c r="D171" s="509" t="n">
        <v>32596</v>
      </c>
      <c r="E171" s="510">
        <f>E170+C171-D171</f>
        <v/>
      </c>
      <c r="F171" s="510">
        <f>-D171+C182</f>
        <v/>
      </c>
      <c r="G171" s="511">
        <f>G170+F171</f>
        <v/>
      </c>
      <c r="H171" s="511">
        <f>IF(B171="",DATEDIF(A171,$G$1,"d"),DATEDIF(A171,B171,"d"))</f>
        <v/>
      </c>
      <c r="I171">
        <f>IF(B171="",$C$1-A171,H171)</f>
        <v/>
      </c>
      <c r="J171" s="65" t="inlineStr">
        <is>
          <t>神達</t>
        </is>
      </c>
      <c r="K171">
        <f>IF(F171&gt;0,(H171*$F171)/365.25,0)</f>
        <v/>
      </c>
      <c r="L171">
        <f>IF(F171&gt;0,(I171*$F171)/365.25,0)</f>
        <v/>
      </c>
    </row>
    <row r="172" hidden="1" outlineLevel="1" customFormat="1" s="65">
      <c r="A172" s="508" t="n">
        <v>44175</v>
      </c>
      <c r="B172" s="508" t="n">
        <v>44232</v>
      </c>
      <c r="C172" s="123" t="n"/>
      <c r="D172" s="509" t="n">
        <v>89126</v>
      </c>
      <c r="E172" s="510">
        <f>E171+C172-D172</f>
        <v/>
      </c>
      <c r="F172" s="510">
        <f>-D172+C228</f>
        <v/>
      </c>
      <c r="G172" s="511">
        <f>G171+F172</f>
        <v/>
      </c>
      <c r="H172" s="511">
        <f>IF(B172="",DATEDIF(A172,$G$1,"d"),DATEDIF(A172,B172,"d"))</f>
        <v/>
      </c>
      <c r="I172">
        <f>IF(B172="",$C$1-A172,H172)</f>
        <v/>
      </c>
      <c r="J172" s="65" t="inlineStr">
        <is>
          <t>鴻海</t>
        </is>
      </c>
      <c r="K172">
        <f>IF(F172&gt;0,(H172*$F172)/365.25,0)</f>
        <v/>
      </c>
      <c r="L172">
        <f>IF(F172&gt;0,(I172*$F172)/365.25,0)</f>
        <v/>
      </c>
    </row>
    <row r="173" hidden="1" outlineLevel="1" customFormat="1" s="65">
      <c r="A173" s="508" t="n">
        <v>44175</v>
      </c>
      <c r="B173" s="508" t="n">
        <v>44175</v>
      </c>
      <c r="C173" s="123" t="n">
        <v>50576</v>
      </c>
      <c r="D173" s="509" t="n"/>
      <c r="E173" s="510">
        <f>E172+C173-D173</f>
        <v/>
      </c>
      <c r="F173" s="510" t="n"/>
      <c r="G173" s="511">
        <f>G172+F173</f>
        <v/>
      </c>
      <c r="H173" s="511">
        <f>IF(B173="",DATEDIF(A173,$G$1,"d"),DATEDIF(A173,B173,"d"))</f>
        <v/>
      </c>
      <c r="I173">
        <f>IF(B173="",$C$1-A173,H173)</f>
        <v/>
      </c>
      <c r="J173" s="65" t="inlineStr">
        <is>
          <t>聯電</t>
        </is>
      </c>
      <c r="K173">
        <f>IF(F173&gt;0,(H173*$F173)/365.25,0)</f>
        <v/>
      </c>
      <c r="L173">
        <f>IF(F173&gt;0,(I173*$F173)/365.25,0)</f>
        <v/>
      </c>
    </row>
    <row r="174" hidden="1" outlineLevel="1" customFormat="1" s="65">
      <c r="A174" s="508" t="n">
        <v>44175</v>
      </c>
      <c r="B174" s="508" t="n">
        <v>44175</v>
      </c>
      <c r="C174" s="123" t="n">
        <v>10499</v>
      </c>
      <c r="D174" s="509" t="n"/>
      <c r="E174" s="510">
        <f>E173+C174-D174</f>
        <v/>
      </c>
      <c r="F174" s="510" t="n"/>
      <c r="G174" s="511">
        <f>G173+F174</f>
        <v/>
      </c>
      <c r="H174" s="511">
        <f>IF(B174="",DATEDIF(A174,$G$1,"d"),DATEDIF(A174,B174,"d"))</f>
        <v/>
      </c>
      <c r="I174">
        <f>IF(B174="",$C$1-A174,H174)</f>
        <v/>
      </c>
      <c r="J174" s="65" t="inlineStr">
        <is>
          <t>華航</t>
        </is>
      </c>
      <c r="K174">
        <f>IF(F174&gt;0,(H174*$F174)/365.25,0)</f>
        <v/>
      </c>
      <c r="L174">
        <f>IF(F174&gt;0,(I174*$F174)/365.25,0)</f>
        <v/>
      </c>
    </row>
    <row r="175" hidden="1" outlineLevel="1" customFormat="1" s="65">
      <c r="A175" s="508" t="n">
        <v>44175</v>
      </c>
      <c r="B175" s="508" t="n">
        <v>44175</v>
      </c>
      <c r="C175" s="123" t="n">
        <v>33850</v>
      </c>
      <c r="D175" s="509" t="n"/>
      <c r="E175" s="510">
        <f>E174+C175-D175</f>
        <v/>
      </c>
      <c r="F175" s="510" t="n"/>
      <c r="G175" s="511">
        <f>G174+F175</f>
        <v/>
      </c>
      <c r="H175" s="511">
        <f>IF(B175="",DATEDIF(A175,$G$1,"d"),DATEDIF(A175,B175,"d"))</f>
        <v/>
      </c>
      <c r="I175">
        <f>IF(B175="",$C$1-A175,H175)</f>
        <v/>
      </c>
      <c r="J175" s="65" t="inlineStr">
        <is>
          <t>亞昕</t>
        </is>
      </c>
      <c r="K175">
        <f>IF(F175&gt;0,(H175*$F175)/365.25,0)</f>
        <v/>
      </c>
      <c r="L175">
        <f>IF(F175&gt;0,(I175*$F175)/365.25,0)</f>
        <v/>
      </c>
    </row>
    <row r="176" hidden="1" outlineLevel="1" customFormat="1" s="65">
      <c r="A176" s="508" t="n">
        <v>44160</v>
      </c>
      <c r="B176" s="508" t="n">
        <v>44176</v>
      </c>
      <c r="C176" s="123" t="n">
        <v>125443</v>
      </c>
      <c r="D176" s="509" t="n"/>
      <c r="E176" s="510">
        <f>E175+C176-D176</f>
        <v/>
      </c>
      <c r="F176" s="510">
        <f>-D176+C216</f>
        <v/>
      </c>
      <c r="G176" s="511">
        <f>G175+F176</f>
        <v/>
      </c>
      <c r="H176" s="511">
        <f>IF(B176="",DATEDIF(A176,$G$1,"d"),DATEDIF(A176,B176,"d"))</f>
        <v/>
      </c>
      <c r="I176">
        <f>IF(B176="",$C$1-A176,H176)</f>
        <v/>
      </c>
      <c r="J176" s="65" t="inlineStr">
        <is>
          <t>世界</t>
        </is>
      </c>
      <c r="K176">
        <f>IF(F176&gt;0,(H176*$F176)/365.25,0)</f>
        <v/>
      </c>
      <c r="L176">
        <f>IF(F176&gt;0,(I176*$F176)/365.25,0)</f>
        <v/>
      </c>
    </row>
    <row r="177" hidden="1" outlineLevel="1" customFormat="1" s="65">
      <c r="A177" s="508" t="n">
        <v>44176</v>
      </c>
      <c r="B177" s="508" t="n">
        <v>44232</v>
      </c>
      <c r="C177" s="123" t="n"/>
      <c r="D177" s="509" t="n">
        <v>73805</v>
      </c>
      <c r="E177" s="510">
        <f>E176+C177-D177</f>
        <v/>
      </c>
      <c r="F177" s="510">
        <f>-D177+C229</f>
        <v/>
      </c>
      <c r="G177" s="511">
        <f>G176+F177</f>
        <v/>
      </c>
      <c r="H177" s="511">
        <f>IF(B177="",DATEDIF(A177,$G$1,"d"),DATEDIF(A177,B177,"d"))</f>
        <v/>
      </c>
      <c r="I177">
        <f>IF(B177="",$C$1-A177,H177)</f>
        <v/>
      </c>
      <c r="J177" s="65" t="inlineStr">
        <is>
          <t>聯發科</t>
        </is>
      </c>
      <c r="K177">
        <f>IF(F177&gt;0,(H177*$F177)/365.25,0)</f>
        <v/>
      </c>
      <c r="L177">
        <f>IF(F177&gt;0,(I177*$F177)/365.25,0)</f>
        <v/>
      </c>
    </row>
    <row r="178" hidden="1" outlineLevel="1" customFormat="1" s="65">
      <c r="A178" s="508" t="n">
        <v>44179</v>
      </c>
      <c r="B178" s="508" t="n">
        <v>44210</v>
      </c>
      <c r="C178" s="123" t="n"/>
      <c r="D178" s="509" t="n">
        <v>29191</v>
      </c>
      <c r="E178" s="510">
        <f>E177+C178-D178</f>
        <v/>
      </c>
      <c r="F178" s="510">
        <f>-D178+C207</f>
        <v/>
      </c>
      <c r="G178" s="511">
        <f>G177+F178</f>
        <v/>
      </c>
      <c r="H178" s="511">
        <f>IF(B178="",DATEDIF(A178,$G$1,"d"),DATEDIF(A178,B178,"d"))</f>
        <v/>
      </c>
      <c r="I178">
        <f>IF(B178="",$C$1-A178,H178)</f>
        <v/>
      </c>
      <c r="J178" s="65" t="inlineStr">
        <is>
          <t>長榮</t>
        </is>
      </c>
      <c r="K178">
        <f>IF(F178&gt;0,(H178*$F178)/365.25,0)</f>
        <v/>
      </c>
      <c r="L178">
        <f>IF(F178&gt;0,(I178*$F178)/365.25,0)</f>
        <v/>
      </c>
    </row>
    <row r="179" hidden="1" outlineLevel="1" customFormat="1" s="65">
      <c r="A179" s="508" t="n">
        <v>44179</v>
      </c>
      <c r="B179" s="508" t="n">
        <v>44186</v>
      </c>
      <c r="C179" s="123" t="n"/>
      <c r="D179" s="509" t="n">
        <v>41358</v>
      </c>
      <c r="E179" s="510">
        <f>E178+C179-D179</f>
        <v/>
      </c>
      <c r="F179" s="510">
        <f>-D179+C194</f>
        <v/>
      </c>
      <c r="G179" s="511">
        <f>G178+F179</f>
        <v/>
      </c>
      <c r="H179" s="511">
        <f>IF(B179="",DATEDIF(A179,$G$1,"d"),DATEDIF(A179,B179,"d"))</f>
        <v/>
      </c>
      <c r="I179">
        <f>IF(B179="",$C$1-A179,H179)</f>
        <v/>
      </c>
      <c r="J179" s="65" t="inlineStr">
        <is>
          <t>漢磊</t>
        </is>
      </c>
      <c r="K179">
        <f>IF(F179&gt;0,(H179*$F179)/365.25,0)</f>
        <v/>
      </c>
      <c r="L179">
        <f>IF(F179&gt;0,(I179*$F179)/365.25,0)</f>
        <v/>
      </c>
    </row>
    <row r="180" hidden="1" outlineLevel="1" customFormat="1" s="65">
      <c r="A180" s="508" t="n">
        <v>44180</v>
      </c>
      <c r="B180" s="508" t="n">
        <v>44232</v>
      </c>
      <c r="C180" s="123" t="n"/>
      <c r="D180" s="509" t="n">
        <v>138697</v>
      </c>
      <c r="E180" s="510">
        <f>E179+C180-D180</f>
        <v/>
      </c>
      <c r="F180" s="510">
        <f>-D180+C230</f>
        <v/>
      </c>
      <c r="G180" s="511">
        <f>G179+F180</f>
        <v/>
      </c>
      <c r="H180" s="511">
        <f>IF(B180="",DATEDIF(A180,$G$1,"d"),DATEDIF(A180,B180,"d"))</f>
        <v/>
      </c>
      <c r="I180">
        <f>IF(B180="",$C$1-A180,H180)</f>
        <v/>
      </c>
      <c r="J180" s="65" t="inlineStr">
        <is>
          <t>群創</t>
        </is>
      </c>
      <c r="K180">
        <f>IF(F180&gt;0,(H180*$F180)/365.25,0)</f>
        <v/>
      </c>
      <c r="L180">
        <f>IF(F180&gt;0,(I180*$F180)/365.25,0)</f>
        <v/>
      </c>
    </row>
    <row r="181" hidden="1" outlineLevel="1" customFormat="1" s="65">
      <c r="A181" s="508" t="n">
        <v>44180</v>
      </c>
      <c r="B181" s="508" t="n">
        <v>44180</v>
      </c>
      <c r="C181" s="123" t="n">
        <v>42014</v>
      </c>
      <c r="D181" s="509" t="n"/>
      <c r="E181" s="510">
        <f>E180+C181-D181</f>
        <v/>
      </c>
      <c r="F181" s="510" t="n"/>
      <c r="G181" s="511">
        <f>G180+F181</f>
        <v/>
      </c>
      <c r="H181" s="511">
        <f>IF(B181="",DATEDIF(A181,$G$1,"d"),DATEDIF(A181,B181,"d"))</f>
        <v/>
      </c>
      <c r="I181">
        <f>IF(B181="",$C$1-A181,H181)</f>
        <v/>
      </c>
      <c r="J181" s="65" t="inlineStr">
        <is>
          <t>大洋-KY</t>
        </is>
      </c>
      <c r="K181">
        <f>IF(F181&gt;0,(H181*$F181)/365.25,0)</f>
        <v/>
      </c>
      <c r="L181">
        <f>IF(F181&gt;0,(I181*$F181)/365.25,0)</f>
        <v/>
      </c>
    </row>
    <row r="182" hidden="1" outlineLevel="1" customFormat="1" s="65">
      <c r="A182" s="508" t="n">
        <v>44174</v>
      </c>
      <c r="B182" s="508" t="n">
        <v>44180</v>
      </c>
      <c r="C182" s="123" t="n">
        <v>29520</v>
      </c>
      <c r="D182" s="509" t="n"/>
      <c r="E182" s="510">
        <f>E181+C182-D182</f>
        <v/>
      </c>
      <c r="F182" s="510" t="n"/>
      <c r="G182" s="511">
        <f>G181+F182</f>
        <v/>
      </c>
      <c r="H182" s="511">
        <f>IF(B182="",DATEDIF(A182,$G$1,"d"),DATEDIF(A182,B182,"d"))</f>
        <v/>
      </c>
      <c r="I182">
        <f>IF(B182="",$C$1-A182,H182)</f>
        <v/>
      </c>
      <c r="J182" s="65" t="inlineStr">
        <is>
          <t>神達</t>
        </is>
      </c>
      <c r="K182">
        <f>IF(F182&gt;0,(H182*$F182)/365.25,0)</f>
        <v/>
      </c>
      <c r="L182">
        <f>IF(F182&gt;0,(I182*$F182)/365.25,0)</f>
        <v/>
      </c>
    </row>
    <row r="183" hidden="1" outlineLevel="1" customFormat="1" s="65">
      <c r="A183" s="508" t="n">
        <v>44181</v>
      </c>
      <c r="B183" s="508" t="n">
        <v>44183</v>
      </c>
      <c r="C183" s="123" t="n"/>
      <c r="D183" s="509" t="n">
        <v>20</v>
      </c>
      <c r="E183" s="510">
        <f>E182+C183-D183</f>
        <v/>
      </c>
      <c r="F183" s="510">
        <f>C183-D183</f>
        <v/>
      </c>
      <c r="G183" s="511">
        <f>G182+F183</f>
        <v/>
      </c>
      <c r="H183" s="511">
        <f>IF(B183="",DATEDIF(A183,$G$1,"d"),DATEDIF(A183,B183,"d"))</f>
        <v/>
      </c>
      <c r="I183">
        <f>IF(B183="",$C$1-A183,H183)</f>
        <v/>
      </c>
      <c r="J183" s="65" t="inlineStr">
        <is>
          <t>祺驊</t>
        </is>
      </c>
      <c r="K183">
        <f>IF(F183&gt;0,(H183*$F183)/365.25,0)</f>
        <v/>
      </c>
      <c r="L183">
        <f>IF(F183&gt;0,(I183*$F183)/365.25,0)</f>
        <v/>
      </c>
      <c r="M183" s="65" t="inlineStr">
        <is>
          <t>股票申購</t>
        </is>
      </c>
    </row>
    <row r="184" hidden="1" outlineLevel="1" customFormat="1" s="65">
      <c r="A184" s="508" t="n">
        <v>44181</v>
      </c>
      <c r="B184" s="508" t="n">
        <v>44183</v>
      </c>
      <c r="C184" s="123" t="n"/>
      <c r="D184" s="509" t="n">
        <v>20</v>
      </c>
      <c r="E184" s="510">
        <f>E183+C184-D184</f>
        <v/>
      </c>
      <c r="F184" s="510">
        <f>C184-D184</f>
        <v/>
      </c>
      <c r="G184" s="511">
        <f>G183+F184</f>
        <v/>
      </c>
      <c r="H184" s="511">
        <f>IF(B184="",DATEDIF(A184,$G$1,"d"),DATEDIF(A184,B184,"d"))</f>
        <v/>
      </c>
      <c r="I184">
        <f>IF(B184="",$C$1-A184,H184)</f>
        <v/>
      </c>
      <c r="J184" s="65" t="inlineStr">
        <is>
          <t>上銀</t>
        </is>
      </c>
      <c r="K184">
        <f>IF(F184&gt;0,(H184*$F184)/365.25,0)</f>
        <v/>
      </c>
      <c r="L184">
        <f>IF(F184&gt;0,(I184*$F184)/365.25,0)</f>
        <v/>
      </c>
      <c r="M184" s="65" t="inlineStr">
        <is>
          <t>股票申購</t>
        </is>
      </c>
    </row>
    <row r="185" hidden="1" outlineLevel="1" customFormat="1" s="65">
      <c r="A185" s="508" t="n">
        <v>44182</v>
      </c>
      <c r="B185" s="508" t="n">
        <v>44210</v>
      </c>
      <c r="C185" s="123" t="n"/>
      <c r="D185" s="509" t="n">
        <v>24935</v>
      </c>
      <c r="E185" s="510">
        <f>E184+C185-D185</f>
        <v/>
      </c>
      <c r="F185" s="510">
        <f>-D185+C208</f>
        <v/>
      </c>
      <c r="G185" s="511">
        <f>G184+F185</f>
        <v/>
      </c>
      <c r="H185" s="511">
        <f>IF(B185="",DATEDIF(A185,$G$1,"d"),DATEDIF(A185,B185,"d"))</f>
        <v/>
      </c>
      <c r="I185">
        <f>IF(B185="",$C$1-A185,H185)</f>
        <v/>
      </c>
      <c r="J185" s="65" t="inlineStr">
        <is>
          <t>中鋼</t>
        </is>
      </c>
      <c r="K185">
        <f>IF(F185&gt;0,(H185*$F185)/365.25,0)</f>
        <v/>
      </c>
      <c r="L185">
        <f>IF(F185&gt;0,(I185*$F185)/365.25,0)</f>
        <v/>
      </c>
    </row>
    <row r="186" hidden="1" outlineLevel="1" customFormat="1" s="65">
      <c r="A186" s="508" t="n">
        <v>44182</v>
      </c>
      <c r="B186" s="508" t="n">
        <v>44210</v>
      </c>
      <c r="C186" s="123" t="n"/>
      <c r="D186" s="509" t="n">
        <v>134691</v>
      </c>
      <c r="E186" s="510">
        <f>E185+C186-D186</f>
        <v/>
      </c>
      <c r="F186" s="510">
        <f>-D186+C209</f>
        <v/>
      </c>
      <c r="G186" s="511">
        <f>G185+F186</f>
        <v/>
      </c>
      <c r="H186" s="511">
        <f>IF(B186="",DATEDIF(A186,$G$1,"d"),DATEDIF(A186,B186,"d"))</f>
        <v/>
      </c>
      <c r="I186">
        <f>IF(B186="",$C$1-A186,H186)</f>
        <v/>
      </c>
      <c r="J186" s="65" t="inlineStr">
        <is>
          <t>艾華</t>
        </is>
      </c>
      <c r="K186">
        <f>IF(F186&gt;0,(H186*$F186)/365.25,0)</f>
        <v/>
      </c>
      <c r="L186">
        <f>IF(F186&gt;0,(I186*$F186)/365.25,0)</f>
        <v/>
      </c>
    </row>
    <row r="187" hidden="1" outlineLevel="1" customFormat="1" s="65">
      <c r="A187" s="508" t="n">
        <v>44182</v>
      </c>
      <c r="B187" s="508" t="n">
        <v>44186</v>
      </c>
      <c r="C187" s="123" t="n"/>
      <c r="D187" s="509" t="n">
        <v>20</v>
      </c>
      <c r="E187" s="510">
        <f>E186+C187-D187</f>
        <v/>
      </c>
      <c r="F187" s="510">
        <f>C187-D187</f>
        <v/>
      </c>
      <c r="G187" s="511">
        <f>G186+F187</f>
        <v/>
      </c>
      <c r="H187" s="511">
        <f>IF(B187="",DATEDIF(A187,$G$1,"d"),DATEDIF(A187,B187,"d"))</f>
        <v/>
      </c>
      <c r="I187">
        <f>IF(B187="",$C$1-A187,H187)</f>
        <v/>
      </c>
      <c r="J187" s="65" t="inlineStr">
        <is>
          <t>榮成</t>
        </is>
      </c>
      <c r="K187">
        <f>IF(F187&gt;0,(H187*$F187)/365.25,0)</f>
        <v/>
      </c>
      <c r="L187">
        <f>IF(F187&gt;0,(I187*$F187)/365.25,0)</f>
        <v/>
      </c>
      <c r="M187" s="65" t="inlineStr">
        <is>
          <t>股票申購</t>
        </is>
      </c>
    </row>
    <row r="188" hidden="1" outlineLevel="1" customFormat="1" s="65">
      <c r="A188" s="508" t="n">
        <v>44182</v>
      </c>
      <c r="B188" s="508" t="n">
        <v>44186</v>
      </c>
      <c r="C188" s="123" t="n"/>
      <c r="D188" s="509" t="n">
        <v>20</v>
      </c>
      <c r="E188" s="510">
        <f>E187+C188-D188</f>
        <v/>
      </c>
      <c r="F188" s="510">
        <f>C188-D188</f>
        <v/>
      </c>
      <c r="G188" s="511">
        <f>G187+F188</f>
        <v/>
      </c>
      <c r="H188" s="511">
        <f>IF(B188="",DATEDIF(A188,$G$1,"d"),DATEDIF(A188,B188,"d"))</f>
        <v/>
      </c>
      <c r="I188">
        <f>IF(B188="",$C$1-A188,H188)</f>
        <v/>
      </c>
      <c r="J188" s="65" t="inlineStr">
        <is>
          <t>西柏</t>
        </is>
      </c>
      <c r="K188">
        <f>IF(F188&gt;0,(H188*$F188)/365.25,0)</f>
        <v/>
      </c>
      <c r="L188">
        <f>IF(F188&gt;0,(I188*$F188)/365.25,0)</f>
        <v/>
      </c>
      <c r="M188" s="65" t="inlineStr">
        <is>
          <t>股票申購</t>
        </is>
      </c>
    </row>
    <row r="189" hidden="1" outlineLevel="1" customFormat="1" s="65">
      <c r="A189" s="508" t="n">
        <v>44182</v>
      </c>
      <c r="B189" s="508" t="n">
        <v>44186</v>
      </c>
      <c r="C189" s="123" t="n"/>
      <c r="D189" s="509" t="n">
        <v>20</v>
      </c>
      <c r="E189" s="510">
        <f>E188+C189-D189</f>
        <v/>
      </c>
      <c r="F189" s="510">
        <f>C189-D189</f>
        <v/>
      </c>
      <c r="G189" s="511">
        <f>G188+F189</f>
        <v/>
      </c>
      <c r="H189" s="511">
        <f>IF(B189="",DATEDIF(A189,$G$1,"d"),DATEDIF(A189,B189,"d"))</f>
        <v/>
      </c>
      <c r="I189">
        <f>IF(B189="",$C$1-A189,H189)</f>
        <v/>
      </c>
      <c r="J189" s="65" t="inlineStr">
        <is>
          <t>威鋒電子</t>
        </is>
      </c>
      <c r="K189">
        <f>IF(F189&gt;0,(H189*$F189)/365.25,0)</f>
        <v/>
      </c>
      <c r="L189">
        <f>IF(F189&gt;0,(I189*$F189)/365.25,0)</f>
        <v/>
      </c>
      <c r="M189" s="65" t="inlineStr">
        <is>
          <t>股票申購</t>
        </is>
      </c>
    </row>
    <row r="190" hidden="1" outlineLevel="1" customFormat="1" s="65">
      <c r="A190" s="508" t="n">
        <v>44183</v>
      </c>
      <c r="B190" s="508" t="n">
        <v>44232</v>
      </c>
      <c r="C190" s="123" t="n"/>
      <c r="D190" s="509" t="n">
        <v>86823</v>
      </c>
      <c r="E190" s="510">
        <f>E189+C190-D190</f>
        <v/>
      </c>
      <c r="F190" s="510">
        <f>-D190+C231</f>
        <v/>
      </c>
      <c r="G190" s="511">
        <f>G189+F190</f>
        <v/>
      </c>
      <c r="H190" s="511">
        <f>IF(B190="",DATEDIF(A190,$G$1,"d"),DATEDIF(A190,B190,"d"))</f>
        <v/>
      </c>
      <c r="I190">
        <f>IF(B190="",$C$1-A190,H190)</f>
        <v/>
      </c>
      <c r="J190" s="65" t="inlineStr">
        <is>
          <t>欣興</t>
        </is>
      </c>
      <c r="K190">
        <f>IF(F190&gt;0,(H190*$F190)/365.25,0)</f>
        <v/>
      </c>
      <c r="L190">
        <f>IF(F190&gt;0,(I190*$F190)/365.25,0)</f>
        <v/>
      </c>
      <c r="N190" s="211" t="n"/>
    </row>
    <row r="191" hidden="1" outlineLevel="1" customFormat="1" s="65">
      <c r="A191" s="508" t="n">
        <v>44183</v>
      </c>
      <c r="B191" s="508" t="n">
        <v>44187</v>
      </c>
      <c r="C191" s="123" t="n"/>
      <c r="D191" s="509" t="n">
        <v>20</v>
      </c>
      <c r="E191" s="510">
        <f>E190+C191-D191</f>
        <v/>
      </c>
      <c r="F191" s="510">
        <f>C191-D191</f>
        <v/>
      </c>
      <c r="G191" s="511">
        <f>G190+F191</f>
        <v/>
      </c>
      <c r="H191" s="511">
        <f>IF(B191="",DATEDIF(A191,$G$1,"d"),DATEDIF(A191,B191,"d"))</f>
        <v/>
      </c>
      <c r="I191">
        <f>IF(B191="",$C$1-A191,H191)</f>
        <v/>
      </c>
      <c r="J191" s="65" t="inlineStr">
        <is>
          <t>上洋</t>
        </is>
      </c>
      <c r="K191">
        <f>IF(F191&gt;0,(H191*$F191)/365.25,0)</f>
        <v/>
      </c>
      <c r="L191">
        <f>IF(F191&gt;0,(I191*$F191)/365.25,0)</f>
        <v/>
      </c>
      <c r="M191" s="65" t="inlineStr">
        <is>
          <t>股票申購</t>
        </is>
      </c>
      <c r="N191" s="141" t="n"/>
    </row>
    <row r="192" hidden="1" outlineLevel="1" customFormat="1" s="65">
      <c r="A192" s="508" t="n">
        <v>44183</v>
      </c>
      <c r="B192" s="508" t="n">
        <v>44187</v>
      </c>
      <c r="C192" s="123" t="n"/>
      <c r="D192" s="509" t="n">
        <v>20</v>
      </c>
      <c r="E192" s="510">
        <f>E191+C192-D192</f>
        <v/>
      </c>
      <c r="F192" s="510">
        <f>C192-D192</f>
        <v/>
      </c>
      <c r="G192" s="511">
        <f>G191+F192</f>
        <v/>
      </c>
      <c r="H192" s="511">
        <f>IF(B192="",DATEDIF(A192,$G$1,"d"),DATEDIF(A192,B192,"d"))</f>
        <v/>
      </c>
      <c r="I192">
        <f>IF(B192="",$C$1-A192,H192)</f>
        <v/>
      </c>
      <c r="J192" s="65" t="inlineStr">
        <is>
          <t>智聯服務</t>
        </is>
      </c>
      <c r="K192">
        <f>IF(F192&gt;0,(H192*$F192)/365.25,0)</f>
        <v/>
      </c>
      <c r="L192">
        <f>IF(F192&gt;0,(I192*$F192)/365.25,0)</f>
        <v/>
      </c>
      <c r="M192" s="65" t="inlineStr">
        <is>
          <t>股票申購</t>
        </is>
      </c>
    </row>
    <row r="193" hidden="1" outlineLevel="1" customFormat="1" s="65">
      <c r="A193" s="508" t="n">
        <v>44174</v>
      </c>
      <c r="B193" s="508" t="n">
        <v>44186</v>
      </c>
      <c r="C193" s="123" t="n">
        <v>43159</v>
      </c>
      <c r="D193" s="509" t="n"/>
      <c r="E193" s="510">
        <f>E192+C193-D193</f>
        <v/>
      </c>
      <c r="F193" s="510" t="n"/>
      <c r="G193" s="511">
        <f>G192+F193</f>
        <v/>
      </c>
      <c r="H193" s="511">
        <f>IF(B193="",DATEDIF(A193,$G$1,"d"),DATEDIF(A193,B193,"d"))</f>
        <v/>
      </c>
      <c r="I193">
        <f>IF(B193="",$C$1-A193,H193)</f>
        <v/>
      </c>
      <c r="J193" s="65" t="inlineStr">
        <is>
          <t>達方</t>
        </is>
      </c>
      <c r="K193">
        <f>IF(F193&gt;0,(H193*$F193)/365.25,0)</f>
        <v/>
      </c>
      <c r="L193">
        <f>IF(F193&gt;0,(I193*$F193)/365.25,0)</f>
        <v/>
      </c>
    </row>
    <row r="194" hidden="1" outlineLevel="1" customFormat="1" s="65">
      <c r="A194" s="508" t="n">
        <v>44179</v>
      </c>
      <c r="B194" s="508" t="n">
        <v>44186</v>
      </c>
      <c r="C194" s="123" t="n">
        <v>37932</v>
      </c>
      <c r="D194" s="509" t="n"/>
      <c r="E194" s="510">
        <f>E193+C194-D194</f>
        <v/>
      </c>
      <c r="F194" s="510" t="n"/>
      <c r="G194" s="511">
        <f>G193+F194</f>
        <v/>
      </c>
      <c r="H194" s="511">
        <f>IF(B194="",DATEDIF(A194,$G$1,"d"),DATEDIF(A194,B194,"d"))</f>
        <v/>
      </c>
      <c r="I194">
        <f>IF(B194="",$C$1-A194,H194)</f>
        <v/>
      </c>
      <c r="J194" s="65" t="inlineStr">
        <is>
          <t>漢磊</t>
        </is>
      </c>
      <c r="K194">
        <f>IF(F194&gt;0,(H194*$F194)/365.25,0)</f>
        <v/>
      </c>
      <c r="L194">
        <f>IF(F194&gt;0,(I194*$F194)/365.25,0)</f>
        <v/>
      </c>
    </row>
    <row r="195" hidden="1" outlineLevel="1" customFormat="1" s="65">
      <c r="A195" s="513" t="n">
        <v>44186</v>
      </c>
      <c r="B195" s="513" t="n"/>
      <c r="C195" s="154" t="n">
        <v>141</v>
      </c>
      <c r="D195" s="514" t="n"/>
      <c r="E195" s="515">
        <f>E194+C195-D195</f>
        <v/>
      </c>
      <c r="F195" s="515">
        <f>C195-D195</f>
        <v/>
      </c>
      <c r="G195" s="516">
        <f>G194+F195</f>
        <v/>
      </c>
      <c r="H195" s="516">
        <f>IF(B195="",DATEDIF(A195,$G$1,"d"),DATEDIF(A195,B195,"d"))</f>
        <v/>
      </c>
      <c r="I195" s="158">
        <f>IF(B195="",$C$1-A195,H195)</f>
        <v/>
      </c>
      <c r="J195" s="158" t="inlineStr">
        <is>
          <t>利息</t>
        </is>
      </c>
      <c r="K195" s="158">
        <f>IF(F195&gt;0,(H195*$F195)/365.25,0)</f>
        <v/>
      </c>
      <c r="L195" s="158">
        <f>IF(F195&gt;0,(I195*$F195)/365.25,0)</f>
        <v/>
      </c>
      <c r="M195" s="159" t="n"/>
    </row>
    <row r="196" ht="17.25" customFormat="1" customHeight="1" s="65" thickBot="1">
      <c r="A196" s="508" t="n">
        <v>44187</v>
      </c>
      <c r="B196" s="508" t="n">
        <v>44204</v>
      </c>
      <c r="C196" s="123" t="n"/>
      <c r="D196" s="509" t="n">
        <v>43762</v>
      </c>
      <c r="E196" s="510">
        <f>E195+C196-D196</f>
        <v/>
      </c>
      <c r="F196" s="510" t="n"/>
      <c r="G196" s="511">
        <f>G195+F196</f>
        <v/>
      </c>
      <c r="H196" s="511">
        <f>IF(B196="",DATEDIF(A196,$G$1,"d"),DATEDIF(A196,B196,"d"))</f>
        <v/>
      </c>
      <c r="I196">
        <f>IF(B196="",$C$1-A196,H196)</f>
        <v/>
      </c>
      <c r="J196" s="65" t="inlineStr">
        <is>
          <t>鑫科</t>
        </is>
      </c>
      <c r="K196">
        <f>IF(F196&gt;0,(H196*$F196)/365.25,0)</f>
        <v/>
      </c>
      <c r="L196">
        <f>IF(F196&gt;0,(I196*$F196)/365.25,0)</f>
        <v/>
      </c>
    </row>
    <row r="197" customFormat="1" s="65">
      <c r="A197" s="508" t="n">
        <v>44201</v>
      </c>
      <c r="B197" s="508" t="n">
        <v>44205</v>
      </c>
      <c r="C197" s="123" t="n"/>
      <c r="D197" s="509" t="n">
        <v>20</v>
      </c>
      <c r="E197" s="510">
        <f>E196+C197-D197</f>
        <v/>
      </c>
      <c r="F197" s="510">
        <f>C197-D197</f>
        <v/>
      </c>
      <c r="G197" s="511">
        <f>G196+F197</f>
        <v/>
      </c>
      <c r="H197" s="511">
        <f>IF(B197="",DATEDIF(A197,$G$1,"d"),DATEDIF(A197,B197,"d"))</f>
        <v/>
      </c>
      <c r="I197">
        <f>IF(B197="",$C$1-A197,H197)</f>
        <v/>
      </c>
      <c r="J197" s="141" t="inlineStr">
        <is>
          <t>長聖</t>
        </is>
      </c>
      <c r="K197">
        <f>IF(F197&gt;0,(H197*$F197)/365.25,0)</f>
        <v/>
      </c>
      <c r="L197">
        <f>IF(F197&gt;0,(I197*$F197)/365.25,0)</f>
        <v/>
      </c>
      <c r="M197" s="65" t="inlineStr">
        <is>
          <t>股票申購</t>
        </is>
      </c>
      <c r="N197" s="217" t="inlineStr">
        <is>
          <t>2021 Total</t>
        </is>
      </c>
      <c r="O197" s="512">
        <f>SUM(D197:D456)</f>
        <v/>
      </c>
    </row>
    <row r="198" collapsed="1" ht="17.25" customFormat="1" customHeight="1" s="65" thickBot="1">
      <c r="A198" s="518" t="n">
        <v>44204</v>
      </c>
      <c r="B198" s="518" t="n"/>
      <c r="C198" s="148" t="n">
        <v>1124</v>
      </c>
      <c r="D198" s="519" t="n"/>
      <c r="E198" s="520">
        <f>E197+C198-D198</f>
        <v/>
      </c>
      <c r="F198" s="520">
        <f>C198-D198</f>
        <v/>
      </c>
      <c r="G198" s="521">
        <f>G197+F198</f>
        <v/>
      </c>
      <c r="H198" s="521">
        <f>IF(B198="",DATEDIF(A198,$F$1,"d"),DATEDIF(A198,B198,"d"))</f>
        <v/>
      </c>
      <c r="I198" s="152">
        <f>IF(B198="",$C$1-A198,H198)</f>
        <v/>
      </c>
      <c r="J198" s="152" t="inlineStr">
        <is>
          <t>折讓入帳</t>
        </is>
      </c>
      <c r="K198" s="152">
        <f>IF(F198&gt;0,(H198*$F198)/365.25,0)</f>
        <v/>
      </c>
      <c r="L198" s="152">
        <f>IF(F198&gt;0,(I198*$F198)/365.25,0)</f>
        <v/>
      </c>
      <c r="M198" s="152" t="n"/>
      <c r="N198" s="215" t="inlineStr">
        <is>
          <t>2021 Total Avg</t>
        </is>
      </c>
      <c r="O198" s="517">
        <f>(SUMPRODUCT(C197:C456,I197:I456)+SUMPRODUCT(D197:D456,I197:I456))/($C$1-$A$197)</f>
        <v/>
      </c>
    </row>
    <row r="199" hidden="1" outlineLevel="1" customFormat="1" s="65">
      <c r="A199" s="508" t="n">
        <v>44204</v>
      </c>
      <c r="B199" s="508" t="n">
        <v>44204</v>
      </c>
      <c r="C199" s="123" t="n">
        <v>53066</v>
      </c>
      <c r="D199" s="509" t="n"/>
      <c r="E199" s="510">
        <f>E198+C199-D199</f>
        <v/>
      </c>
      <c r="F199" s="510" t="n"/>
      <c r="G199" s="511">
        <f>G198+F199</f>
        <v/>
      </c>
      <c r="H199" s="511">
        <f>IF(B199="",DATEDIF(A199,$G$1,"d"),DATEDIF(A199,B199,"d"))</f>
        <v/>
      </c>
      <c r="I199">
        <f>IF(B199="",$C$1-A199,H199)</f>
        <v/>
      </c>
      <c r="J199" s="65" t="inlineStr">
        <is>
          <t>萬海</t>
        </is>
      </c>
      <c r="K199">
        <f>IF(F199&gt;0,(H199*$F199)/365.25,0)</f>
        <v/>
      </c>
      <c r="L199">
        <f>IF(F199&gt;0,(I199*$F199)/365.25,0)</f>
        <v/>
      </c>
    </row>
    <row r="200" hidden="1" outlineLevel="1" customFormat="1" s="65">
      <c r="A200" s="508" t="n">
        <v>44204</v>
      </c>
      <c r="B200" s="508" t="n">
        <v>44204</v>
      </c>
      <c r="C200" s="123" t="n">
        <v>29022</v>
      </c>
      <c r="D200" s="509" t="n"/>
      <c r="E200" s="510">
        <f>E199+C200-D200</f>
        <v/>
      </c>
      <c r="F200" s="510" t="n"/>
      <c r="G200" s="511">
        <f>G199+F200</f>
        <v/>
      </c>
      <c r="H200" s="511">
        <f>IF(B200="",DATEDIF(A200,$G$1,"d"),DATEDIF(A200,B200,"d"))</f>
        <v/>
      </c>
      <c r="I200">
        <f>IF(B200="",$C$1-A200,H200)</f>
        <v/>
      </c>
      <c r="J200" s="65" t="inlineStr">
        <is>
          <t>漢翔</t>
        </is>
      </c>
      <c r="K200">
        <f>IF(F200&gt;0,(H200*$F200)/365.25,0)</f>
        <v/>
      </c>
      <c r="L200">
        <f>IF(F200&gt;0,(I200*$F200)/365.25,0)</f>
        <v/>
      </c>
    </row>
    <row r="201" hidden="1" outlineLevel="1" customFormat="1" s="65">
      <c r="A201" s="508" t="n">
        <v>44204</v>
      </c>
      <c r="B201" s="508" t="n">
        <v>44204</v>
      </c>
      <c r="C201" s="123" t="n">
        <v>45400</v>
      </c>
      <c r="D201" s="509" t="n"/>
      <c r="E201" s="510">
        <f>E200+C201-D201</f>
        <v/>
      </c>
      <c r="F201" s="510" t="n"/>
      <c r="G201" s="511">
        <f>G200+F201</f>
        <v/>
      </c>
      <c r="H201" s="511">
        <f>IF(B201="",DATEDIF(A201,$G$1,"d"),DATEDIF(A201,B201,"d"))</f>
        <v/>
      </c>
      <c r="I201">
        <f>IF(B201="",$C$1-A201,H201)</f>
        <v/>
      </c>
      <c r="J201" s="65" t="inlineStr">
        <is>
          <t>鑫科</t>
        </is>
      </c>
      <c r="K201">
        <f>IF(F201&gt;0,(H201*$F201)/365.25,0)</f>
        <v/>
      </c>
      <c r="L201">
        <f>IF(F201&gt;0,(I201*$F201)/365.25,0)</f>
        <v/>
      </c>
    </row>
    <row r="202" hidden="1" outlineLevel="1" customFormat="1" s="65">
      <c r="A202" s="508" t="n">
        <v>44207</v>
      </c>
      <c r="B202" s="508" t="n">
        <v>44264</v>
      </c>
      <c r="C202" s="123" t="n"/>
      <c r="D202" s="509" t="n">
        <v>115163</v>
      </c>
      <c r="E202" s="510">
        <f>E201+C202-D202</f>
        <v/>
      </c>
      <c r="F202" s="510" t="n"/>
      <c r="G202" s="511">
        <f>G201+F202</f>
        <v/>
      </c>
      <c r="H202" s="511">
        <f>IF(B202="",DATEDIF(A202,$G$1,"d"),DATEDIF(A202,B202,"d"))</f>
        <v/>
      </c>
      <c r="I202">
        <f>IF(B202="",$C$1-A202,H202)</f>
        <v/>
      </c>
      <c r="J202" s="65" t="inlineStr">
        <is>
          <t>全新</t>
        </is>
      </c>
      <c r="K202">
        <f>IF(F202&gt;0,(H202*$F202)/365.25,0)</f>
        <v/>
      </c>
      <c r="L202">
        <f>IF(F202&gt;0,(I202*$F202)/365.25,0)</f>
        <v/>
      </c>
    </row>
    <row r="203" hidden="1" outlineLevel="1" customFormat="1" s="65">
      <c r="A203" s="508" t="n">
        <v>44209</v>
      </c>
      <c r="B203" s="508" t="n">
        <v>44232</v>
      </c>
      <c r="C203" s="123" t="n"/>
      <c r="D203" s="509" t="n">
        <v>49320</v>
      </c>
      <c r="E203" s="510">
        <f>E202+C203-D203</f>
        <v/>
      </c>
      <c r="F203" s="510" t="n"/>
      <c r="G203" s="511">
        <f>G202+F203</f>
        <v/>
      </c>
      <c r="H203" s="511">
        <f>IF(B203="",DATEDIF(A203,$G$1,"d"),DATEDIF(A203,B203,"d"))</f>
        <v/>
      </c>
      <c r="I203">
        <f>IF(B203="",$C$1-A203,H203)</f>
        <v/>
      </c>
      <c r="J203" s="65" t="inlineStr">
        <is>
          <t>聯電</t>
        </is>
      </c>
      <c r="K203">
        <f>IF(F203&gt;0,(H203*$F203)/365.25,0)</f>
        <v/>
      </c>
      <c r="L203">
        <f>IF(F203&gt;0,(I203*$F203)/365.25,0)</f>
        <v/>
      </c>
    </row>
    <row r="204" hidden="1" outlineLevel="1" customFormat="1" s="65">
      <c r="A204" s="508" t="n">
        <v>44209</v>
      </c>
      <c r="B204" s="508" t="n">
        <v>44218</v>
      </c>
      <c r="C204" s="123" t="n"/>
      <c r="D204" s="509" t="n">
        <v>34449</v>
      </c>
      <c r="E204" s="510">
        <f>E203+C204-D204</f>
        <v/>
      </c>
      <c r="F204" s="510" t="n"/>
      <c r="G204" s="511">
        <f>G203+F204</f>
        <v/>
      </c>
      <c r="H204" s="511">
        <f>IF(B204="",DATEDIF(A204,$G$1,"d"),DATEDIF(A204,B204,"d"))</f>
        <v/>
      </c>
      <c r="I204">
        <f>IF(B204="",$C$1-A204,H204)</f>
        <v/>
      </c>
      <c r="J204" s="65" t="inlineStr">
        <is>
          <t>州巧</t>
        </is>
      </c>
      <c r="K204">
        <f>IF(F204&gt;0,(H204*$F204)/365.25,0)</f>
        <v/>
      </c>
      <c r="L204">
        <f>IF(F204&gt;0,(I204*$F204)/365.25,0)</f>
        <v/>
      </c>
    </row>
    <row r="205" hidden="1" outlineLevel="1" customFormat="1" s="65">
      <c r="A205" s="508" t="n">
        <v>44209</v>
      </c>
      <c r="B205" s="508" t="n">
        <v>44209</v>
      </c>
      <c r="C205" s="123" t="n">
        <v>42064</v>
      </c>
      <c r="D205" s="509" t="n"/>
      <c r="E205" s="510">
        <f>E204+C205-D205</f>
        <v/>
      </c>
      <c r="F205" s="510" t="n"/>
      <c r="G205" s="511">
        <f>G204+F205</f>
        <v/>
      </c>
      <c r="H205" s="511">
        <f>IF(B205="",DATEDIF(A205,$G$1,"d"),DATEDIF(A205,B205,"d"))</f>
        <v/>
      </c>
      <c r="I205">
        <f>IF(B205="",$C$1-A205,H205)</f>
        <v/>
      </c>
      <c r="J205" s="65" t="inlineStr">
        <is>
          <t>國泰金</t>
        </is>
      </c>
      <c r="K205">
        <f>IF(F205&gt;0,(H205*$F205)/365.25,0)</f>
        <v/>
      </c>
      <c r="L205">
        <f>IF(F205&gt;0,(I205*$F205)/365.25,0)</f>
        <v/>
      </c>
    </row>
    <row r="206" hidden="1" outlineLevel="1" customFormat="1" s="65">
      <c r="A206" s="508" t="n">
        <v>44210</v>
      </c>
      <c r="B206" s="508" t="n">
        <v>44210</v>
      </c>
      <c r="C206" s="123" t="n">
        <v>43010</v>
      </c>
      <c r="D206" s="509" t="n"/>
      <c r="E206" s="510">
        <f>E205+C206-D206</f>
        <v/>
      </c>
      <c r="F206" s="510" t="n"/>
      <c r="G206" s="511">
        <f>G205+F206</f>
        <v/>
      </c>
      <c r="H206" s="511">
        <f>IF(B206="",DATEDIF(A206,$G$1,"d"),DATEDIF(A206,B206,"d"))</f>
        <v/>
      </c>
      <c r="I206">
        <f>IF(B206="",$C$1-A206,H206)</f>
        <v/>
      </c>
      <c r="J206" s="65" t="inlineStr">
        <is>
          <t>台聚</t>
        </is>
      </c>
      <c r="K206">
        <f>IF(F206&gt;0,(H206*$F206)/365.25,0)</f>
        <v/>
      </c>
      <c r="L206">
        <f>IF(F206&gt;0,(I206*$F206)/365.25,0)</f>
        <v/>
      </c>
    </row>
    <row r="207" hidden="1" outlineLevel="1" customFormat="1" s="65">
      <c r="A207" s="508" t="n">
        <v>44210</v>
      </c>
      <c r="B207" s="508" t="n">
        <v>44210</v>
      </c>
      <c r="C207" s="123" t="n">
        <v>37783</v>
      </c>
      <c r="D207" s="509" t="n"/>
      <c r="E207" s="510">
        <f>E206+C207-D207</f>
        <v/>
      </c>
      <c r="F207" s="510" t="n"/>
      <c r="G207" s="511">
        <f>G206+F207</f>
        <v/>
      </c>
      <c r="H207" s="511">
        <f>IF(B207="",DATEDIF(A207,$G$1,"d"),DATEDIF(A207,B207,"d"))</f>
        <v/>
      </c>
      <c r="I207">
        <f>IF(B207="",$C$1-A207,H207)</f>
        <v/>
      </c>
      <c r="J207" s="65" t="inlineStr">
        <is>
          <t>長榮</t>
        </is>
      </c>
      <c r="K207">
        <f>IF(F207&gt;0,(H207*$F207)/365.25,0)</f>
        <v/>
      </c>
      <c r="L207">
        <f>IF(F207&gt;0,(I207*$F207)/365.25,0)</f>
        <v/>
      </c>
    </row>
    <row r="208" hidden="1" outlineLevel="1" customFormat="1" s="65">
      <c r="A208" s="508" t="n">
        <v>44210</v>
      </c>
      <c r="B208" s="508" t="n">
        <v>44210</v>
      </c>
      <c r="C208" s="123" t="n">
        <v>25288</v>
      </c>
      <c r="D208" s="509" t="n"/>
      <c r="E208" s="510">
        <f>E207+C208-D208</f>
        <v/>
      </c>
      <c r="F208" s="510" t="n"/>
      <c r="G208" s="511">
        <f>G207+F208</f>
        <v/>
      </c>
      <c r="H208" s="511">
        <f>IF(B208="",DATEDIF(A208,$G$1,"d"),DATEDIF(A208,B208,"d"))</f>
        <v/>
      </c>
      <c r="I208">
        <f>IF(B208="",$C$1-A208,H208)</f>
        <v/>
      </c>
      <c r="J208" s="65" t="inlineStr">
        <is>
          <t>中鋼</t>
        </is>
      </c>
      <c r="K208">
        <f>IF(F208&gt;0,(H208*$F208)/365.25,0)</f>
        <v/>
      </c>
      <c r="L208">
        <f>IF(F208&gt;0,(I208*$F208)/365.25,0)</f>
        <v/>
      </c>
    </row>
    <row r="209" hidden="1" outlineLevel="1" customFormat="1" s="65">
      <c r="A209" s="508" t="n">
        <v>44210</v>
      </c>
      <c r="B209" s="508" t="n">
        <v>44210</v>
      </c>
      <c r="C209" s="123" t="n">
        <v>118474</v>
      </c>
      <c r="D209" s="509" t="n"/>
      <c r="E209" s="510">
        <f>E208+C209-D209</f>
        <v/>
      </c>
      <c r="F209" s="510" t="n"/>
      <c r="G209" s="511">
        <f>G208+F209</f>
        <v/>
      </c>
      <c r="H209" s="511">
        <f>IF(B209="",DATEDIF(A209,$G$1,"d"),DATEDIF(A209,B209,"d"))</f>
        <v/>
      </c>
      <c r="I209">
        <f>IF(B209="",$C$1-A209,H209)</f>
        <v/>
      </c>
      <c r="J209" s="65" t="inlineStr">
        <is>
          <t>艾華</t>
        </is>
      </c>
      <c r="K209">
        <f>IF(F209&gt;0,(H209*$F209)/365.25,0)</f>
        <v/>
      </c>
      <c r="L209">
        <f>IF(F209&gt;0,(I209*$F209)/365.25,0)</f>
        <v/>
      </c>
      <c r="N209" s="211" t="n"/>
    </row>
    <row r="210" hidden="1" outlineLevel="1" customFormat="1" s="65">
      <c r="A210" s="508" t="n">
        <v>44210</v>
      </c>
      <c r="B210" s="508" t="n">
        <v>44264</v>
      </c>
      <c r="C210" s="123" t="n"/>
      <c r="D210" s="509" t="n">
        <v>30543</v>
      </c>
      <c r="E210" s="510">
        <f>E209+C210-D210</f>
        <v/>
      </c>
      <c r="F210" s="510" t="n"/>
      <c r="G210" s="511">
        <f>G209+F210</f>
        <v/>
      </c>
      <c r="H210" s="511">
        <f>IF(B210="",DATEDIF(A210,$G$1,"d"),DATEDIF(A210,B210,"d"))</f>
        <v/>
      </c>
      <c r="I210">
        <f>IF(B210="",$C$1-A210,H210)</f>
        <v/>
      </c>
      <c r="J210" s="65" t="inlineStr">
        <is>
          <t>友達</t>
        </is>
      </c>
      <c r="K210">
        <f>IF(F210&gt;0,(H210*$F210)/365.25,0)</f>
        <v/>
      </c>
      <c r="L210">
        <f>IF(F210&gt;0,(I210*$F210)/365.25,0)</f>
        <v/>
      </c>
    </row>
    <row r="211" hidden="1" outlineLevel="1" customFormat="1" s="65">
      <c r="A211" s="508" t="n">
        <v>44210</v>
      </c>
      <c r="B211" s="508" t="n">
        <v>44216</v>
      </c>
      <c r="C211" s="123" t="n"/>
      <c r="D211" s="509" t="n">
        <v>121673</v>
      </c>
      <c r="E211" s="510">
        <f>E210+C211-D211</f>
        <v/>
      </c>
      <c r="F211" s="510" t="n"/>
      <c r="G211" s="511">
        <f>G210+F211</f>
        <v/>
      </c>
      <c r="H211" s="511">
        <f>IF(B211="",DATEDIF(A211,$G$1,"d"),DATEDIF(A211,B211,"d"))</f>
        <v/>
      </c>
      <c r="I211">
        <f>IF(B211="",$C$1-A211,H211)</f>
        <v/>
      </c>
      <c r="J211" s="65" t="inlineStr">
        <is>
          <t>世界</t>
        </is>
      </c>
      <c r="K211">
        <f>IF(F211&gt;0,(H211*$F211)/365.25,0)</f>
        <v/>
      </c>
      <c r="L211">
        <f>IF(F211&gt;0,(I211*$F211)/365.25,0)</f>
        <v/>
      </c>
      <c r="N211" s="141" t="n"/>
    </row>
    <row r="212" hidden="1" outlineLevel="1" customFormat="1" s="65">
      <c r="A212" s="508" t="n">
        <v>44210</v>
      </c>
      <c r="B212" s="508" t="n">
        <v>44230</v>
      </c>
      <c r="C212" s="123" t="n"/>
      <c r="D212" s="509" t="n">
        <v>37052</v>
      </c>
      <c r="E212" s="510">
        <f>E211+C212-D212</f>
        <v/>
      </c>
      <c r="F212" s="510" t="n"/>
      <c r="G212" s="511">
        <f>G211+F212</f>
        <v/>
      </c>
      <c r="H212" s="511">
        <f>IF(B212="",DATEDIF(A212,$G$1,"d"),DATEDIF(A212,B212,"d"))</f>
        <v/>
      </c>
      <c r="I212">
        <f>IF(B212="",$C$1-A212,H212)</f>
        <v/>
      </c>
      <c r="J212" s="65" t="inlineStr">
        <is>
          <t>旺玖</t>
        </is>
      </c>
      <c r="K212">
        <f>IF(F212&gt;0,(H212*$F212)/365.25,0)</f>
        <v/>
      </c>
      <c r="L212">
        <f>IF(F212&gt;0,(I212*$F212)/365.25,0)</f>
        <v/>
      </c>
    </row>
    <row r="213" hidden="1" outlineLevel="1" customFormat="1" s="65">
      <c r="A213" s="508" t="n">
        <v>44216</v>
      </c>
      <c r="B213" s="508" t="n">
        <v>44220</v>
      </c>
      <c r="C213" s="123" t="n"/>
      <c r="D213" s="509" t="n">
        <v>20</v>
      </c>
      <c r="E213" s="510">
        <f>E212+C213-D213</f>
        <v/>
      </c>
      <c r="F213" s="510">
        <f>C213-D213</f>
        <v/>
      </c>
      <c r="G213" s="511">
        <f>G212+F213</f>
        <v/>
      </c>
      <c r="H213" s="511">
        <f>IF(B213="",DATEDIF(A213,$G$1,"d"),DATEDIF(A213,B213,"d"))</f>
        <v/>
      </c>
      <c r="I213">
        <f>IF(B213="",$C$1-A213,H213)</f>
        <v/>
      </c>
      <c r="J213" s="141" t="inlineStr">
        <is>
          <t>台微醫</t>
        </is>
      </c>
      <c r="K213">
        <f>IF(F213&gt;0,(H213*$F213)/365.25,0)</f>
        <v/>
      </c>
      <c r="L213">
        <f>IF(F213&gt;0,(I213*$F213)/365.25,0)</f>
        <v/>
      </c>
      <c r="M213" s="65" t="inlineStr">
        <is>
          <t>股票申購</t>
        </is>
      </c>
      <c r="N213" s="141" t="n"/>
    </row>
    <row r="214" hidden="1" outlineLevel="1" customFormat="1" s="65">
      <c r="A214" s="508" t="n">
        <v>44216</v>
      </c>
      <c r="B214" s="508" t="n">
        <v>44220</v>
      </c>
      <c r="C214" s="123" t="n"/>
      <c r="D214" s="509" t="n">
        <v>20</v>
      </c>
      <c r="E214" s="510">
        <f>E213+C214-D214</f>
        <v/>
      </c>
      <c r="F214" s="510">
        <f>C214-D214</f>
        <v/>
      </c>
      <c r="G214" s="511">
        <f>G213+F214</f>
        <v/>
      </c>
      <c r="H214" s="511">
        <f>IF(B214="",DATEDIF(A214,$G$1,"d"),DATEDIF(A214,B214,"d"))</f>
        <v/>
      </c>
      <c r="I214">
        <f>IF(B214="",$C$1-A214,H214)</f>
        <v/>
      </c>
      <c r="J214" s="141" t="inlineStr">
        <is>
          <t>家登</t>
        </is>
      </c>
      <c r="K214">
        <f>IF(F214&gt;0,(H214*$F214)/365.25,0)</f>
        <v/>
      </c>
      <c r="L214">
        <f>IF(F214&gt;0,(I214*$F214)/365.25,0)</f>
        <v/>
      </c>
      <c r="M214" s="65" t="inlineStr">
        <is>
          <t>股票申購</t>
        </is>
      </c>
    </row>
    <row r="215" hidden="1" outlineLevel="1" customFormat="1" s="65">
      <c r="A215" s="508" t="n">
        <v>44217</v>
      </c>
      <c r="B215" s="508" t="n">
        <v>44221</v>
      </c>
      <c r="C215" s="123" t="n"/>
      <c r="D215" s="509" t="n">
        <v>20</v>
      </c>
      <c r="E215" s="510">
        <f>E214+C215-D215</f>
        <v/>
      </c>
      <c r="F215" s="510">
        <f>C215-D215</f>
        <v/>
      </c>
      <c r="G215" s="511">
        <f>G214+F215</f>
        <v/>
      </c>
      <c r="H215" s="511">
        <f>IF(B215="",DATEDIF(A215,$G$1,"d"),DATEDIF(A215,B215,"d"))</f>
        <v/>
      </c>
      <c r="I215">
        <f>IF(B215="",$C$1-A215,H215)</f>
        <v/>
      </c>
      <c r="J215" s="141" t="inlineStr">
        <is>
          <t>康普</t>
        </is>
      </c>
      <c r="K215">
        <f>IF(F215&gt;0,(H215*$F215)/365.25,0)</f>
        <v/>
      </c>
      <c r="L215">
        <f>IF(F215&gt;0,(I215*$F215)/365.25,0)</f>
        <v/>
      </c>
      <c r="M215" s="65" t="inlineStr">
        <is>
          <t>股票申購</t>
        </is>
      </c>
    </row>
    <row r="216" hidden="1" outlineLevel="1" customFormat="1" s="65">
      <c r="A216" s="508" t="n">
        <v>44216</v>
      </c>
      <c r="B216" s="508" t="n">
        <v>44216</v>
      </c>
      <c r="C216" s="123" t="n">
        <v>113994</v>
      </c>
      <c r="D216" s="509" t="n"/>
      <c r="E216" s="510">
        <f>E215+C216-D216</f>
        <v/>
      </c>
      <c r="F216" s="510" t="n"/>
      <c r="G216" s="511">
        <f>G215+F216</f>
        <v/>
      </c>
      <c r="H216" s="511">
        <f>IF(B216="",DATEDIF(A216,$G$1,"d"),DATEDIF(A216,B216,"d"))</f>
        <v/>
      </c>
      <c r="I216">
        <f>IF(B216="",$C$1-A216,H216)</f>
        <v/>
      </c>
      <c r="J216" s="65" t="inlineStr">
        <is>
          <t>世界</t>
        </is>
      </c>
      <c r="K216">
        <f>IF(F216&gt;0,(H216*$F216)/365.25,0)</f>
        <v/>
      </c>
      <c r="L216">
        <f>IF(F216&gt;0,(I216*$F216)/365.25,0)</f>
        <v/>
      </c>
    </row>
    <row r="217" hidden="1" outlineLevel="1" customFormat="1" s="65">
      <c r="A217" s="508" t="n">
        <v>44209</v>
      </c>
      <c r="B217" s="508" t="n">
        <v>44218</v>
      </c>
      <c r="C217" s="123" t="n">
        <v>31063</v>
      </c>
      <c r="D217" s="509" t="n"/>
      <c r="E217" s="510">
        <f>E216+C217-D217</f>
        <v/>
      </c>
      <c r="F217" s="510">
        <f>-D204+C217</f>
        <v/>
      </c>
      <c r="G217" s="511">
        <f>G216+F217</f>
        <v/>
      </c>
      <c r="H217" s="511">
        <f>IF(B217="",DATEDIF(A217,$G$1,"d"),DATEDIF(A217,B217,"d"))</f>
        <v/>
      </c>
      <c r="I217">
        <f>IF(B217="",$C$1-A217,H217)</f>
        <v/>
      </c>
      <c r="J217" s="65" t="inlineStr">
        <is>
          <t>州巧</t>
        </is>
      </c>
      <c r="K217">
        <f>IF(F217&gt;0,(H217*$F217)/365.25,0)</f>
        <v/>
      </c>
      <c r="L217">
        <f>IF(F217&gt;0,(I217*$F217)/365.25,0)</f>
        <v/>
      </c>
    </row>
    <row r="218" hidden="1" outlineLevel="1" customFormat="1" s="65">
      <c r="A218" s="508" t="n">
        <v>44224</v>
      </c>
      <c r="B218" s="508" t="n">
        <v>44228</v>
      </c>
      <c r="C218" s="123" t="n">
        <v>90050</v>
      </c>
      <c r="D218" s="509" t="n">
        <v>90070</v>
      </c>
      <c r="E218" s="510">
        <f>E217+C218-D218</f>
        <v/>
      </c>
      <c r="F218" s="510">
        <f>C218-D218</f>
        <v/>
      </c>
      <c r="G218" s="511">
        <f>G217+F218</f>
        <v/>
      </c>
      <c r="H218" s="511">
        <f>IF(B218="",DATEDIF(A218,$G$1,"d"),DATEDIF(A218,B218,"d"))</f>
        <v/>
      </c>
      <c r="I218">
        <f>IF(B218="",$C$1-A218,H218)</f>
        <v/>
      </c>
      <c r="J218" s="65" t="inlineStr">
        <is>
          <t>和大</t>
        </is>
      </c>
      <c r="K218">
        <f>IF(F218&gt;0,(H218*$F218)/365.25,0)</f>
        <v/>
      </c>
      <c r="L218">
        <f>IF(F218&gt;0,(I218*$F218)/365.25,0)</f>
        <v/>
      </c>
      <c r="M218" s="65" t="inlineStr">
        <is>
          <t>股票申購</t>
        </is>
      </c>
    </row>
    <row r="219" hidden="1" outlineLevel="1" customFormat="1" s="65">
      <c r="A219" s="508" t="n">
        <v>44212</v>
      </c>
      <c r="B219" s="508" t="n">
        <v>44253</v>
      </c>
      <c r="C219" s="123" t="n"/>
      <c r="D219" s="509" t="n">
        <v>35800</v>
      </c>
      <c r="E219" s="510">
        <f>E218+C219-D219</f>
        <v/>
      </c>
      <c r="F219" s="510" t="n"/>
      <c r="G219" s="511">
        <f>G218+F219</f>
        <v/>
      </c>
      <c r="H219" s="511">
        <f>IF(B219="",DATEDIF(A219,$G$1,"d"),DATEDIF(A219,B219,"d"))</f>
        <v/>
      </c>
      <c r="I219">
        <f>IF(B219="",$C$1-A219,H219)</f>
        <v/>
      </c>
      <c r="J219" s="65" t="inlineStr">
        <is>
          <t>長榮</t>
        </is>
      </c>
      <c r="K219">
        <f>IF(F219&gt;0,(H219*$F219)/365.25,0)</f>
        <v/>
      </c>
      <c r="L219">
        <f>IF(F219&gt;0,(I219*$F219)/365.25,0)</f>
        <v/>
      </c>
    </row>
    <row r="220" hidden="1" outlineLevel="1" customFormat="1" s="65">
      <c r="A220" s="508" t="n">
        <v>44212</v>
      </c>
      <c r="B220" s="508" t="n">
        <v>44264</v>
      </c>
      <c r="C220" s="123" t="n"/>
      <c r="D220" s="509" t="n">
        <v>35801</v>
      </c>
      <c r="E220" s="510">
        <f>E219+C220-D220</f>
        <v/>
      </c>
      <c r="F220" s="510" t="n"/>
      <c r="G220" s="511">
        <f>G219+F220</f>
        <v/>
      </c>
      <c r="H220" s="511">
        <f>IF(B220="",DATEDIF(A220,$G$1,"d"),DATEDIF(A220,B220,"d"))</f>
        <v/>
      </c>
      <c r="I220">
        <f>IF(B220="",$C$1-A220,H220)</f>
        <v/>
      </c>
      <c r="J220" s="65" t="inlineStr">
        <is>
          <t>長榮</t>
        </is>
      </c>
      <c r="K220">
        <f>IF(F220&gt;0,(H220*$F220)/365.25,0)</f>
        <v/>
      </c>
      <c r="L220">
        <f>IF(F220&gt;0,(I220*$F220)/365.25,0)</f>
        <v/>
      </c>
    </row>
    <row r="221" hidden="1" outlineLevel="1" customFormat="1" s="65">
      <c r="A221" s="508" t="n">
        <v>44225</v>
      </c>
      <c r="B221" s="508" t="n">
        <v>44229</v>
      </c>
      <c r="C221" s="123" t="n">
        <v>17050</v>
      </c>
      <c r="D221" s="509" t="n">
        <v>17070</v>
      </c>
      <c r="E221" s="510">
        <f>E220+C221-D221</f>
        <v/>
      </c>
      <c r="F221" s="510">
        <f>C221-D221</f>
        <v/>
      </c>
      <c r="G221" s="511">
        <f>G220+F221</f>
        <v/>
      </c>
      <c r="H221" s="511">
        <f>IF(B221="",DATEDIF(A221,$G$1,"d"),DATEDIF(A221,B221,"d"))</f>
        <v/>
      </c>
      <c r="I221">
        <f>IF(B221="",$C$1-A221,H221)</f>
        <v/>
      </c>
      <c r="J221" s="65" t="inlineStr">
        <is>
          <t>晶悅</t>
        </is>
      </c>
      <c r="K221">
        <f>IF(F221&gt;0,(H221*$F221)/365.25,0)</f>
        <v/>
      </c>
      <c r="L221">
        <f>IF(F221&gt;0,(I221*$F221)/365.25,0)</f>
        <v/>
      </c>
      <c r="M221" s="65" t="inlineStr">
        <is>
          <t>股票申購</t>
        </is>
      </c>
    </row>
    <row r="222" hidden="1" outlineLevel="1" customFormat="1" s="65">
      <c r="A222" s="508" t="n">
        <v>44225</v>
      </c>
      <c r="B222" s="508" t="n">
        <v>44229</v>
      </c>
      <c r="C222" s="123" t="n">
        <v>68050</v>
      </c>
      <c r="D222" s="509" t="n">
        <v>68070</v>
      </c>
      <c r="E222" s="510">
        <f>E221+C222-D222</f>
        <v/>
      </c>
      <c r="F222" s="510">
        <f>C222-D222</f>
        <v/>
      </c>
      <c r="G222" s="511">
        <f>G221+F222</f>
        <v/>
      </c>
      <c r="H222" s="511">
        <f>IF(B222="",DATEDIF(A222,$G$1,"d"),DATEDIF(A222,B222,"d"))</f>
        <v/>
      </c>
      <c r="I222">
        <f>IF(B222="",$C$1-A222,H222)</f>
        <v/>
      </c>
      <c r="J222" s="65" t="inlineStr">
        <is>
          <t>聚鼎</t>
        </is>
      </c>
      <c r="K222">
        <f>IF(F222&gt;0,(H222*$F222)/365.25,0)</f>
        <v/>
      </c>
      <c r="L222">
        <f>IF(F222&gt;0,(I222*$F222)/365.25,0)</f>
        <v/>
      </c>
      <c r="M222" s="65" t="inlineStr">
        <is>
          <t>股票申購</t>
        </is>
      </c>
    </row>
    <row r="223" hidden="1" outlineLevel="1" customFormat="1" s="65">
      <c r="A223" s="508" t="n">
        <v>44210</v>
      </c>
      <c r="B223" s="508" t="n">
        <v>44230</v>
      </c>
      <c r="C223" s="123" t="n">
        <v>35593</v>
      </c>
      <c r="D223" s="509" t="n"/>
      <c r="E223" s="510">
        <f>E222+C223-D223</f>
        <v/>
      </c>
      <c r="F223" s="510">
        <f>-D212+C223</f>
        <v/>
      </c>
      <c r="G223" s="511">
        <f>G222+F223</f>
        <v/>
      </c>
      <c r="H223" s="511">
        <f>IF(B223="",DATEDIF(A223,$G$1,"d"),DATEDIF(A223,B223,"d"))</f>
        <v/>
      </c>
      <c r="I223">
        <f>IF(B223="",$C$1-A223,H223)</f>
        <v/>
      </c>
      <c r="J223" s="65" t="inlineStr">
        <is>
          <t>旺玖</t>
        </is>
      </c>
      <c r="K223">
        <f>IF(F223&gt;0,(H223*$F223)/365.25,0)</f>
        <v/>
      </c>
      <c r="L223">
        <f>IF(F223&gt;0,(I223*$F223)/365.25,0)</f>
        <v/>
      </c>
      <c r="N223" s="141" t="n"/>
    </row>
    <row r="224" hidden="1" outlineLevel="1" customFormat="1" s="65">
      <c r="A224" s="508" t="n">
        <v>44230</v>
      </c>
      <c r="B224" s="508" t="n">
        <v>44230</v>
      </c>
      <c r="C224" s="123" t="n">
        <v>31212</v>
      </c>
      <c r="D224" s="509" t="n"/>
      <c r="E224" s="510">
        <f>E223+C224-D224</f>
        <v/>
      </c>
      <c r="F224" s="510" t="n"/>
      <c r="G224" s="511">
        <f>G223+F224</f>
        <v/>
      </c>
      <c r="H224" s="511">
        <f>IF(B224="",DATEDIF(A224,$G$1,"d"),DATEDIF(A224,B224,"d"))</f>
        <v/>
      </c>
      <c r="I224">
        <f>IF(B224="",$C$1-A224,H224)</f>
        <v/>
      </c>
      <c r="J224" s="65" t="inlineStr">
        <is>
          <t>東和鋼鐵</t>
        </is>
      </c>
      <c r="K224">
        <f>IF(F224&gt;0,(H224*$F224)/365.25,0)</f>
        <v/>
      </c>
      <c r="L224">
        <f>IF(F224&gt;0,(I224*$F224)/365.25,0)</f>
        <v/>
      </c>
    </row>
    <row r="225" hidden="1" outlineLevel="1" customFormat="1" s="65">
      <c r="A225" s="508" t="n">
        <v>44230</v>
      </c>
      <c r="B225" s="508" t="n">
        <v>44230</v>
      </c>
      <c r="C225" s="123" t="n">
        <v>105531</v>
      </c>
      <c r="D225" s="509" t="n"/>
      <c r="E225" s="510">
        <f>E224+C225-D225</f>
        <v/>
      </c>
      <c r="F225" s="510" t="n"/>
      <c r="G225" s="511">
        <f>G224+F225</f>
        <v/>
      </c>
      <c r="H225" s="511">
        <f>IF(B225="",DATEDIF(A225,$G$1,"d"),DATEDIF(A225,B225,"d"))</f>
        <v/>
      </c>
      <c r="I225">
        <f>IF(B225="",$C$1-A225,H225)</f>
        <v/>
      </c>
      <c r="J225" s="65" t="inlineStr">
        <is>
          <t>禾伸堂</t>
        </is>
      </c>
      <c r="K225">
        <f>IF(F225&gt;0,(H225*$F225)/365.25,0)</f>
        <v/>
      </c>
      <c r="L225">
        <f>IF(F225&gt;0,(I225*$F225)/365.25,0)</f>
        <v/>
      </c>
    </row>
    <row r="226" hidden="1" outlineLevel="1" customFormat="1" s="65">
      <c r="A226" s="508" t="n">
        <v>44209</v>
      </c>
      <c r="B226" s="508" t="n">
        <v>44232</v>
      </c>
      <c r="C226" s="123" t="n">
        <v>51970</v>
      </c>
      <c r="D226" s="509" t="n"/>
      <c r="E226" s="510">
        <f>E225+C226-D226</f>
        <v/>
      </c>
      <c r="F226" s="510">
        <f>-D203+C226</f>
        <v/>
      </c>
      <c r="G226" s="511">
        <f>G225+F226</f>
        <v/>
      </c>
      <c r="H226" s="511">
        <f>IF(B226="",DATEDIF(A226,$G$1,"d"),DATEDIF(A226,B226,"d"))</f>
        <v/>
      </c>
      <c r="I226">
        <f>IF(B226="",$C$1-A226,H226)</f>
        <v/>
      </c>
      <c r="J226" s="65" t="inlineStr">
        <is>
          <t>聯電</t>
        </is>
      </c>
      <c r="K226">
        <f>IF(F226&gt;0,(H226*$F226)/365.25,0)</f>
        <v/>
      </c>
      <c r="L226">
        <f>IF(F226&gt;0,(I226*$F226)/365.25,0)</f>
        <v/>
      </c>
    </row>
    <row r="227" hidden="1" outlineLevel="1" customFormat="1" s="65">
      <c r="A227" s="508" t="n">
        <v>44232</v>
      </c>
      <c r="B227" s="508" t="n">
        <v>44232</v>
      </c>
      <c r="C227" s="123" t="n">
        <v>94183</v>
      </c>
      <c r="D227" s="509" t="n"/>
      <c r="E227" s="510">
        <f>E226+C227-D227</f>
        <v/>
      </c>
      <c r="F227" s="510" t="n"/>
      <c r="G227" s="511">
        <f>G226+F227</f>
        <v/>
      </c>
      <c r="H227" s="511">
        <f>IF(B227="",DATEDIF(A227,$G$1,"d"),DATEDIF(A227,B227,"d"))</f>
        <v/>
      </c>
      <c r="I227">
        <f>IF(B227="",$C$1-A227,H227)</f>
        <v/>
      </c>
      <c r="J227" s="65" t="inlineStr">
        <is>
          <t>聯發科</t>
        </is>
      </c>
      <c r="K227">
        <f>IF(F227&gt;0,(H227*$F227)/365.25,0)</f>
        <v/>
      </c>
      <c r="L227">
        <f>IF(F227&gt;0,(I227*$F227)/365.25,0)</f>
        <v/>
      </c>
    </row>
    <row r="228" hidden="1" outlineLevel="1" customFormat="1" s="65">
      <c r="A228" s="508" t="n">
        <v>44232</v>
      </c>
      <c r="B228" s="508" t="n">
        <v>44232</v>
      </c>
      <c r="C228" s="123" t="n">
        <v>114990</v>
      </c>
      <c r="D228" s="509" t="n"/>
      <c r="E228" s="510">
        <f>E227+C228-D228</f>
        <v/>
      </c>
      <c r="F228" s="510" t="n"/>
      <c r="G228" s="511">
        <f>G227+F228</f>
        <v/>
      </c>
      <c r="H228" s="511">
        <f>IF(B228="",DATEDIF(A228,$G$1,"d"),DATEDIF(A228,B228,"d"))</f>
        <v/>
      </c>
      <c r="I228">
        <f>IF(B228="",$C$1-A228,H228)</f>
        <v/>
      </c>
      <c r="J228" s="65" t="inlineStr">
        <is>
          <t>鴻海</t>
        </is>
      </c>
      <c r="K228">
        <f>IF(F228&gt;0,(H228*$F228)/365.25,0)</f>
        <v/>
      </c>
      <c r="L228">
        <f>IF(F228&gt;0,(I228*$F228)/365.25,0)</f>
        <v/>
      </c>
    </row>
    <row r="229" hidden="1" outlineLevel="1" customFormat="1" s="65">
      <c r="A229" s="508" t="n">
        <v>44232</v>
      </c>
      <c r="B229" s="508" t="n">
        <v>44232</v>
      </c>
      <c r="C229" s="123" t="n">
        <v>93983</v>
      </c>
      <c r="D229" s="509" t="n"/>
      <c r="E229" s="510">
        <f>E228+C229-D229</f>
        <v/>
      </c>
      <c r="F229" s="510" t="n"/>
      <c r="G229" s="511">
        <f>G228+F229</f>
        <v/>
      </c>
      <c r="H229" s="511">
        <f>IF(B229="",DATEDIF(A229,$G$1,"d"),DATEDIF(A229,B229,"d"))</f>
        <v/>
      </c>
      <c r="I229">
        <f>IF(B229="",$C$1-A229,H229)</f>
        <v/>
      </c>
      <c r="J229" s="65" t="inlineStr">
        <is>
          <t>聯發科</t>
        </is>
      </c>
      <c r="K229">
        <f>IF(F229&gt;0,(H229*$F229)/365.25,0)</f>
        <v/>
      </c>
      <c r="L229">
        <f>IF(F229&gt;0,(I229*$F229)/365.25,0)</f>
        <v/>
      </c>
    </row>
    <row r="230" hidden="1" outlineLevel="1" customFormat="1" s="65">
      <c r="A230" s="508" t="n">
        <v>44232</v>
      </c>
      <c r="B230" s="508" t="n">
        <v>44232</v>
      </c>
      <c r="C230" s="123">
        <f>13938+125891</f>
        <v/>
      </c>
      <c r="D230" s="509" t="n"/>
      <c r="E230" s="510">
        <f>E229+C230-D230</f>
        <v/>
      </c>
      <c r="F230" s="510" t="n"/>
      <c r="G230" s="511">
        <f>G229+F230</f>
        <v/>
      </c>
      <c r="H230" s="511">
        <f>IF(B230="",DATEDIF(A230,$G$1,"d"),DATEDIF(A230,B230,"d"))</f>
        <v/>
      </c>
      <c r="I230">
        <f>IF(B230="",$C$1-A230,H230)</f>
        <v/>
      </c>
      <c r="J230" s="65" t="inlineStr">
        <is>
          <t>群創</t>
        </is>
      </c>
      <c r="K230">
        <f>IF(F230&gt;0,(H230*$F230)/365.25,0)</f>
        <v/>
      </c>
      <c r="L230">
        <f>IF(F230&gt;0,(I230*$F230)/365.25,0)</f>
        <v/>
      </c>
    </row>
    <row r="231" hidden="1" outlineLevel="1" customFormat="1" s="65">
      <c r="A231" s="508" t="n">
        <v>44232</v>
      </c>
      <c r="B231" s="508" t="n">
        <v>44232</v>
      </c>
      <c r="C231" s="123" t="n">
        <v>88308</v>
      </c>
      <c r="D231" s="509" t="n"/>
      <c r="E231" s="510">
        <f>E230+C231-D231</f>
        <v/>
      </c>
      <c r="F231" s="510" t="n"/>
      <c r="G231" s="511">
        <f>G230+F231</f>
        <v/>
      </c>
      <c r="H231" s="511">
        <f>IF(B231="",DATEDIF(A231,$G$1,"d"),DATEDIF(A231,B231,"d"))</f>
        <v/>
      </c>
      <c r="I231">
        <f>IF(B231="",$C$1-A231,H231)</f>
        <v/>
      </c>
      <c r="J231" s="65" t="inlineStr">
        <is>
          <t>欣興</t>
        </is>
      </c>
      <c r="K231">
        <f>IF(F231&gt;0,(H231*$F231)/365.25,0)</f>
        <v/>
      </c>
      <c r="L231">
        <f>IF(F231&gt;0,(I231*$F231)/365.25,0)</f>
        <v/>
      </c>
    </row>
    <row r="232" hidden="1" outlineLevel="1" customFormat="1" s="65">
      <c r="A232" s="508" t="n">
        <v>44232</v>
      </c>
      <c r="B232" s="508" t="n">
        <v>44232</v>
      </c>
      <c r="C232" s="123" t="n">
        <v>94183</v>
      </c>
      <c r="D232" s="509" t="n"/>
      <c r="E232" s="510">
        <f>E231+C232-D232</f>
        <v/>
      </c>
      <c r="F232" s="510" t="n"/>
      <c r="G232" s="511">
        <f>G231+F232</f>
        <v/>
      </c>
      <c r="H232" s="511">
        <f>IF(B232="",DATEDIF(A232,$G$1,"d"),DATEDIF(A232,B232,"d"))</f>
        <v/>
      </c>
      <c r="I232">
        <f>IF(B232="",$C$1-A232,H232)</f>
        <v/>
      </c>
      <c r="J232" s="65" t="inlineStr">
        <is>
          <t>聯發科</t>
        </is>
      </c>
      <c r="K232">
        <f>IF(F232&gt;0,(H232*$F232)/365.25,0)</f>
        <v/>
      </c>
      <c r="L232">
        <f>IF(F232&gt;0,(I232*$F232)/365.25,0)</f>
        <v/>
      </c>
    </row>
    <row r="233" hidden="1" outlineLevel="1" customFormat="1" s="65">
      <c r="A233" s="518" t="n">
        <v>44236</v>
      </c>
      <c r="B233" s="518" t="n"/>
      <c r="C233" s="148" t="n">
        <v>560</v>
      </c>
      <c r="D233" s="519" t="n"/>
      <c r="E233" s="520">
        <f>E232+C233-D233</f>
        <v/>
      </c>
      <c r="F233" s="520">
        <f>C233-D233</f>
        <v/>
      </c>
      <c r="G233" s="521">
        <f>G232+F233</f>
        <v/>
      </c>
      <c r="H233" s="521">
        <f>IF(B233="",DATEDIF(A233,$F$1,"d"),DATEDIF(A233,B233,"d"))</f>
        <v/>
      </c>
      <c r="I233" s="152">
        <f>IF(B233="",$C$1-A233,H233)</f>
        <v/>
      </c>
      <c r="J233" s="152" t="inlineStr">
        <is>
          <t>折讓入帳</t>
        </is>
      </c>
      <c r="K233" s="152">
        <f>IF(F233&gt;0,(H233*$F233)/365.25,0)</f>
        <v/>
      </c>
      <c r="L233" s="152">
        <f>IF(F233&gt;0,(I233*$F233)/365.25,0)</f>
        <v/>
      </c>
      <c r="M233" s="152" t="n"/>
    </row>
    <row r="234" hidden="1" outlineLevel="1" customFormat="1" s="65">
      <c r="A234" s="508" t="n">
        <v>44236</v>
      </c>
      <c r="B234" s="508" t="n">
        <v>44264</v>
      </c>
      <c r="C234" s="123" t="n"/>
      <c r="D234" s="509" t="n">
        <v>287408</v>
      </c>
      <c r="E234" s="510">
        <f>E233+C234-D234</f>
        <v/>
      </c>
      <c r="F234" s="510" t="n"/>
      <c r="G234" s="511">
        <f>G233+F234</f>
        <v/>
      </c>
      <c r="H234" s="511">
        <f>IF(B234="",DATEDIF(A234,$G$1,"d"),DATEDIF(A234,B234,"d"))</f>
        <v/>
      </c>
      <c r="I234">
        <f>IF(B234="",$C$1-A234,H234)</f>
        <v/>
      </c>
      <c r="J234" s="65" t="inlineStr">
        <is>
          <t>華碩</t>
        </is>
      </c>
      <c r="K234">
        <f>IF(F234&gt;0,(H234*$F234)/365.25,0)</f>
        <v/>
      </c>
      <c r="L234">
        <f>IF(F234&gt;0,(I234*$F234)/365.25,0)</f>
        <v/>
      </c>
    </row>
    <row r="235" hidden="1" outlineLevel="1" customFormat="1" s="65">
      <c r="A235" s="508" t="n">
        <v>44250</v>
      </c>
      <c r="B235" s="508" t="n">
        <v>44260</v>
      </c>
      <c r="C235" s="123" t="n"/>
      <c r="D235" s="509" t="n">
        <v>88025</v>
      </c>
      <c r="E235" s="510">
        <f>E234+C235-D235</f>
        <v/>
      </c>
      <c r="F235" s="510" t="n"/>
      <c r="G235" s="511">
        <f>G234+F235</f>
        <v/>
      </c>
      <c r="H235" s="511">
        <f>IF(B235="",DATEDIF(A235,$G$1,"d"),DATEDIF(A235,B235,"d"))</f>
        <v/>
      </c>
      <c r="I235">
        <f>IF(B235="",$C$1-A235,H235)</f>
        <v/>
      </c>
      <c r="J235" s="65" t="inlineStr">
        <is>
          <t>力山</t>
        </is>
      </c>
      <c r="K235">
        <f>IF(F235&gt;0,(H235*$F235)/365.25,0)</f>
        <v/>
      </c>
      <c r="L235">
        <f>IF(F235&gt;0,(I235*$F235)/365.25,0)</f>
        <v/>
      </c>
    </row>
    <row r="236" hidden="1" outlineLevel="1" customFormat="1" s="65">
      <c r="A236" s="508" t="n">
        <v>44250</v>
      </c>
      <c r="B236" s="508" t="n">
        <v>44260</v>
      </c>
      <c r="C236" s="123" t="n"/>
      <c r="D236" s="509" t="n">
        <v>29191</v>
      </c>
      <c r="E236" s="510">
        <f>E235+C236-D236</f>
        <v/>
      </c>
      <c r="F236" s="510" t="n"/>
      <c r="G236" s="511">
        <f>G235+F236</f>
        <v/>
      </c>
      <c r="H236" s="511">
        <f>IF(B236="",DATEDIF(A236,$G$1,"d"),DATEDIF(A236,B236,"d"))</f>
        <v/>
      </c>
      <c r="I236">
        <f>IF(B236="",$C$1-A236,H236)</f>
        <v/>
      </c>
      <c r="J236" s="65" t="inlineStr">
        <is>
          <t>揚智</t>
        </is>
      </c>
      <c r="K236">
        <f>IF(F236&gt;0,(H236*$F236)/365.25,0)</f>
        <v/>
      </c>
      <c r="L236">
        <f>IF(F236&gt;0,(I236*$F236)/365.25,0)</f>
        <v/>
      </c>
    </row>
    <row r="237" hidden="1" outlineLevel="1" customFormat="1" s="65">
      <c r="A237" s="508" t="n">
        <v>44251</v>
      </c>
      <c r="B237" s="508" t="n">
        <v>44264</v>
      </c>
      <c r="C237" s="123" t="n"/>
      <c r="D237" s="509" t="n">
        <v>51573</v>
      </c>
      <c r="E237" s="510">
        <f>E236+C237-D237</f>
        <v/>
      </c>
      <c r="F237" s="510" t="n"/>
      <c r="G237" s="511">
        <f>G236+F237</f>
        <v/>
      </c>
      <c r="H237" s="511">
        <f>IF(B237="",DATEDIF(A237,$G$1,"d"),DATEDIF(A237,B237,"d"))</f>
        <v/>
      </c>
      <c r="I237">
        <f>IF(B237="",$C$1-A237,H237)</f>
        <v/>
      </c>
      <c r="J237" s="65" t="inlineStr">
        <is>
          <t>中興電</t>
        </is>
      </c>
      <c r="K237">
        <f>IF(F237&gt;0,(H237*$F237)/365.25,0)</f>
        <v/>
      </c>
      <c r="L237">
        <f>IF(F237&gt;0,(I237*$F237)/365.25,0)</f>
        <v/>
      </c>
    </row>
    <row r="238" hidden="1" outlineLevel="1" customFormat="1" s="65">
      <c r="A238" s="508" t="n">
        <v>44251</v>
      </c>
      <c r="B238" s="508" t="n">
        <v>44264</v>
      </c>
      <c r="C238" s="123" t="n"/>
      <c r="D238" s="509" t="n">
        <v>45815</v>
      </c>
      <c r="E238" s="510">
        <f>E237+C238-D238</f>
        <v/>
      </c>
      <c r="F238" s="510" t="n"/>
      <c r="G238" s="511">
        <f>G237+F238</f>
        <v/>
      </c>
      <c r="H238" s="511">
        <f>IF(B238="",DATEDIF(A238,$G$1,"d"),DATEDIF(A238,B238,"d"))</f>
        <v/>
      </c>
      <c r="I238">
        <f>IF(B238="",$C$1-A238,H238)</f>
        <v/>
      </c>
      <c r="J238" s="65" t="inlineStr">
        <is>
          <t>億光</t>
        </is>
      </c>
      <c r="K238">
        <f>IF(F238&gt;0,(H238*$F238)/365.25,0)</f>
        <v/>
      </c>
      <c r="L238">
        <f>IF(F238&gt;0,(I238*$F238)/365.25,0)</f>
        <v/>
      </c>
    </row>
    <row r="239" hidden="1" outlineLevel="1" customFormat="1" s="65">
      <c r="A239" s="508" t="n">
        <v>44251</v>
      </c>
      <c r="B239" s="508" t="n">
        <v>44264</v>
      </c>
      <c r="C239" s="123" t="n"/>
      <c r="D239" s="509" t="n">
        <v>107152</v>
      </c>
      <c r="E239" s="510">
        <f>E238+C239-D239</f>
        <v/>
      </c>
      <c r="F239" s="510" t="n"/>
      <c r="G239" s="511">
        <f>G238+F239</f>
        <v/>
      </c>
      <c r="H239" s="511">
        <f>IF(B239="",DATEDIF(A239,$G$1,"d"),DATEDIF(A239,B239,"d"))</f>
        <v/>
      </c>
      <c r="I239">
        <f>IF(B239="",$C$1-A239,H239)</f>
        <v/>
      </c>
      <c r="J239" s="65" t="inlineStr">
        <is>
          <t>奇力新</t>
        </is>
      </c>
      <c r="K239">
        <f>IF(F239&gt;0,(H239*$F239)/365.25,0)</f>
        <v/>
      </c>
      <c r="L239">
        <f>IF(F239&gt;0,(I239*$F239)/365.25,0)</f>
        <v/>
      </c>
    </row>
    <row r="240" hidden="1" outlineLevel="1" customFormat="1" s="65">
      <c r="A240" s="508" t="n">
        <v>44252</v>
      </c>
      <c r="B240" s="508" t="n">
        <v>44264</v>
      </c>
      <c r="C240" s="123" t="n"/>
      <c r="D240" s="509" t="n">
        <v>30593</v>
      </c>
      <c r="E240" s="510">
        <f>E239+C240-D240</f>
        <v/>
      </c>
      <c r="F240" s="510" t="n"/>
      <c r="G240" s="511">
        <f>G239+F240</f>
        <v/>
      </c>
      <c r="H240" s="511">
        <f>IF(B240="",DATEDIF(A240,$G$1,"d"),DATEDIF(A240,B240,"d"))</f>
        <v/>
      </c>
      <c r="I240">
        <f>IF(B240="",$C$1-A240,H240)</f>
        <v/>
      </c>
      <c r="J240" s="65" t="inlineStr">
        <is>
          <t>華邦電</t>
        </is>
      </c>
      <c r="K240">
        <f>IF(F240&gt;0,(H240*$F240)/365.25,0)</f>
        <v/>
      </c>
      <c r="L240">
        <f>IF(F240&gt;0,(I240*$F240)/365.25,0)</f>
        <v/>
      </c>
    </row>
    <row r="241" hidden="1" outlineLevel="1" customFormat="1" s="65">
      <c r="A241" s="508" t="n">
        <v>44253</v>
      </c>
      <c r="B241" s="508" t="n">
        <v>44271</v>
      </c>
      <c r="C241" s="123" t="n"/>
      <c r="D241" s="509" t="n">
        <v>100142</v>
      </c>
      <c r="E241" s="510">
        <f>E240+C241-D241</f>
        <v/>
      </c>
      <c r="F241" s="510" t="n"/>
      <c r="G241" s="511">
        <f>G240+F241</f>
        <v/>
      </c>
      <c r="H241" s="511">
        <f>IF(B241="",DATEDIF(A241,$G$1,"d"),DATEDIF(A241,B241,"d"))</f>
        <v/>
      </c>
      <c r="I241">
        <f>IF(B241="",$C$1-A241,H241)</f>
        <v/>
      </c>
      <c r="J241" s="65" t="inlineStr">
        <is>
          <t>台塑(1301)</t>
        </is>
      </c>
      <c r="K241">
        <f>IF(F241&gt;0,(H241*$F241)/365.25,0)</f>
        <v/>
      </c>
      <c r="L241">
        <f>IF(F241&gt;0,(I241*$F241)/365.25,0)</f>
        <v/>
      </c>
    </row>
    <row r="242" hidden="1" outlineLevel="1" customFormat="1" s="65">
      <c r="A242" s="508" t="n">
        <v>44253</v>
      </c>
      <c r="B242" s="508" t="n">
        <v>44271</v>
      </c>
      <c r="C242" s="123" t="n"/>
      <c r="D242" s="509" t="n">
        <v>29892</v>
      </c>
      <c r="E242" s="510">
        <f>E241+C242-D242</f>
        <v/>
      </c>
      <c r="F242" s="510" t="n"/>
      <c r="G242" s="511">
        <f>G241+F242</f>
        <v/>
      </c>
      <c r="H242" s="511">
        <f>IF(B242="",DATEDIF(A242,$G$1,"d"),DATEDIF(A242,B242,"d"))</f>
        <v/>
      </c>
      <c r="I242">
        <f>IF(B242="",$C$1-A242,H242)</f>
        <v/>
      </c>
      <c r="J242" s="65" t="inlineStr">
        <is>
          <t>華夏(1305)</t>
        </is>
      </c>
      <c r="K242">
        <f>IF(F242&gt;0,(H242*$F242)/365.25,0)</f>
        <v/>
      </c>
      <c r="L242">
        <f>IF(F242&gt;0,(I242*$F242)/365.25,0)</f>
        <v/>
      </c>
    </row>
    <row r="243" hidden="1" outlineLevel="1" customFormat="1" s="65">
      <c r="A243" s="508" t="n">
        <v>44253</v>
      </c>
      <c r="B243" s="508" t="n">
        <v>44271</v>
      </c>
      <c r="C243" s="123" t="n"/>
      <c r="D243" s="509" t="n">
        <v>39356</v>
      </c>
      <c r="E243" s="510">
        <f>E242+C243-D243</f>
        <v/>
      </c>
      <c r="F243" s="510" t="n"/>
      <c r="G243" s="511">
        <f>G242+F243</f>
        <v/>
      </c>
      <c r="H243" s="511">
        <f>IF(B243="",DATEDIF(A243,$G$1,"d"),DATEDIF(A243,B243,"d"))</f>
        <v/>
      </c>
      <c r="I243">
        <f>IF(B243="",$C$1-A243,H243)</f>
        <v/>
      </c>
      <c r="J243" s="65" t="inlineStr">
        <is>
          <t>台玻(1802)</t>
        </is>
      </c>
      <c r="K243">
        <f>IF(F243&gt;0,(H243*$F243)/365.25,0)</f>
        <v/>
      </c>
      <c r="L243">
        <f>IF(F243&gt;0,(I243*$F243)/365.25,0)</f>
        <v/>
      </c>
    </row>
    <row r="244" hidden="1" outlineLevel="1" customFormat="1" s="65">
      <c r="A244" s="508" t="n">
        <v>44253</v>
      </c>
      <c r="B244" s="508" t="n">
        <v>44271</v>
      </c>
      <c r="C244" s="123" t="n"/>
      <c r="D244" s="509" t="n">
        <v>25486</v>
      </c>
      <c r="E244" s="510">
        <f>E243+C244-D244</f>
        <v/>
      </c>
      <c r="F244" s="510" t="n"/>
      <c r="G244" s="511">
        <f>G243+F244</f>
        <v/>
      </c>
      <c r="H244" s="511">
        <f>IF(B244="",DATEDIF(A244,$G$1,"d"),DATEDIF(A244,B244,"d"))</f>
        <v/>
      </c>
      <c r="I244">
        <f>IF(B244="",$C$1-A244,H244)</f>
        <v/>
      </c>
      <c r="J244" s="65" t="inlineStr">
        <is>
          <t>中鋼(2002)</t>
        </is>
      </c>
      <c r="K244">
        <f>IF(F244&gt;0,(H244*$F244)/365.25,0)</f>
        <v/>
      </c>
      <c r="L244">
        <f>IF(F244&gt;0,(I244*$F244)/365.25,0)</f>
        <v/>
      </c>
    </row>
    <row r="245" hidden="1" outlineLevel="1" customFormat="1" s="65">
      <c r="A245" s="508" t="n">
        <v>44253</v>
      </c>
      <c r="B245" s="508" t="n">
        <v>44260</v>
      </c>
      <c r="C245" s="123" t="n"/>
      <c r="D245" s="509" t="n">
        <v>34749</v>
      </c>
      <c r="E245" s="510">
        <f>E244+C245-D245</f>
        <v/>
      </c>
      <c r="F245" s="510" t="n"/>
      <c r="G245" s="511">
        <f>G244+F245</f>
        <v/>
      </c>
      <c r="H245" s="511">
        <f>IF(B245="",DATEDIF(A245,$G$1,"d"),DATEDIF(A245,B245,"d"))</f>
        <v/>
      </c>
      <c r="I245">
        <f>IF(B245="",$C$1-A245,H245)</f>
        <v/>
      </c>
      <c r="J245" s="65" t="inlineStr">
        <is>
          <t>第一銅</t>
        </is>
      </c>
      <c r="K245">
        <f>IF(F245&gt;0,(H245*$F245)/365.25,0)</f>
        <v/>
      </c>
      <c r="L245">
        <f>IF(F245&gt;0,(I245*$F245)/365.25,0)</f>
        <v/>
      </c>
    </row>
    <row r="246" hidden="1" outlineLevel="1" customFormat="1" s="65">
      <c r="A246" s="508" t="n">
        <v>44253</v>
      </c>
      <c r="B246" s="508" t="n">
        <v>44264</v>
      </c>
      <c r="C246" s="123" t="n"/>
      <c r="D246" s="509" t="n">
        <v>11820</v>
      </c>
      <c r="E246" s="510">
        <f>E245+C246-D246</f>
        <v/>
      </c>
      <c r="F246" s="510" t="n"/>
      <c r="G246" s="511">
        <f>G245+F246</f>
        <v/>
      </c>
      <c r="H246" s="511">
        <f>IF(B246="",DATEDIF(A246,$G$1,"d"),DATEDIF(A246,B246,"d"))</f>
        <v/>
      </c>
      <c r="I246">
        <f>IF(B246="",$C$1-A246,H246)</f>
        <v/>
      </c>
      <c r="J246" s="65" t="inlineStr">
        <is>
          <t>永豐金</t>
        </is>
      </c>
      <c r="K246">
        <f>IF(F246&gt;0,(H246*$F246)/365.25,0)</f>
        <v/>
      </c>
      <c r="L246">
        <f>IF(F246&gt;0,(I246*$F246)/365.25,0)</f>
        <v/>
      </c>
    </row>
    <row r="247" hidden="1" outlineLevel="1" customFormat="1" s="65">
      <c r="A247" s="508" t="n">
        <v>44253</v>
      </c>
      <c r="B247" s="508" t="n">
        <v>44264</v>
      </c>
      <c r="C247" s="123" t="n"/>
      <c r="D247" s="509" t="n">
        <v>20829</v>
      </c>
      <c r="E247" s="510">
        <f>E246+C247-D247</f>
        <v/>
      </c>
      <c r="F247" s="510" t="n"/>
      <c r="G247" s="511">
        <f>G246+F247</f>
        <v/>
      </c>
      <c r="H247" s="511">
        <f>IF(B247="",DATEDIF(A247,$G$1,"d"),DATEDIF(A247,B247,"d"))</f>
        <v/>
      </c>
      <c r="I247">
        <f>IF(B247="",$C$1-A247,H247)</f>
        <v/>
      </c>
      <c r="J247" s="65" t="inlineStr">
        <is>
          <t>中信金</t>
        </is>
      </c>
      <c r="K247">
        <f>IF(F247&gt;0,(H247*$F247)/365.25,0)</f>
        <v/>
      </c>
      <c r="L247">
        <f>IF(F247&gt;0,(I247*$F247)/365.25,0)</f>
        <v/>
      </c>
    </row>
    <row r="248" hidden="1" outlineLevel="1" customFormat="1" s="65">
      <c r="A248" s="508" t="n">
        <v>44212</v>
      </c>
      <c r="B248" s="508" t="n">
        <v>44253</v>
      </c>
      <c r="C248" s="123" t="n">
        <v>37634</v>
      </c>
      <c r="D248" s="509" t="n"/>
      <c r="E248" s="510">
        <f>E247+C248-D248</f>
        <v/>
      </c>
      <c r="F248" s="510">
        <f>-D219+C248</f>
        <v/>
      </c>
      <c r="G248" s="511">
        <f>G247+F248</f>
        <v/>
      </c>
      <c r="H248" s="511">
        <f>IF(B248="",DATEDIF(A248,$G$1,"d"),DATEDIF(A248,B248,"d"))</f>
        <v/>
      </c>
      <c r="I248">
        <f>IF(B248="",$C$1-A248,H248)</f>
        <v/>
      </c>
      <c r="J248" s="65" t="inlineStr">
        <is>
          <t>長榮</t>
        </is>
      </c>
      <c r="K248">
        <f>IF(F248&gt;0,(H248*$F248)/365.25,0)</f>
        <v/>
      </c>
      <c r="L248">
        <f>IF(F248&gt;0,(I248*$F248)/365.25,0)</f>
        <v/>
      </c>
    </row>
    <row r="249" hidden="1" outlineLevel="1" customFormat="1" s="65">
      <c r="A249" s="508" t="n">
        <v>44253</v>
      </c>
      <c r="B249" s="508" t="n">
        <v>44258</v>
      </c>
      <c r="C249" s="123" t="n">
        <v>126050</v>
      </c>
      <c r="D249" s="509" t="n">
        <v>126070</v>
      </c>
      <c r="E249" s="510">
        <f>E248+C249-D249</f>
        <v/>
      </c>
      <c r="F249" s="510">
        <f>C249-D249</f>
        <v/>
      </c>
      <c r="G249" s="511">
        <f>G248+F249</f>
        <v/>
      </c>
      <c r="H249" s="511">
        <f>IF(B249="",DATEDIF(A249,$G$1,"d"),DATEDIF(A249,B249,"d"))</f>
        <v/>
      </c>
      <c r="I249">
        <f>IF(B249="",$C$1-A249,H249)</f>
        <v/>
      </c>
      <c r="J249" s="65" t="inlineStr">
        <is>
          <t>惠特</t>
        </is>
      </c>
      <c r="K249">
        <f>IF(F249&gt;0,(H249*$F249)/365.25,0)</f>
        <v/>
      </c>
      <c r="L249">
        <f>IF(F249&gt;0,(I249*$F249)/365.25,0)</f>
        <v/>
      </c>
      <c r="M249" s="65" t="inlineStr">
        <is>
          <t>股票申購</t>
        </is>
      </c>
    </row>
    <row r="250" hidden="1" outlineLevel="1" customFormat="1" s="65">
      <c r="A250" s="508" t="n">
        <v>44250</v>
      </c>
      <c r="B250" s="508" t="n">
        <v>44260</v>
      </c>
      <c r="C250" s="123" t="n">
        <v>81937</v>
      </c>
      <c r="D250" s="509" t="n"/>
      <c r="E250" s="510">
        <f>E249+C250-D250</f>
        <v/>
      </c>
      <c r="F250" s="510">
        <f>-D235+C250</f>
        <v/>
      </c>
      <c r="G250" s="511">
        <f>G249+F250</f>
        <v/>
      </c>
      <c r="H250" s="511">
        <f>IF(B250="",DATEDIF(A250,$G$1,"d"),DATEDIF(A250,B250,"d"))</f>
        <v/>
      </c>
      <c r="I250">
        <f>IF(B250="",$C$1-A250,H250)</f>
        <v/>
      </c>
      <c r="J250" s="65" t="inlineStr">
        <is>
          <t>力山</t>
        </is>
      </c>
      <c r="K250">
        <f>IF(F250&gt;0,(H250*$F250)/365.25,0)</f>
        <v/>
      </c>
      <c r="L250">
        <f>IF(F250&gt;0,(I250*$F250)/365.25,0)</f>
        <v/>
      </c>
    </row>
    <row r="251" hidden="1" outlineLevel="1" customFormat="1" s="65">
      <c r="A251" s="508" t="n">
        <v>44250</v>
      </c>
      <c r="B251" s="508" t="n">
        <v>44260</v>
      </c>
      <c r="C251" s="123" t="n">
        <v>27678</v>
      </c>
      <c r="D251" s="509" t="n"/>
      <c r="E251" s="510">
        <f>E250+C251-D251</f>
        <v/>
      </c>
      <c r="F251" s="510">
        <f>-D236+C251</f>
        <v/>
      </c>
      <c r="G251" s="511">
        <f>G250+F251</f>
        <v/>
      </c>
      <c r="H251" s="511">
        <f>IF(B251="",DATEDIF(A251,$G$1,"d"),DATEDIF(A251,B251,"d"))</f>
        <v/>
      </c>
      <c r="I251">
        <f>IF(B251="",$C$1-A251,H251)</f>
        <v/>
      </c>
      <c r="J251" s="65" t="inlineStr">
        <is>
          <t>揚智</t>
        </is>
      </c>
      <c r="K251">
        <f>IF(F251&gt;0,(H251*$F251)/365.25,0)</f>
        <v/>
      </c>
      <c r="L251">
        <f>IF(F251&gt;0,(I251*$F251)/365.25,0)</f>
        <v/>
      </c>
    </row>
    <row r="252" hidden="1" outlineLevel="1" customFormat="1" s="65">
      <c r="A252" s="508" t="n">
        <v>44253</v>
      </c>
      <c r="B252" s="508" t="n">
        <v>44260</v>
      </c>
      <c r="C252" s="123" t="n">
        <v>29669</v>
      </c>
      <c r="D252" s="509" t="n"/>
      <c r="E252" s="510">
        <f>E251+C252-D252</f>
        <v/>
      </c>
      <c r="F252" s="510">
        <f>-D245+C252</f>
        <v/>
      </c>
      <c r="G252" s="511">
        <f>G251+F252</f>
        <v/>
      </c>
      <c r="H252" s="511">
        <f>IF(B252="",DATEDIF(A252,$G$1,"d"),DATEDIF(A252,B252,"d"))</f>
        <v/>
      </c>
      <c r="I252">
        <f>IF(B252="",$C$1-A252,H252)</f>
        <v/>
      </c>
      <c r="J252" s="65" t="inlineStr">
        <is>
          <t>第一銅</t>
        </is>
      </c>
      <c r="K252">
        <f>IF(F252&gt;0,(H252*$F252)/365.25,0)</f>
        <v/>
      </c>
      <c r="L252">
        <f>IF(F252&gt;0,(I252*$F252)/365.25,0)</f>
        <v/>
      </c>
    </row>
    <row r="253" hidden="1" outlineLevel="1" customFormat="1" s="65">
      <c r="A253" s="508" t="n">
        <v>44260</v>
      </c>
      <c r="B253" s="508" t="n">
        <v>44263</v>
      </c>
      <c r="C253" s="123" t="n"/>
      <c r="D253" s="509" t="n">
        <v>79112</v>
      </c>
      <c r="E253" s="510">
        <f>E252+C253-D253</f>
        <v/>
      </c>
      <c r="F253" s="510" t="n"/>
      <c r="G253" s="511">
        <f>G252+F253</f>
        <v/>
      </c>
      <c r="H253" s="511">
        <f>IF(B253="",DATEDIF(A253,$G$1,"d"),DATEDIF(A253,B253,"d"))</f>
        <v/>
      </c>
      <c r="I253">
        <f>IF(B253="",$C$1-A253,H253)</f>
        <v/>
      </c>
      <c r="J253" s="65" t="inlineStr">
        <is>
          <t>均華</t>
        </is>
      </c>
      <c r="K253">
        <f>IF(F253&gt;0,(H253*$F253)/365.25,0)</f>
        <v/>
      </c>
      <c r="L253">
        <f>IF(F253&gt;0,(I253*$F253)/365.25,0)</f>
        <v/>
      </c>
    </row>
    <row r="254" hidden="1" outlineLevel="1" customFormat="1" s="65">
      <c r="A254" s="508" t="n">
        <v>44260</v>
      </c>
      <c r="B254" s="508" t="n">
        <v>44263</v>
      </c>
      <c r="C254" s="123" t="n">
        <v>71583</v>
      </c>
      <c r="D254" s="509" t="n"/>
      <c r="E254" s="510">
        <f>E253+C254-D254</f>
        <v/>
      </c>
      <c r="F254" s="510">
        <f>-D253+C254</f>
        <v/>
      </c>
      <c r="G254" s="511">
        <f>G253+F254</f>
        <v/>
      </c>
      <c r="H254" s="511">
        <f>IF(B254="",DATEDIF(A254,$G$1,"d"),DATEDIF(A254,B254,"d"))</f>
        <v/>
      </c>
      <c r="I254">
        <f>IF(B254="",$C$1-A254,H254)</f>
        <v/>
      </c>
      <c r="J254" s="65" t="inlineStr">
        <is>
          <t>均華</t>
        </is>
      </c>
      <c r="K254">
        <f>IF(F254&gt;0,(H254*$F254)/365.25,0)</f>
        <v/>
      </c>
      <c r="L254">
        <f>IF(F254&gt;0,(I254*$F254)/365.25,0)</f>
        <v/>
      </c>
    </row>
    <row r="255" hidden="1" outlineLevel="1" customFormat="1" s="65">
      <c r="A255" s="508" t="n">
        <v>44207</v>
      </c>
      <c r="B255" s="508" t="n">
        <v>44264</v>
      </c>
      <c r="C255" s="123" t="n">
        <v>105034</v>
      </c>
      <c r="D255" s="509" t="n"/>
      <c r="E255" s="510">
        <f>E254+C255-D255</f>
        <v/>
      </c>
      <c r="F255" s="510">
        <f>-D202+C255</f>
        <v/>
      </c>
      <c r="G255" s="511">
        <f>G254+F255</f>
        <v/>
      </c>
      <c r="H255" s="511">
        <f>IF(B255="",DATEDIF(A255,$G$1,"d"),DATEDIF(A255,B255,"d"))</f>
        <v/>
      </c>
      <c r="I255">
        <f>IF(B255="",$C$1-A255,H255)</f>
        <v/>
      </c>
      <c r="J255" s="65" t="inlineStr">
        <is>
          <t>全新</t>
        </is>
      </c>
      <c r="K255">
        <f>IF(F255&gt;0,(H255*$F255)/365.25,0)</f>
        <v/>
      </c>
      <c r="L255">
        <f>IF(F255&gt;0,(I255*$F255)/365.25,0)</f>
        <v/>
      </c>
    </row>
    <row r="256" hidden="1" outlineLevel="1" customFormat="1" s="65">
      <c r="A256" s="508" t="n">
        <v>44210</v>
      </c>
      <c r="B256" s="508" t="n">
        <v>44264</v>
      </c>
      <c r="C256" s="123" t="n">
        <v>36638</v>
      </c>
      <c r="D256" s="509" t="n"/>
      <c r="E256" s="510">
        <f>E255+C256-D256</f>
        <v/>
      </c>
      <c r="F256" s="510">
        <f>-D210+C256</f>
        <v/>
      </c>
      <c r="G256" s="511">
        <f>G255+F256</f>
        <v/>
      </c>
      <c r="H256" s="511">
        <f>IF(B256="",DATEDIF(A256,$G$1,"d"),DATEDIF(A256,B256,"d"))</f>
        <v/>
      </c>
      <c r="I256">
        <f>IF(B256="",$C$1-A256,H256)</f>
        <v/>
      </c>
      <c r="J256" s="65" t="inlineStr">
        <is>
          <t>友達</t>
        </is>
      </c>
      <c r="K256">
        <f>IF(F256&gt;0,(H256*$F256)/365.25,0)</f>
        <v/>
      </c>
      <c r="L256">
        <f>IF(F256&gt;0,(I256*$F256)/365.25,0)</f>
        <v/>
      </c>
    </row>
    <row r="257" hidden="1" outlineLevel="1" customFormat="1" s="65">
      <c r="A257" s="508" t="n">
        <v>44253</v>
      </c>
      <c r="B257" s="508" t="n">
        <v>44264</v>
      </c>
      <c r="C257" s="123" t="n">
        <v>11596</v>
      </c>
      <c r="D257" s="509" t="n"/>
      <c r="E257" s="510">
        <f>E256+C257-D257</f>
        <v/>
      </c>
      <c r="F257" s="510">
        <f>-D246+C257</f>
        <v/>
      </c>
      <c r="G257" s="511">
        <f>G256+F257</f>
        <v/>
      </c>
      <c r="H257" s="511">
        <f>IF(B257="",DATEDIF(A257,$G$1,"d"),DATEDIF(A257,B257,"d"))</f>
        <v/>
      </c>
      <c r="I257">
        <f>IF(B257="",$C$1-A257,H257)</f>
        <v/>
      </c>
      <c r="J257" s="65" t="inlineStr">
        <is>
          <t>永豐金</t>
        </is>
      </c>
      <c r="K257">
        <f>IF(F257&gt;0,(H257*$F257)/365.25,0)</f>
        <v/>
      </c>
      <c r="L257">
        <f>IF(F257&gt;0,(I257*$F257)/365.25,0)</f>
        <v/>
      </c>
    </row>
    <row r="258" hidden="1" outlineLevel="1" customFormat="1" s="65">
      <c r="A258" s="508" t="n">
        <v>44253</v>
      </c>
      <c r="B258" s="508" t="n">
        <v>44264</v>
      </c>
      <c r="C258" s="123" t="n">
        <v>20062</v>
      </c>
      <c r="D258" s="509" t="n"/>
      <c r="E258" s="510">
        <f>E257+C258-D258</f>
        <v/>
      </c>
      <c r="F258" s="510">
        <f>-D247+C258</f>
        <v/>
      </c>
      <c r="G258" s="511">
        <f>G257+F258</f>
        <v/>
      </c>
      <c r="H258" s="511">
        <f>IF(B258="",DATEDIF(A258,$G$1,"d"),DATEDIF(A258,B258,"d"))</f>
        <v/>
      </c>
      <c r="I258">
        <f>IF(B258="",$C$1-A258,H258)</f>
        <v/>
      </c>
      <c r="J258" s="65" t="inlineStr">
        <is>
          <t>中信金</t>
        </is>
      </c>
      <c r="K258">
        <f>IF(F258&gt;0,(H258*$F258)/365.25,0)</f>
        <v/>
      </c>
      <c r="L258">
        <f>IF(F258&gt;0,(I258*$F258)/365.25,0)</f>
        <v/>
      </c>
    </row>
    <row r="259" hidden="1" outlineLevel="1" customFormat="1" s="65">
      <c r="A259" s="508" t="n">
        <v>44168</v>
      </c>
      <c r="B259" s="508" t="n">
        <v>44264</v>
      </c>
      <c r="C259" s="123" t="n">
        <v>102047</v>
      </c>
      <c r="D259" s="509" t="n"/>
      <c r="E259" s="510">
        <f>E258+C259-D259</f>
        <v/>
      </c>
      <c r="F259" s="510" t="n"/>
      <c r="G259" s="511">
        <f>G258+F259</f>
        <v/>
      </c>
      <c r="H259" s="511">
        <f>IF(B259="",DATEDIF(A259,$G$1,"d"),DATEDIF(A259,B259,"d"))</f>
        <v/>
      </c>
      <c r="I259">
        <f>IF(B259="",$C$1-A259,H259)</f>
        <v/>
      </c>
      <c r="J259" s="65" t="inlineStr">
        <is>
          <t>日月光投控</t>
        </is>
      </c>
      <c r="K259">
        <f>IF(F259&gt;0,(H259*$F259)/365.25,0)</f>
        <v/>
      </c>
      <c r="L259">
        <f>IF(F259&gt;0,(I259*$F259)/365.25,0)</f>
        <v/>
      </c>
    </row>
    <row r="260" hidden="1" outlineLevel="1" customFormat="1" s="65">
      <c r="A260" s="508" t="n">
        <v>44159</v>
      </c>
      <c r="B260" s="508" t="n">
        <v>44264</v>
      </c>
      <c r="C260" s="123" t="n">
        <v>33353</v>
      </c>
      <c r="D260" s="509" t="n"/>
      <c r="E260" s="510">
        <f>E259+C260-D260</f>
        <v/>
      </c>
      <c r="F260" s="510" t="n"/>
      <c r="G260" s="511">
        <f>G259+F260</f>
        <v/>
      </c>
      <c r="H260" s="511">
        <f>IF(B260="",DATEDIF(A260,$G$1,"d"),DATEDIF(A260,B260,"d"))</f>
        <v/>
      </c>
      <c r="I260">
        <f>IF(B260="",$C$1-A260,H260)</f>
        <v/>
      </c>
      <c r="J260" s="65" t="inlineStr">
        <is>
          <t>大立光</t>
        </is>
      </c>
      <c r="K260">
        <f>IF(F260&gt;0,(H260*$F260)/365.25,0)</f>
        <v/>
      </c>
      <c r="L260">
        <f>IF(F260&gt;0,(I260*$F260)/365.25,0)</f>
        <v/>
      </c>
    </row>
    <row r="261" hidden="1" outlineLevel="1" customFormat="1" s="65">
      <c r="A261" s="508" t="n">
        <v>44236</v>
      </c>
      <c r="B261" s="508" t="n">
        <v>44264</v>
      </c>
      <c r="C261" s="123" t="n">
        <v>309624</v>
      </c>
      <c r="D261" s="509" t="n"/>
      <c r="E261" s="510">
        <f>E260+C261-D261</f>
        <v/>
      </c>
      <c r="F261" s="510">
        <f>-D234+C261</f>
        <v/>
      </c>
      <c r="G261" s="511">
        <f>G260+F261</f>
        <v/>
      </c>
      <c r="H261" s="511">
        <f>IF(B261="",DATEDIF(A261,$G$1,"d"),DATEDIF(A261,B261,"d"))</f>
        <v/>
      </c>
      <c r="I261">
        <f>IF(B261="",$C$1-A261,H261)</f>
        <v/>
      </c>
      <c r="J261" s="65" t="inlineStr">
        <is>
          <t>華碩</t>
        </is>
      </c>
      <c r="K261">
        <f>IF(F261&gt;0,(H261*$F261)/365.25,0)</f>
        <v/>
      </c>
      <c r="L261">
        <f>IF(F261&gt;0,(I261*$F261)/365.25,0)</f>
        <v/>
      </c>
    </row>
    <row r="262" hidden="1" outlineLevel="1" customFormat="1" s="65">
      <c r="A262" s="508" t="n">
        <v>44251</v>
      </c>
      <c r="B262" s="508" t="n">
        <v>44264</v>
      </c>
      <c r="C262" s="123" t="n">
        <v>50875</v>
      </c>
      <c r="D262" s="509" t="n"/>
      <c r="E262" s="510">
        <f>E261+C262-D262</f>
        <v/>
      </c>
      <c r="F262" s="510">
        <f>-D237+C262</f>
        <v/>
      </c>
      <c r="G262" s="511">
        <f>G261+F262</f>
        <v/>
      </c>
      <c r="H262" s="511">
        <f>IF(B262="",DATEDIF(A262,$G$1,"d"),DATEDIF(A262,B262,"d"))</f>
        <v/>
      </c>
      <c r="I262">
        <f>IF(B262="",$C$1-A262,H262)</f>
        <v/>
      </c>
      <c r="J262" s="65" t="inlineStr">
        <is>
          <t>中興電</t>
        </is>
      </c>
      <c r="K262">
        <f>IF(F262&gt;0,(H262*$F262)/365.25,0)</f>
        <v/>
      </c>
      <c r="L262">
        <f>IF(F262&gt;0,(I262*$F262)/365.25,0)</f>
        <v/>
      </c>
    </row>
    <row r="263" hidden="1" outlineLevel="1" customFormat="1" s="65">
      <c r="A263" s="508" t="n">
        <v>44251</v>
      </c>
      <c r="B263" s="508" t="n">
        <v>44264</v>
      </c>
      <c r="C263" s="123" t="n">
        <v>43906</v>
      </c>
      <c r="D263" s="509" t="n"/>
      <c r="E263" s="510">
        <f>E262+C263-D263</f>
        <v/>
      </c>
      <c r="F263" s="510">
        <f>-D238+C263</f>
        <v/>
      </c>
      <c r="G263" s="511">
        <f>G262+F263</f>
        <v/>
      </c>
      <c r="H263" s="511">
        <f>IF(B263="",DATEDIF(A263,$G$1,"d"),DATEDIF(A263,B263,"d"))</f>
        <v/>
      </c>
      <c r="I263">
        <f>IF(B263="",$C$1-A263,H263)</f>
        <v/>
      </c>
      <c r="J263" s="65" t="inlineStr">
        <is>
          <t>億光</t>
        </is>
      </c>
      <c r="K263">
        <f>IF(F263&gt;0,(H263*$F263)/365.25,0)</f>
        <v/>
      </c>
      <c r="L263">
        <f>IF(F263&gt;0,(I263*$F263)/365.25,0)</f>
        <v/>
      </c>
    </row>
    <row r="264" hidden="1" outlineLevel="1" customFormat="1" s="65">
      <c r="A264" s="508" t="n">
        <v>44251</v>
      </c>
      <c r="B264" s="508" t="n">
        <v>44264</v>
      </c>
      <c r="C264" s="123" t="n">
        <v>108518</v>
      </c>
      <c r="D264" s="509" t="n"/>
      <c r="E264" s="510">
        <f>E263+C264-D264</f>
        <v/>
      </c>
      <c r="F264" s="510">
        <f>-D239+C264</f>
        <v/>
      </c>
      <c r="G264" s="511">
        <f>G263+F264</f>
        <v/>
      </c>
      <c r="H264" s="511">
        <f>IF(B264="",DATEDIF(A264,$G$1,"d"),DATEDIF(A264,B264,"d"))</f>
        <v/>
      </c>
      <c r="I264">
        <f>IF(B264="",$C$1-A264,H264)</f>
        <v/>
      </c>
      <c r="J264" s="65" t="inlineStr">
        <is>
          <t>奇力新</t>
        </is>
      </c>
      <c r="K264">
        <f>IF(F264&gt;0,(H264*$F264)/365.25,0)</f>
        <v/>
      </c>
      <c r="L264">
        <f>IF(F264&gt;0,(I264*$F264)/365.25,0)</f>
        <v/>
      </c>
    </row>
    <row r="265" hidden="1" outlineLevel="1" customFormat="1" s="65">
      <c r="A265" s="508" t="n">
        <v>44252</v>
      </c>
      <c r="B265" s="508" t="n">
        <v>44264</v>
      </c>
      <c r="C265" s="123" t="n">
        <v>27628</v>
      </c>
      <c r="D265" s="509" t="n"/>
      <c r="E265" s="510">
        <f>E264+C265-D265</f>
        <v/>
      </c>
      <c r="F265" s="510">
        <f>-D240+C265</f>
        <v/>
      </c>
      <c r="G265" s="511">
        <f>G264+F265</f>
        <v/>
      </c>
      <c r="H265" s="511">
        <f>IF(B265="",DATEDIF(A265,$G$1,"d"),DATEDIF(A265,B265,"d"))</f>
        <v/>
      </c>
      <c r="I265">
        <f>IF(B265="",$C$1-A265,H265)</f>
        <v/>
      </c>
      <c r="J265" s="65" t="inlineStr">
        <is>
          <t>華邦電</t>
        </is>
      </c>
      <c r="K265">
        <f>IF(F265&gt;0,(H265*$F265)/365.25,0)</f>
        <v/>
      </c>
      <c r="L265">
        <f>IF(F265&gt;0,(I265*$F265)/365.25,0)</f>
        <v/>
      </c>
    </row>
    <row r="266" hidden="1" outlineLevel="1" customFormat="1" s="65">
      <c r="A266" s="508" t="n">
        <v>44212</v>
      </c>
      <c r="B266" s="508" t="n">
        <v>44264</v>
      </c>
      <c r="C266" s="123" t="n">
        <v>37136</v>
      </c>
      <c r="D266" s="509" t="n"/>
      <c r="E266" s="510">
        <f>E265+C266-D266</f>
        <v/>
      </c>
      <c r="F266" s="510">
        <f>-D220+C266</f>
        <v/>
      </c>
      <c r="G266" s="511">
        <f>G265+F266</f>
        <v/>
      </c>
      <c r="H266" s="511">
        <f>IF(B266="",DATEDIF(A266,$G$1,"d"),DATEDIF(A266,B266,"d"))</f>
        <v/>
      </c>
      <c r="I266">
        <f>IF(B266="",$C$1-A266,H266)</f>
        <v/>
      </c>
      <c r="J266" s="65" t="inlineStr">
        <is>
          <t>長榮</t>
        </is>
      </c>
      <c r="K266">
        <f>IF(F266&gt;0,(H266*$F266)/365.25,0)</f>
        <v/>
      </c>
      <c r="L266">
        <f>IF(F266&gt;0,(I266*$F266)/365.25,0)</f>
        <v/>
      </c>
    </row>
    <row r="267" hidden="1" outlineLevel="1" customFormat="1" s="65">
      <c r="A267" s="518" t="n">
        <v>44265</v>
      </c>
      <c r="B267" s="518" t="n"/>
      <c r="C267" s="148" t="n">
        <v>1008</v>
      </c>
      <c r="D267" s="519" t="n"/>
      <c r="E267" s="520">
        <f>E266+C267-D267</f>
        <v/>
      </c>
      <c r="F267" s="520">
        <f>C267-D267</f>
        <v/>
      </c>
      <c r="G267" s="521">
        <f>G266+F267</f>
        <v/>
      </c>
      <c r="H267" s="521">
        <f>IF(B267="",DATEDIF(A267,$F$1,"d"),DATEDIF(A267,B267,"d"))</f>
        <v/>
      </c>
      <c r="I267" s="152">
        <f>IF(B267="",$C$1-A267,H267)</f>
        <v/>
      </c>
      <c r="J267" s="152" t="inlineStr">
        <is>
          <t>折讓入帳</t>
        </is>
      </c>
      <c r="K267" s="152">
        <f>IF(F267&gt;0,(H267*$F267)/365.25,0)</f>
        <v/>
      </c>
      <c r="L267" s="152">
        <f>IF(F267&gt;0,(I267*$F267)/365.25,0)</f>
        <v/>
      </c>
      <c r="M267" s="152" t="n"/>
    </row>
    <row r="268" hidden="1" outlineLevel="1" customFormat="1" s="65">
      <c r="A268" s="508" t="n">
        <v>44160</v>
      </c>
      <c r="B268" s="66" t="n">
        <v>44266</v>
      </c>
      <c r="C268" s="123" t="n">
        <v>25288</v>
      </c>
      <c r="D268" s="509" t="n"/>
      <c r="E268" s="510">
        <f>E267+C268-D268</f>
        <v/>
      </c>
      <c r="F268" s="510" t="n"/>
      <c r="G268" s="511">
        <f>G267+F268</f>
        <v/>
      </c>
      <c r="H268" s="511">
        <f>IF(B268="",DATEDIF(A268,$G$1,"d"),DATEDIF(A268,B268,"d"))</f>
        <v/>
      </c>
      <c r="I268">
        <f>IF(B268="",$C$1-A268,H268)</f>
        <v/>
      </c>
      <c r="J268" s="65" t="inlineStr">
        <is>
          <t>玉山金(2884)</t>
        </is>
      </c>
      <c r="K268">
        <f>IF(F268&gt;0,(H268*$F268)/365.25,0)</f>
        <v/>
      </c>
      <c r="L268">
        <f>IF(F268&gt;0,(I268*$F268)/365.25,0)</f>
        <v/>
      </c>
    </row>
    <row r="269" hidden="1" outlineLevel="1" customFormat="1" s="65">
      <c r="A269" s="508" t="n">
        <v>44253</v>
      </c>
      <c r="B269" s="508" t="n">
        <v>44271</v>
      </c>
      <c r="C269" s="123" t="n">
        <v>104039</v>
      </c>
      <c r="D269" s="509" t="n"/>
      <c r="E269" s="510">
        <f>E268+C269-D269</f>
        <v/>
      </c>
      <c r="F269" s="510">
        <f>-D241+C269</f>
        <v/>
      </c>
      <c r="G269" s="511">
        <f>G268+F269</f>
        <v/>
      </c>
      <c r="H269" s="511">
        <f>IF(B269="",DATEDIF(A269,$G$1,"d"),DATEDIF(A269,B269,"d"))</f>
        <v/>
      </c>
      <c r="I269">
        <f>IF(B269="",$C$1-A269,H269)</f>
        <v/>
      </c>
      <c r="J269" s="65" t="inlineStr">
        <is>
          <t>台塑(1301)</t>
        </is>
      </c>
      <c r="K269">
        <f>IF(F269&gt;0,(H269*$F269)/365.25,0)</f>
        <v/>
      </c>
      <c r="L269">
        <f>IF(F269&gt;0,(I269*$F269)/365.25,0)</f>
        <v/>
      </c>
    </row>
    <row r="270" hidden="1" outlineLevel="1" customFormat="1" s="65">
      <c r="A270" s="508" t="n">
        <v>44253</v>
      </c>
      <c r="B270" s="508" t="n">
        <v>44271</v>
      </c>
      <c r="C270" s="123" t="n">
        <v>32904</v>
      </c>
      <c r="D270" s="509" t="n"/>
      <c r="E270" s="510">
        <f>E269+C270-D270</f>
        <v/>
      </c>
      <c r="F270" s="510">
        <f>-D242+C270</f>
        <v/>
      </c>
      <c r="G270" s="511">
        <f>G269+F270</f>
        <v/>
      </c>
      <c r="H270" s="511">
        <f>IF(B270="",DATEDIF(A270,$G$1,"d"),DATEDIF(A270,B270,"d"))</f>
        <v/>
      </c>
      <c r="I270">
        <f>IF(B270="",$C$1-A270,H270)</f>
        <v/>
      </c>
      <c r="J270" s="65" t="inlineStr">
        <is>
          <t>華夏(1305)</t>
        </is>
      </c>
      <c r="K270">
        <f>IF(F270&gt;0,(H270*$F270)/365.25,0)</f>
        <v/>
      </c>
      <c r="L270">
        <f>IF(F270&gt;0,(I270*$F270)/365.25,0)</f>
        <v/>
      </c>
    </row>
    <row r="271" hidden="1" outlineLevel="1" customFormat="1" s="65">
      <c r="A271" s="508" t="n">
        <v>44253</v>
      </c>
      <c r="B271" s="508" t="n">
        <v>44271</v>
      </c>
      <c r="C271" s="123" t="n">
        <v>39923</v>
      </c>
      <c r="D271" s="509" t="n"/>
      <c r="E271" s="510">
        <f>E270+C271-D271</f>
        <v/>
      </c>
      <c r="F271" s="510">
        <f>-D243+C271</f>
        <v/>
      </c>
      <c r="G271" s="511">
        <f>G270+F271</f>
        <v/>
      </c>
      <c r="H271" s="511">
        <f>IF(B271="",DATEDIF(A271,$G$1,"d"),DATEDIF(A271,B271,"d"))</f>
        <v/>
      </c>
      <c r="I271">
        <f>IF(B271="",$C$1-A271,H271)</f>
        <v/>
      </c>
      <c r="J271" s="65" t="inlineStr">
        <is>
          <t>台玻(1802)</t>
        </is>
      </c>
      <c r="K271">
        <f>IF(F271&gt;0,(H271*$F271)/365.25,0)</f>
        <v/>
      </c>
      <c r="L271">
        <f>IF(F271&gt;0,(I271*$F271)/365.25,0)</f>
        <v/>
      </c>
    </row>
    <row r="272" hidden="1" outlineLevel="1" customFormat="1" s="65">
      <c r="A272" s="508" t="n">
        <v>44253</v>
      </c>
      <c r="B272" s="508" t="n">
        <v>44271</v>
      </c>
      <c r="C272" s="123" t="n">
        <v>25687</v>
      </c>
      <c r="D272" s="509" t="n"/>
      <c r="E272" s="510">
        <f>E271+C272-D272</f>
        <v/>
      </c>
      <c r="F272" s="510">
        <f>-D244+C272</f>
        <v/>
      </c>
      <c r="G272" s="511">
        <f>G271+F272</f>
        <v/>
      </c>
      <c r="H272" s="511">
        <f>IF(B272="",DATEDIF(A272,$G$1,"d"),DATEDIF(A272,B272,"d"))</f>
        <v/>
      </c>
      <c r="I272">
        <f>IF(B272="",$C$1-A272,H272)</f>
        <v/>
      </c>
      <c r="J272" s="65" t="inlineStr">
        <is>
          <t>中鋼(2002)</t>
        </is>
      </c>
      <c r="K272">
        <f>IF(F272&gt;0,(H272*$F272)/365.25,0)</f>
        <v/>
      </c>
      <c r="L272">
        <f>IF(F272&gt;0,(I272*$F272)/365.25,0)</f>
        <v/>
      </c>
    </row>
    <row r="273" hidden="1" outlineLevel="1" customFormat="1" s="65">
      <c r="A273" s="508" t="n">
        <v>44271</v>
      </c>
      <c r="B273" s="508" t="n">
        <v>44271</v>
      </c>
      <c r="C273" s="123" t="n">
        <v>53544</v>
      </c>
      <c r="D273" s="509" t="n">
        <v>51473</v>
      </c>
      <c r="E273" s="510">
        <f>E272+C273-D273</f>
        <v/>
      </c>
      <c r="F273" s="510">
        <f>-D273+C273</f>
        <v/>
      </c>
      <c r="G273" s="511">
        <f>G272+F273</f>
        <v/>
      </c>
      <c r="H273" s="511">
        <f>IF(B273="",DATEDIF(A273,$G$1,"d"),DATEDIF(A273,B273,"d"))</f>
        <v/>
      </c>
      <c r="I273">
        <f>IF(B273="",$C$1-A273,H273)</f>
        <v/>
      </c>
      <c r="J273" s="65" t="inlineStr">
        <is>
          <t>光罩(2338)</t>
        </is>
      </c>
      <c r="K273">
        <f>IF(F273&gt;0,(H273*$F273)/365.25,0)</f>
        <v/>
      </c>
      <c r="L273">
        <f>IF(F273&gt;0,(I273*$F273)/365.25,0)</f>
        <v/>
      </c>
      <c r="M273" s="65" t="inlineStr">
        <is>
          <t>當沖</t>
        </is>
      </c>
    </row>
    <row r="274" hidden="1" outlineLevel="1" customFormat="1" s="65">
      <c r="A274" s="508" t="n">
        <v>44271</v>
      </c>
      <c r="B274" s="508" t="n">
        <v>44271</v>
      </c>
      <c r="C274" s="123" t="n">
        <v>115163</v>
      </c>
      <c r="D274" s="509" t="n">
        <v>114663</v>
      </c>
      <c r="E274" s="510">
        <f>E273+C274-D274</f>
        <v/>
      </c>
      <c r="F274" s="510">
        <f>-D274+C274</f>
        <v/>
      </c>
      <c r="G274" s="511">
        <f>G273+F274</f>
        <v/>
      </c>
      <c r="H274" s="511">
        <f>IF(B274="",DATEDIF(A274,$G$1,"d"),DATEDIF(A274,B274,"d"))</f>
        <v/>
      </c>
      <c r="I274">
        <f>IF(B274="",$C$1-A274,H274)</f>
        <v/>
      </c>
      <c r="J274" s="65" t="inlineStr">
        <is>
          <t>茂達(6138)</t>
        </is>
      </c>
      <c r="K274">
        <f>IF(F274&gt;0,(H274*$F274)/365.25,0)</f>
        <v/>
      </c>
      <c r="L274">
        <f>IF(F274&gt;0,(I274*$F274)/365.25,0)</f>
        <v/>
      </c>
      <c r="M274" s="65" t="inlineStr">
        <is>
          <t>當沖</t>
        </is>
      </c>
    </row>
    <row r="275" hidden="1" outlineLevel="1" customFormat="1" s="65">
      <c r="A275" s="508" t="n">
        <v>44272</v>
      </c>
      <c r="B275" s="508" t="n">
        <v>44273</v>
      </c>
      <c r="C275" s="123" t="n"/>
      <c r="D275" s="509" t="n">
        <v>53976</v>
      </c>
      <c r="E275" s="510">
        <f>E274+C275-D275</f>
        <v/>
      </c>
      <c r="F275" s="510" t="n"/>
      <c r="G275" s="511">
        <f>G274+F275</f>
        <v/>
      </c>
      <c r="H275" s="511">
        <f>IF(B275="",DATEDIF(A275,$G$1,"d"),DATEDIF(A275,B275,"d"))</f>
        <v/>
      </c>
      <c r="I275">
        <f>IF(B275="",$C$1-A275,H275)</f>
        <v/>
      </c>
      <c r="J275" s="65" t="inlineStr">
        <is>
          <t>光罩(2338)</t>
        </is>
      </c>
      <c r="K275">
        <f>IF(F275&gt;0,(H275*$F275)/365.25,0)</f>
        <v/>
      </c>
      <c r="L275">
        <f>IF(F275&gt;0,(I275*$F275)/365.25,0)</f>
        <v/>
      </c>
    </row>
    <row r="276" hidden="1" outlineLevel="1" customFormat="1" s="65">
      <c r="A276" s="508" t="n">
        <v>44272</v>
      </c>
      <c r="B276" s="508" t="n">
        <v>44272</v>
      </c>
      <c r="C276" s="123" t="n">
        <v>107685</v>
      </c>
      <c r="D276" s="509" t="n">
        <v>107152</v>
      </c>
      <c r="E276" s="510">
        <f>E275+C276-D276</f>
        <v/>
      </c>
      <c r="F276" s="510">
        <f>-D276+C276</f>
        <v/>
      </c>
      <c r="G276" s="511">
        <f>G275+F276</f>
        <v/>
      </c>
      <c r="H276" s="511">
        <f>IF(B276="",DATEDIF(A276,$G$1,"d"),DATEDIF(A276,B276,"d"))</f>
        <v/>
      </c>
      <c r="I276">
        <f>IF(B276="",$C$1-A276,H276)</f>
        <v/>
      </c>
      <c r="J276" s="65" t="inlineStr">
        <is>
          <t>緯軟(4953)</t>
        </is>
      </c>
      <c r="K276">
        <f>IF(F276&gt;0,(H276*$F276)/365.25,0)</f>
        <v/>
      </c>
      <c r="L276">
        <f>IF(F276&gt;0,(I276*$F276)/365.25,0)</f>
        <v/>
      </c>
    </row>
    <row r="277" hidden="1" outlineLevel="1" customFormat="1" s="65">
      <c r="A277" s="508" t="n">
        <v>44272</v>
      </c>
      <c r="B277" s="508" t="n">
        <v>44281</v>
      </c>
      <c r="C277" s="123" t="n"/>
      <c r="D277" s="509" t="n">
        <v>107653</v>
      </c>
      <c r="E277" s="510">
        <f>E276+C277-D277</f>
        <v/>
      </c>
      <c r="F277" s="510" t="n"/>
      <c r="G277" s="511">
        <f>G276+F277</f>
        <v/>
      </c>
      <c r="H277" s="511">
        <f>IF(B277="",DATEDIF(A277,$G$1,"d"),DATEDIF(A277,B277,"d"))</f>
        <v/>
      </c>
      <c r="I277">
        <f>IF(B277="",$C$1-A277,H277)</f>
        <v/>
      </c>
      <c r="J277" s="65" t="inlineStr">
        <is>
          <t>緯軟(4953)</t>
        </is>
      </c>
      <c r="K277">
        <f>IF(F277&gt;0,(H277*$F277)/365.25,0)</f>
        <v/>
      </c>
      <c r="L277">
        <f>IF(F277&gt;0,(I277*$F277)/365.25,0)</f>
        <v/>
      </c>
    </row>
    <row r="278" hidden="1" outlineLevel="1" customFormat="1" s="65">
      <c r="A278" s="508" t="n">
        <v>44272</v>
      </c>
      <c r="B278" s="508" t="n">
        <v>44287</v>
      </c>
      <c r="C278" s="123" t="n"/>
      <c r="D278" s="509" t="n">
        <v>42610</v>
      </c>
      <c r="E278" s="510">
        <f>E277+C278-D278</f>
        <v/>
      </c>
      <c r="F278" s="510" t="n"/>
      <c r="G278" s="511">
        <f>G277+F278</f>
        <v/>
      </c>
      <c r="H278" s="511">
        <f>IF(B278="",DATEDIF(A278,$G$1,"d"),DATEDIF(A278,B278,"d"))</f>
        <v/>
      </c>
      <c r="I278">
        <f>IF(B278="",$C$1-A278,H278)</f>
        <v/>
      </c>
      <c r="J278" s="65" t="inlineStr">
        <is>
          <t>元晶(6443)</t>
        </is>
      </c>
      <c r="K278">
        <f>IF(F278&gt;0,(H278*$F278)/365.25,0)</f>
        <v/>
      </c>
      <c r="L278">
        <f>IF(F278&gt;0,(I278*$F278)/365.25,0)</f>
        <v/>
      </c>
    </row>
    <row r="279" hidden="1" outlineLevel="1" customFormat="1" s="65">
      <c r="A279" s="508" t="n">
        <v>44272</v>
      </c>
      <c r="B279" s="508" t="n">
        <v>44273</v>
      </c>
      <c r="C279" s="123" t="n">
        <v>54658</v>
      </c>
      <c r="D279" s="509" t="n"/>
      <c r="E279" s="510">
        <f>E278+C279-D279</f>
        <v/>
      </c>
      <c r="F279" s="510">
        <f>-D275+C279</f>
        <v/>
      </c>
      <c r="G279" s="511">
        <f>G278+F279</f>
        <v/>
      </c>
      <c r="H279" s="511">
        <f>IF(B279="",DATEDIF(A279,$G$1,"d"),DATEDIF(A279,B279,"d"))</f>
        <v/>
      </c>
      <c r="I279">
        <f>IF(B279="",$C$1-A279,H279)</f>
        <v/>
      </c>
      <c r="J279" s="65" t="inlineStr">
        <is>
          <t>光罩(2338)</t>
        </is>
      </c>
      <c r="K279">
        <f>IF(F279&gt;0,(H279*$F279)/365.25,0)</f>
        <v/>
      </c>
      <c r="L279">
        <f>IF(F279&gt;0,(I279*$F279)/365.25,0)</f>
        <v/>
      </c>
    </row>
    <row r="280" hidden="1" outlineLevel="1" customFormat="1" s="65">
      <c r="A280" s="508" t="n">
        <v>44274</v>
      </c>
      <c r="B280" s="508" t="n">
        <v>44287</v>
      </c>
      <c r="C280" s="123" t="n"/>
      <c r="D280" s="509" t="n">
        <v>43662</v>
      </c>
      <c r="E280" s="510">
        <f>E279+C280-D280</f>
        <v/>
      </c>
      <c r="F280" s="510" t="n"/>
      <c r="G280" s="511">
        <f>G279+F280</f>
        <v/>
      </c>
      <c r="H280" s="511">
        <f>IF(B280="",DATEDIF(A280,$G$1,"d"),DATEDIF(A280,B280,"d"))</f>
        <v/>
      </c>
      <c r="I280">
        <f>IF(B280="",$C$1-A280,H280)</f>
        <v/>
      </c>
      <c r="J280" s="65" t="inlineStr">
        <is>
          <t>廣宇(2328)</t>
        </is>
      </c>
      <c r="K280">
        <f>IF(F280&gt;0,(H280*$F280)/365.25,0)</f>
        <v/>
      </c>
      <c r="L280">
        <f>IF(F280&gt;0,(I280*$F280)/365.25,0)</f>
        <v/>
      </c>
    </row>
    <row r="281" hidden="1" outlineLevel="1" customFormat="1" s="65">
      <c r="A281" s="508" t="n">
        <v>44274</v>
      </c>
      <c r="B281" s="508" t="n">
        <v>44277</v>
      </c>
      <c r="C281" s="123" t="n"/>
      <c r="D281" s="509" t="n">
        <v>78912</v>
      </c>
      <c r="E281" s="510">
        <f>E280+C281-D281</f>
        <v/>
      </c>
      <c r="F281" s="510" t="n"/>
      <c r="G281" s="511">
        <f>G280+F281</f>
        <v/>
      </c>
      <c r="H281" s="511">
        <f>IF(B281="",DATEDIF(A281,$G$1,"d"),DATEDIF(A281,B281,"d"))</f>
        <v/>
      </c>
      <c r="I281">
        <f>IF(B281="",$C$1-A281,H281)</f>
        <v/>
      </c>
      <c r="J281" s="65" t="inlineStr">
        <is>
          <t>鴻碩(3092)</t>
        </is>
      </c>
      <c r="K281">
        <f>IF(F281&gt;0,(H281*$F281)/365.25,0)</f>
        <v/>
      </c>
      <c r="L281">
        <f>IF(F281&gt;0,(I281*$F281)/365.25,0)</f>
        <v/>
      </c>
    </row>
    <row r="282" hidden="1" outlineLevel="1" customFormat="1" s="65">
      <c r="A282" s="508" t="n">
        <v>44274</v>
      </c>
      <c r="B282" s="508" t="n">
        <v>44292</v>
      </c>
      <c r="C282" s="123" t="n"/>
      <c r="D282" s="509" t="n">
        <v>51373</v>
      </c>
      <c r="E282" s="510">
        <f>E281+C282-D282</f>
        <v/>
      </c>
      <c r="F282" s="510" t="n"/>
      <c r="G282" s="511">
        <f>G281+F282</f>
        <v/>
      </c>
      <c r="H282" s="511">
        <f>IF(B282="",DATEDIF(A282,$G$1,"d"),DATEDIF(A282,B282,"d"))</f>
        <v/>
      </c>
      <c r="I282">
        <f>IF(B282="",$C$1-A282,H282)</f>
        <v/>
      </c>
      <c r="J282" s="65" t="inlineStr">
        <is>
          <t>漢磊(3707)</t>
        </is>
      </c>
      <c r="K282">
        <f>IF(F282&gt;0,(H282*$F282)/365.25,0)</f>
        <v/>
      </c>
      <c r="L282">
        <f>IF(F282&gt;0,(I282*$F282)/365.25,0)</f>
        <v/>
      </c>
    </row>
    <row r="283" hidden="1" outlineLevel="1" customFormat="1" s="65">
      <c r="A283" s="508" t="n">
        <v>44274</v>
      </c>
      <c r="B283" s="508" t="n">
        <v>44277</v>
      </c>
      <c r="C283" s="123" t="n"/>
      <c r="D283" s="509" t="n">
        <v>71301</v>
      </c>
      <c r="E283" s="510">
        <f>E282+C283-D283</f>
        <v/>
      </c>
      <c r="F283" s="510" t="n"/>
      <c r="G283" s="511">
        <f>G282+F283</f>
        <v/>
      </c>
      <c r="H283" s="511">
        <f>IF(B283="",DATEDIF(A283,$G$1,"d"),DATEDIF(A283,B283,"d"))</f>
        <v/>
      </c>
      <c r="I283">
        <f>IF(B283="",$C$1-A283,H283)</f>
        <v/>
      </c>
      <c r="J283" s="65" t="inlineStr">
        <is>
          <t>乙盛-KY(5243)</t>
        </is>
      </c>
      <c r="K283">
        <f>IF(F283&gt;0,(H283*$F283)/365.25,0)</f>
        <v/>
      </c>
      <c r="L283">
        <f>IF(F283&gt;0,(I283*$F283)/365.25,0)</f>
        <v/>
      </c>
      <c r="N283" s="141" t="n"/>
    </row>
    <row r="284" hidden="1" outlineLevel="1" customFormat="1" s="65">
      <c r="A284" s="508" t="n">
        <v>44274</v>
      </c>
      <c r="B284" s="508" t="n">
        <v>44279</v>
      </c>
      <c r="C284" s="123" t="n"/>
      <c r="D284" s="509" t="n">
        <v>70600</v>
      </c>
      <c r="E284" s="510">
        <f>E283+C284-D284</f>
        <v/>
      </c>
      <c r="F284" s="510" t="n"/>
      <c r="G284" s="511">
        <f>G283+F284</f>
        <v/>
      </c>
      <c r="H284" s="511">
        <f>IF(B284="",DATEDIF(A284,$G$1,"d"),DATEDIF(A284,B284,"d"))</f>
        <v/>
      </c>
      <c r="I284">
        <f>IF(B284="",$C$1-A284,H284)</f>
        <v/>
      </c>
      <c r="J284" s="65" t="inlineStr">
        <is>
          <t>乙盛-KY(5243)</t>
        </is>
      </c>
      <c r="K284">
        <f>IF(F284&gt;0,(H284*$F284)/365.25,0)</f>
        <v/>
      </c>
      <c r="L284">
        <f>IF(F284&gt;0,(I284*$F284)/365.25,0)</f>
        <v/>
      </c>
      <c r="N284" s="141" t="n"/>
    </row>
    <row r="285" hidden="1" outlineLevel="1" customFormat="1" s="65">
      <c r="A285" s="508" t="n">
        <v>44274</v>
      </c>
      <c r="B285" s="508" t="n">
        <v>44277</v>
      </c>
      <c r="C285" s="123" t="n">
        <v>105050</v>
      </c>
      <c r="D285" s="509" t="n">
        <v>105070</v>
      </c>
      <c r="E285" s="510">
        <f>E284+C285-D285</f>
        <v/>
      </c>
      <c r="F285" s="510">
        <f>C285-D285</f>
        <v/>
      </c>
      <c r="G285" s="511">
        <f>G284+F285</f>
        <v/>
      </c>
      <c r="H285" s="511">
        <f>IF(B285="",DATEDIF(A285,$G$1,"d"),DATEDIF(A285,B285,"d"))</f>
        <v/>
      </c>
      <c r="I285">
        <f>IF(B285="",$C$1-A285,H285)</f>
        <v/>
      </c>
      <c r="J285" s="65" t="inlineStr">
        <is>
          <t>科嘉-KY</t>
        </is>
      </c>
      <c r="K285">
        <f>IF(F285&gt;0,(H285*$F285)/365.25,0)</f>
        <v/>
      </c>
      <c r="L285">
        <f>IF(F285&gt;0,(I285*$F285)/365.25,0)</f>
        <v/>
      </c>
      <c r="M285" s="65" t="inlineStr">
        <is>
          <t>股票申購</t>
        </is>
      </c>
    </row>
    <row r="286" hidden="1" outlineLevel="1" customFormat="1" s="65">
      <c r="A286" s="508" t="n">
        <v>44274</v>
      </c>
      <c r="B286" s="508" t="n">
        <v>44279</v>
      </c>
      <c r="C286" s="123" t="n">
        <v>35050</v>
      </c>
      <c r="D286" s="509" t="n">
        <v>35070</v>
      </c>
      <c r="E286" s="510">
        <f>E285+C286-D286</f>
        <v/>
      </c>
      <c r="F286" s="510">
        <f>C286-D286</f>
        <v/>
      </c>
      <c r="G286" s="511">
        <f>G285+F286</f>
        <v/>
      </c>
      <c r="H286" s="511">
        <f>IF(B286="",DATEDIF(A286,$G$1,"d"),DATEDIF(A286,B286,"d"))</f>
        <v/>
      </c>
      <c r="I286">
        <f>IF(B286="",$C$1-A286,H286)</f>
        <v/>
      </c>
      <c r="J286" s="65" t="inlineStr">
        <is>
          <t>台船</t>
        </is>
      </c>
      <c r="K286">
        <f>IF(F286&gt;0,(H286*$F286)/365.25,0)</f>
        <v/>
      </c>
      <c r="L286">
        <f>IF(F286&gt;0,(I286*$F286)/365.25,0)</f>
        <v/>
      </c>
      <c r="M286" s="65" t="inlineStr">
        <is>
          <t>股票申購</t>
        </is>
      </c>
    </row>
    <row r="287" hidden="1" outlineLevel="1" customFormat="1" s="65">
      <c r="A287" s="508" t="n">
        <v>44274</v>
      </c>
      <c r="B287" s="508" t="n">
        <v>44277</v>
      </c>
      <c r="C287" s="123" t="n">
        <v>71483</v>
      </c>
      <c r="D287" s="509" t="n"/>
      <c r="E287" s="510">
        <f>E286+C287-D287</f>
        <v/>
      </c>
      <c r="F287" s="510">
        <f>-D283+C287</f>
        <v/>
      </c>
      <c r="G287" s="511">
        <f>G286+F287</f>
        <v/>
      </c>
      <c r="H287" s="511">
        <f>IF(B287="",DATEDIF(A287,$G$1,"d"),DATEDIF(A287,B287,"d"))</f>
        <v/>
      </c>
      <c r="I287">
        <f>IF(B287="",$C$1-A287,H287)</f>
        <v/>
      </c>
      <c r="J287" s="65" t="inlineStr">
        <is>
          <t>乙盛-KY(5243)</t>
        </is>
      </c>
      <c r="K287">
        <f>IF(F287&gt;0,(H287*$F287)/365.25,0)</f>
        <v/>
      </c>
      <c r="L287">
        <f>IF(F287&gt;0,(I287*$F287)/365.25,0)</f>
        <v/>
      </c>
      <c r="N287" s="141" t="n"/>
    </row>
    <row r="288" hidden="1" outlineLevel="1" customFormat="1" s="65">
      <c r="A288" s="508" t="n">
        <v>44274</v>
      </c>
      <c r="B288" s="508" t="n">
        <v>44277</v>
      </c>
      <c r="C288" s="123" t="n">
        <v>73574</v>
      </c>
      <c r="D288" s="509" t="n"/>
      <c r="E288" s="510">
        <f>E287+C288-D288</f>
        <v/>
      </c>
      <c r="F288" s="510">
        <f>-D281+C288</f>
        <v/>
      </c>
      <c r="G288" s="511">
        <f>G287+F288</f>
        <v/>
      </c>
      <c r="H288" s="511">
        <f>IF(B288="",DATEDIF(A288,$G$1,"d"),DATEDIF(A288,B288,"d"))</f>
        <v/>
      </c>
      <c r="I288">
        <f>IF(B288="",$C$1-A288,H288)</f>
        <v/>
      </c>
      <c r="J288" s="65" t="inlineStr">
        <is>
          <t>鴻碩(3092)</t>
        </is>
      </c>
      <c r="K288">
        <f>IF(F288&gt;0,(H288*$F288)/365.25,0)</f>
        <v/>
      </c>
      <c r="L288">
        <f>IF(F288&gt;0,(I288*$F288)/365.25,0)</f>
        <v/>
      </c>
    </row>
    <row r="289" hidden="1" outlineLevel="1" customFormat="1" s="65">
      <c r="A289" s="508" t="n">
        <v>44277</v>
      </c>
      <c r="B289" s="508" t="n">
        <v>44390</v>
      </c>
      <c r="C289" s="123" t="n"/>
      <c r="D289" s="509" t="n">
        <v>74105</v>
      </c>
      <c r="E289" s="510">
        <f>E288+C289-D289</f>
        <v/>
      </c>
      <c r="F289" s="510" t="n"/>
      <c r="G289" s="511">
        <f>G288+F289</f>
        <v/>
      </c>
      <c r="H289" s="511">
        <f>IF(B289="",DATEDIF(A289,$G$1,"d"),DATEDIF(A289,B289,"d"))</f>
        <v/>
      </c>
      <c r="I289">
        <f>IF(B289="",$C$1-A289,H289)</f>
        <v/>
      </c>
      <c r="J289" s="65" t="inlineStr">
        <is>
          <t>和碩(4938)</t>
        </is>
      </c>
      <c r="K289">
        <f>IF(F289&gt;0,(H289*$F289)/365.25,0)</f>
        <v/>
      </c>
      <c r="L289">
        <f>IF(F289&gt;0,(I289*$F289)/365.25,0)</f>
        <v/>
      </c>
    </row>
    <row r="290" hidden="1" outlineLevel="1" customFormat="1" s="65">
      <c r="A290" s="508" t="n">
        <v>44278</v>
      </c>
      <c r="B290" s="508" t="n">
        <v>44413</v>
      </c>
      <c r="C290" s="123" t="n"/>
      <c r="D290" s="509" t="n">
        <v>109656</v>
      </c>
      <c r="E290" s="510">
        <f>E289+C290-D290</f>
        <v/>
      </c>
      <c r="F290" s="510" t="n"/>
      <c r="G290" s="511">
        <f>G289+F290</f>
        <v/>
      </c>
      <c r="H290" s="511">
        <f>IF(B290="",DATEDIF(A290,$G$1,"d"),DATEDIF(A290,B290,"d"))</f>
        <v/>
      </c>
      <c r="I290">
        <f>IF(B290="",$C$1-A290,H290)</f>
        <v/>
      </c>
      <c r="J290" s="65" t="inlineStr">
        <is>
          <t>日月光投控(3711)</t>
        </is>
      </c>
      <c r="K290">
        <f>IF(F290&gt;0,(H290*$F290)/365.25,0)</f>
        <v/>
      </c>
      <c r="L290">
        <f>IF(F290&gt;0,(I290*$F290)/365.25,0)</f>
        <v/>
      </c>
    </row>
    <row r="291" hidden="1" outlineLevel="1" customFormat="1" s="65">
      <c r="A291" s="508" t="n">
        <v>44278</v>
      </c>
      <c r="B291" s="508" t="n"/>
      <c r="C291" s="123" t="n"/>
      <c r="D291" s="509" t="n">
        <v>113561</v>
      </c>
      <c r="E291" s="510">
        <f>E290+C291-D291</f>
        <v/>
      </c>
      <c r="F291" s="510" t="n"/>
      <c r="G291" s="511">
        <f>G290+F291</f>
        <v/>
      </c>
      <c r="H291" s="511" t="n"/>
      <c r="I291">
        <f>IF(B291="",$C$1-A291,H291)</f>
        <v/>
      </c>
      <c r="J291" s="65" t="inlineStr">
        <is>
          <t>嘉聯益(6153)</t>
        </is>
      </c>
      <c r="K291">
        <f>IF(F291&gt;0,(H291*$F291)/365.25,0)</f>
        <v/>
      </c>
      <c r="L291">
        <f>IF(F291&gt;0,(I291*$F291)/365.25,0)</f>
        <v/>
      </c>
    </row>
    <row r="292" hidden="1" outlineLevel="1" customFormat="1" s="65">
      <c r="A292" s="508" t="n">
        <v>44274</v>
      </c>
      <c r="B292" s="508" t="n">
        <v>44279</v>
      </c>
      <c r="C292" s="123" t="n">
        <v>78651</v>
      </c>
      <c r="D292" s="509" t="n"/>
      <c r="E292" s="510">
        <f>E291+C292-D292</f>
        <v/>
      </c>
      <c r="F292" s="510">
        <f>-D284+C292</f>
        <v/>
      </c>
      <c r="G292" s="511">
        <f>G291+F292</f>
        <v/>
      </c>
      <c r="H292" s="511">
        <f>IF(B292="",DATEDIF(A292,$G$1,"d"),DATEDIF(A292,B292,"d"))</f>
        <v/>
      </c>
      <c r="I292">
        <f>IF(B292="",$C$1-A292,H292)</f>
        <v/>
      </c>
      <c r="J292" s="65" t="inlineStr">
        <is>
          <t>乙盛-KY(5243)</t>
        </is>
      </c>
      <c r="K292">
        <f>IF(F292&gt;0,(H292*$F292)/365.25,0)</f>
        <v/>
      </c>
      <c r="L292">
        <f>IF(F292&gt;0,(I292*$F292)/365.25,0)</f>
        <v/>
      </c>
    </row>
    <row r="293" hidden="1" outlineLevel="1" customFormat="1" s="65">
      <c r="A293" s="508" t="n">
        <v>44281</v>
      </c>
      <c r="B293" s="508" t="n"/>
      <c r="C293" s="123" t="n"/>
      <c r="D293" s="509" t="n">
        <v>150328</v>
      </c>
      <c r="E293" s="510">
        <f>E292+C293-D293</f>
        <v/>
      </c>
      <c r="F293" s="510" t="n"/>
      <c r="G293" s="511">
        <f>G292+F293</f>
        <v/>
      </c>
      <c r="H293" s="511" t="n"/>
      <c r="I293">
        <f>IF(B293="",$C$1-A293,H293)</f>
        <v/>
      </c>
      <c r="J293" s="65" t="inlineStr">
        <is>
          <t>力積電(6770)</t>
        </is>
      </c>
      <c r="K293">
        <f>IF(F293&gt;0,(H293*$F293)/365.25,0)</f>
        <v/>
      </c>
      <c r="L293">
        <f>IF(F293&gt;0,(I293*$F293)/365.25,0)</f>
        <v/>
      </c>
    </row>
    <row r="294" hidden="1" outlineLevel="1" customFormat="1" s="65">
      <c r="A294" s="508" t="n">
        <v>44272</v>
      </c>
      <c r="B294" s="508" t="n">
        <v>44281</v>
      </c>
      <c r="C294" s="123" t="n">
        <v>104039</v>
      </c>
      <c r="D294" s="509" t="n"/>
      <c r="E294" s="510">
        <f>E293+C294-D294</f>
        <v/>
      </c>
      <c r="F294" s="510">
        <f>-D277+C294</f>
        <v/>
      </c>
      <c r="G294" s="511">
        <f>G293+F294</f>
        <v/>
      </c>
      <c r="H294" s="511">
        <f>IF(B294="",DATEDIF(A294,$G$1,"d"),DATEDIF(A294,B294,"d"))</f>
        <v/>
      </c>
      <c r="I294">
        <f>IF(B294="",$C$1-A294,H294)</f>
        <v/>
      </c>
      <c r="J294" s="65" t="inlineStr">
        <is>
          <t>緯軟(4953)</t>
        </is>
      </c>
      <c r="K294">
        <f>IF(F294&gt;0,(H294*$F294)/365.25,0)</f>
        <v/>
      </c>
      <c r="L294">
        <f>IF(F294&gt;0,(I294*$F294)/365.25,0)</f>
        <v/>
      </c>
    </row>
    <row r="295" hidden="1" outlineLevel="1" customFormat="1" s="65">
      <c r="A295" s="508" t="n">
        <v>44281</v>
      </c>
      <c r="B295" s="508" t="n">
        <v>44292</v>
      </c>
      <c r="C295" s="123" t="n"/>
      <c r="D295" s="509" t="n">
        <v>41358</v>
      </c>
      <c r="E295" s="510">
        <f>E294+C295-D295</f>
        <v/>
      </c>
      <c r="F295" s="510" t="n"/>
      <c r="G295" s="511">
        <f>G294+F295</f>
        <v/>
      </c>
      <c r="H295" s="511">
        <f>IF(B295="",DATEDIF(A295,$G$1,"d"),DATEDIF(A295,B295,"d"))</f>
        <v/>
      </c>
      <c r="I295">
        <f>IF(B295="",$C$1-A295,H295)</f>
        <v/>
      </c>
      <c r="J295" s="65" t="inlineStr">
        <is>
          <t>豐謙(5523)</t>
        </is>
      </c>
      <c r="K295">
        <f>IF(F295&gt;0,(H295*$F295)/365.25,0)</f>
        <v/>
      </c>
      <c r="L295">
        <f>IF(F295&gt;0,(I295*$F295)/365.25,0)</f>
        <v/>
      </c>
    </row>
    <row r="296" hidden="1" outlineLevel="1" customFormat="1" s="65">
      <c r="A296" s="508" t="n">
        <v>44284</v>
      </c>
      <c r="B296" s="508" t="n">
        <v>44292</v>
      </c>
      <c r="C296" s="123" t="n"/>
      <c r="D296" s="509" t="n">
        <v>598852</v>
      </c>
      <c r="E296" s="510">
        <f>E295+C296-D296</f>
        <v/>
      </c>
      <c r="F296" s="510" t="n"/>
      <c r="G296" s="511">
        <f>G295+F296</f>
        <v/>
      </c>
      <c r="H296" s="511">
        <f>IF(B296="",DATEDIF(A296,$G$1,"d"),DATEDIF(A296,B296,"d"))</f>
        <v/>
      </c>
      <c r="I296">
        <f>IF(B296="",$C$1-A296,H296)</f>
        <v/>
      </c>
      <c r="J296" s="65" t="inlineStr">
        <is>
          <t>台積電(2330)</t>
        </is>
      </c>
      <c r="K296">
        <f>IF(F296&gt;0,(H296*$F296)/365.25,0)</f>
        <v/>
      </c>
      <c r="L296">
        <f>IF(F296&gt;0,(I296*$F296)/365.25,0)</f>
        <v/>
      </c>
    </row>
    <row r="297" hidden="1" outlineLevel="1" customFormat="1" s="65">
      <c r="A297" s="508" t="n">
        <v>44285</v>
      </c>
      <c r="B297" s="508" t="n">
        <v>44292</v>
      </c>
      <c r="C297" s="123" t="n"/>
      <c r="D297" s="509" t="n">
        <v>35750</v>
      </c>
      <c r="E297" s="510">
        <f>E296+C297-D297</f>
        <v/>
      </c>
      <c r="F297" s="510" t="n"/>
      <c r="G297" s="511">
        <f>G296+F297</f>
        <v/>
      </c>
      <c r="H297" s="511">
        <f>IF(B297="",DATEDIF(A297,$G$1,"d"),DATEDIF(A297,B297,"d"))</f>
        <v/>
      </c>
      <c r="I297">
        <f>IF(B297="",$C$1-A297,H297)</f>
        <v/>
      </c>
      <c r="J297" s="65" t="inlineStr">
        <is>
          <t>世鎧(2063)</t>
        </is>
      </c>
      <c r="K297">
        <f>IF(F297&gt;0,(H297*$F297)/365.25,0)</f>
        <v/>
      </c>
      <c r="L297">
        <f>IF(F297&gt;0,(I297*$F297)/365.25,0)</f>
        <v/>
      </c>
    </row>
    <row r="298" hidden="1" outlineLevel="1" customFormat="1" s="65">
      <c r="A298" s="508" t="n">
        <v>44285</v>
      </c>
      <c r="B298" s="508" t="n">
        <v>44571</v>
      </c>
      <c r="C298" s="123" t="n"/>
      <c r="D298" s="509" t="n">
        <v>30142</v>
      </c>
      <c r="E298" s="510">
        <f>E297+C298-D298</f>
        <v/>
      </c>
      <c r="F298" s="510" t="n"/>
      <c r="G298" s="511">
        <f>G297+F298</f>
        <v/>
      </c>
      <c r="H298" s="511" t="n"/>
      <c r="I298">
        <f>IF(B298="",$C$1-A298,H298)</f>
        <v/>
      </c>
      <c r="J298" s="65" t="inlineStr">
        <is>
          <t>華邦電(2344)</t>
        </is>
      </c>
      <c r="K298">
        <f>IF(F298&gt;0,(H298*$F298)/365.25,0)</f>
        <v/>
      </c>
      <c r="L298">
        <f>IF(F298&gt;0,(I298*$F298)/365.25,0)</f>
        <v/>
      </c>
      <c r="N298" s="141" t="n"/>
    </row>
    <row r="299" hidden="1" outlineLevel="1" customFormat="1" s="65">
      <c r="A299" s="508" t="n">
        <v>44285</v>
      </c>
      <c r="B299" s="508" t="n">
        <v>44292</v>
      </c>
      <c r="C299" s="123" t="n"/>
      <c r="D299" s="509" t="n">
        <v>64491</v>
      </c>
      <c r="E299" s="510">
        <f>E298+C299-D299</f>
        <v/>
      </c>
      <c r="F299" s="510" t="n"/>
      <c r="G299" s="511">
        <f>G298+F299</f>
        <v/>
      </c>
      <c r="H299" s="511">
        <f>IF(B299="",DATEDIF(A299,$G$1,"d"),DATEDIF(A299,B299,"d"))</f>
        <v/>
      </c>
      <c r="I299">
        <f>IF(B299="",$C$1-A299,H299)</f>
        <v/>
      </c>
      <c r="J299" s="65" t="inlineStr">
        <is>
          <t>神基(3005)</t>
        </is>
      </c>
      <c r="K299">
        <f>IF(F299&gt;0,(H299*$F299)/365.25,0)</f>
        <v/>
      </c>
      <c r="L299">
        <f>IF(F299&gt;0,(I299*$F299)/365.25,0)</f>
        <v/>
      </c>
    </row>
    <row r="300" hidden="1" outlineLevel="1" customFormat="1" s="65">
      <c r="A300" s="508" t="n">
        <v>44293</v>
      </c>
      <c r="B300" s="508" t="n">
        <v>44293</v>
      </c>
      <c r="C300" s="123" t="n">
        <v>41050</v>
      </c>
      <c r="D300" s="509" t="n">
        <v>41070</v>
      </c>
      <c r="E300" s="510">
        <f>E299+C300-D300</f>
        <v/>
      </c>
      <c r="F300" s="510">
        <f>C300-D300</f>
        <v/>
      </c>
      <c r="G300" s="511">
        <f>G299+F300</f>
        <v/>
      </c>
      <c r="H300" s="511">
        <f>IF(B300="",$C$1-A300,DATEDIF(A300,B300,"d"))</f>
        <v/>
      </c>
      <c r="I300">
        <f>IF(B300="",$C$1-A300,H300)</f>
        <v/>
      </c>
      <c r="J300" s="65" t="inlineStr">
        <is>
          <t>長榮鋼</t>
        </is>
      </c>
      <c r="K300">
        <f>IF(F300&gt;0,(H300*$F300)/365.25,0)</f>
        <v/>
      </c>
      <c r="L300">
        <f>IF(F300&gt;0,(I300*$F300)/365.25,0)</f>
        <v/>
      </c>
      <c r="M300" s="65" t="inlineStr">
        <is>
          <t>股票申購</t>
        </is>
      </c>
    </row>
    <row r="301" hidden="1" outlineLevel="1" customFormat="1" s="65">
      <c r="A301" s="508" t="n">
        <v>44287</v>
      </c>
      <c r="B301" s="508" t="n">
        <v>44292</v>
      </c>
      <c r="C301" s="123" t="n"/>
      <c r="D301" s="509" t="n">
        <v>41358</v>
      </c>
      <c r="E301" s="510">
        <f>E300+C301-D301</f>
        <v/>
      </c>
      <c r="F301" s="510" t="n"/>
      <c r="G301" s="511">
        <f>G300+F301</f>
        <v/>
      </c>
      <c r="H301" s="511">
        <f>IF(B301="",$C$1-A301,DATEDIF(A301,B301,"d"))</f>
        <v/>
      </c>
      <c r="I301">
        <f>IF(B301="",$C$1-A301,H301)</f>
        <v/>
      </c>
      <c r="J301" s="65" t="inlineStr">
        <is>
          <t>聯成(1313)</t>
        </is>
      </c>
      <c r="K301">
        <f>IF(F301&gt;0,(H301*$F301)/365.25,0)</f>
        <v/>
      </c>
      <c r="L301">
        <f>IF(F301&gt;0,(I301*$F301)/365.25,0)</f>
        <v/>
      </c>
    </row>
    <row r="302" hidden="1" outlineLevel="1" customFormat="1" s="65">
      <c r="A302" s="508" t="n">
        <v>44272</v>
      </c>
      <c r="B302" s="508" t="n">
        <v>44287</v>
      </c>
      <c r="C302" s="123" t="n">
        <v>44801</v>
      </c>
      <c r="D302" s="509" t="n"/>
      <c r="E302" s="510">
        <f>E301+C302-D302</f>
        <v/>
      </c>
      <c r="F302" s="510">
        <f>-D278+C302</f>
        <v/>
      </c>
      <c r="G302" s="511">
        <f>G301+F302</f>
        <v/>
      </c>
      <c r="H302" s="511">
        <f>IF(B302="",$C$1-A302,DATEDIF(A302,B302,"d"))</f>
        <v/>
      </c>
      <c r="I302">
        <f>IF(B302="",$C$1-A302,H302)</f>
        <v/>
      </c>
      <c r="J302" s="65" t="inlineStr">
        <is>
          <t>元晶(6443)</t>
        </is>
      </c>
      <c r="K302">
        <f>IF(F302&gt;0,(H302*$F302)/365.25,0)</f>
        <v/>
      </c>
      <c r="L302">
        <f>IF(F302&gt;0,(I302*$F302)/365.25,0)</f>
        <v/>
      </c>
    </row>
    <row r="303" hidden="1" outlineLevel="1" customFormat="1" s="65">
      <c r="A303" s="508" t="n">
        <v>44274</v>
      </c>
      <c r="B303" s="508" t="n">
        <v>44287</v>
      </c>
      <c r="C303" s="123" t="n">
        <v>44254</v>
      </c>
      <c r="D303" s="509" t="n"/>
      <c r="E303" s="510">
        <f>E302+C303-D303</f>
        <v/>
      </c>
      <c r="F303" s="510">
        <f>-D280+C303</f>
        <v/>
      </c>
      <c r="G303" s="511">
        <f>G302+F303</f>
        <v/>
      </c>
      <c r="H303" s="511">
        <f>IF(B303="",$C$1-A303,DATEDIF(A303,B303,"d"))</f>
        <v/>
      </c>
      <c r="I303">
        <f>IF(B303="",$C$1-A303,H303)</f>
        <v/>
      </c>
      <c r="J303" s="65" t="inlineStr">
        <is>
          <t>廣宇(2328)</t>
        </is>
      </c>
      <c r="K303">
        <f>IF(F303&gt;0,(H303*$F303)/365.25,0)</f>
        <v/>
      </c>
      <c r="L303">
        <f>IF(F303&gt;0,(I303*$F303)/365.25,0)</f>
        <v/>
      </c>
    </row>
    <row r="304" hidden="1" outlineLevel="1" customFormat="1" s="65">
      <c r="A304" s="508" t="n">
        <v>44274</v>
      </c>
      <c r="B304" s="508" t="n">
        <v>44292</v>
      </c>
      <c r="C304" s="123" t="n">
        <v>64116</v>
      </c>
      <c r="D304" s="509" t="n"/>
      <c r="E304" s="510">
        <f>E303+C304-D304</f>
        <v/>
      </c>
      <c r="F304" s="510">
        <f>-D282+C304</f>
        <v/>
      </c>
      <c r="G304" s="511">
        <f>G303+F304</f>
        <v/>
      </c>
      <c r="H304" s="511">
        <f>IF(B304="",$C$1-A304,DATEDIF(A304,B304,"d"))</f>
        <v/>
      </c>
      <c r="I304">
        <f>IF(B304="",$C$1-A304,H304)</f>
        <v/>
      </c>
      <c r="J304" s="65" t="inlineStr">
        <is>
          <t>漢磊(3707)</t>
        </is>
      </c>
      <c r="K304">
        <f>IF(F304&gt;0,(H304*$F304)/365.25,0)</f>
        <v/>
      </c>
      <c r="L304">
        <f>IF(F304&gt;0,(I304*$F304)/365.25,0)</f>
        <v/>
      </c>
    </row>
    <row r="305" hidden="1" outlineLevel="1" customFormat="1" s="65">
      <c r="A305" s="508" t="n">
        <v>44281</v>
      </c>
      <c r="B305" s="508" t="n">
        <v>44292</v>
      </c>
      <c r="C305" s="123" t="n">
        <v>45400</v>
      </c>
      <c r="D305" s="509" t="n"/>
      <c r="E305" s="510">
        <f>E304+C305-D305</f>
        <v/>
      </c>
      <c r="F305" s="510">
        <f>-D295+C305</f>
        <v/>
      </c>
      <c r="G305" s="511">
        <f>G304+F305</f>
        <v/>
      </c>
      <c r="H305" s="511">
        <f>IF(B305="",$C$1-A305,DATEDIF(A305,B305,"d"))</f>
        <v/>
      </c>
      <c r="I305">
        <f>IF(B305="",$C$1-A305,H305)</f>
        <v/>
      </c>
      <c r="J305" s="65" t="inlineStr">
        <is>
          <t>豐謙(5523)</t>
        </is>
      </c>
      <c r="K305">
        <f>IF(F305&gt;0,(H305*$F305)/365.25,0)</f>
        <v/>
      </c>
      <c r="L305">
        <f>IF(F305&gt;0,(I305*$F305)/365.25,0)</f>
        <v/>
      </c>
    </row>
    <row r="306" hidden="1" outlineLevel="1" customFormat="1" s="65">
      <c r="A306" s="508" t="n">
        <v>44284</v>
      </c>
      <c r="B306" s="508" t="n">
        <v>44292</v>
      </c>
      <c r="C306" s="123" t="n">
        <v>607301</v>
      </c>
      <c r="D306" s="509" t="n"/>
      <c r="E306" s="510">
        <f>E305+C306-D306</f>
        <v/>
      </c>
      <c r="F306" s="510">
        <f>-D296+C306</f>
        <v/>
      </c>
      <c r="G306" s="511">
        <f>G305+F306</f>
        <v/>
      </c>
      <c r="H306" s="511">
        <f>IF(B306="",$C$1-A306,DATEDIF(A306,B306,"d"))</f>
        <v/>
      </c>
      <c r="I306">
        <f>IF(B306="",$C$1-A306,H306)</f>
        <v/>
      </c>
      <c r="J306" s="65" t="inlineStr">
        <is>
          <t>台積電(2330)</t>
        </is>
      </c>
      <c r="K306">
        <f>IF(F306&gt;0,(H306*$F306)/365.25,0)</f>
        <v/>
      </c>
      <c r="L306">
        <f>IF(F306&gt;0,(I306*$F306)/365.25,0)</f>
        <v/>
      </c>
    </row>
    <row r="307" hidden="1" outlineLevel="1" customFormat="1" s="65">
      <c r="A307" s="508" t="n">
        <v>44285</v>
      </c>
      <c r="B307" s="508" t="n">
        <v>44292</v>
      </c>
      <c r="C307" s="123" t="n">
        <v>34100</v>
      </c>
      <c r="D307" s="509" t="n"/>
      <c r="E307" s="510">
        <f>E306+C307-D307</f>
        <v/>
      </c>
      <c r="F307" s="510">
        <f>-D297+C307</f>
        <v/>
      </c>
      <c r="G307" s="511">
        <f>G306+F307</f>
        <v/>
      </c>
      <c r="H307" s="511">
        <f>IF(B307="",$C$1-A307,DATEDIF(A307,B307,"d"))</f>
        <v/>
      </c>
      <c r="I307">
        <f>IF(B307="",$C$1-A307,H307)</f>
        <v/>
      </c>
      <c r="J307" s="65" t="inlineStr">
        <is>
          <t>世鎧(2063)</t>
        </is>
      </c>
      <c r="K307">
        <f>IF(F307&gt;0,(H307*$F307)/365.25,0)</f>
        <v/>
      </c>
      <c r="L307">
        <f>IF(F307&gt;0,(I307*$F307)/365.25,0)</f>
        <v/>
      </c>
    </row>
    <row r="308" collapsed="1" customFormat="1" s="65">
      <c r="A308" s="508" t="n">
        <v>44285</v>
      </c>
      <c r="B308" s="508" t="n">
        <v>44292</v>
      </c>
      <c r="C308" s="123" t="n">
        <v>58142</v>
      </c>
      <c r="D308" s="509" t="n"/>
      <c r="E308" s="510">
        <f>E307+C308-D308</f>
        <v/>
      </c>
      <c r="F308" s="510">
        <f>-D299+C308</f>
        <v/>
      </c>
      <c r="G308" s="511">
        <f>G307+F308</f>
        <v/>
      </c>
      <c r="H308" s="511">
        <f>IF(B308="",$C$1-A308,DATEDIF(A308,B308,"d"))</f>
        <v/>
      </c>
      <c r="I308">
        <f>IF(B308="",$C$1-A308,H308)</f>
        <v/>
      </c>
      <c r="J308" s="65" t="inlineStr">
        <is>
          <t>神基(3005)</t>
        </is>
      </c>
      <c r="K308">
        <f>IF(F308&gt;0,(H308*$F308)/365.25,0)</f>
        <v/>
      </c>
      <c r="L308">
        <f>IF(F308&gt;0,(I308*$F308)/365.25,0)</f>
        <v/>
      </c>
    </row>
    <row r="309" hidden="1" outlineLevel="1" customFormat="1" s="65">
      <c r="A309" s="508" t="n">
        <v>44287</v>
      </c>
      <c r="B309" s="508" t="n">
        <v>44292</v>
      </c>
      <c r="C309" s="123" t="n">
        <v>41815</v>
      </c>
      <c r="D309" s="509" t="n"/>
      <c r="E309" s="510">
        <f>E308+C309-D309</f>
        <v/>
      </c>
      <c r="F309" s="510">
        <f>-D301+C309</f>
        <v/>
      </c>
      <c r="G309" s="511">
        <f>G308+F309</f>
        <v/>
      </c>
      <c r="H309" s="511">
        <f>IF(B309="",$C$1-A309,DATEDIF(A309,B309,"d"))</f>
        <v/>
      </c>
      <c r="I309">
        <f>IF(B309="",$C$1-A309,H309)</f>
        <v/>
      </c>
      <c r="J309" s="65" t="inlineStr">
        <is>
          <t>聯成(1313)</t>
        </is>
      </c>
      <c r="K309">
        <f>IF(F309&gt;0,(H309*$F309)/365.25,0)</f>
        <v/>
      </c>
      <c r="L309">
        <f>IF(F309&gt;0,(I309*$F309)/365.25,0)</f>
        <v/>
      </c>
    </row>
    <row r="310" hidden="1" outlineLevel="1" customFormat="1" s="65">
      <c r="A310" s="508" t="n">
        <v>44292</v>
      </c>
      <c r="B310" s="508" t="n">
        <v>44308</v>
      </c>
      <c r="C310" s="123" t="n"/>
      <c r="D310" s="509" t="n">
        <v>57682</v>
      </c>
      <c r="E310" s="510">
        <f>E309+C310-D310</f>
        <v/>
      </c>
      <c r="F310" s="510" t="n"/>
      <c r="G310" s="511">
        <f>G309+F310</f>
        <v/>
      </c>
      <c r="H310" s="511">
        <f>IF(B310="",$C$1-A310,DATEDIF(A310,B310,"d"))</f>
        <v/>
      </c>
      <c r="I310">
        <f>IF(B310="",$C$1-A310,H310)</f>
        <v/>
      </c>
      <c r="J310" s="65" t="inlineStr">
        <is>
          <t>富邦金(2881)</t>
        </is>
      </c>
      <c r="K310">
        <f>IF(F310&gt;0,(H310*$F310)/365.25,0)</f>
        <v/>
      </c>
      <c r="L310">
        <f>IF(F310&gt;0,(I310*$F310)/365.25,0)</f>
        <v/>
      </c>
    </row>
    <row r="311" hidden="1" outlineLevel="1" customFormat="1" s="65">
      <c r="A311" s="518" t="n">
        <v>44295</v>
      </c>
      <c r="B311" s="518" t="n"/>
      <c r="C311" s="148" t="n">
        <v>2211</v>
      </c>
      <c r="D311" s="519" t="n"/>
      <c r="E311" s="520">
        <f>E310+C311-D311</f>
        <v/>
      </c>
      <c r="F311" s="520">
        <f>C311-D311</f>
        <v/>
      </c>
      <c r="G311" s="521">
        <f>G310+F311</f>
        <v/>
      </c>
      <c r="H311" s="521">
        <f>IF(B311="",DATEDIF(A311,$F$1,"d"),DATEDIF(A311,B311,"d"))</f>
        <v/>
      </c>
      <c r="I311" s="152">
        <f>IF(B311="",$C$1-A311,H311)</f>
        <v/>
      </c>
      <c r="J311" s="152" t="inlineStr">
        <is>
          <t>折讓入帳</t>
        </is>
      </c>
      <c r="K311" s="152">
        <f>IF(F311&gt;0,(H311*$F311)/365.25,0)</f>
        <v/>
      </c>
      <c r="L311" s="152">
        <f>IF(F311&gt;0,(I311*$F311)/365.25,0)</f>
        <v/>
      </c>
      <c r="M311" s="152" t="n"/>
    </row>
    <row r="312" hidden="1" outlineLevel="1" customFormat="1" s="65">
      <c r="A312" s="508" t="n">
        <v>44293</v>
      </c>
      <c r="B312" s="508" t="n">
        <v>44299</v>
      </c>
      <c r="C312" s="123" t="n"/>
      <c r="D312" s="509" t="n">
        <v>100643</v>
      </c>
      <c r="E312" s="510">
        <f>E311+C312-D312</f>
        <v/>
      </c>
      <c r="F312" s="510" t="n"/>
      <c r="G312" s="511">
        <f>G311+F312</f>
        <v/>
      </c>
      <c r="H312" s="511">
        <f>IF(B312="",$C$1-A312,DATEDIF(A312,B312,"d"))</f>
        <v/>
      </c>
      <c r="I312">
        <f>IF(B312="",$C$1-A312,H312)</f>
        <v/>
      </c>
      <c r="J312" s="65" t="inlineStr">
        <is>
          <t>技嘉(2376)</t>
        </is>
      </c>
      <c r="K312">
        <f>IF(F312&gt;0,(H312*$F312)/365.25,0)</f>
        <v/>
      </c>
      <c r="L312">
        <f>IF(F312&gt;0,(I312*$F312)/365.25,0)</f>
        <v/>
      </c>
    </row>
    <row r="313" hidden="1" outlineLevel="1" customFormat="1" s="65">
      <c r="A313" s="508" t="n">
        <v>44293</v>
      </c>
      <c r="B313" s="508" t="n">
        <v>44558</v>
      </c>
      <c r="C313" s="123" t="n"/>
      <c r="D313" s="509" t="n">
        <v>280899</v>
      </c>
      <c r="E313" s="510">
        <f>E312+C313-D313</f>
        <v/>
      </c>
      <c r="F313" s="510" t="n"/>
      <c r="G313" s="511">
        <f>G312+F313</f>
        <v/>
      </c>
      <c r="H313" s="511">
        <f>IF(B313="",$C$1-A313,DATEDIF(A313,B313,"d"))</f>
        <v/>
      </c>
      <c r="I313">
        <f>IF(B313="",$C$1-A313,H313)</f>
        <v/>
      </c>
      <c r="J313" s="65" t="inlineStr">
        <is>
          <t>信邦(3023)</t>
        </is>
      </c>
      <c r="K313">
        <f>IF(F313&gt;0,(H313*$F313)/365.25,0)</f>
        <v/>
      </c>
      <c r="L313">
        <f>IF(F313&gt;0,(I313*$F313)/365.25,0)</f>
        <v/>
      </c>
    </row>
    <row r="314" hidden="1" outlineLevel="1" customFormat="1" s="65">
      <c r="B314" s="508" t="n">
        <v>44299</v>
      </c>
      <c r="C314" s="123" t="n"/>
      <c r="D314" s="509" t="n">
        <v>118668</v>
      </c>
      <c r="E314" s="510">
        <f>E313+C314-D314</f>
        <v/>
      </c>
      <c r="F314" s="510" t="n"/>
      <c r="G314" s="511">
        <f>G313+F314</f>
        <v/>
      </c>
      <c r="H314" s="511">
        <f>IF(B314="",$C$1-A323,DATEDIF(A323,B314,"d"))</f>
        <v/>
      </c>
      <c r="I314">
        <f>IF(B314="",$C$1-A323,H314)</f>
        <v/>
      </c>
      <c r="J314" s="65" t="inlineStr">
        <is>
          <t>智易(3596)</t>
        </is>
      </c>
      <c r="K314">
        <f>IF(F314&gt;0,(H314*$F314)/365.25,0)</f>
        <v/>
      </c>
      <c r="L314">
        <f>IF(F314&gt;0,(I314*$F314)/365.25,0)</f>
        <v/>
      </c>
    </row>
    <row r="315" hidden="1" outlineLevel="1" customFormat="1" s="65">
      <c r="A315" s="508" t="n">
        <v>44293</v>
      </c>
      <c r="B315" s="508" t="n"/>
      <c r="C315" s="123" t="n"/>
      <c r="D315" s="509" t="n">
        <v>165735</v>
      </c>
      <c r="E315" s="510">
        <f>E314+C315-D315</f>
        <v/>
      </c>
      <c r="F315" s="510" t="n"/>
      <c r="G315" s="511">
        <f>G314+F315</f>
        <v/>
      </c>
      <c r="H315" s="511">
        <f>IF(B315="",$C$1-A315,DATEDIF(A315,B315,"d"))</f>
        <v/>
      </c>
      <c r="I315">
        <f>IF(B315="",$C$1-A315,H315)</f>
        <v/>
      </c>
      <c r="J315" s="65" t="inlineStr">
        <is>
          <t>宏捷科(8086)</t>
        </is>
      </c>
      <c r="K315">
        <f>IF(F315&gt;0,(H315*$F315)/365.25,0)</f>
        <v/>
      </c>
      <c r="L315">
        <f>IF(F315&gt;0,(I315*$F315)/365.25,0)</f>
        <v/>
      </c>
    </row>
    <row r="316" hidden="1" outlineLevel="1" customFormat="1" s="65">
      <c r="A316" s="508" t="n">
        <v>44294</v>
      </c>
      <c r="B316" s="508" t="n">
        <v>44294</v>
      </c>
      <c r="C316" s="123" t="n">
        <v>46266</v>
      </c>
      <c r="D316" s="509" t="n">
        <v>45664</v>
      </c>
      <c r="E316" s="510">
        <f>E315+C316-D316</f>
        <v/>
      </c>
      <c r="F316" s="510">
        <f>-D316+C316</f>
        <v/>
      </c>
      <c r="G316" s="511">
        <f>G315+F316</f>
        <v/>
      </c>
      <c r="H316" s="511">
        <f>IF(B316="",$C$1-A316,DATEDIF(A316,B316,"d"))</f>
        <v/>
      </c>
      <c r="I316">
        <f>IF(B316="",$C$1-A316,H316)</f>
        <v/>
      </c>
      <c r="J316" s="65" t="inlineStr">
        <is>
          <t>美亞(2020)</t>
        </is>
      </c>
      <c r="K316">
        <f>IF(F316&gt;0,(H316*$F316)/365.25,0)</f>
        <v/>
      </c>
      <c r="L316">
        <f>IF(F316&gt;0,(I316*$F316)/365.25,0)</f>
        <v/>
      </c>
      <c r="M316" s="65" t="inlineStr">
        <is>
          <t>當沖</t>
        </is>
      </c>
    </row>
    <row r="317" hidden="1" outlineLevel="1" customFormat="1" s="65">
      <c r="A317" s="508" t="n">
        <v>44294</v>
      </c>
      <c r="B317" s="508" t="n"/>
      <c r="C317" s="123" t="n"/>
      <c r="D317" s="509" t="n">
        <v>619882</v>
      </c>
      <c r="E317" s="510">
        <f>E316+C317-D317</f>
        <v/>
      </c>
      <c r="F317" s="510" t="n"/>
      <c r="G317" s="511">
        <f>G316+F317</f>
        <v/>
      </c>
      <c r="H317" s="511">
        <f>IF(B317="",$C$1-A317,DATEDIF(A317,B317,"d"))</f>
        <v/>
      </c>
      <c r="I317">
        <f>IF(B317="",$C$1-A317,H317)</f>
        <v/>
      </c>
      <c r="J317" s="65" t="inlineStr">
        <is>
          <t>聯詠(3034)</t>
        </is>
      </c>
      <c r="K317">
        <f>IF(F317&gt;0,(H317*$F317)/365.25,0)</f>
        <v/>
      </c>
      <c r="L317">
        <f>IF(F317&gt;0,(I317*$F317)/365.25,0)</f>
        <v/>
      </c>
    </row>
    <row r="318" hidden="1" outlineLevel="1" customFormat="1" s="65">
      <c r="A318" s="527" t="n">
        <v>44300</v>
      </c>
      <c r="B318" s="162" t="n"/>
      <c r="C318" s="163" t="n">
        <v>1000000</v>
      </c>
      <c r="D318" s="528" t="n"/>
      <c r="E318" s="529">
        <f>E317+C318-D318</f>
        <v/>
      </c>
      <c r="F318" s="529" t="n"/>
      <c r="G318" s="530">
        <f>G317+F318</f>
        <v/>
      </c>
      <c r="H318" s="530">
        <f>IF(B318="",DATEDIF(A318,$F$1,"d"),DATEDIF(A318,B318,"d"))</f>
        <v/>
      </c>
      <c r="I318" s="167">
        <f>IF(B318="",$C$1-A318,H318)</f>
        <v/>
      </c>
      <c r="J318" s="168" t="inlineStr">
        <is>
          <t>曾儀婷</t>
        </is>
      </c>
      <c r="K318" s="167">
        <f>IF(F318&gt;0,(H318*$F318)/365.25,0)</f>
        <v/>
      </c>
      <c r="L318" s="167">
        <f>IF(F318&gt;0,(I318*$F318)/365.25,0)</f>
        <v/>
      </c>
      <c r="M318" s="168" t="inlineStr">
        <is>
          <t>網路自轉</t>
        </is>
      </c>
    </row>
    <row r="319" hidden="1" outlineLevel="1" customFormat="1" s="65">
      <c r="A319" s="508" t="n">
        <v>44299</v>
      </c>
      <c r="B319" s="508" t="n">
        <v>44312</v>
      </c>
      <c r="C319" s="123" t="n"/>
      <c r="D319" s="509" t="n">
        <v>58883</v>
      </c>
      <c r="E319" s="510">
        <f>E318+C319-D319</f>
        <v/>
      </c>
      <c r="F319" s="510" t="n"/>
      <c r="G319" s="511">
        <f>G318+F319</f>
        <v/>
      </c>
      <c r="H319" s="511">
        <f>IF(B319="",$C$1-A319,DATEDIF(A319,B319,"d"))</f>
        <v/>
      </c>
      <c r="I319">
        <f>IF(B319="",$C$1-A319,H319)</f>
        <v/>
      </c>
      <c r="J319" s="65" t="inlineStr">
        <is>
          <t>台聚(1304)</t>
        </is>
      </c>
      <c r="K319">
        <f>IF(F319&gt;0,(H319*$F319)/365.25,0)</f>
        <v/>
      </c>
      <c r="L319">
        <f>IF(F319&gt;0,(I319*$F319)/365.25,0)</f>
        <v/>
      </c>
      <c r="N319" s="65" t="n">
        <v>58883</v>
      </c>
    </row>
    <row r="320" hidden="1" outlineLevel="1" customFormat="1" s="65">
      <c r="A320" s="508" t="n">
        <v>44299</v>
      </c>
      <c r="B320" s="508" t="n">
        <v>44308</v>
      </c>
      <c r="C320" s="123" t="n"/>
      <c r="D320" s="509" t="n">
        <v>49370</v>
      </c>
      <c r="E320" s="510">
        <f>E319+C320-D320</f>
        <v/>
      </c>
      <c r="F320" s="510" t="n"/>
      <c r="G320" s="511">
        <f>G319+F320</f>
        <v/>
      </c>
      <c r="H320" s="511">
        <f>IF(B320="",$C$1-A320,DATEDIF(A320,B320,"d"))</f>
        <v/>
      </c>
      <c r="I320">
        <f>IF(B320="",$C$1-A320,H320)</f>
        <v/>
      </c>
      <c r="J320" s="65" t="inlineStr">
        <is>
          <t>南紡(1440)</t>
        </is>
      </c>
      <c r="K320">
        <f>IF(F320&gt;0,(H320*$F320)/365.25,0)</f>
        <v/>
      </c>
      <c r="L320">
        <f>IF(F320&gt;0,(I320*$F320)/365.25,0)</f>
        <v/>
      </c>
      <c r="N320" s="65" t="n">
        <v>49370</v>
      </c>
    </row>
    <row r="321" hidden="1" outlineLevel="1" customFormat="1" s="65">
      <c r="A321" s="508" t="n">
        <v>44299</v>
      </c>
      <c r="B321" s="508" t="n"/>
      <c r="C321" s="123" t="n"/>
      <c r="D321" s="509" t="n">
        <v>36001</v>
      </c>
      <c r="E321" s="510">
        <f>E320+C321-D321</f>
        <v/>
      </c>
      <c r="F321" s="510" t="n"/>
      <c r="G321" s="511">
        <f>G320+F321</f>
        <v/>
      </c>
      <c r="H321" s="511">
        <f>IF(B321="",$C$1-A321,DATEDIF(A321,B321,"d"))</f>
        <v/>
      </c>
      <c r="I321">
        <f>IF(B321="",$C$1-A321,H321)</f>
        <v/>
      </c>
      <c r="J321" s="65" t="inlineStr">
        <is>
          <t>燦星網(4930)</t>
        </is>
      </c>
      <c r="K321">
        <f>IF(F321&gt;0,(H321*$F321)/365.25,0)</f>
        <v/>
      </c>
      <c r="L321">
        <f>IF(F321&gt;0,(I321*$F321)/365.25,0)</f>
        <v/>
      </c>
      <c r="N321" s="65" t="n">
        <v>36001</v>
      </c>
    </row>
    <row r="322" hidden="1" outlineLevel="1" customFormat="1" s="65">
      <c r="A322" s="508" t="n">
        <v>44293</v>
      </c>
      <c r="B322" s="508" t="n">
        <v>44299</v>
      </c>
      <c r="C322" s="123" t="n">
        <v>104039</v>
      </c>
      <c r="D322" s="509" t="n"/>
      <c r="E322" s="510">
        <f>E321+C322-D322</f>
        <v/>
      </c>
      <c r="F322" s="510">
        <f>-D312+C322</f>
        <v/>
      </c>
      <c r="G322" s="511">
        <f>G321+F322</f>
        <v/>
      </c>
      <c r="H322" s="511">
        <f>IF(B322="",$C$1-A322,DATEDIF(A322,B322,"d"))</f>
        <v/>
      </c>
      <c r="I322">
        <f>IF(B322="",$C$1-A322,H322)</f>
        <v/>
      </c>
      <c r="J322" s="65" t="inlineStr">
        <is>
          <t>技嘉(2376)</t>
        </is>
      </c>
      <c r="K322">
        <f>IF(F322&gt;0,(H322*$F322)/365.25,0)</f>
        <v/>
      </c>
      <c r="L322">
        <f>IF(F322&gt;0,(I322*$F322)/365.25,0)</f>
        <v/>
      </c>
    </row>
    <row r="323" hidden="1" outlineLevel="1" customFormat="1" s="65">
      <c r="A323" s="508" t="n">
        <v>44293</v>
      </c>
      <c r="B323" s="508" t="n">
        <v>44299</v>
      </c>
      <c r="C323" s="123" t="n">
        <v>125443</v>
      </c>
      <c r="D323" s="509" t="n"/>
      <c r="E323" s="510">
        <f>E322+C323-D323</f>
        <v/>
      </c>
      <c r="F323" s="510">
        <f>-D314+C323</f>
        <v/>
      </c>
      <c r="G323" s="511">
        <f>G322+F323</f>
        <v/>
      </c>
      <c r="H323" s="511">
        <f>IF(B323="",$C$1-A323,DATEDIF(A323,B323,"d"))</f>
        <v/>
      </c>
      <c r="I323">
        <f>IF(B323="",$C$1-A323,H323)</f>
        <v/>
      </c>
      <c r="J323" s="65" t="inlineStr">
        <is>
          <t>智易(3596)</t>
        </is>
      </c>
      <c r="K323">
        <f>IF(F323&gt;0,(H323*$F323)/365.25,0)</f>
        <v/>
      </c>
      <c r="L323">
        <f>IF(F323&gt;0,(I323*$F323)/365.25,0)</f>
        <v/>
      </c>
    </row>
    <row r="324" hidden="1" outlineLevel="1" customFormat="1" s="65">
      <c r="A324" s="508" t="n">
        <v>44300</v>
      </c>
      <c r="B324" s="508" t="n">
        <v>44571</v>
      </c>
      <c r="C324" s="123" t="n"/>
      <c r="D324" s="509" t="n">
        <v>607864</v>
      </c>
      <c r="E324" s="510">
        <f>E323+C324-D324</f>
        <v/>
      </c>
      <c r="F324" s="510" t="n"/>
      <c r="G324" s="511">
        <f>G323+F324</f>
        <v/>
      </c>
      <c r="H324" s="511">
        <f>IF(B324="",$C$1-A324,DATEDIF(A324,B324,"d"))</f>
        <v/>
      </c>
      <c r="I324">
        <f>IF(B324="",$C$1-A324,H324)</f>
        <v/>
      </c>
      <c r="J324" s="65" t="inlineStr">
        <is>
          <t>台積電(2330)</t>
        </is>
      </c>
      <c r="K324">
        <f>IF(F324&gt;0,(H324*$F324)/365.25,0)</f>
        <v/>
      </c>
      <c r="L324">
        <f>IF(F324&gt;0,(I324*$F324)/365.25,0)</f>
        <v/>
      </c>
    </row>
    <row r="325" hidden="1" outlineLevel="1" customFormat="1" s="65">
      <c r="A325" s="508" t="n">
        <v>44300</v>
      </c>
      <c r="B325" s="508" t="n"/>
      <c r="C325" s="123" t="n"/>
      <c r="D325" s="509" t="n">
        <v>204791</v>
      </c>
      <c r="E325" s="510">
        <f>E324+C325-D325</f>
        <v/>
      </c>
      <c r="F325" s="510" t="n"/>
      <c r="G325" s="511">
        <f>G324+F325</f>
        <v/>
      </c>
      <c r="H325" s="511">
        <f>IF(B325="",$C$1-A325,DATEDIF(A325,B325,"d"))</f>
        <v/>
      </c>
      <c r="I325">
        <f>IF(B325="",$C$1-A325,H325)</f>
        <v/>
      </c>
      <c r="J325" s="65" t="inlineStr">
        <is>
          <t>義隆(2458)</t>
        </is>
      </c>
      <c r="K325">
        <f>IF(F325&gt;0,(H325*$F325)/365.25,0)</f>
        <v/>
      </c>
      <c r="L325">
        <f>IF(F325&gt;0,(I325*$F325)/365.25,0)</f>
        <v/>
      </c>
    </row>
    <row r="326" hidden="1" outlineLevel="1" customFormat="1" s="65">
      <c r="A326" s="508" t="n">
        <v>44300</v>
      </c>
      <c r="B326" s="508" t="n">
        <v>44505</v>
      </c>
      <c r="C326" s="123" t="n"/>
      <c r="D326" s="509" t="n">
        <v>89877</v>
      </c>
      <c r="E326" s="510">
        <f>E325+C326-D326</f>
        <v/>
      </c>
      <c r="F326" s="510" t="n"/>
      <c r="G326" s="511">
        <f>G325+F326</f>
        <v/>
      </c>
      <c r="H326" s="511">
        <f>IF(B326="",$C$1-A326,DATEDIF(A326,B326,"d"))</f>
        <v/>
      </c>
      <c r="I326">
        <f>IF(B326="",$C$1-A326,H326)</f>
        <v/>
      </c>
      <c r="J326" s="65" t="inlineStr">
        <is>
          <t>長榮航(2618)</t>
        </is>
      </c>
      <c r="K326">
        <f>IF(F326&gt;0,(H326*$F326)/365.25,0)</f>
        <v/>
      </c>
      <c r="L326">
        <f>IF(F326&gt;0,(I326*$F326)/365.25,0)</f>
        <v/>
      </c>
    </row>
    <row r="327" hidden="1" outlineLevel="1" customFormat="1" s="65">
      <c r="A327" s="508" t="n">
        <v>44300</v>
      </c>
      <c r="B327" s="508" t="n">
        <v>44308</v>
      </c>
      <c r="C327" s="123" t="n"/>
      <c r="D327" s="509" t="n">
        <v>109155</v>
      </c>
      <c r="E327" s="510">
        <f>E326+C327-D327</f>
        <v/>
      </c>
      <c r="F327" s="510" t="n"/>
      <c r="G327" s="511">
        <f>G326+F327</f>
        <v/>
      </c>
      <c r="H327" s="511">
        <f>IF(B327="",$C$1-A327,DATEDIF(A327,B327,"d"))</f>
        <v/>
      </c>
      <c r="I327">
        <f>IF(B327="",$C$1-A327,H327)</f>
        <v/>
      </c>
      <c r="J327" s="65" t="inlineStr">
        <is>
          <t>晶技(3042)</t>
        </is>
      </c>
      <c r="K327">
        <f>IF(F327&gt;0,(H327*$F327)/365.25,0)</f>
        <v/>
      </c>
      <c r="L327">
        <f>IF(F327&gt;0,(I327*$F327)/365.25,0)</f>
        <v/>
      </c>
    </row>
    <row r="328" hidden="1" outlineLevel="1" customFormat="1" s="65">
      <c r="A328" s="508" t="n">
        <v>44301</v>
      </c>
      <c r="B328" s="508" t="n">
        <v>44308</v>
      </c>
      <c r="C328" s="123" t="n"/>
      <c r="D328" s="509" t="n">
        <v>115664</v>
      </c>
      <c r="E328" s="510">
        <f>E327+C328-D328</f>
        <v/>
      </c>
      <c r="F328" s="510" t="n"/>
      <c r="G328" s="511">
        <f>G327+F328</f>
        <v/>
      </c>
      <c r="H328" s="511">
        <f>IF(B328="",$C$1-A328,DATEDIF(A328,B328,"d"))</f>
        <v/>
      </c>
      <c r="I328">
        <f>IF(B328="",$C$1-A328,H328)</f>
        <v/>
      </c>
      <c r="J328" s="65" t="inlineStr">
        <is>
          <t>智易(3596)</t>
        </is>
      </c>
      <c r="K328">
        <f>IF(F328&gt;0,(H328*$F328)/365.25,0)</f>
        <v/>
      </c>
      <c r="L328">
        <f>IF(F328&gt;0,(I328*$F328)/365.25,0)</f>
        <v/>
      </c>
    </row>
    <row r="329" hidden="1" outlineLevel="1" customFormat="1" s="65">
      <c r="A329" s="508" t="n">
        <v>44302</v>
      </c>
      <c r="B329" s="508" t="n">
        <v>44308</v>
      </c>
      <c r="C329" s="123" t="n"/>
      <c r="D329" s="509" t="n">
        <v>30793</v>
      </c>
      <c r="E329" s="510">
        <f>E328+C329-D329</f>
        <v/>
      </c>
      <c r="F329" s="510" t="n"/>
      <c r="G329" s="511">
        <f>G328+F329</f>
        <v/>
      </c>
      <c r="H329" s="511">
        <f>IF(B329="",$C$1-A329,DATEDIF(A329,B329,"d"))</f>
        <v/>
      </c>
      <c r="I329">
        <f>IF(B329="",$C$1-A329,H329)</f>
        <v/>
      </c>
      <c r="J329" s="65" t="inlineStr">
        <is>
          <t>台橡(2103)</t>
        </is>
      </c>
      <c r="K329">
        <f>IF(F329&gt;0,(H329*$F329)/365.25,0)</f>
        <v/>
      </c>
      <c r="L329">
        <f>IF(F329&gt;0,(I329*$F329)/365.25,0)</f>
        <v/>
      </c>
    </row>
    <row r="330" hidden="1" outlineLevel="1" customFormat="1" s="65">
      <c r="A330" s="508" t="n">
        <v>44306</v>
      </c>
      <c r="B330" s="508" t="n">
        <v>44313</v>
      </c>
      <c r="C330" s="123" t="n"/>
      <c r="D330" s="509" t="n">
        <v>50371</v>
      </c>
      <c r="E330" s="510">
        <f>E329+C330-D330</f>
        <v/>
      </c>
      <c r="F330" s="510" t="n"/>
      <c r="G330" s="511">
        <f>G329+F330</f>
        <v/>
      </c>
      <c r="H330" s="511">
        <f>IF(B330="",$C$1-A330,DATEDIF(A330,B330,"d"))</f>
        <v/>
      </c>
      <c r="I330">
        <f>IF(B330="",$C$1-A330,H330)</f>
        <v/>
      </c>
      <c r="J330" s="65" t="inlineStr">
        <is>
          <t>台達化(1309)</t>
        </is>
      </c>
      <c r="K330">
        <f>IF(F330&gt;0,(H330*$F330)/365.25,0)</f>
        <v/>
      </c>
      <c r="L330">
        <f>IF(F330&gt;0,(I330*$F330)/365.25,0)</f>
        <v/>
      </c>
    </row>
    <row r="331" hidden="1" outlineLevel="1" customFormat="1" s="65">
      <c r="A331" s="508" t="n">
        <v>44306</v>
      </c>
      <c r="B331" s="508" t="n">
        <v>44308</v>
      </c>
      <c r="C331" s="123" t="n"/>
      <c r="D331" s="509" t="n">
        <v>46315</v>
      </c>
      <c r="E331" s="510">
        <f>E330+C331-D331</f>
        <v/>
      </c>
      <c r="F331" s="510" t="n"/>
      <c r="G331" s="511">
        <f>G330+F331</f>
        <v/>
      </c>
      <c r="H331" s="511">
        <f>IF(B331="",$C$1-A331,DATEDIF(A331,B331,"d"))</f>
        <v/>
      </c>
      <c r="I331">
        <f>IF(B331="",$C$1-A331,H331)</f>
        <v/>
      </c>
      <c r="J331" s="65" t="inlineStr">
        <is>
          <t>第一銅(2009)</t>
        </is>
      </c>
      <c r="K331">
        <f>IF(F331&gt;0,(H331*$F331)/365.25,0)</f>
        <v/>
      </c>
      <c r="L331">
        <f>IF(F331&gt;0,(I331*$F331)/365.25,0)</f>
        <v/>
      </c>
    </row>
    <row r="332" hidden="1" outlineLevel="1" customFormat="1" s="65">
      <c r="A332" s="527" t="n">
        <v>44309</v>
      </c>
      <c r="B332" s="162" t="n"/>
      <c r="C332" s="163" t="n">
        <v>300000</v>
      </c>
      <c r="D332" s="528" t="n"/>
      <c r="E332" s="529">
        <f>E331+C332-D332</f>
        <v/>
      </c>
      <c r="F332" s="529" t="n"/>
      <c r="G332" s="530">
        <f>G331+F332</f>
        <v/>
      </c>
      <c r="H332" s="530">
        <f>IF(B332="",DATEDIF(A332,$F$1,"d"),DATEDIF(A332,B332,"d"))</f>
        <v/>
      </c>
      <c r="I332" s="167">
        <f>IF(B332="",$C$1-A332,H332)</f>
        <v/>
      </c>
      <c r="J332" s="168" t="inlineStr">
        <is>
          <t>曾儀婷</t>
        </is>
      </c>
      <c r="K332" s="167">
        <f>IF(F332&gt;0,(H332*$F332)/365.25,0)</f>
        <v/>
      </c>
      <c r="L332" s="167">
        <f>IF(F332&gt;0,(I332*$F332)/365.25,0)</f>
        <v/>
      </c>
      <c r="M332" s="168" t="inlineStr">
        <is>
          <t>網路自轉</t>
        </is>
      </c>
    </row>
    <row r="333" hidden="1" outlineLevel="1" customFormat="1" s="65">
      <c r="A333" s="508" t="n">
        <v>44307</v>
      </c>
      <c r="B333" s="508" t="n">
        <v>44308</v>
      </c>
      <c r="C333" s="123" t="n"/>
      <c r="D333" s="509" t="n">
        <v>192273</v>
      </c>
      <c r="E333" s="510">
        <f>E332+C333-D333</f>
        <v/>
      </c>
      <c r="F333" s="510" t="n"/>
      <c r="G333" s="511">
        <f>G332+F333</f>
        <v/>
      </c>
      <c r="H333" s="511">
        <f>IF(B333="",$C$1-A333,DATEDIF(A333,B333,"d"))</f>
        <v/>
      </c>
      <c r="I333">
        <f>IF(B333="",$C$1-A333,H333)</f>
        <v/>
      </c>
      <c r="J333" s="65" t="inlineStr">
        <is>
          <t>中美晶(5483)</t>
        </is>
      </c>
      <c r="K333">
        <f>IF(F333&gt;0,(H333*$F333)/365.25,0)</f>
        <v/>
      </c>
      <c r="L333">
        <f>IF(F333&gt;0,(I333*$F333)/365.25,0)</f>
        <v/>
      </c>
    </row>
    <row r="334" hidden="1" outlineLevel="1" customFormat="1" s="65">
      <c r="A334" s="508" t="n">
        <v>44292</v>
      </c>
      <c r="B334" s="508" t="n">
        <v>44308</v>
      </c>
      <c r="C334" s="123" t="n">
        <v>61229</v>
      </c>
      <c r="D334" s="509" t="n"/>
      <c r="E334" s="510">
        <f>E333+C334-D334</f>
        <v/>
      </c>
      <c r="F334" s="510">
        <f>-D310+C334</f>
        <v/>
      </c>
      <c r="G334" s="511">
        <f>G333+F334</f>
        <v/>
      </c>
      <c r="H334" s="511">
        <f>IF(B334="",$C$1-A334,DATEDIF(A334,B334,"d"))</f>
        <v/>
      </c>
      <c r="I334">
        <f>IF(B334="",$C$1-A334,H334)</f>
        <v/>
      </c>
      <c r="J334" s="65" t="inlineStr">
        <is>
          <t>富邦金(2881)</t>
        </is>
      </c>
      <c r="K334">
        <f>IF(F334&gt;0,(H334*$F334)/365.25,0)</f>
        <v/>
      </c>
      <c r="L334">
        <f>IF(F334&gt;0,(I334*$F334)/365.25,0)</f>
        <v/>
      </c>
    </row>
    <row r="335" hidden="1" outlineLevel="1" customFormat="1" s="65">
      <c r="A335" s="508" t="n">
        <v>44299</v>
      </c>
      <c r="B335" s="508" t="n">
        <v>44308</v>
      </c>
      <c r="C335" s="123" t="n">
        <v>27578</v>
      </c>
      <c r="D335" s="509" t="n"/>
      <c r="E335" s="510">
        <f>E334+C335-D335</f>
        <v/>
      </c>
      <c r="F335" s="510">
        <f>-D320/2+C335</f>
        <v/>
      </c>
      <c r="G335" s="511">
        <f>G334+F335</f>
        <v/>
      </c>
      <c r="H335" s="511">
        <f>IF(B335="",$C$1-A335,DATEDIF(A335,B335,"d"))</f>
        <v/>
      </c>
      <c r="I335">
        <f>IF(B335="",$C$1-A335,H335)</f>
        <v/>
      </c>
      <c r="J335" s="65" t="inlineStr">
        <is>
          <t>南紡(1440)</t>
        </is>
      </c>
      <c r="K335">
        <f>IF(F335&gt;0,(H335*$F335)/365.25,0)</f>
        <v/>
      </c>
      <c r="L335">
        <f>IF(F335&gt;0,(I335*$F335)/365.25,0)</f>
        <v/>
      </c>
      <c r="N335" s="65" t="n">
        <v>54112</v>
      </c>
    </row>
    <row r="336" hidden="1" outlineLevel="1" customFormat="1" s="65">
      <c r="A336" s="508" t="n">
        <v>44300</v>
      </c>
      <c r="B336" s="508" t="n">
        <v>44308</v>
      </c>
      <c r="C336" s="123" t="n">
        <v>114492</v>
      </c>
      <c r="D336" s="509" t="n"/>
      <c r="E336" s="510">
        <f>E335+C336-D336</f>
        <v/>
      </c>
      <c r="F336" s="510">
        <f>-D327+C336</f>
        <v/>
      </c>
      <c r="G336" s="511">
        <f>G335+F336</f>
        <v/>
      </c>
      <c r="H336" s="511">
        <f>IF(B336="",$C$1-A336,DATEDIF(A336,B336,"d"))</f>
        <v/>
      </c>
      <c r="I336">
        <f>IF(B336="",$C$1-A336,H336)</f>
        <v/>
      </c>
      <c r="J336" s="65" t="inlineStr">
        <is>
          <t>晶技(3042)</t>
        </is>
      </c>
      <c r="K336">
        <f>IF(F336&gt;0,(H336*$F336)/365.25,0)</f>
        <v/>
      </c>
      <c r="L336">
        <f>IF(F336&gt;0,(I336*$F336)/365.25,0)</f>
        <v/>
      </c>
    </row>
    <row r="337" hidden="1" outlineLevel="1" customFormat="1" s="65">
      <c r="A337" s="508" t="n">
        <v>44301</v>
      </c>
      <c r="B337" s="508" t="n">
        <v>44308</v>
      </c>
      <c r="C337" s="123" t="n">
        <v>113496</v>
      </c>
      <c r="D337" s="509" t="n"/>
      <c r="E337" s="510">
        <f>E336+C337-D337</f>
        <v/>
      </c>
      <c r="F337" s="510">
        <f>-D328+C337</f>
        <v/>
      </c>
      <c r="G337" s="511">
        <f>G336+F337</f>
        <v/>
      </c>
      <c r="H337" s="511">
        <f>IF(B337="",$C$1-A337,DATEDIF(A337,B337,"d"))</f>
        <v/>
      </c>
      <c r="I337">
        <f>IF(B337="",$C$1-A337,H337)</f>
        <v/>
      </c>
      <c r="J337" s="65" t="inlineStr">
        <is>
          <t>智易(3596)</t>
        </is>
      </c>
      <c r="K337">
        <f>IF(F337&gt;0,(H337*$F337)/365.25,0)</f>
        <v/>
      </c>
      <c r="L337">
        <f>IF(F337&gt;0,(I337*$F337)/365.25,0)</f>
        <v/>
      </c>
    </row>
    <row r="338" hidden="1" outlineLevel="1" customFormat="1" s="65">
      <c r="A338" s="508" t="n">
        <v>44302</v>
      </c>
      <c r="B338" s="508" t="n">
        <v>44308</v>
      </c>
      <c r="C338" s="123" t="n">
        <v>32756</v>
      </c>
      <c r="D338" s="509" t="n"/>
      <c r="E338" s="510">
        <f>E337+C338-D338</f>
        <v/>
      </c>
      <c r="F338" s="510">
        <f>-D329+C338</f>
        <v/>
      </c>
      <c r="G338" s="511">
        <f>G337+F338</f>
        <v/>
      </c>
      <c r="H338" s="511">
        <f>IF(B338="",$C$1-A338,DATEDIF(A338,B338,"d"))</f>
        <v/>
      </c>
      <c r="I338">
        <f>IF(B338="",$C$1-A338,H338)</f>
        <v/>
      </c>
      <c r="J338" s="65" t="inlineStr">
        <is>
          <t>台橡(2103)</t>
        </is>
      </c>
      <c r="K338">
        <f>IF(F338&gt;0,(H338*$F338)/365.25,0)</f>
        <v/>
      </c>
      <c r="L338">
        <f>IF(F338&gt;0,(I338*$F338)/365.25,0)</f>
        <v/>
      </c>
    </row>
    <row r="339" hidden="1" outlineLevel="1" customFormat="1" s="65">
      <c r="A339" s="508" t="n">
        <v>44306</v>
      </c>
      <c r="B339" s="508" t="n">
        <v>44308</v>
      </c>
      <c r="C339" s="123" t="n">
        <v>48535</v>
      </c>
      <c r="D339" s="509" t="n"/>
      <c r="E339" s="510">
        <f>E338+C339-D339</f>
        <v/>
      </c>
      <c r="F339" s="510">
        <f>-D331+C339</f>
        <v/>
      </c>
      <c r="G339" s="511">
        <f>G338+F339</f>
        <v/>
      </c>
      <c r="H339" s="511">
        <f>IF(B339="",$C$1-A339,DATEDIF(A339,B339,"d"))</f>
        <v/>
      </c>
      <c r="I339">
        <f>IF(B339="",$C$1-A339,H339)</f>
        <v/>
      </c>
      <c r="J339" s="65" t="inlineStr">
        <is>
          <t>第一銅(2009)</t>
        </is>
      </c>
      <c r="K339">
        <f>IF(F339&gt;0,(H339*$F339)/365.25,0)</f>
        <v/>
      </c>
      <c r="L339">
        <f>IF(F339&gt;0,(I339*$F339)/365.25,0)</f>
        <v/>
      </c>
    </row>
    <row r="340" hidden="1" outlineLevel="1" customFormat="1" s="65">
      <c r="A340" s="508" t="n">
        <v>44307</v>
      </c>
      <c r="B340" s="508" t="n">
        <v>44308</v>
      </c>
      <c r="C340" s="123" t="n">
        <v>196129</v>
      </c>
      <c r="D340" s="509" t="n"/>
      <c r="E340" s="510">
        <f>E339+C340-D340</f>
        <v/>
      </c>
      <c r="F340" s="510">
        <f>-D333+C340</f>
        <v/>
      </c>
      <c r="G340" s="511">
        <f>G339+F340</f>
        <v/>
      </c>
      <c r="H340" s="511">
        <f>IF(B340="",$C$1-A340,DATEDIF(A340,B340,"d"))</f>
        <v/>
      </c>
      <c r="I340">
        <f>IF(B340="",$C$1-A340,H340)</f>
        <v/>
      </c>
      <c r="J340" s="65" t="inlineStr">
        <is>
          <t>中美晶(5483)</t>
        </is>
      </c>
      <c r="K340">
        <f>IF(F340&gt;0,(H340*$F340)/365.25,0)</f>
        <v/>
      </c>
      <c r="L340">
        <f>IF(F340&gt;0,(I340*$F340)/365.25,0)</f>
        <v/>
      </c>
    </row>
    <row r="341" hidden="1" outlineLevel="1" customFormat="1" s="65">
      <c r="A341" s="508" t="n">
        <v>44308</v>
      </c>
      <c r="B341" s="508" t="n">
        <v>44439</v>
      </c>
      <c r="C341" s="123" t="n"/>
      <c r="D341" s="509" t="n">
        <v>26437</v>
      </c>
      <c r="E341" s="510">
        <f>E340+C341-D341</f>
        <v/>
      </c>
      <c r="F341" s="510" t="n"/>
      <c r="G341" s="511">
        <f>G340+F341</f>
        <v/>
      </c>
      <c r="H341" s="511">
        <f>IF(B341="",$C$1-A341,DATEDIF(A341,B341,"d"))</f>
        <v/>
      </c>
      <c r="I341">
        <f>IF(B341="",$C$1-A341,H341)</f>
        <v/>
      </c>
      <c r="J341" s="65" t="inlineStr">
        <is>
          <t>華紙(1905)</t>
        </is>
      </c>
      <c r="K341">
        <f>IF(F341&gt;0,(H341*$F341)/365.25,0)</f>
        <v/>
      </c>
      <c r="L341">
        <f>IF(F341&gt;0,(I341*$F341)/365.25,0)</f>
        <v/>
      </c>
    </row>
    <row r="342" hidden="1" outlineLevel="1" customFormat="1" s="65">
      <c r="A342" s="508" t="n">
        <v>44308</v>
      </c>
      <c r="B342" s="508" t="n"/>
      <c r="C342" s="123" t="n"/>
      <c r="D342" s="509" t="n">
        <v>39956</v>
      </c>
      <c r="E342" s="510">
        <f>E341+C342-D342</f>
        <v/>
      </c>
      <c r="F342" s="510" t="n"/>
      <c r="G342" s="511">
        <f>G341+F342</f>
        <v/>
      </c>
      <c r="H342" s="511">
        <f>IF(B342="",$C$1-A342,DATEDIF(A342,B342,"d"))</f>
        <v/>
      </c>
      <c r="I342">
        <f>IF(B342="",$C$1-A342,H342)</f>
        <v/>
      </c>
      <c r="J342" s="65" t="inlineStr">
        <is>
          <t>中鋼(2002)</t>
        </is>
      </c>
      <c r="K342">
        <f>IF(F342&gt;0,(H342*$F342)/365.25,0)</f>
        <v/>
      </c>
      <c r="L342">
        <f>IF(F342&gt;0,(I342*$F342)/365.25,0)</f>
        <v/>
      </c>
    </row>
    <row r="343" hidden="1" outlineLevel="1" customFormat="1" s="65">
      <c r="A343" s="508" t="n">
        <v>44308</v>
      </c>
      <c r="B343" s="508" t="n"/>
      <c r="C343" s="123" t="n"/>
      <c r="D343" s="509" t="n">
        <v>78511</v>
      </c>
      <c r="E343" s="510">
        <f>E342+C343-D343</f>
        <v/>
      </c>
      <c r="F343" s="510" t="n"/>
      <c r="G343" s="511">
        <f>G342+F343</f>
        <v/>
      </c>
      <c r="H343" s="511">
        <f>IF(B343="",$C$1-A343,DATEDIF(A343,B343,"d"))</f>
        <v/>
      </c>
      <c r="I343">
        <f>IF(B343="",$C$1-A343,H343)</f>
        <v/>
      </c>
      <c r="J343" s="65" t="inlineStr">
        <is>
          <t>中鋼(2002)</t>
        </is>
      </c>
      <c r="K343">
        <f>IF(F343&gt;0,(H343*$F343)/365.25,0)</f>
        <v/>
      </c>
      <c r="L343">
        <f>IF(F343&gt;0,(I343*$F343)/365.25,0)</f>
        <v/>
      </c>
    </row>
    <row r="344" hidden="1" outlineLevel="1" customFormat="1" s="65">
      <c r="A344" s="508" t="n">
        <v>44308</v>
      </c>
      <c r="B344" s="508" t="n">
        <v>44445</v>
      </c>
      <c r="C344" s="123" t="n"/>
      <c r="D344" s="509" t="n">
        <v>61287</v>
      </c>
      <c r="E344" s="510">
        <f>E343+C344-D344</f>
        <v/>
      </c>
      <c r="F344" s="510" t="n"/>
      <c r="G344" s="511">
        <f>G343+F344</f>
        <v/>
      </c>
      <c r="H344" s="511">
        <f>IF(B344="",$C$1-A344,DATEDIF(A344,B344,"d"))</f>
        <v/>
      </c>
      <c r="I344">
        <f>IF(B344="",$C$1-A344,H344)</f>
        <v/>
      </c>
      <c r="J344" s="65" t="inlineStr">
        <is>
          <t>新光鋼(2031)</t>
        </is>
      </c>
      <c r="K344">
        <f>IF(F344&gt;0,(H344*$F344)/365.25,0)</f>
        <v/>
      </c>
      <c r="L344">
        <f>IF(F344&gt;0,(I344*$F344)/365.25,0)</f>
        <v/>
      </c>
    </row>
    <row r="345" hidden="1" outlineLevel="1" customFormat="1" s="65">
      <c r="A345" s="508" t="n">
        <v>44308</v>
      </c>
      <c r="B345" s="508" t="n">
        <v>44558</v>
      </c>
      <c r="C345" s="123" t="n"/>
      <c r="D345" s="509" t="n">
        <v>58783</v>
      </c>
      <c r="E345" s="510">
        <f>E344+C345-D345</f>
        <v/>
      </c>
      <c r="F345" s="510" t="n"/>
      <c r="G345" s="511">
        <f>G344+F345</f>
        <v/>
      </c>
      <c r="H345" s="511">
        <f>IF(B345="",$C$1-A345,DATEDIF(A345,B345,"d"))</f>
        <v/>
      </c>
      <c r="I345">
        <f>IF(B345="",$C$1-A345,H345)</f>
        <v/>
      </c>
      <c r="J345" s="65" t="inlineStr">
        <is>
          <t>台船(2208)</t>
        </is>
      </c>
      <c r="K345">
        <f>IF(F345&gt;0,(H345*$F345)/365.25,0)</f>
        <v/>
      </c>
      <c r="L345">
        <f>IF(F345&gt;0,(I345*$F345)/365.25,0)</f>
        <v/>
      </c>
    </row>
    <row r="346" hidden="1" outlineLevel="1" customFormat="1" s="65">
      <c r="A346" s="508" t="n">
        <v>44308</v>
      </c>
      <c r="B346" s="508" t="n">
        <v>44442</v>
      </c>
      <c r="C346" s="123" t="n"/>
      <c r="D346" s="509" t="n">
        <v>30243</v>
      </c>
      <c r="E346" s="510">
        <f>E345+C346-D346</f>
        <v/>
      </c>
      <c r="F346" s="510" t="n"/>
      <c r="G346" s="511">
        <f>G345+F346</f>
        <v/>
      </c>
      <c r="H346" s="511">
        <f>IF(B346="",$C$1-A346,DATEDIF(A346,B346,"d"))</f>
        <v/>
      </c>
      <c r="I346">
        <f>IF(B346="",$C$1-A346,H346)</f>
        <v/>
      </c>
      <c r="J346" s="65" t="inlineStr">
        <is>
          <t>友達(2409)</t>
        </is>
      </c>
      <c r="K346">
        <f>IF(F346&gt;0,(H346*$F346)/365.25,0)</f>
        <v/>
      </c>
      <c r="L346">
        <f>IF(F346&gt;0,(I346*$F346)/365.25,0)</f>
        <v/>
      </c>
    </row>
    <row r="347" hidden="1" outlineLevel="1" customFormat="1" s="65">
      <c r="A347" s="508" t="n">
        <v>44308</v>
      </c>
      <c r="B347" s="508" t="n"/>
      <c r="C347" s="123" t="n"/>
      <c r="D347" s="509" t="n">
        <v>30343</v>
      </c>
      <c r="E347" s="510">
        <f>E346+C347-D347</f>
        <v/>
      </c>
      <c r="F347" s="510" t="n"/>
      <c r="G347" s="511">
        <f>G346+F347</f>
        <v/>
      </c>
      <c r="H347" s="511">
        <f>IF(B347="",$C$1-A347,DATEDIF(A347,B347,"d"))</f>
        <v/>
      </c>
      <c r="I347">
        <f>IF(B347="",$C$1-A347,H347)</f>
        <v/>
      </c>
      <c r="J347" s="65" t="inlineStr">
        <is>
          <t>友達(2409)</t>
        </is>
      </c>
      <c r="K347">
        <f>IF(F347&gt;0,(H347*$F347)/365.25,0)</f>
        <v/>
      </c>
      <c r="L347">
        <f>IF(F347&gt;0,(I347*$F347)/365.25,0)</f>
        <v/>
      </c>
    </row>
    <row r="348" hidden="1" outlineLevel="1" customFormat="1" s="65">
      <c r="A348" s="508" t="n">
        <v>44308</v>
      </c>
      <c r="B348" s="508" t="n">
        <v>44323</v>
      </c>
      <c r="C348" s="123" t="n"/>
      <c r="D348" s="509" t="n">
        <v>53976</v>
      </c>
      <c r="E348" s="510">
        <f>E347+C348-D348</f>
        <v/>
      </c>
      <c r="F348" s="510" t="n"/>
      <c r="G348" s="511">
        <f>G347+F348</f>
        <v/>
      </c>
      <c r="H348" s="511">
        <f>IF(B348="",$C$1-A348,DATEDIF(A348,B348,"d"))</f>
        <v/>
      </c>
      <c r="I348">
        <f>IF(B348="",$C$1-A348,H348)</f>
        <v/>
      </c>
      <c r="J348" s="65" t="inlineStr">
        <is>
          <t>慧洋-KY(2637)</t>
        </is>
      </c>
      <c r="K348">
        <f>IF(F348&gt;0,(H348*$F348)/365.25,0)</f>
        <v/>
      </c>
      <c r="L348">
        <f>IF(F348&gt;0,(I348*$F348)/365.25,0)</f>
        <v/>
      </c>
    </row>
    <row r="349" hidden="1" outlineLevel="1" customFormat="1" s="65">
      <c r="A349" s="508" t="n">
        <v>44308</v>
      </c>
      <c r="B349" s="508" t="n"/>
      <c r="C349" s="123" t="n"/>
      <c r="D349" s="509" t="n">
        <v>59284</v>
      </c>
      <c r="E349" s="510">
        <f>E348+C349-D349</f>
        <v/>
      </c>
      <c r="F349" s="510" t="n"/>
      <c r="G349" s="511">
        <f>G348+F349</f>
        <v/>
      </c>
      <c r="H349" s="511">
        <f>IF(B349="",$C$1-A349,DATEDIF(A349,B349,"d"))</f>
        <v/>
      </c>
      <c r="I349">
        <f>IF(B349="",$C$1-A349,H349)</f>
        <v/>
      </c>
      <c r="J349" s="65" t="inlineStr">
        <is>
          <t>日電貿(3090)</t>
        </is>
      </c>
      <c r="K349">
        <f>IF(F349&gt;0,(H349*$F349)/365.25,0)</f>
        <v/>
      </c>
      <c r="L349">
        <f>IF(F349&gt;0,(I349*$F349)/365.25,0)</f>
        <v/>
      </c>
    </row>
    <row r="350" hidden="1" outlineLevel="1" customFormat="1" s="65">
      <c r="A350" s="508" t="n">
        <v>44308</v>
      </c>
      <c r="B350" s="508" t="n">
        <v>44442</v>
      </c>
      <c r="C350" s="123" t="n"/>
      <c r="D350" s="509" t="n">
        <v>29391</v>
      </c>
      <c r="E350" s="510">
        <f>E349+C350-D350</f>
        <v/>
      </c>
      <c r="F350" s="510" t="n"/>
      <c r="G350" s="511">
        <f>G349+F350</f>
        <v/>
      </c>
      <c r="H350" s="511">
        <f>IF(B350="",$C$1-A350,DATEDIF(A350,B350,"d"))</f>
        <v/>
      </c>
      <c r="I350">
        <f>IF(B350="",$C$1-A350,H350)</f>
        <v/>
      </c>
      <c r="J350" s="65" t="inlineStr">
        <is>
          <t>群創(3481)</t>
        </is>
      </c>
      <c r="K350">
        <f>IF(F350&gt;0,(H350*$F350)/365.25,0)</f>
        <v/>
      </c>
      <c r="L350">
        <f>IF(F350&gt;0,(I350*$F350)/365.25,0)</f>
        <v/>
      </c>
    </row>
    <row r="351" hidden="1" outlineLevel="1" customFormat="1" s="65">
      <c r="A351" s="508" t="n">
        <v>44308</v>
      </c>
      <c r="B351" s="508" t="n"/>
      <c r="C351" s="123" t="n"/>
      <c r="D351" s="509" t="n">
        <v>29141</v>
      </c>
      <c r="E351" s="510">
        <f>E350+C351-D351</f>
        <v/>
      </c>
      <c r="F351" s="510" t="n"/>
      <c r="G351" s="511">
        <f>G350+F351</f>
        <v/>
      </c>
      <c r="H351" s="511">
        <f>IF(B351="",$C$1-A351,DATEDIF(A351,B351,"d"))</f>
        <v/>
      </c>
      <c r="I351">
        <f>IF(B351="",$C$1-A351,H351)</f>
        <v/>
      </c>
      <c r="J351" s="65" t="inlineStr">
        <is>
          <t>群創(3481)</t>
        </is>
      </c>
      <c r="K351">
        <f>IF(F351&gt;0,(H351*$F351)/365.25,0)</f>
        <v/>
      </c>
      <c r="L351">
        <f>IF(F351&gt;0,(I351*$F351)/365.25,0)</f>
        <v/>
      </c>
    </row>
    <row r="352" hidden="1" outlineLevel="1" customFormat="1" s="65">
      <c r="A352" s="508" t="n">
        <v>44299</v>
      </c>
      <c r="B352" s="508" t="n">
        <v>44312</v>
      </c>
      <c r="C352" s="123">
        <f>36837</f>
        <v/>
      </c>
      <c r="D352" s="509" t="n"/>
      <c r="E352" s="510">
        <f>E351+C352-D352</f>
        <v/>
      </c>
      <c r="F352" s="510">
        <f>-D319/2+C352</f>
        <v/>
      </c>
      <c r="G352" s="511">
        <f>G351+F352</f>
        <v/>
      </c>
      <c r="H352" s="511">
        <f>IF(B352="",$C$1-A352,DATEDIF(A352,B352,"d"))</f>
        <v/>
      </c>
      <c r="I352">
        <f>IF(B352="",$C$1-A352,H352)</f>
        <v/>
      </c>
      <c r="J352" s="65" t="inlineStr">
        <is>
          <t>台聚(1304)</t>
        </is>
      </c>
      <c r="K352">
        <f>IF(F352&gt;0,(H352*$F352)/365.25,0)</f>
        <v/>
      </c>
      <c r="L352">
        <f>IF(F352&gt;0,(I352*$F352)/365.25,0)</f>
        <v/>
      </c>
    </row>
    <row r="353" hidden="1" outlineLevel="1" customFormat="1" s="65">
      <c r="A353" s="522" t="n">
        <v>44314</v>
      </c>
      <c r="B353" s="522" t="n">
        <v>44314</v>
      </c>
      <c r="C353" s="196" t="n">
        <v>3577</v>
      </c>
      <c r="D353" s="523" t="n">
        <v>0</v>
      </c>
      <c r="E353" s="524">
        <f>E352+C353-D353</f>
        <v/>
      </c>
      <c r="F353" s="524">
        <f>C353</f>
        <v/>
      </c>
      <c r="G353" s="525">
        <f>G352+C353-D353</f>
        <v/>
      </c>
      <c r="H353" s="525">
        <f>IF(B353="",DATEDIF(A353,$G$1,"d"),DATEDIF(A353,B353,"d"))</f>
        <v/>
      </c>
      <c r="I353" s="200">
        <f>IF(B353="",$C$1-A353,H353)</f>
        <v/>
      </c>
      <c r="J353" s="200" t="inlineStr">
        <is>
          <t>神基科技現金股</t>
        </is>
      </c>
      <c r="K353" s="200">
        <f>(H353*$C353)/365.25</f>
        <v/>
      </c>
      <c r="L353" s="200">
        <f>(I353*$C353)/365.25</f>
        <v/>
      </c>
      <c r="M353" s="200" t="inlineStr">
        <is>
          <t>現金股利</t>
        </is>
      </c>
    </row>
    <row r="354" hidden="1" outlineLevel="1" customFormat="1" s="65">
      <c r="A354" s="508" t="n">
        <v>44306</v>
      </c>
      <c r="B354" s="508" t="n">
        <v>44313</v>
      </c>
      <c r="C354" s="123" t="n">
        <v>47391</v>
      </c>
      <c r="D354" s="509" t="n"/>
      <c r="E354" s="510">
        <f>E353+C354-D354</f>
        <v/>
      </c>
      <c r="F354" s="510">
        <f>-D330+C354</f>
        <v/>
      </c>
      <c r="G354" s="511">
        <f>G353+F354</f>
        <v/>
      </c>
      <c r="H354" s="511">
        <f>IF(B354="",$C$1-A354,DATEDIF(A354,B354,"d"))</f>
        <v/>
      </c>
      <c r="I354">
        <f>IF(B354="",$C$1-A354,H354)</f>
        <v/>
      </c>
      <c r="J354" s="65" t="inlineStr">
        <is>
          <t>台達化(1309)</t>
        </is>
      </c>
      <c r="K354">
        <f>IF(F354&gt;0,(H354*$F354)/365.25,0)</f>
        <v/>
      </c>
      <c r="L354">
        <f>IF(F354&gt;0,(I354*$F354)/365.25,0)</f>
        <v/>
      </c>
    </row>
    <row r="355" hidden="1" outlineLevel="1" customFormat="1" s="65">
      <c r="A355" s="508" t="n">
        <v>44313</v>
      </c>
      <c r="B355" s="508" t="n"/>
      <c r="C355" s="123" t="n"/>
      <c r="D355" s="509" t="n">
        <v>68697</v>
      </c>
      <c r="E355" s="510">
        <f>E354+C355-D355</f>
        <v/>
      </c>
      <c r="F355" s="510" t="n"/>
      <c r="G355" s="511">
        <f>G354+F355</f>
        <v/>
      </c>
      <c r="H355" s="511">
        <f>IF(B355="",$C$1-A355,DATEDIF(A355,B355,"d"))</f>
        <v/>
      </c>
      <c r="I355">
        <f>IF(B355="",$C$1-A355,H355)</f>
        <v/>
      </c>
      <c r="J355" s="65" t="inlineStr">
        <is>
          <t>德律(3030)</t>
        </is>
      </c>
      <c r="K355">
        <f>IF(F355&gt;0,(H355*$F355)/365.25,0)</f>
        <v/>
      </c>
      <c r="L355">
        <f>IF(F355&gt;0,(I355*$F355)/365.25,0)</f>
        <v/>
      </c>
    </row>
    <row r="356" hidden="1" outlineLevel="1" customFormat="1" s="65">
      <c r="A356" s="508" t="n">
        <v>44313</v>
      </c>
      <c r="B356" s="508" t="n">
        <v>44439</v>
      </c>
      <c r="C356" s="123" t="n"/>
      <c r="D356" s="509" t="n">
        <v>45464</v>
      </c>
      <c r="E356" s="510">
        <f>E355+C356-D356</f>
        <v/>
      </c>
      <c r="F356" s="510" t="n"/>
      <c r="G356" s="511">
        <f>G355+F356</f>
        <v/>
      </c>
      <c r="H356" s="511">
        <f>IF(B356="",$C$1-A356,DATEDIF(A356,B356,"d"))</f>
        <v/>
      </c>
      <c r="I356">
        <f>IF(B356="",$C$1-A356,H356)</f>
        <v/>
      </c>
      <c r="J356" s="65" t="inlineStr">
        <is>
          <t>綠電(8440)</t>
        </is>
      </c>
      <c r="K356">
        <f>IF(F356&gt;0,(H356*$F356)/365.25,0)</f>
        <v/>
      </c>
      <c r="L356">
        <f>IF(F356&gt;0,(I356*$F356)/365.25,0)</f>
        <v/>
      </c>
    </row>
    <row r="357" hidden="1" outlineLevel="1" customFormat="1" s="65">
      <c r="A357" s="522" t="n">
        <v>44314</v>
      </c>
      <c r="B357" s="522" t="n">
        <v>44314</v>
      </c>
      <c r="C357" s="196" t="n">
        <v>1990</v>
      </c>
      <c r="D357" s="523" t="n">
        <v>0</v>
      </c>
      <c r="E357" s="524">
        <f>E356+C357-D357</f>
        <v/>
      </c>
      <c r="F357" s="524">
        <f>C357</f>
        <v/>
      </c>
      <c r="G357" s="525">
        <f>G356+C357-D357</f>
        <v/>
      </c>
      <c r="H357" s="525">
        <f>IF(B357="",DATEDIF(A357,$G$1,"d"),DATEDIF(A357,B357,"d"))</f>
        <v/>
      </c>
      <c r="I357" s="200">
        <f>IF(B357="",$C$1-A357,H357)</f>
        <v/>
      </c>
      <c r="J357" s="200" t="inlineStr">
        <is>
          <t>世鎧現金股</t>
        </is>
      </c>
      <c r="K357" s="200">
        <f>(H357*$C357)/365.25</f>
        <v/>
      </c>
      <c r="L357" s="200">
        <f>(I357*$C357)/365.25</f>
        <v/>
      </c>
      <c r="M357" s="200" t="inlineStr">
        <is>
          <t>現金股利</t>
        </is>
      </c>
      <c r="N357" s="141" t="n"/>
    </row>
    <row r="358" hidden="1" outlineLevel="1" customFormat="1" s="65">
      <c r="A358" s="522" t="n">
        <v>44314</v>
      </c>
      <c r="B358" s="522" t="n">
        <v>44314</v>
      </c>
      <c r="C358" s="196" t="n">
        <v>3490</v>
      </c>
      <c r="D358" s="523" t="n">
        <v>0</v>
      </c>
      <c r="E358" s="524">
        <f>E357+C358-D358</f>
        <v/>
      </c>
      <c r="F358" s="524">
        <f>C358</f>
        <v/>
      </c>
      <c r="G358" s="525">
        <f>G357+C358-D358</f>
        <v/>
      </c>
      <c r="H358" s="525">
        <f>IF(B358="",DATEDIF(A358,$G$1,"d"),DATEDIF(A358,B358,"d"))</f>
        <v/>
      </c>
      <c r="I358" s="200">
        <f>IF(B358="",$C$1-A358,H358)</f>
        <v/>
      </c>
      <c r="J358" s="200" t="inlineStr">
        <is>
          <t>燦星網通現金股</t>
        </is>
      </c>
      <c r="K358" s="200">
        <f>(H358*$C358)/365.25</f>
        <v/>
      </c>
      <c r="L358" s="200">
        <f>(I358*$C358)/365.25</f>
        <v/>
      </c>
      <c r="M358" s="200" t="inlineStr">
        <is>
          <t>現金股利</t>
        </is>
      </c>
    </row>
    <row r="359" hidden="1" outlineLevel="1" customFormat="1" s="65">
      <c r="A359" s="508" t="n">
        <v>44320</v>
      </c>
      <c r="B359" s="508" t="n">
        <v>44322</v>
      </c>
      <c r="C359" s="123" t="n">
        <v>26850</v>
      </c>
      <c r="D359" s="509" t="n">
        <v>26870</v>
      </c>
      <c r="E359" s="510">
        <f>E358+C359-D359</f>
        <v/>
      </c>
      <c r="F359" s="510">
        <f>C359-D359</f>
        <v/>
      </c>
      <c r="G359" s="511">
        <f>G358+F359</f>
        <v/>
      </c>
      <c r="H359" s="511">
        <f>IF(B359="",$C$1-A359,DATEDIF(A359,B359,"d"))</f>
        <v/>
      </c>
      <c r="I359">
        <f>IF(B359="",$C$1-A359,H359)</f>
        <v/>
      </c>
      <c r="J359" s="65" t="inlineStr">
        <is>
          <t>業旺</t>
        </is>
      </c>
      <c r="K359">
        <f>IF(F359&gt;0,(H359*$F359)/365.25,0)</f>
        <v/>
      </c>
      <c r="L359">
        <f>IF(F359&gt;0,(I359*$F359)/365.25,0)</f>
        <v/>
      </c>
      <c r="M359" s="65" t="inlineStr">
        <is>
          <t>股票申購</t>
        </is>
      </c>
    </row>
    <row r="360" hidden="1" outlineLevel="1" customFormat="1" s="65">
      <c r="A360" s="508" t="n">
        <v>44321</v>
      </c>
      <c r="B360" s="508" t="n">
        <v>44323</v>
      </c>
      <c r="C360" s="123" t="n">
        <v>91550</v>
      </c>
      <c r="D360" s="509" t="n">
        <v>91570</v>
      </c>
      <c r="E360" s="510">
        <f>E359+C360-D360</f>
        <v/>
      </c>
      <c r="F360" s="510">
        <f>C360-D360</f>
        <v/>
      </c>
      <c r="G360" s="511">
        <f>G359+F360</f>
        <v/>
      </c>
      <c r="H360" s="511">
        <f>IF(B360="",$C$1-A360,DATEDIF(A360,B360,"d"))</f>
        <v/>
      </c>
      <c r="I360">
        <f>IF(B360="",$C$1-A360,H360)</f>
        <v/>
      </c>
      <c r="J360" s="65" t="inlineStr">
        <is>
          <t>台康生技</t>
        </is>
      </c>
      <c r="K360">
        <f>IF(F360&gt;0,(H360*$F360)/365.25,0)</f>
        <v/>
      </c>
      <c r="L360">
        <f>IF(F360&gt;0,(I360*$F360)/365.25,0)</f>
        <v/>
      </c>
      <c r="M360" s="65" t="inlineStr">
        <is>
          <t>股票申購</t>
        </is>
      </c>
    </row>
    <row r="361" hidden="1" outlineLevel="1" customFormat="1" s="65">
      <c r="A361" s="508" t="n">
        <v>44313</v>
      </c>
      <c r="B361" s="508" t="n">
        <v>44321</v>
      </c>
      <c r="C361" s="123" t="n">
        <v>60830</v>
      </c>
      <c r="D361" s="509" t="n"/>
      <c r="E361" s="510">
        <f>E360+C361-D361</f>
        <v/>
      </c>
      <c r="F361" s="510">
        <f>-D355+C361</f>
        <v/>
      </c>
      <c r="G361" s="511">
        <f>G360+F361</f>
        <v/>
      </c>
      <c r="H361" s="511">
        <f>IF(B361="",$C$1-A361,DATEDIF(A361,B361,"d"))</f>
        <v/>
      </c>
      <c r="I361">
        <f>IF(B361="",$C$1-A361,H361)</f>
        <v/>
      </c>
      <c r="J361" s="65" t="inlineStr">
        <is>
          <t>德律(3030)</t>
        </is>
      </c>
      <c r="K361">
        <f>IF(F361&gt;0,(H361*$F361)/365.25,0)</f>
        <v/>
      </c>
      <c r="L361">
        <f>IF(F361&gt;0,(I361*$F361)/365.25,0)</f>
        <v/>
      </c>
    </row>
    <row r="362" hidden="1" outlineLevel="1" customFormat="1" s="65">
      <c r="A362" s="518" t="n">
        <v>44326</v>
      </c>
      <c r="B362" s="518" t="n"/>
      <c r="C362" s="148" t="n">
        <v>3117</v>
      </c>
      <c r="D362" s="519" t="n"/>
      <c r="E362" s="520">
        <f>E361+C362-D362</f>
        <v/>
      </c>
      <c r="F362" s="520">
        <f>C362-D362</f>
        <v/>
      </c>
      <c r="G362" s="521">
        <f>G361+F362</f>
        <v/>
      </c>
      <c r="H362" s="521">
        <f>IF(B362="",DATEDIF(A362,$F$1,"d"),DATEDIF(A362,B362,"d"))</f>
        <v/>
      </c>
      <c r="I362" s="152">
        <f>IF(B362="",$C$1-A362,H362)</f>
        <v/>
      </c>
      <c r="J362" s="152" t="inlineStr">
        <is>
          <t>折讓入帳</t>
        </is>
      </c>
      <c r="K362" s="152">
        <f>IF(F362&gt;0,(H362*$F362)/365.25,0)</f>
        <v/>
      </c>
      <c r="L362" s="152">
        <f>IF(F362&gt;0,(I362*$F362)/365.25,0)</f>
        <v/>
      </c>
      <c r="M362" s="160" t="n"/>
    </row>
    <row r="363" hidden="1" outlineLevel="1" customFormat="1" s="65">
      <c r="A363" s="508" t="n">
        <v>44326</v>
      </c>
      <c r="B363" s="508" t="n"/>
      <c r="C363" s="123" t="n">
        <v>98265</v>
      </c>
      <c r="D363" s="509" t="n"/>
      <c r="E363" s="510">
        <f>E362+C363-D363</f>
        <v/>
      </c>
      <c r="F363" s="510" t="n"/>
      <c r="G363" s="511">
        <f>G362+F363</f>
        <v/>
      </c>
      <c r="H363" s="511">
        <f>IF(B363="",$C$1-A363,DATEDIF(A363,B363,"d"))</f>
        <v/>
      </c>
      <c r="I363">
        <f>IF(B363="",$C$1-A363,H363)</f>
        <v/>
      </c>
      <c r="J363" s="65" t="inlineStr">
        <is>
          <t>待查</t>
        </is>
      </c>
      <c r="K363">
        <f>IF(F363&gt;0,(H363*$F363)/365.25,0)</f>
        <v/>
      </c>
      <c r="L363">
        <f>IF(F363&gt;0,(I363*$F363)/365.25,0)</f>
        <v/>
      </c>
    </row>
    <row r="364" hidden="1" outlineLevel="1" customFormat="1" s="65">
      <c r="A364" s="527" t="n">
        <v>44328</v>
      </c>
      <c r="B364" s="527" t="n">
        <v>44328</v>
      </c>
      <c r="C364" s="163" t="n"/>
      <c r="D364" s="531" t="n">
        <v>100000</v>
      </c>
      <c r="E364" s="529">
        <f>E363+C364-D364</f>
        <v/>
      </c>
      <c r="F364" s="529" t="n"/>
      <c r="G364" s="530">
        <f>G363+F364</f>
        <v/>
      </c>
      <c r="H364" s="530">
        <f>IF(B364="",DATEDIF(A364,$F$1,"d"),DATEDIF(A364,B364,"d"))</f>
        <v/>
      </c>
      <c r="I364" s="167">
        <f>IF(B364="",$C$1-A364,H364)</f>
        <v/>
      </c>
      <c r="J364" s="168" t="inlineStr">
        <is>
          <t>曾儀婷</t>
        </is>
      </c>
      <c r="K364" s="167">
        <f>IF(F364&gt;0,(H364*$F364)/365.25,0)</f>
        <v/>
      </c>
      <c r="L364" s="167">
        <f>IF(F364&gt;0,(I364*$F364)/365.25,0)</f>
        <v/>
      </c>
      <c r="M364" s="168" t="inlineStr">
        <is>
          <t>期貨入金</t>
        </is>
      </c>
    </row>
    <row r="365" hidden="1" outlineLevel="1" customFormat="1" s="65">
      <c r="A365" s="522" t="n">
        <v>44333</v>
      </c>
      <c r="B365" s="522" t="n">
        <v>44333</v>
      </c>
      <c r="C365" s="196" t="n">
        <v>972</v>
      </c>
      <c r="D365" s="523" t="n">
        <v>0</v>
      </c>
      <c r="E365" s="524">
        <f>E364+C365-D365</f>
        <v/>
      </c>
      <c r="F365" s="524">
        <f>C365</f>
        <v/>
      </c>
      <c r="G365" s="525">
        <f>G364+C365-D365</f>
        <v/>
      </c>
      <c r="H365" s="525">
        <f>IF(B365="",DATEDIF(A365,$G$1,"d"),DATEDIF(A365,B365,"d"))</f>
        <v/>
      </c>
      <c r="I365" s="200">
        <f>IF(B365="",$C$1-A365,H365)</f>
        <v/>
      </c>
      <c r="J365" s="200" t="inlineStr">
        <is>
          <t>力積電現金股</t>
        </is>
      </c>
      <c r="K365" s="200">
        <f>(H365*$C365)/365.25</f>
        <v/>
      </c>
      <c r="L365" s="200">
        <f>(I365*$C365)/365.25</f>
        <v/>
      </c>
      <c r="M365" s="200" t="inlineStr">
        <is>
          <t>現金股利</t>
        </is>
      </c>
    </row>
    <row r="366" hidden="1" outlineLevel="1" customFormat="1" s="65">
      <c r="A366" s="508" t="n">
        <v>44299</v>
      </c>
      <c r="B366" s="508" t="n">
        <v>44330</v>
      </c>
      <c r="C366" s="123" t="n">
        <v>26534</v>
      </c>
      <c r="D366" s="509" t="n"/>
      <c r="E366" s="510">
        <f>E365+C366-D366</f>
        <v/>
      </c>
      <c r="F366" s="510">
        <f>-D320/2+C366</f>
        <v/>
      </c>
      <c r="G366" s="511">
        <f>G365+F366</f>
        <v/>
      </c>
      <c r="H366" s="511">
        <f>IF(B366="",$C$1-A366,DATEDIF(A366,B366,"d"))</f>
        <v/>
      </c>
      <c r="I366">
        <f>IF(B366="",$C$1-A366,H366)</f>
        <v/>
      </c>
      <c r="J366" s="65" t="inlineStr">
        <is>
          <t>南紡(1440)</t>
        </is>
      </c>
      <c r="K366">
        <f>IF(F366&gt;0,(H366*$F366)/365.25,0)</f>
        <v/>
      </c>
      <c r="L366">
        <f>IF(F366&gt;0,(I366*$F366)/365.25,0)</f>
        <v/>
      </c>
    </row>
    <row r="367" hidden="1" outlineLevel="1" customFormat="1" s="65">
      <c r="A367" s="518" t="n">
        <v>44357</v>
      </c>
      <c r="B367" s="518" t="n"/>
      <c r="C367" s="148" t="n">
        <v>103</v>
      </c>
      <c r="D367" s="519" t="n"/>
      <c r="E367" s="520">
        <f>E366+C367-D367</f>
        <v/>
      </c>
      <c r="F367" s="520">
        <f>C367-D367</f>
        <v/>
      </c>
      <c r="G367" s="521">
        <f>G366+F367</f>
        <v/>
      </c>
      <c r="H367" s="521">
        <f>IF(B367="",DATEDIF(A367,$F$1,"d"),DATEDIF(A367,B367,"d"))</f>
        <v/>
      </c>
      <c r="I367" s="152">
        <f>IF(B367="",$C$1-A367,H367)</f>
        <v/>
      </c>
      <c r="J367" s="152" t="inlineStr">
        <is>
          <t>折讓入帳</t>
        </is>
      </c>
      <c r="K367" s="152">
        <f>IF(F367&gt;0,(H367*$F367)/365.25,0)</f>
        <v/>
      </c>
      <c r="L367" s="152">
        <f>IF(F367&gt;0,(I367*$F367)/365.25,0)</f>
        <v/>
      </c>
      <c r="M367" s="160" t="n"/>
    </row>
    <row r="368" hidden="1" outlineLevel="1" customFormat="1" s="65">
      <c r="A368" s="522" t="n">
        <v>44358</v>
      </c>
      <c r="B368" s="522" t="n">
        <v>44358</v>
      </c>
      <c r="C368" s="196" t="n">
        <v>590</v>
      </c>
      <c r="D368" s="523" t="n">
        <v>0</v>
      </c>
      <c r="E368" s="524">
        <f>E367+C368-D368</f>
        <v/>
      </c>
      <c r="F368" s="524">
        <f>C368</f>
        <v/>
      </c>
      <c r="G368" s="525">
        <f>G367+C368-D368</f>
        <v/>
      </c>
      <c r="H368" s="525">
        <f>IF(B368="",DATEDIF(A368,$G$1,"d"),DATEDIF(A368,B368,"d"))</f>
        <v/>
      </c>
      <c r="I368" s="200">
        <f>IF(B368="",$C$1-A368,H368)</f>
        <v/>
      </c>
      <c r="J368" s="200" t="inlineStr">
        <is>
          <t>綠電再生現金股</t>
        </is>
      </c>
      <c r="K368" s="200">
        <f>(H368*$C368)/365.25</f>
        <v/>
      </c>
      <c r="L368" s="200">
        <f>(I368*$C368)/365.25</f>
        <v/>
      </c>
      <c r="M368" s="200" t="inlineStr">
        <is>
          <t>現金股利</t>
        </is>
      </c>
    </row>
    <row r="369" collapsed="1" customFormat="1" s="65">
      <c r="A369" s="513" t="n">
        <v>44368</v>
      </c>
      <c r="B369" s="513" t="n"/>
      <c r="C369" s="154" t="n">
        <v>176</v>
      </c>
      <c r="D369" s="514" t="n"/>
      <c r="E369" s="515">
        <f>E368+C369-D369</f>
        <v/>
      </c>
      <c r="F369" s="515">
        <f>C369-D369</f>
        <v/>
      </c>
      <c r="G369" s="516">
        <f>IF(B369="",G368,G368+C369-D369)</f>
        <v/>
      </c>
      <c r="H369" s="516">
        <f>IF(B369="",$C$1-A369,DATEDIF(A369,B369,"d"))</f>
        <v/>
      </c>
      <c r="I369" s="158">
        <f>IF(B369="",$C$1-A369,H369)</f>
        <v/>
      </c>
      <c r="J369" s="158" t="inlineStr">
        <is>
          <t>利息</t>
        </is>
      </c>
      <c r="K369" s="158">
        <f>(H369*$C369)/365.25</f>
        <v/>
      </c>
      <c r="L369" s="158">
        <f>(I369*$C369)/365.25</f>
        <v/>
      </c>
      <c r="M369" s="159" t="n"/>
      <c r="N369" s="141" t="n"/>
    </row>
    <row r="370" hidden="1" outlineLevel="1">
      <c r="A370" s="508" t="n">
        <v>44390</v>
      </c>
      <c r="B370" s="508" t="n"/>
      <c r="C370" s="123" t="n"/>
      <c r="D370" s="509" t="n">
        <v>49570</v>
      </c>
      <c r="E370" s="510">
        <f>E369+C370-D370</f>
        <v/>
      </c>
      <c r="F370" s="510" t="n"/>
      <c r="G370" s="511">
        <f>G369+F370</f>
        <v/>
      </c>
      <c r="H370" s="511">
        <f>IF(B370="",$C$1-A370,DATEDIF(A370,B370,"d"))</f>
        <v/>
      </c>
      <c r="I370">
        <f>IF(B370="",$C$1-A370,H370)</f>
        <v/>
      </c>
      <c r="J370" s="65" t="inlineStr">
        <is>
          <t>零壹(3029)</t>
        </is>
      </c>
      <c r="K370">
        <f>IF(F370&gt;0,(H370*$F370)/365.25,0)</f>
        <v/>
      </c>
      <c r="L370">
        <f>IF(F370&gt;0,(I370*$F370)/365.25,0)</f>
        <v/>
      </c>
      <c r="M370" s="65" t="n"/>
    </row>
    <row r="371" hidden="1" outlineLevel="1" customFormat="1" s="65">
      <c r="A371" s="508" t="n">
        <v>44277</v>
      </c>
      <c r="B371" s="508" t="n">
        <v>44390</v>
      </c>
      <c r="C371" s="123" t="n">
        <v>67700</v>
      </c>
      <c r="D371" s="509" t="n"/>
      <c r="E371" s="510">
        <f>E370+C371-D371</f>
        <v/>
      </c>
      <c r="F371" s="510">
        <f>-D289+C371</f>
        <v/>
      </c>
      <c r="G371" s="511">
        <f>G370+F371</f>
        <v/>
      </c>
      <c r="H371" s="511">
        <f>IF(B371="",$C$1-A371,DATEDIF(A371,B371,"d"))</f>
        <v/>
      </c>
      <c r="I371">
        <f>IF(B371="",$C$1-A371,H371)</f>
        <v/>
      </c>
      <c r="J371" s="65" t="inlineStr">
        <is>
          <t>和碩(4938)</t>
        </is>
      </c>
      <c r="K371">
        <f>IF(F371&gt;0,(H371*$F371)/365.25,0)</f>
        <v/>
      </c>
      <c r="L371">
        <f>IF(F371&gt;0,(I371*$F371)/365.25,0)</f>
        <v/>
      </c>
    </row>
    <row r="372" hidden="1" outlineLevel="1">
      <c r="A372" s="508" t="n">
        <v>44396</v>
      </c>
      <c r="B372" s="508" t="n">
        <v>44398</v>
      </c>
      <c r="C372" s="123" t="n">
        <v>14550</v>
      </c>
      <c r="D372" s="509" t="n">
        <v>14570</v>
      </c>
      <c r="E372" s="510">
        <f>E371+C372-D372</f>
        <v/>
      </c>
      <c r="F372" s="510">
        <f>C372-D372</f>
        <v/>
      </c>
      <c r="G372" s="511">
        <f>G371+F372</f>
        <v/>
      </c>
      <c r="H372" s="511">
        <f>IF(B372="",$C$1-A372,DATEDIF(A372,B372,"d"))</f>
        <v/>
      </c>
      <c r="I372">
        <f>IF(B372="",$C$1-A372,H372)</f>
        <v/>
      </c>
      <c r="J372" s="65" t="inlineStr">
        <is>
          <t>商之器</t>
        </is>
      </c>
      <c r="K372">
        <f>IF(F372&gt;0,(H372*$F372)/365.25,0)</f>
        <v/>
      </c>
      <c r="L372">
        <f>IF(F372&gt;0,(I372*$F372)/365.25,0)</f>
        <v/>
      </c>
      <c r="M372" s="65" t="inlineStr">
        <is>
          <t>股票申購</t>
        </is>
      </c>
    </row>
    <row r="373" hidden="1" outlineLevel="1">
      <c r="A373" s="508" t="n">
        <v>44399</v>
      </c>
      <c r="B373" s="508" t="n">
        <v>44412</v>
      </c>
      <c r="C373" s="123" t="n"/>
      <c r="D373" s="509" t="n">
        <v>111658</v>
      </c>
      <c r="E373" s="510">
        <f>E372+C373-D373</f>
        <v/>
      </c>
      <c r="F373" s="510" t="n"/>
      <c r="G373" s="511">
        <f>G372+F373</f>
        <v/>
      </c>
      <c r="H373" s="511">
        <f>IF(B373="",$C$1-A373,DATEDIF(A373,B373,"d"))</f>
        <v/>
      </c>
      <c r="I373">
        <f>IF(B373="",$C$1-A373,H373)</f>
        <v/>
      </c>
      <c r="J373" s="65" t="inlineStr">
        <is>
          <t>鴻海(2317)</t>
        </is>
      </c>
      <c r="K373">
        <f>IF(F373&gt;0,(H373*$F373)/365.25,0)</f>
        <v/>
      </c>
      <c r="L373">
        <f>IF(F373&gt;0,(I373*$F373)/365.25,0)</f>
        <v/>
      </c>
      <c r="M373" s="65" t="n"/>
    </row>
    <row r="374" hidden="1" outlineLevel="1">
      <c r="A374" s="522" t="n">
        <v>44407</v>
      </c>
      <c r="B374" s="522" t="n">
        <v>44407</v>
      </c>
      <c r="C374" s="196" t="n">
        <v>600</v>
      </c>
      <c r="D374" s="523" t="n">
        <v>0</v>
      </c>
      <c r="E374" s="524">
        <f>E373+C374-D374</f>
        <v/>
      </c>
      <c r="F374" s="524">
        <f>C374</f>
        <v/>
      </c>
      <c r="G374" s="525">
        <f>G373+C374-D374</f>
        <v/>
      </c>
      <c r="H374" s="525">
        <f>IF(B374="",DATEDIF(A374,$G$1,"d"),DATEDIF(A374,B374,"d"))</f>
        <v/>
      </c>
      <c r="I374" s="200">
        <f>IF(B374="",$C$1-A374,H374)</f>
        <v/>
      </c>
      <c r="J374" s="200" t="inlineStr">
        <is>
          <t>友達現金股</t>
        </is>
      </c>
      <c r="K374" s="200">
        <f>(H374*$C374)/365.25</f>
        <v/>
      </c>
      <c r="L374" s="200">
        <f>(I374*$C374)/365.25</f>
        <v/>
      </c>
      <c r="M374" s="200" t="inlineStr">
        <is>
          <t>現金股利</t>
        </is>
      </c>
    </row>
    <row r="375" hidden="1" outlineLevel="1">
      <c r="A375" s="522" t="n">
        <v>44407</v>
      </c>
      <c r="B375" s="522" t="n">
        <v>44407</v>
      </c>
      <c r="C375" s="196" t="n">
        <v>190</v>
      </c>
      <c r="D375" s="523" t="n">
        <v>0</v>
      </c>
      <c r="E375" s="524">
        <f>E374+C375-D375</f>
        <v/>
      </c>
      <c r="F375" s="524">
        <f>C375</f>
        <v/>
      </c>
      <c r="G375" s="525">
        <f>G374+C375-D375</f>
        <v/>
      </c>
      <c r="H375" s="525">
        <f>IF(B375="",DATEDIF(A375,$G$1,"d"),DATEDIF(A375,B375,"d"))</f>
        <v/>
      </c>
      <c r="I375" s="200">
        <f>IF(B375="",$C$1-A375,H375)</f>
        <v/>
      </c>
      <c r="J375" s="200" t="inlineStr">
        <is>
          <t>華邦電現金股</t>
        </is>
      </c>
      <c r="K375" s="200">
        <f>(H375*$C375)/365.25</f>
        <v/>
      </c>
      <c r="L375" s="200">
        <f>(I375*$C375)/365.25</f>
        <v/>
      </c>
      <c r="M375" s="200" t="inlineStr">
        <is>
          <t>現金股利</t>
        </is>
      </c>
    </row>
    <row r="376" hidden="1" outlineLevel="1">
      <c r="A376" s="508" t="n">
        <v>44399</v>
      </c>
      <c r="B376" s="508" t="n">
        <v>44412</v>
      </c>
      <c r="C376" s="123" t="n">
        <v>112003</v>
      </c>
      <c r="D376" s="509" t="n"/>
      <c r="E376" s="510">
        <f>E375+C376-D376</f>
        <v/>
      </c>
      <c r="F376" s="510">
        <f>-D373+C376</f>
        <v/>
      </c>
      <c r="G376" s="511">
        <f>G375+F376</f>
        <v/>
      </c>
      <c r="H376" s="511">
        <f>IF(B376="",$C$1-A376,DATEDIF(A376,B376,"d"))</f>
        <v/>
      </c>
      <c r="I376">
        <f>IF(B376="",$C$1-A376,H376)</f>
        <v/>
      </c>
      <c r="J376" s="65" t="inlineStr">
        <is>
          <t>鴻海(2317)</t>
        </is>
      </c>
      <c r="K376">
        <f>IF(F376&gt;0,(H376*$F376)/365.25,0)</f>
        <v/>
      </c>
      <c r="L376">
        <f>IF(F376&gt;0,(I376*$F376)/365.25,0)</f>
        <v/>
      </c>
      <c r="M376" s="65" t="n"/>
    </row>
    <row r="377" hidden="1" outlineLevel="1" customFormat="1" s="65">
      <c r="A377" s="508" t="n">
        <v>44278</v>
      </c>
      <c r="B377" s="508" t="n">
        <v>44413</v>
      </c>
      <c r="C377" s="123" t="n">
        <v>132412</v>
      </c>
      <c r="D377" s="509" t="n"/>
      <c r="E377" s="510">
        <f>E376+C377-D377</f>
        <v/>
      </c>
      <c r="F377" s="510">
        <f>-D290+C377</f>
        <v/>
      </c>
      <c r="G377" s="511">
        <f>G376+F377</f>
        <v/>
      </c>
      <c r="H377" s="511">
        <f>IF(B377="",$C$1-A377,DATEDIF(A377,B377,"d"))</f>
        <v/>
      </c>
      <c r="I377">
        <f>IF(B377="",$C$1-A377,H377)</f>
        <v/>
      </c>
      <c r="J377" s="65" t="inlineStr">
        <is>
          <t>日月光投控(3711)</t>
        </is>
      </c>
      <c r="K377">
        <f>IF(F377&gt;0,(H377*$F377)/365.25,0)</f>
        <v/>
      </c>
      <c r="L377">
        <f>IF(F377&gt;0,(I377*$F377)/365.25,0)</f>
        <v/>
      </c>
    </row>
    <row r="378" hidden="1" outlineLevel="1">
      <c r="A378" s="518" t="n">
        <v>44418</v>
      </c>
      <c r="B378" s="518" t="n"/>
      <c r="C378" s="148" t="n">
        <v>129</v>
      </c>
      <c r="D378" s="519" t="n"/>
      <c r="E378" s="520">
        <f>E377+C378-D378</f>
        <v/>
      </c>
      <c r="F378" s="520">
        <f>C378-D378</f>
        <v/>
      </c>
      <c r="G378" s="521">
        <f>G377+F378</f>
        <v/>
      </c>
      <c r="H378" s="521">
        <f>IF(B378="",DATEDIF(A378,$F$1,"d"),DATEDIF(A378,B378,"d"))</f>
        <v/>
      </c>
      <c r="I378" s="152">
        <f>IF(B378="",$C$1-A378,H378)</f>
        <v/>
      </c>
      <c r="J378" s="152" t="inlineStr">
        <is>
          <t>折讓入帳</t>
        </is>
      </c>
      <c r="K378" s="152">
        <f>IF(F378&gt;0,(H378*$F378)/365.25,0)</f>
        <v/>
      </c>
      <c r="L378" s="152">
        <f>IF(F378&gt;0,(I378*$F378)/365.25,0)</f>
        <v/>
      </c>
      <c r="M378" s="160" t="n"/>
    </row>
    <row r="379" hidden="1" outlineLevel="1">
      <c r="A379" s="522" t="n">
        <v>44419</v>
      </c>
      <c r="B379" s="522" t="n">
        <v>44419</v>
      </c>
      <c r="C379" s="196" t="n">
        <v>8990</v>
      </c>
      <c r="D379" s="523" t="n">
        <v>0</v>
      </c>
      <c r="E379" s="524">
        <f>E378+C379-D379</f>
        <v/>
      </c>
      <c r="F379" s="524">
        <f>C379</f>
        <v/>
      </c>
      <c r="G379" s="525">
        <f>G378+C379-D379</f>
        <v/>
      </c>
      <c r="H379" s="525">
        <f>IF(B379="",DATEDIF(A379,$G$1,"d"),DATEDIF(A379,B379,"d"))</f>
        <v/>
      </c>
      <c r="I379" s="200">
        <f>IF(B379="",$C$1-A379,H379)</f>
        <v/>
      </c>
      <c r="J379" s="200" t="inlineStr">
        <is>
          <t>義隆電子現金股</t>
        </is>
      </c>
      <c r="K379" s="200">
        <f>(H379*$C379)/365.25</f>
        <v/>
      </c>
      <c r="L379" s="200">
        <f>(I379*$C379)/365.25</f>
        <v/>
      </c>
      <c r="M379" s="200" t="inlineStr">
        <is>
          <t>現金股利</t>
        </is>
      </c>
      <c r="N379" s="141" t="n"/>
    </row>
    <row r="380" hidden="1" outlineLevel="1">
      <c r="A380" s="522" t="n">
        <v>44419</v>
      </c>
      <c r="B380" s="522" t="n">
        <v>44419</v>
      </c>
      <c r="C380" s="196" t="n">
        <v>2990</v>
      </c>
      <c r="D380" s="523" t="n">
        <v>0</v>
      </c>
      <c r="E380" s="524">
        <f>E379+C380-D380</f>
        <v/>
      </c>
      <c r="F380" s="524">
        <f>C380</f>
        <v/>
      </c>
      <c r="G380" s="525">
        <f>G379+C380-D380</f>
        <v/>
      </c>
      <c r="H380" s="525">
        <f>IF(B380="",DATEDIF(A380,$G$1,"d"),DATEDIF(A380,B380,"d"))</f>
        <v/>
      </c>
      <c r="I380" s="200">
        <f>IF(B380="",$C$1-A380,H380)</f>
        <v/>
      </c>
      <c r="J380" s="200" t="inlineStr">
        <is>
          <t>零壹科技現金股</t>
        </is>
      </c>
      <c r="K380" s="200">
        <f>(H380*$C380)/365.25</f>
        <v/>
      </c>
      <c r="L380" s="200">
        <f>(I380*$C380)/365.25</f>
        <v/>
      </c>
      <c r="M380" s="200" t="inlineStr">
        <is>
          <t>現金股利</t>
        </is>
      </c>
    </row>
    <row r="381" hidden="1" outlineLevel="1">
      <c r="A381" s="508" t="n">
        <v>44420</v>
      </c>
      <c r="B381" s="508" t="n">
        <v>44424</v>
      </c>
      <c r="C381" s="123" t="n"/>
      <c r="D381" s="509" t="n">
        <v>30070</v>
      </c>
      <c r="E381" s="510">
        <f>E380+C381-D381</f>
        <v/>
      </c>
      <c r="F381" s="510">
        <f>C381-D381</f>
        <v/>
      </c>
      <c r="G381" s="511">
        <f>IF(B381="",G380,G380+C381-D381)</f>
        <v/>
      </c>
      <c r="H381" s="511">
        <f>IF(B381="",$C$1-A381,DATEDIF(A381,B381,"d"))</f>
        <v/>
      </c>
      <c r="I381">
        <f>IF(B381="",$C$1-A381,H381)</f>
        <v/>
      </c>
      <c r="J381" s="65" t="inlineStr">
        <is>
          <t>錦明</t>
        </is>
      </c>
      <c r="K381">
        <f>IF(F381&gt;0,(H381*$F381)/365.25,0)</f>
        <v/>
      </c>
      <c r="L381">
        <f>IF(F381&gt;0,(I381*$F381)/365.25,0)</f>
        <v/>
      </c>
      <c r="M381" s="65" t="inlineStr">
        <is>
          <t>股票申購</t>
        </is>
      </c>
    </row>
    <row r="382" hidden="1" outlineLevel="1">
      <c r="A382" s="522" t="n">
        <v>44420</v>
      </c>
      <c r="B382" s="522" t="n">
        <v>44420</v>
      </c>
      <c r="C382" s="196" t="n">
        <v>2000</v>
      </c>
      <c r="D382" s="523" t="n">
        <v>0</v>
      </c>
      <c r="E382" s="524">
        <f>E381+C382-D382</f>
        <v/>
      </c>
      <c r="F382" s="524">
        <f>C382</f>
        <v/>
      </c>
      <c r="G382" s="525">
        <f>G381+C382-D382</f>
        <v/>
      </c>
      <c r="H382" s="525">
        <f>IF(B382="",DATEDIF(A382,$G$1,"d"),DATEDIF(A382,B382,"d"))</f>
        <v/>
      </c>
      <c r="I382" s="200">
        <f>IF(B382="",$C$1-A382,H382)</f>
        <v/>
      </c>
      <c r="J382" s="200" t="inlineStr">
        <is>
          <t>全台股息</t>
        </is>
      </c>
      <c r="K382" s="200">
        <f>(H382*$C382)/365.25</f>
        <v/>
      </c>
      <c r="L382" s="200">
        <f>(I382*$C382)/365.25</f>
        <v/>
      </c>
      <c r="M382" s="200" t="inlineStr">
        <is>
          <t>現金股利</t>
        </is>
      </c>
    </row>
    <row r="383" hidden="1" outlineLevel="1">
      <c r="A383" s="522" t="n">
        <v>44420</v>
      </c>
      <c r="B383" s="522" t="n">
        <v>44420</v>
      </c>
      <c r="C383" s="196" t="n">
        <v>2500</v>
      </c>
      <c r="D383" s="523" t="n">
        <v>0</v>
      </c>
      <c r="E383" s="524">
        <f>E382+C383-D383</f>
        <v/>
      </c>
      <c r="F383" s="524">
        <f>C383</f>
        <v/>
      </c>
      <c r="G383" s="525">
        <f>G382+C383-D383</f>
        <v/>
      </c>
      <c r="H383" s="525">
        <f>IF(B383="",DATEDIF(A383,$G$1,"d"),DATEDIF(A383,B383,"d"))</f>
        <v/>
      </c>
      <c r="I383" s="200">
        <f>IF(B383="",$C$1-A383,H383)</f>
        <v/>
      </c>
      <c r="J383" s="200" t="inlineStr">
        <is>
          <t>台積電股息</t>
        </is>
      </c>
      <c r="K383" s="200">
        <f>(H383*$C383)/365.25</f>
        <v/>
      </c>
      <c r="L383" s="200">
        <f>(I383*$C383)/365.25</f>
        <v/>
      </c>
      <c r="M383" s="200" t="inlineStr">
        <is>
          <t>現金股利</t>
        </is>
      </c>
      <c r="N383" s="141" t="n"/>
    </row>
    <row r="384" hidden="1" outlineLevel="1">
      <c r="A384" s="522" t="n">
        <v>44420</v>
      </c>
      <c r="B384" s="522" t="n">
        <v>44420</v>
      </c>
      <c r="C384" s="196" t="n">
        <v>4484</v>
      </c>
      <c r="D384" s="523" t="n">
        <v>0</v>
      </c>
      <c r="E384" s="524">
        <f>E383+C384-D384</f>
        <v/>
      </c>
      <c r="F384" s="524">
        <f>C384</f>
        <v/>
      </c>
      <c r="G384" s="525">
        <f>G383+C384-D384</f>
        <v/>
      </c>
      <c r="H384" s="525">
        <f>IF(B384="",DATEDIF(A384,$G$1,"d"),DATEDIF(A384,B384,"d"))</f>
        <v/>
      </c>
      <c r="I384" s="200">
        <f>IF(B384="",$C$1-A384,H384)</f>
        <v/>
      </c>
      <c r="J384" s="200" t="inlineStr">
        <is>
          <t>和碩股息</t>
        </is>
      </c>
      <c r="K384" s="200">
        <f>(H384*$C384)/365.25</f>
        <v/>
      </c>
      <c r="L384" s="200">
        <f>(I384*$C384)/365.25</f>
        <v/>
      </c>
      <c r="M384" s="200" t="inlineStr">
        <is>
          <t>現金股利</t>
        </is>
      </c>
    </row>
    <row r="385" hidden="1" outlineLevel="1">
      <c r="A385" s="508" t="n">
        <v>44421</v>
      </c>
      <c r="B385" s="508" t="n">
        <v>44425</v>
      </c>
      <c r="C385" s="123" t="n"/>
      <c r="D385" s="509" t="n">
        <v>43070</v>
      </c>
      <c r="E385" s="510">
        <f>E384+C385-D385</f>
        <v/>
      </c>
      <c r="F385" s="510" t="n"/>
      <c r="G385" s="511">
        <f>G384+F385</f>
        <v/>
      </c>
      <c r="H385" s="511">
        <f>IF(B385="",$C$1-A385,DATEDIF(A385,B385,"d"))</f>
        <v/>
      </c>
      <c r="I385">
        <f>IF(B385="",$C$1-A385,H385)</f>
        <v/>
      </c>
      <c r="J385" s="65" t="inlineStr">
        <is>
          <t>一詮</t>
        </is>
      </c>
      <c r="K385">
        <f>IF(F385&gt;0,(H385*$F385)/365.25,0)</f>
        <v/>
      </c>
      <c r="L385">
        <f>IF(F385&gt;0,(I385*$F385)/365.25,0)</f>
        <v/>
      </c>
      <c r="M385" s="65" t="inlineStr">
        <is>
          <t>股票申購</t>
        </is>
      </c>
    </row>
    <row r="386" hidden="1" outlineLevel="1">
      <c r="A386" s="508" t="n">
        <v>44421</v>
      </c>
      <c r="B386" s="508" t="n">
        <v>44425</v>
      </c>
      <c r="C386" s="123" t="n"/>
      <c r="D386" s="509" t="n">
        <v>76070</v>
      </c>
      <c r="E386" s="510">
        <f>E385+C386-D386</f>
        <v/>
      </c>
      <c r="F386" s="510" t="n"/>
      <c r="G386" s="511">
        <f>G385+F386</f>
        <v/>
      </c>
      <c r="H386" s="511">
        <f>IF(B386="",$C$1-A386,DATEDIF(A386,B386,"d"))</f>
        <v/>
      </c>
      <c r="I386">
        <f>IF(B386="",$C$1-A386,H386)</f>
        <v/>
      </c>
      <c r="J386" s="65" t="inlineStr">
        <is>
          <t>嘉威</t>
        </is>
      </c>
      <c r="K386">
        <f>IF(F386&gt;0,(H386*$F386)/365.25,0)</f>
        <v/>
      </c>
      <c r="L386">
        <f>IF(F386&gt;0,(I386*$F386)/365.25,0)</f>
        <v/>
      </c>
      <c r="M386" s="65" t="inlineStr">
        <is>
          <t>股票申購</t>
        </is>
      </c>
      <c r="N386" s="141" t="n"/>
    </row>
    <row r="387" hidden="1" outlineLevel="1">
      <c r="A387" s="522" t="n">
        <v>44421</v>
      </c>
      <c r="B387" s="522" t="n">
        <v>44421</v>
      </c>
      <c r="C387" s="196" t="n">
        <v>2790</v>
      </c>
      <c r="D387" s="523" t="n">
        <v>0</v>
      </c>
      <c r="E387" s="524">
        <f>E386+C387-D387</f>
        <v/>
      </c>
      <c r="F387" s="524">
        <f>C387</f>
        <v/>
      </c>
      <c r="G387" s="525">
        <f>G386+C387-D387</f>
        <v/>
      </c>
      <c r="H387" s="525">
        <f>IF(B387="",DATEDIF(A387,$G$1,"d"),DATEDIF(A387,B387,"d"))</f>
        <v/>
      </c>
      <c r="I387" s="200">
        <f>IF(B387="",$C$1-A387,H387)</f>
        <v/>
      </c>
      <c r="J387" s="200" t="inlineStr">
        <is>
          <t>宏捷科技現金股</t>
        </is>
      </c>
      <c r="K387" s="200">
        <f>(H387*$C387)/365.25</f>
        <v/>
      </c>
      <c r="L387" s="200">
        <f>(I387*$C387)/365.25</f>
        <v/>
      </c>
      <c r="M387" s="65" t="inlineStr">
        <is>
          <t>股票申購</t>
        </is>
      </c>
      <c r="N387" s="141" t="n"/>
    </row>
    <row r="388" hidden="1" outlineLevel="1">
      <c r="A388" s="508" t="n">
        <v>44420</v>
      </c>
      <c r="B388" s="508" t="n">
        <v>44424</v>
      </c>
      <c r="C388" s="123" t="n">
        <v>30050</v>
      </c>
      <c r="D388" s="509" t="n"/>
      <c r="E388" s="510">
        <f>E387+C388-D388</f>
        <v/>
      </c>
      <c r="F388" s="510">
        <f>C388-D381</f>
        <v/>
      </c>
      <c r="G388" s="511">
        <f>G387+F388</f>
        <v/>
      </c>
      <c r="H388" s="511">
        <f>IF(B388="",$C$1-A388,DATEDIF(A388,B388,"d"))</f>
        <v/>
      </c>
      <c r="I388">
        <f>IF(B388="",$C$1-A388,H388)</f>
        <v/>
      </c>
      <c r="J388" s="65" t="inlineStr">
        <is>
          <t>錦明</t>
        </is>
      </c>
      <c r="K388">
        <f>IF(F388&gt;0,(H388*$F388)/365.25,0)</f>
        <v/>
      </c>
      <c r="L388">
        <f>IF(F388&gt;0,(I388*$F388)/365.25,0)</f>
        <v/>
      </c>
      <c r="M388" s="65" t="inlineStr">
        <is>
          <t>股票申購</t>
        </is>
      </c>
    </row>
    <row r="389" hidden="1" outlineLevel="1">
      <c r="A389" s="508" t="n">
        <v>44421</v>
      </c>
      <c r="B389" s="508" t="n">
        <v>44425</v>
      </c>
      <c r="C389" s="123" t="n">
        <v>43050</v>
      </c>
      <c r="D389" s="509" t="n"/>
      <c r="E389" s="510">
        <f>E388+C389-D389</f>
        <v/>
      </c>
      <c r="F389" s="510">
        <f>C389-D385</f>
        <v/>
      </c>
      <c r="G389" s="511">
        <f>G388+F389</f>
        <v/>
      </c>
      <c r="H389" s="511">
        <f>IF(B389="",$C$1-A389,DATEDIF(A389,B389,"d"))</f>
        <v/>
      </c>
      <c r="I389">
        <f>IF(B389="",$C$1-A389,H389)</f>
        <v/>
      </c>
      <c r="J389" s="65" t="inlineStr">
        <is>
          <t>一詮</t>
        </is>
      </c>
      <c r="K389">
        <f>IF(F389&gt;0,(H389*$F389)/365.25,0)</f>
        <v/>
      </c>
      <c r="L389">
        <f>IF(F389&gt;0,(I389*$F389)/365.25,0)</f>
        <v/>
      </c>
      <c r="M389" s="65" t="inlineStr">
        <is>
          <t>股票申購</t>
        </is>
      </c>
    </row>
    <row r="390" hidden="1" outlineLevel="1">
      <c r="A390" s="508" t="n">
        <v>44421</v>
      </c>
      <c r="B390" s="508" t="n">
        <v>44425</v>
      </c>
      <c r="C390" s="123" t="n">
        <v>76050</v>
      </c>
      <c r="D390" s="509" t="n"/>
      <c r="E390" s="510">
        <f>E389+C390-D390</f>
        <v/>
      </c>
      <c r="F390" s="510">
        <f>C390-D386</f>
        <v/>
      </c>
      <c r="G390" s="511">
        <f>G389+F390</f>
        <v/>
      </c>
      <c r="H390" s="511">
        <f>IF(B390="",$C$1-A390,DATEDIF(A390,B390,"d"))</f>
        <v/>
      </c>
      <c r="I390">
        <f>IF(B390="",$C$1-A390,H390)</f>
        <v/>
      </c>
      <c r="J390" s="65" t="inlineStr">
        <is>
          <t>嘉威</t>
        </is>
      </c>
      <c r="K390">
        <f>IF(F390&gt;0,(H390*$F390)/365.25,0)</f>
        <v/>
      </c>
      <c r="L390">
        <f>IF(F390&gt;0,(I390*$F390)/365.25,0)</f>
        <v/>
      </c>
      <c r="M390" s="65" t="inlineStr">
        <is>
          <t>股票申購</t>
        </is>
      </c>
      <c r="N390" s="141" t="n"/>
    </row>
    <row r="391" hidden="1" outlineLevel="1">
      <c r="A391" s="508" t="n">
        <v>44427</v>
      </c>
      <c r="B391" s="508" t="n">
        <v>44431</v>
      </c>
      <c r="C391" s="123" t="n">
        <v>50050</v>
      </c>
      <c r="D391" s="509" t="n">
        <v>50070</v>
      </c>
      <c r="E391" s="510">
        <f>E390+C391-D391</f>
        <v/>
      </c>
      <c r="F391" s="510">
        <f>C391-D391</f>
        <v/>
      </c>
      <c r="G391" s="511">
        <f>G390+F391</f>
        <v/>
      </c>
      <c r="H391" s="511">
        <f>IF(B391="",$C$1-A391,DATEDIF(A391,B391,"d"))</f>
        <v/>
      </c>
      <c r="I391">
        <f>IF(B391="",$C$1-A391,H391)</f>
        <v/>
      </c>
      <c r="J391" s="65" t="inlineStr">
        <is>
          <t>中揚光</t>
        </is>
      </c>
      <c r="K391">
        <f>IF(F391&gt;0,(H391*$F391)/365.25,0)</f>
        <v/>
      </c>
      <c r="L391">
        <f>IF(F391&gt;0,(I391*$F391)/365.25,0)</f>
        <v/>
      </c>
      <c r="M391" s="65" t="inlineStr">
        <is>
          <t>股票申購</t>
        </is>
      </c>
    </row>
    <row r="392" hidden="1" outlineLevel="1">
      <c r="A392" s="508" t="n">
        <v>44428</v>
      </c>
      <c r="B392" s="508" t="n">
        <v>44432</v>
      </c>
      <c r="C392" s="123" t="n">
        <v>16050</v>
      </c>
      <c r="D392" s="509" t="n">
        <v>16070</v>
      </c>
      <c r="E392" s="510">
        <f>E391+C392-D392</f>
        <v/>
      </c>
      <c r="F392" s="510">
        <f>C392-D392</f>
        <v/>
      </c>
      <c r="G392" s="511">
        <f>G391+F392</f>
        <v/>
      </c>
      <c r="H392" s="511">
        <f>IF(B392="",$C$1-A392,DATEDIF(A392,B392,"d"))</f>
        <v/>
      </c>
      <c r="I392">
        <f>IF(B392="",$C$1-A392,H392)</f>
        <v/>
      </c>
      <c r="J392" s="65" t="inlineStr">
        <is>
          <t>易通展</t>
        </is>
      </c>
      <c r="K392">
        <f>IF(F392&gt;0,(H392*$F392)/365.25,0)</f>
        <v/>
      </c>
      <c r="L392">
        <f>IF(F392&gt;0,(I392*$F392)/365.25,0)</f>
        <v/>
      </c>
      <c r="M392" s="65" t="inlineStr">
        <is>
          <t>股票申購</t>
        </is>
      </c>
    </row>
    <row r="393" hidden="1" outlineLevel="1">
      <c r="A393" s="508" t="n">
        <v>44428</v>
      </c>
      <c r="B393" s="508" t="n">
        <v>44432</v>
      </c>
      <c r="C393" s="123" t="n">
        <v>19050</v>
      </c>
      <c r="D393" s="509" t="n">
        <v>19070</v>
      </c>
      <c r="E393" s="510">
        <f>E392+C393-D393</f>
        <v/>
      </c>
      <c r="F393" s="510">
        <f>C393-D393</f>
        <v/>
      </c>
      <c r="G393" s="511">
        <f>G392+F393</f>
        <v/>
      </c>
      <c r="H393" s="511">
        <f>IF(B393="",$C$1-A393,DATEDIF(A393,B393,"d"))</f>
        <v/>
      </c>
      <c r="I393">
        <f>IF(B393="",$C$1-A393,H393)</f>
        <v/>
      </c>
      <c r="J393" s="65" t="inlineStr">
        <is>
          <t>沛波</t>
        </is>
      </c>
      <c r="K393">
        <f>IF(F393&gt;0,(H393*$F393)/365.25,0)</f>
        <v/>
      </c>
      <c r="L393">
        <f>IF(F393&gt;0,(I393*$F393)/365.25,0)</f>
        <v/>
      </c>
      <c r="M393" s="65" t="inlineStr">
        <is>
          <t>股票申購</t>
        </is>
      </c>
    </row>
    <row r="394" hidden="1" outlineLevel="1">
      <c r="A394" s="522" t="n">
        <v>44432</v>
      </c>
      <c r="B394" s="522" t="n">
        <v>44432</v>
      </c>
      <c r="C394" s="196" t="n">
        <v>787</v>
      </c>
      <c r="D394" s="523" t="n">
        <v>0</v>
      </c>
      <c r="E394" s="524">
        <f>E393+C394-D394</f>
        <v/>
      </c>
      <c r="F394" s="524">
        <f>C394</f>
        <v/>
      </c>
      <c r="G394" s="525">
        <f>G393+C394-D394</f>
        <v/>
      </c>
      <c r="H394" s="525">
        <f>IF(B394="",DATEDIF(A394,$G$1,"d"),DATEDIF(A394,B394,"d"))</f>
        <v/>
      </c>
      <c r="I394" s="200">
        <f>IF(B394="",$C$1-A394,H394)</f>
        <v/>
      </c>
      <c r="J394" s="200" t="inlineStr">
        <is>
          <t>群創光電現金股</t>
        </is>
      </c>
      <c r="K394" s="200">
        <f>(H394*$C394)/365.25</f>
        <v/>
      </c>
      <c r="L394" s="200">
        <f>(I394*$C394)/365.25</f>
        <v/>
      </c>
      <c r="M394" s="200" t="inlineStr">
        <is>
          <t>現金股利</t>
        </is>
      </c>
      <c r="N394" s="141" t="n"/>
    </row>
    <row r="395" hidden="1" outlineLevel="1">
      <c r="A395" s="522" t="n">
        <v>44433</v>
      </c>
      <c r="B395" s="522" t="n">
        <v>44433</v>
      </c>
      <c r="C395" s="196" t="n">
        <v>3090</v>
      </c>
      <c r="D395" s="523" t="n">
        <v>0</v>
      </c>
      <c r="E395" s="524">
        <f>E394+C395-D395</f>
        <v/>
      </c>
      <c r="F395" s="524">
        <f>C395</f>
        <v/>
      </c>
      <c r="G395" s="525">
        <f>G394+C395-D395</f>
        <v/>
      </c>
      <c r="H395" s="525">
        <f>IF(B395="",DATEDIF(A395,$G$1,"d"),DATEDIF(A395,B395,"d"))</f>
        <v/>
      </c>
      <c r="I395" s="200">
        <f>IF(B395="",$C$1-A395,H395)</f>
        <v/>
      </c>
      <c r="J395" s="200" t="inlineStr">
        <is>
          <t>日電貿現金股</t>
        </is>
      </c>
      <c r="K395" s="200">
        <f>(H395*$C395)/365.25</f>
        <v/>
      </c>
      <c r="L395" s="200">
        <f>(I395*$C395)/365.25</f>
        <v/>
      </c>
      <c r="M395" s="200" t="inlineStr">
        <is>
          <t>現金股利</t>
        </is>
      </c>
      <c r="N395" s="141" t="n"/>
    </row>
    <row r="396" hidden="1" outlineLevel="1">
      <c r="A396" s="508" t="n">
        <v>44434</v>
      </c>
      <c r="B396" s="508" t="n">
        <v>44438</v>
      </c>
      <c r="C396" s="123" t="n">
        <v>25250</v>
      </c>
      <c r="D396" s="509" t="n">
        <v>25270</v>
      </c>
      <c r="E396" s="510">
        <f>E395+C396-D396</f>
        <v/>
      </c>
      <c r="F396" s="510">
        <f>C396-D396</f>
        <v/>
      </c>
      <c r="G396" s="511">
        <f>G395+F396</f>
        <v/>
      </c>
      <c r="H396" s="511">
        <f>IF(B396="",$C$1-A396,DATEDIF(A396,B396,"d"))</f>
        <v/>
      </c>
      <c r="I396">
        <f>IF(B396="",$C$1-A396,H396)</f>
        <v/>
      </c>
      <c r="J396" s="65" t="inlineStr">
        <is>
          <t>樂士</t>
        </is>
      </c>
      <c r="K396">
        <f>IF(F396&gt;0,(H396*$F396)/365.25,0)</f>
        <v/>
      </c>
      <c r="L396">
        <f>IF(F396&gt;0,(I396*$F396)/365.25,0)</f>
        <v/>
      </c>
      <c r="M396" s="65" t="inlineStr">
        <is>
          <t>股票申購</t>
        </is>
      </c>
      <c r="N396" s="65" t="n"/>
    </row>
    <row r="397" hidden="1" outlineLevel="1">
      <c r="A397" s="508" t="n">
        <v>44434</v>
      </c>
      <c r="B397" s="508" t="n">
        <v>44438</v>
      </c>
      <c r="C397" s="123" t="n">
        <v>32850</v>
      </c>
      <c r="D397" s="509" t="n">
        <v>32870</v>
      </c>
      <c r="E397" s="510">
        <f>E396+C397-D397</f>
        <v/>
      </c>
      <c r="F397" s="510">
        <f>C397-D397</f>
        <v/>
      </c>
      <c r="G397" s="511">
        <f>G396+F397</f>
        <v/>
      </c>
      <c r="H397" s="511">
        <f>IF(B397="",$C$1-A397,DATEDIF(A397,B397,"d"))</f>
        <v/>
      </c>
      <c r="I397">
        <f>IF(B397="",$C$1-A397,H397)</f>
        <v/>
      </c>
      <c r="J397" s="65" t="inlineStr">
        <is>
          <t>展匯科</t>
        </is>
      </c>
      <c r="K397">
        <f>IF(F397&gt;0,(H397*$F397)/365.25,0)</f>
        <v/>
      </c>
      <c r="L397">
        <f>IF(F397&gt;0,(I397*$F397)/365.25,0)</f>
        <v/>
      </c>
      <c r="M397" s="65" t="inlineStr">
        <is>
          <t>股票申購</t>
        </is>
      </c>
      <c r="N397" s="65" t="n"/>
    </row>
    <row r="398" hidden="1" outlineLevel="1">
      <c r="A398" s="527" t="n">
        <v>44438</v>
      </c>
      <c r="B398" s="162" t="n"/>
      <c r="C398" s="163" t="n">
        <v>500000</v>
      </c>
      <c r="D398" s="528" t="n"/>
      <c r="E398" s="529">
        <f>E397+C398-D398</f>
        <v/>
      </c>
      <c r="F398" s="529" t="n"/>
      <c r="G398" s="530">
        <f>G397+F398</f>
        <v/>
      </c>
      <c r="H398" s="530">
        <f>IF(B398="",DATEDIF(A398,$F$1,"d"),DATEDIF(A398,B398,"d"))</f>
        <v/>
      </c>
      <c r="I398" s="167">
        <f>IF(B398="",$C$1-A398,H398)</f>
        <v/>
      </c>
      <c r="J398" s="168" t="inlineStr">
        <is>
          <t>曾儀婷</t>
        </is>
      </c>
      <c r="K398" s="167">
        <f>IF(F398&gt;0,(H398*$F398)/365.25,0)</f>
        <v/>
      </c>
      <c r="L398" s="167">
        <f>IF(F398&gt;0,(I398*$F398)/365.25,0)</f>
        <v/>
      </c>
      <c r="M398" s="168" t="inlineStr">
        <is>
          <t>網路自轉</t>
        </is>
      </c>
      <c r="N398" s="65" t="n"/>
    </row>
    <row r="399" hidden="1" outlineLevel="1" customFormat="1" s="65">
      <c r="A399" s="508" t="n">
        <v>44313</v>
      </c>
      <c r="B399" s="508" t="n">
        <v>44439</v>
      </c>
      <c r="C399" s="123" t="n">
        <v>18718</v>
      </c>
      <c r="D399" s="509" t="n"/>
      <c r="E399" s="510">
        <f>E398+C399-D399</f>
        <v/>
      </c>
      <c r="F399" s="510">
        <f>-D356/2+C399</f>
        <v/>
      </c>
      <c r="G399" s="511">
        <f>G398+F399</f>
        <v/>
      </c>
      <c r="H399" s="511">
        <f>IF(B399="",$C$1-A399,DATEDIF(A399,B399,"d"))</f>
        <v/>
      </c>
      <c r="I399">
        <f>IF(B399="",$C$1-A399,H399)</f>
        <v/>
      </c>
      <c r="J399" s="65" t="inlineStr">
        <is>
          <t>綠電(8440)</t>
        </is>
      </c>
      <c r="K399">
        <f>IF(F399&gt;0,(H399*$F399)/365.25,0)</f>
        <v/>
      </c>
      <c r="L399">
        <f>IF(F399&gt;0,(I399*$F399)/365.25,0)</f>
        <v/>
      </c>
    </row>
    <row r="400" hidden="1" outlineLevel="1" customFormat="1" s="65">
      <c r="A400" s="508" t="n">
        <v>44308</v>
      </c>
      <c r="B400" s="508" t="n">
        <v>44439</v>
      </c>
      <c r="C400" s="123" t="n">
        <v>24243</v>
      </c>
      <c r="D400" s="509" t="n"/>
      <c r="E400" s="510">
        <f>E399+C400-D400</f>
        <v/>
      </c>
      <c r="F400" s="510">
        <f>-D341+C400</f>
        <v/>
      </c>
      <c r="G400" s="511">
        <f>G399+F400</f>
        <v/>
      </c>
      <c r="H400" s="511">
        <f>IF(B400="",$C$1-A400,DATEDIF(A400,B400,"d"))</f>
        <v/>
      </c>
      <c r="I400">
        <f>IF(B400="",$C$1-A400,H400)</f>
        <v/>
      </c>
      <c r="J400" s="65" t="inlineStr">
        <is>
          <t>華紙(1905)</t>
        </is>
      </c>
      <c r="K400">
        <f>IF(F400&gt;0,(H400*$F400)/365.25,0)</f>
        <v/>
      </c>
      <c r="L400">
        <f>IF(F400&gt;0,(I400*$F400)/365.25,0)</f>
        <v/>
      </c>
    </row>
    <row r="401" hidden="1" outlineLevel="1">
      <c r="A401" s="508" t="n">
        <v>44439</v>
      </c>
      <c r="B401" s="508" t="n">
        <v>44571</v>
      </c>
      <c r="C401" s="123" t="n"/>
      <c r="D401" s="509" t="n">
        <v>447636</v>
      </c>
      <c r="E401" s="510">
        <f>E400+C401-D401</f>
        <v/>
      </c>
      <c r="F401" s="510" t="n"/>
      <c r="G401" s="511">
        <f>G400+F401</f>
        <v/>
      </c>
      <c r="H401" s="511">
        <f>IF(B401="",$C$1-A401,DATEDIF(A401,B401,"d"))</f>
        <v/>
      </c>
      <c r="I401">
        <f>IF(B401="",$C$1-A401,H401)</f>
        <v/>
      </c>
      <c r="J401" s="65" t="inlineStr">
        <is>
          <t>聯詠(3034)</t>
        </is>
      </c>
      <c r="K401">
        <f>IF(F401&gt;0,(H401*$F401)/365.25,0)</f>
        <v/>
      </c>
      <c r="L401">
        <f>IF(F401&gt;0,(I401*$F401)/365.25,0)</f>
        <v/>
      </c>
      <c r="M401" s="65" t="n"/>
    </row>
    <row r="402" hidden="1" outlineLevel="1" customFormat="1" s="65">
      <c r="A402" s="508" t="n">
        <v>44308</v>
      </c>
      <c r="B402" s="508" t="n">
        <v>44442</v>
      </c>
      <c r="C402" s="123" t="n">
        <v>17274</v>
      </c>
      <c r="D402" s="509" t="n"/>
      <c r="E402" s="510">
        <f>E401+C402-D402</f>
        <v/>
      </c>
      <c r="F402" s="510">
        <f>-D346+C402</f>
        <v/>
      </c>
      <c r="G402" s="511">
        <f>G401+F402</f>
        <v/>
      </c>
      <c r="H402" s="511">
        <f>IF(B402="",$C$1-A402,DATEDIF(A402,B402,"d"))</f>
        <v/>
      </c>
      <c r="I402">
        <f>IF(B402="",$C$1-A402,H402)</f>
        <v/>
      </c>
      <c r="J402" s="65" t="inlineStr">
        <is>
          <t>友達(2409)</t>
        </is>
      </c>
      <c r="K402">
        <f>IF(F402&gt;0,(H402*$F402)/365.25,0)</f>
        <v/>
      </c>
      <c r="L402">
        <f>IF(F402&gt;0,(I402*$F402)/365.25,0)</f>
        <v/>
      </c>
    </row>
    <row r="403" hidden="1" outlineLevel="1" customFormat="1" s="65">
      <c r="A403" s="508" t="n">
        <v>44308</v>
      </c>
      <c r="B403" s="508" t="n">
        <v>44442</v>
      </c>
      <c r="C403" s="123" t="n">
        <v>16776</v>
      </c>
      <c r="D403" s="509" t="n"/>
      <c r="E403" s="510">
        <f>E402+C403-D403</f>
        <v/>
      </c>
      <c r="F403" s="510">
        <f>-D350+C403</f>
        <v/>
      </c>
      <c r="G403" s="511">
        <f>G402+F403</f>
        <v/>
      </c>
      <c r="H403" s="511">
        <f>IF(B403="",$C$1-A403,DATEDIF(A403,B403,"d"))</f>
        <v/>
      </c>
      <c r="I403">
        <f>IF(B403="",$C$1-A403,H403)</f>
        <v/>
      </c>
      <c r="J403" s="65" t="inlineStr">
        <is>
          <t>群創(3481)</t>
        </is>
      </c>
      <c r="K403">
        <f>IF(F403&gt;0,(H403*$F403)/365.25,0)</f>
        <v/>
      </c>
      <c r="L403">
        <f>IF(F403&gt;0,(I403*$F403)/365.25,0)</f>
        <v/>
      </c>
    </row>
    <row r="404" hidden="1" outlineLevel="1" customFormat="1" s="65">
      <c r="A404" s="508" t="n">
        <v>44300</v>
      </c>
      <c r="B404" s="508" t="n">
        <v>44442</v>
      </c>
      <c r="C404" s="123" t="n">
        <v>18369</v>
      </c>
      <c r="D404" s="509" t="n"/>
      <c r="E404" s="510">
        <f>E403+C404-D404</f>
        <v/>
      </c>
      <c r="F404" s="510">
        <f>-D326/5+C404</f>
        <v/>
      </c>
      <c r="G404" s="511">
        <f>G403+F404</f>
        <v/>
      </c>
      <c r="H404" s="511">
        <f>IF(B404="",$C$1-A404,DATEDIF(A404,B404,"d"))</f>
        <v/>
      </c>
      <c r="I404">
        <f>IF(B404="",$C$1-A404,H404)</f>
        <v/>
      </c>
      <c r="J404" s="65" t="inlineStr">
        <is>
          <t>長榮航(2618)</t>
        </is>
      </c>
      <c r="K404">
        <f>IF(F404&gt;0,(H404*$F404)/365.25,0)</f>
        <v/>
      </c>
      <c r="L404">
        <f>IF(F404&gt;0,(I404*$F404)/365.25,0)</f>
        <v/>
      </c>
    </row>
    <row r="405" hidden="1" outlineLevel="1" customFormat="1" s="65">
      <c r="A405" s="508" t="n">
        <v>44308</v>
      </c>
      <c r="B405" s="508" t="n">
        <v>44445</v>
      </c>
      <c r="C405" s="123" t="n">
        <v>66704</v>
      </c>
      <c r="D405" s="509" t="n"/>
      <c r="E405" s="510">
        <f>E404+C405-D405</f>
        <v/>
      </c>
      <c r="F405" s="510">
        <f>-D344+C405</f>
        <v/>
      </c>
      <c r="G405" s="511">
        <f>G404+F405</f>
        <v/>
      </c>
      <c r="H405" s="511">
        <f>IF(B405="",$C$1-A405,DATEDIF(A405,B405,"d"))</f>
        <v/>
      </c>
      <c r="I405">
        <f>IF(B405="",$C$1-A405,H405)</f>
        <v/>
      </c>
      <c r="J405" s="65" t="inlineStr">
        <is>
          <t>新光鋼(2031)</t>
        </is>
      </c>
      <c r="K405">
        <f>IF(F405&gt;0,(H405*$F405)/365.25,0)</f>
        <v/>
      </c>
      <c r="L405">
        <f>IF(F405&gt;0,(I405*$F405)/365.25,0)</f>
        <v/>
      </c>
    </row>
    <row r="406" hidden="1" outlineLevel="1">
      <c r="A406" s="508" t="n">
        <v>44445</v>
      </c>
      <c r="B406" s="508" t="n">
        <v>44547</v>
      </c>
      <c r="C406" s="123" t="n"/>
      <c r="D406" s="509" t="n">
        <v>116165</v>
      </c>
      <c r="E406" s="510">
        <f>E405+C406-D406</f>
        <v/>
      </c>
      <c r="F406" s="510" t="n"/>
      <c r="G406" s="511">
        <f>G405+F406</f>
        <v/>
      </c>
      <c r="H406" s="511">
        <f>IF(B406="",$C$1-A406,DATEDIF(A406,B406,"d"))</f>
        <v/>
      </c>
      <c r="I406">
        <f>IF(B406="",$C$1-A406,H406)</f>
        <v/>
      </c>
      <c r="J406" s="65" t="inlineStr">
        <is>
          <t>帆宣(6196)</t>
        </is>
      </c>
      <c r="K406">
        <f>IF(F406&gt;0,(H406*$F406)/365.25,0)</f>
        <v/>
      </c>
      <c r="L406">
        <f>IF(F406&gt;0,(I406*$F406)/365.25,0)</f>
        <v/>
      </c>
      <c r="M406" s="65" t="n"/>
    </row>
    <row r="407" hidden="1" outlineLevel="1">
      <c r="A407" s="522" t="n">
        <v>44448</v>
      </c>
      <c r="B407" s="522" t="n">
        <v>44448</v>
      </c>
      <c r="C407" s="196" t="n">
        <v>1910</v>
      </c>
      <c r="D407" s="523" t="n">
        <v>0</v>
      </c>
      <c r="E407" s="524">
        <f>E406+C407-D407</f>
        <v/>
      </c>
      <c r="F407" s="524">
        <f>C407</f>
        <v/>
      </c>
      <c r="G407" s="525">
        <f>G406+C407-D407</f>
        <v/>
      </c>
      <c r="H407" s="525">
        <f>IF(B407="",DATEDIF(A407,$G$1,"d"),DATEDIF(A407,B407,"d"))</f>
        <v/>
      </c>
      <c r="I407" s="200">
        <f>IF(B407="",$C$1-A407,H407)</f>
        <v/>
      </c>
      <c r="J407" s="200" t="inlineStr">
        <is>
          <t>新光鋼鐵現金股</t>
        </is>
      </c>
      <c r="K407" s="200">
        <f>(H407*$C407)/365.25</f>
        <v/>
      </c>
      <c r="L407" s="200">
        <f>(I407*$C407)/365.25</f>
        <v/>
      </c>
      <c r="M407" s="200" t="inlineStr">
        <is>
          <t>現金股利</t>
        </is>
      </c>
      <c r="N407" s="141" t="n"/>
    </row>
    <row r="408" hidden="1" outlineLevel="1">
      <c r="A408" s="518" t="n">
        <v>44449</v>
      </c>
      <c r="B408" s="518" t="n"/>
      <c r="C408" s="148" t="n">
        <v>416</v>
      </c>
      <c r="D408" s="519" t="n"/>
      <c r="E408" s="520">
        <f>E407+C408-D408</f>
        <v/>
      </c>
      <c r="F408" s="520">
        <f>C408-D408</f>
        <v/>
      </c>
      <c r="G408" s="521">
        <f>G407+F408</f>
        <v/>
      </c>
      <c r="H408" s="521">
        <f>IF(B408="",DATEDIF(A408,$F$1,"d"),DATEDIF(A408,B408,"d"))</f>
        <v/>
      </c>
      <c r="I408" s="152">
        <f>IF(B408="",$C$1-A408,H408)</f>
        <v/>
      </c>
      <c r="J408" s="152" t="inlineStr">
        <is>
          <t>折讓入帳</t>
        </is>
      </c>
      <c r="K408" s="152">
        <f>IF(F408&gt;0,(H408*$F408)/365.25,0)</f>
        <v/>
      </c>
      <c r="L408" s="152">
        <f>IF(F408&gt;0,(I408*$F408)/365.25,0)</f>
        <v/>
      </c>
      <c r="M408" s="160" t="n"/>
    </row>
    <row r="409" hidden="1" outlineLevel="1">
      <c r="A409" s="508" t="n">
        <v>44449</v>
      </c>
      <c r="B409" s="508" t="n">
        <v>44453</v>
      </c>
      <c r="C409" s="123" t="n">
        <v>140050</v>
      </c>
      <c r="D409" s="509" t="n">
        <v>140070</v>
      </c>
      <c r="E409" s="510">
        <f>E408+C409-D409</f>
        <v/>
      </c>
      <c r="F409" s="510">
        <f>C409-D409</f>
        <v/>
      </c>
      <c r="G409" s="511">
        <f>G408+F409</f>
        <v/>
      </c>
      <c r="H409" s="511">
        <f>IF(B409="",$C$1-A409,DATEDIF(A409,B409,"d"))</f>
        <v/>
      </c>
      <c r="I409">
        <f>IF(B409="",$C$1-A409,H409)</f>
        <v/>
      </c>
      <c r="J409" s="65" t="inlineStr">
        <is>
          <t>台驊控股</t>
        </is>
      </c>
      <c r="K409">
        <f>IF(F409&gt;0,(H409*$F409)/365.25,0)</f>
        <v/>
      </c>
      <c r="L409">
        <f>IF(F409&gt;0,(I409*$F409)/365.25,0)</f>
        <v/>
      </c>
      <c r="M409" s="65" t="inlineStr">
        <is>
          <t>股票申購</t>
        </is>
      </c>
    </row>
    <row r="410" hidden="1" outlineLevel="1">
      <c r="A410" s="522" t="n">
        <v>44455</v>
      </c>
      <c r="B410" s="522" t="n">
        <v>44455</v>
      </c>
      <c r="C410" s="196" t="n">
        <v>1490</v>
      </c>
      <c r="D410" s="523" t="n">
        <v>0</v>
      </c>
      <c r="E410" s="524">
        <f>E409+C410-D410</f>
        <v/>
      </c>
      <c r="F410" s="524">
        <f>C410</f>
        <v/>
      </c>
      <c r="G410" s="525">
        <f>G409+C410-D410</f>
        <v/>
      </c>
      <c r="H410" s="525">
        <f>IF(B410="",DATEDIF(A410,$G$1,"d"),DATEDIF(A410,B410,"d"))</f>
        <v/>
      </c>
      <c r="I410" s="200">
        <f>IF(B410="",$C$1-A410,H410)</f>
        <v/>
      </c>
      <c r="J410" s="200" t="inlineStr">
        <is>
          <t>嘉聯益現金股</t>
        </is>
      </c>
      <c r="K410" s="200">
        <f>(H410*$C410)/365.25</f>
        <v/>
      </c>
      <c r="L410" s="200">
        <f>(I410*$C410)/365.25</f>
        <v/>
      </c>
      <c r="M410" s="200" t="inlineStr">
        <is>
          <t>現金股利</t>
        </is>
      </c>
    </row>
    <row r="411" hidden="1" outlineLevel="1">
      <c r="A411" s="522" t="n">
        <v>44456</v>
      </c>
      <c r="B411" s="522" t="n">
        <v>44456</v>
      </c>
      <c r="C411" s="196" t="n">
        <v>6278</v>
      </c>
      <c r="D411" s="523" t="n">
        <v>0</v>
      </c>
      <c r="E411" s="524">
        <f>E410+C411-D411</f>
        <v/>
      </c>
      <c r="F411" s="524">
        <f>C411</f>
        <v/>
      </c>
      <c r="G411" s="525">
        <f>G410+C411-D411</f>
        <v/>
      </c>
      <c r="H411" s="525">
        <f>IF(B411="",DATEDIF(A411,$G$1,"d"),DATEDIF(A411,B411,"d"))</f>
        <v/>
      </c>
      <c r="I411" s="200">
        <f>IF(B411="",$C$1-A411,H411)</f>
        <v/>
      </c>
      <c r="J411" s="200" t="inlineStr">
        <is>
          <t>信邦電子現金股</t>
        </is>
      </c>
      <c r="K411" s="200">
        <f>(H411*$C411)/365.25</f>
        <v/>
      </c>
      <c r="L411" s="200">
        <f>(I411*$C411)/365.25</f>
        <v/>
      </c>
      <c r="M411" s="200" t="inlineStr">
        <is>
          <t>現金股利</t>
        </is>
      </c>
    </row>
    <row r="412" hidden="1" outlineLevel="1">
      <c r="A412" s="522" t="n">
        <v>44456</v>
      </c>
      <c r="B412" s="522" t="n">
        <v>44456</v>
      </c>
      <c r="C412" s="196" t="n">
        <v>893</v>
      </c>
      <c r="D412" s="523" t="n">
        <v>0</v>
      </c>
      <c r="E412" s="524">
        <f>E411+C412-D412</f>
        <v/>
      </c>
      <c r="F412" s="524">
        <f>C412</f>
        <v/>
      </c>
      <c r="G412" s="525">
        <f>G411+C412-D412</f>
        <v/>
      </c>
      <c r="H412" s="525">
        <f>IF(B412="",DATEDIF(A412,$G$1,"d"),DATEDIF(A412,B412,"d"))</f>
        <v/>
      </c>
      <c r="I412" s="200">
        <f>IF(B412="",$C$1-A412,H412)</f>
        <v/>
      </c>
      <c r="J412" s="200" t="inlineStr">
        <is>
          <t>中鋼現金股</t>
        </is>
      </c>
      <c r="K412" s="200">
        <f>(H412*$C412)/365.25</f>
        <v/>
      </c>
      <c r="L412" s="200">
        <f>(I412*$C412)/365.25</f>
        <v/>
      </c>
      <c r="M412" s="200" t="inlineStr">
        <is>
          <t>現金股利</t>
        </is>
      </c>
    </row>
    <row r="413" hidden="1" outlineLevel="1">
      <c r="A413" s="522" t="n">
        <v>44456</v>
      </c>
      <c r="B413" s="522" t="n">
        <v>44456</v>
      </c>
      <c r="C413" s="196" t="n">
        <v>15590</v>
      </c>
      <c r="D413" s="523" t="n">
        <v>0</v>
      </c>
      <c r="E413" s="524">
        <f>E412+C413-D413</f>
        <v/>
      </c>
      <c r="F413" s="524">
        <f>C413</f>
        <v/>
      </c>
      <c r="G413" s="525">
        <f>G412+C413-D413</f>
        <v/>
      </c>
      <c r="H413" s="525">
        <f>IF(B413="",DATEDIF(A413,$G$1,"d"),DATEDIF(A413,B413,"d"))</f>
        <v/>
      </c>
      <c r="I413" s="200">
        <f>IF(B413="",$C$1-A413,H413)</f>
        <v/>
      </c>
      <c r="J413" s="200" t="inlineStr">
        <is>
          <t>聯詠科技現金股</t>
        </is>
      </c>
      <c r="K413" s="200">
        <f>(H413*$C413)/365.25</f>
        <v/>
      </c>
      <c r="L413" s="200">
        <f>(I413*$C413)/365.25</f>
        <v/>
      </c>
      <c r="M413" s="200" t="inlineStr">
        <is>
          <t>現金股利</t>
        </is>
      </c>
      <c r="N413" s="141" t="n"/>
    </row>
    <row r="414" hidden="1" outlineLevel="1">
      <c r="A414" s="522" t="n">
        <v>44456</v>
      </c>
      <c r="B414" s="522" t="n">
        <v>44456</v>
      </c>
      <c r="C414" s="196" t="n">
        <v>1402</v>
      </c>
      <c r="D414" s="523" t="n">
        <v>0</v>
      </c>
      <c r="E414" s="524">
        <f>E413+C414-D414</f>
        <v/>
      </c>
      <c r="F414" s="524">
        <f>C414</f>
        <v/>
      </c>
      <c r="G414" s="525">
        <f>G413+C414-D414</f>
        <v/>
      </c>
      <c r="H414" s="525">
        <f>IF(B414="",DATEDIF(A414,$G$1,"d"),DATEDIF(A414,B414,"d"))</f>
        <v/>
      </c>
      <c r="I414" s="200">
        <f>IF(B414="",$C$1-A414,H414)</f>
        <v/>
      </c>
      <c r="J414" s="200" t="inlineStr">
        <is>
          <t>力積電現金股</t>
        </is>
      </c>
      <c r="K414" s="200">
        <f>(H414*$C414)/365.25</f>
        <v/>
      </c>
      <c r="L414" s="200">
        <f>(I414*$C414)/365.25</f>
        <v/>
      </c>
      <c r="M414" s="200" t="inlineStr">
        <is>
          <t>現金股利</t>
        </is>
      </c>
    </row>
    <row r="415" hidden="1" outlineLevel="1">
      <c r="A415" s="508" t="n">
        <v>44461</v>
      </c>
      <c r="B415" s="508" t="n">
        <v>44463</v>
      </c>
      <c r="C415" s="123" t="n">
        <v>40050</v>
      </c>
      <c r="D415" s="509" t="n">
        <v>40070</v>
      </c>
      <c r="E415" s="510">
        <f>E414+C415-D415</f>
        <v/>
      </c>
      <c r="F415" s="510">
        <f>C415-D415</f>
        <v/>
      </c>
      <c r="G415" s="511">
        <f>G414+F415</f>
        <v/>
      </c>
      <c r="H415" s="511">
        <f>IF(B415="",$C$1-A415,DATEDIF(A415,B415,"d"))</f>
        <v/>
      </c>
      <c r="I415">
        <f>IF(B415="",$C$1-A415,H415)</f>
        <v/>
      </c>
      <c r="J415" s="65" t="inlineStr">
        <is>
          <t>精確</t>
        </is>
      </c>
      <c r="K415">
        <f>IF(F415&gt;0,(H415*$F415)/365.25,0)</f>
        <v/>
      </c>
      <c r="L415">
        <f>IF(F415&gt;0,(I415*$F415)/365.25,0)</f>
        <v/>
      </c>
      <c r="M415" s="65" t="inlineStr">
        <is>
          <t>股票申購</t>
        </is>
      </c>
      <c r="N415" s="141" t="n"/>
    </row>
    <row r="416" hidden="1" outlineLevel="1">
      <c r="A416" s="508" t="n">
        <v>44461</v>
      </c>
      <c r="B416" s="508" t="n">
        <v>44463</v>
      </c>
      <c r="C416" s="123" t="n">
        <v>52050</v>
      </c>
      <c r="D416" s="509" t="n">
        <v>52070</v>
      </c>
      <c r="E416" s="510">
        <f>E415+C416-D416</f>
        <v/>
      </c>
      <c r="F416" s="510">
        <f>C416-D416</f>
        <v/>
      </c>
      <c r="G416" s="511">
        <f>G415+F416</f>
        <v/>
      </c>
      <c r="H416" s="511">
        <f>IF(B416="",$C$1-A416,DATEDIF(A416,B416,"d"))</f>
        <v/>
      </c>
      <c r="I416">
        <f>IF(B416="",$C$1-A416,H416)</f>
        <v/>
      </c>
      <c r="J416" s="65" t="inlineStr">
        <is>
          <t>永豐實</t>
        </is>
      </c>
      <c r="K416">
        <f>IF(F416&gt;0,(H416*$F416)/365.25,0)</f>
        <v/>
      </c>
      <c r="L416">
        <f>IF(F416&gt;0,(I416*$F416)/365.25,0)</f>
        <v/>
      </c>
      <c r="M416" s="65" t="inlineStr">
        <is>
          <t>股票申購</t>
        </is>
      </c>
      <c r="N416" s="141" t="n"/>
    </row>
    <row r="417" hidden="1" outlineLevel="1">
      <c r="A417" s="508" t="n">
        <v>44461</v>
      </c>
      <c r="B417" s="508" t="n">
        <v>44463</v>
      </c>
      <c r="C417" s="123" t="n">
        <v>125050</v>
      </c>
      <c r="D417" s="509" t="n">
        <v>125070</v>
      </c>
      <c r="E417" s="510">
        <f>E416+C417-D417</f>
        <v/>
      </c>
      <c r="F417" s="510">
        <f>C417-D417</f>
        <v/>
      </c>
      <c r="G417" s="511">
        <f>G416+F417</f>
        <v/>
      </c>
      <c r="H417" s="511">
        <f>IF(B417="",$C$1-A417,DATEDIF(A417,B417,"d"))</f>
        <v/>
      </c>
      <c r="I417">
        <f>IF(B417="",$C$1-A417,H417)</f>
        <v/>
      </c>
      <c r="J417" s="65" t="inlineStr">
        <is>
          <t>華景電</t>
        </is>
      </c>
      <c r="K417">
        <f>IF(F417&gt;0,(H417*$F417)/365.25,0)</f>
        <v/>
      </c>
      <c r="L417">
        <f>IF(F417&gt;0,(I417*$F417)/365.25,0)</f>
        <v/>
      </c>
      <c r="M417" s="65" t="inlineStr">
        <is>
          <t>股票申購</t>
        </is>
      </c>
      <c r="N417" s="141" t="n"/>
    </row>
    <row r="418" hidden="1" outlineLevel="1">
      <c r="A418" s="508" t="n">
        <v>44390</v>
      </c>
      <c r="B418" s="508" t="n">
        <v>44456</v>
      </c>
      <c r="C418" s="123" t="n">
        <v>45698</v>
      </c>
      <c r="D418" s="509" t="n"/>
      <c r="E418" s="510">
        <f>E417+C418-D418</f>
        <v/>
      </c>
      <c r="F418" s="510">
        <f>-D370+C418</f>
        <v/>
      </c>
      <c r="G418" s="511">
        <f>G417+F418</f>
        <v/>
      </c>
      <c r="H418" s="511">
        <f>IF(B418="",$C$1-A418,DATEDIF(A418,B418,"d"))</f>
        <v/>
      </c>
      <c r="I418">
        <f>IF(B418="",$C$1-A418,H418)</f>
        <v/>
      </c>
      <c r="J418" s="65" t="inlineStr">
        <is>
          <t>零壹(3029)</t>
        </is>
      </c>
      <c r="K418">
        <f>IF(F418&gt;0,(H418*$F418)/365.25,0)</f>
        <v/>
      </c>
      <c r="L418">
        <f>IF(F418&gt;0,(I418*$F418)/365.25,0)</f>
        <v/>
      </c>
      <c r="M418" s="65" t="n"/>
    </row>
    <row r="419" hidden="1" outlineLevel="1">
      <c r="A419" s="508" t="n">
        <v>44462</v>
      </c>
      <c r="B419" s="508" t="n">
        <v>44466</v>
      </c>
      <c r="C419" s="123" t="n">
        <v>42050</v>
      </c>
      <c r="D419" s="509" t="n">
        <v>42070</v>
      </c>
      <c r="E419" s="510">
        <f>E418+C419-D419</f>
        <v/>
      </c>
      <c r="F419" s="510">
        <f>C419-D419</f>
        <v/>
      </c>
      <c r="G419" s="511">
        <f>G418+F419</f>
        <v/>
      </c>
      <c r="H419" s="511">
        <f>IF(B419="",$C$1-A419,DATEDIF(A419,B419,"d"))</f>
        <v/>
      </c>
      <c r="I419">
        <f>IF(B419="",$C$1-A419,H419)</f>
        <v/>
      </c>
      <c r="J419" s="65" t="inlineStr">
        <is>
          <t>泰福-KY</t>
        </is>
      </c>
      <c r="K419">
        <f>IF(F419&gt;0,(H419*$F419)/365.25,0)</f>
        <v/>
      </c>
      <c r="L419">
        <f>IF(F419&gt;0,(I419*$F419)/365.25,0)</f>
        <v/>
      </c>
      <c r="M419" s="65" t="inlineStr">
        <is>
          <t>股票申購</t>
        </is>
      </c>
      <c r="N419" s="141" t="n"/>
    </row>
    <row r="420" hidden="1" outlineLevel="1">
      <c r="A420" s="508" t="n">
        <v>44463</v>
      </c>
      <c r="B420" s="508" t="n">
        <v>44467</v>
      </c>
      <c r="C420" s="123" t="n">
        <v>24050</v>
      </c>
      <c r="D420" s="509" t="n">
        <v>24070</v>
      </c>
      <c r="E420" s="510">
        <f>E419+C420-D420</f>
        <v/>
      </c>
      <c r="F420" s="510">
        <f>C420-D420</f>
        <v/>
      </c>
      <c r="G420" s="511">
        <f>G419+F420</f>
        <v/>
      </c>
      <c r="H420" s="511">
        <f>IF(B420="",$C$1-A420,DATEDIF(A420,B420,"d"))</f>
        <v/>
      </c>
      <c r="I420">
        <f>IF(B420="",$C$1-A420,H420)</f>
        <v/>
      </c>
      <c r="J420" s="65" t="inlineStr">
        <is>
          <t>今國光</t>
        </is>
      </c>
      <c r="K420">
        <f>IF(F420&gt;0,(H420*$F420)/365.25,0)</f>
        <v/>
      </c>
      <c r="L420">
        <f>IF(F420&gt;0,(I420*$F420)/365.25,0)</f>
        <v/>
      </c>
      <c r="M420" s="65" t="inlineStr">
        <is>
          <t>股票申購</t>
        </is>
      </c>
    </row>
    <row r="421" hidden="1" outlineLevel="1">
      <c r="A421" s="508" t="n">
        <v>44463</v>
      </c>
      <c r="B421" s="508" t="n">
        <v>44467</v>
      </c>
      <c r="C421" s="123" t="n">
        <v>60050</v>
      </c>
      <c r="D421" s="509" t="n">
        <v>60070</v>
      </c>
      <c r="E421" s="510">
        <f>E420+C421-D421</f>
        <v/>
      </c>
      <c r="F421" s="510">
        <f>C421-D421</f>
        <v/>
      </c>
      <c r="G421" s="511">
        <f>G420+F421</f>
        <v/>
      </c>
      <c r="H421" s="511">
        <f>IF(B421="",$C$1-A421,DATEDIF(A421,B421,"d"))</f>
        <v/>
      </c>
      <c r="I421">
        <f>IF(B421="",$C$1-A421,H421)</f>
        <v/>
      </c>
      <c r="J421" s="65" t="inlineStr">
        <is>
          <t>韋僑</t>
        </is>
      </c>
      <c r="K421">
        <f>IF(F421&gt;0,(H421*$F421)/365.25,0)</f>
        <v/>
      </c>
      <c r="L421">
        <f>IF(F421&gt;0,(I421*$F421)/365.25,0)</f>
        <v/>
      </c>
      <c r="M421" s="65" t="inlineStr">
        <is>
          <t>股票申購</t>
        </is>
      </c>
      <c r="N421" s="141" t="n"/>
    </row>
    <row r="422" hidden="1" outlineLevel="1">
      <c r="A422" s="518" t="n">
        <v>44477</v>
      </c>
      <c r="B422" s="518" t="n"/>
      <c r="C422" s="148" t="n">
        <v>158</v>
      </c>
      <c r="D422" s="519" t="n"/>
      <c r="E422" s="520">
        <f>E421+C422-D422</f>
        <v/>
      </c>
      <c r="F422" s="520">
        <f>C422-D422</f>
        <v/>
      </c>
      <c r="G422" s="521">
        <f>G421+F422</f>
        <v/>
      </c>
      <c r="H422" s="521">
        <f>IF(B422="",DATEDIF(A422,$F$1,"d"),DATEDIF(A422,B422,"d"))</f>
        <v/>
      </c>
      <c r="I422" s="152">
        <f>IF(B422="",$C$1-A422,H422)</f>
        <v/>
      </c>
      <c r="J422" s="152" t="inlineStr">
        <is>
          <t>折讓入帳</t>
        </is>
      </c>
      <c r="K422" s="152">
        <f>IF(F422&gt;0,(H422*$F422)/365.25,0)</f>
        <v/>
      </c>
      <c r="L422" s="152">
        <f>IF(F422&gt;0,(I422*$F422)/365.25,0)</f>
        <v/>
      </c>
      <c r="M422" s="160" t="n"/>
    </row>
    <row r="423" hidden="1" outlineLevel="1">
      <c r="A423" s="508" t="n">
        <v>44483</v>
      </c>
      <c r="B423" s="508" t="n">
        <v>44487</v>
      </c>
      <c r="C423" s="123" t="n">
        <v>15050</v>
      </c>
      <c r="D423" s="509" t="n">
        <v>15070</v>
      </c>
      <c r="E423" s="510">
        <f>E422+C423-D423</f>
        <v/>
      </c>
      <c r="F423" s="510">
        <f>C423-D423</f>
        <v/>
      </c>
      <c r="G423" s="511">
        <f>G422+F423</f>
        <v/>
      </c>
      <c r="H423" s="511">
        <f>IF(B423="",$C$1-A423,DATEDIF(A423,B423,"d"))</f>
        <v/>
      </c>
      <c r="I423">
        <f>IF(B423="",$C$1-A423,H423)</f>
        <v/>
      </c>
      <c r="J423" s="65" t="inlineStr">
        <is>
          <t>易飛網</t>
        </is>
      </c>
      <c r="K423">
        <f>IF(F423&gt;0,(H423*$F423)/365.25,0)</f>
        <v/>
      </c>
      <c r="L423">
        <f>IF(F423&gt;0,(I423*$F423)/365.25,0)</f>
        <v/>
      </c>
      <c r="M423" s="65" t="inlineStr">
        <is>
          <t>股票申購</t>
        </is>
      </c>
      <c r="N423" s="141" t="n"/>
    </row>
    <row r="424" hidden="1" outlineLevel="1">
      <c r="A424" s="508" t="n">
        <v>44489</v>
      </c>
      <c r="B424" s="508" t="n">
        <v>44491</v>
      </c>
      <c r="C424" s="123" t="n">
        <v>58950</v>
      </c>
      <c r="D424" s="509" t="n">
        <v>58970</v>
      </c>
      <c r="E424" s="510">
        <f>E423+C424-D424</f>
        <v/>
      </c>
      <c r="F424" s="510">
        <f>C424-D424</f>
        <v/>
      </c>
      <c r="G424" s="511">
        <f>G423+F424</f>
        <v/>
      </c>
      <c r="H424" s="511">
        <f>IF(B424="",$C$1-A424,DATEDIF(A424,B424,"d"))</f>
        <v/>
      </c>
      <c r="I424">
        <f>IF(B424="",$C$1-A424,H424)</f>
        <v/>
      </c>
      <c r="J424" s="65" t="inlineStr">
        <is>
          <t>富邦金</t>
        </is>
      </c>
      <c r="K424">
        <f>IF(F424&gt;0,(H424*$F424)/365.25,0)</f>
        <v/>
      </c>
      <c r="L424">
        <f>IF(F424&gt;0,(I424*$F424)/365.25,0)</f>
        <v/>
      </c>
      <c r="M424" s="65" t="inlineStr">
        <is>
          <t>股票申購</t>
        </is>
      </c>
      <c r="N424" s="141" t="n"/>
    </row>
    <row r="425" hidden="1" outlineLevel="1">
      <c r="A425" s="508" t="n">
        <v>44490</v>
      </c>
      <c r="B425" s="508" t="n">
        <v>44494</v>
      </c>
      <c r="C425" s="123" t="n">
        <v>28050</v>
      </c>
      <c r="D425" s="509" t="n">
        <v>28070</v>
      </c>
      <c r="E425" s="510">
        <f>E424+C425-D425</f>
        <v/>
      </c>
      <c r="F425" s="510">
        <f>C425-D425</f>
        <v/>
      </c>
      <c r="G425" s="511">
        <f>G424+F425</f>
        <v/>
      </c>
      <c r="H425" s="511">
        <f>IF(B425="",$C$1-A425,DATEDIF(A425,B425,"d"))</f>
        <v/>
      </c>
      <c r="I425">
        <f>IF(B425="",$C$1-A425,H425)</f>
        <v/>
      </c>
      <c r="J425" s="65" t="inlineStr">
        <is>
          <t>運鎗</t>
        </is>
      </c>
      <c r="K425">
        <f>IF(F425&gt;0,(H425*$F425)/365.25,0)</f>
        <v/>
      </c>
      <c r="L425">
        <f>IF(F425&gt;0,(I425*$F425)/365.25,0)</f>
        <v/>
      </c>
      <c r="M425" s="65" t="inlineStr">
        <is>
          <t>股票申購</t>
        </is>
      </c>
      <c r="N425" s="141" t="n"/>
    </row>
    <row r="426" hidden="1" outlineLevel="1">
      <c r="A426" s="508" t="n">
        <v>44490</v>
      </c>
      <c r="B426" s="508" t="n">
        <v>44494</v>
      </c>
      <c r="C426" s="123" t="n">
        <v>125050</v>
      </c>
      <c r="D426" s="509" t="n">
        <v>125070</v>
      </c>
      <c r="E426" s="510">
        <f>E425+C426-D426</f>
        <v/>
      </c>
      <c r="F426" s="510">
        <f>C426-D426</f>
        <v/>
      </c>
      <c r="G426" s="511">
        <f>G425+F426</f>
        <v/>
      </c>
      <c r="H426" s="511">
        <f>IF(B426="",$C$1-A426,DATEDIF(A426,B426,"d"))</f>
        <v/>
      </c>
      <c r="I426">
        <f>IF(B426="",$C$1-A426,H426)</f>
        <v/>
      </c>
      <c r="J426" s="65" t="inlineStr">
        <is>
          <t>紘康</t>
        </is>
      </c>
      <c r="K426">
        <f>IF(F426&gt;0,(H426*$F426)/365.25,0)</f>
        <v/>
      </c>
      <c r="L426">
        <f>IF(F426&gt;0,(I426*$F426)/365.25,0)</f>
        <v/>
      </c>
      <c r="M426" s="65" t="inlineStr">
        <is>
          <t>股票申購</t>
        </is>
      </c>
      <c r="N426" s="141" t="n"/>
    </row>
    <row r="427" hidden="1" outlineLevel="1" customFormat="1" s="65">
      <c r="A427" s="508" t="n">
        <v>44300</v>
      </c>
      <c r="B427" s="508" t="n">
        <v>44505</v>
      </c>
      <c r="C427" s="123">
        <f>81638</f>
        <v/>
      </c>
      <c r="D427" s="509" t="n"/>
      <c r="E427" s="510">
        <f>E426+C427-D427</f>
        <v/>
      </c>
      <c r="F427" s="510">
        <f>-D326/5*4+C427</f>
        <v/>
      </c>
      <c r="G427" s="511">
        <f>G426+F427</f>
        <v/>
      </c>
      <c r="H427" s="511">
        <f>IF(B427="",$C$1-A427,DATEDIF(A427,B427,"d"))</f>
        <v/>
      </c>
      <c r="I427">
        <f>IF(B427="",$C$1-A427,H427)</f>
        <v/>
      </c>
      <c r="J427" s="65" t="inlineStr">
        <is>
          <t>長榮航(2618)</t>
        </is>
      </c>
      <c r="K427">
        <f>IF(F427&gt;0,(H427*$F427)/365.25,0)</f>
        <v/>
      </c>
      <c r="L427">
        <f>IF(F427&gt;0,(I427*$F427)/365.25,0)</f>
        <v/>
      </c>
    </row>
    <row r="428" hidden="1" outlineLevel="1">
      <c r="A428" s="508" t="n">
        <v>44508</v>
      </c>
      <c r="B428" s="508" t="n">
        <v>44510</v>
      </c>
      <c r="C428" s="123" t="n">
        <v>104450</v>
      </c>
      <c r="D428" s="509" t="n">
        <v>104470</v>
      </c>
      <c r="E428" s="510">
        <f>E427+C428-D428</f>
        <v/>
      </c>
      <c r="F428" s="510">
        <f>C428-D428</f>
        <v/>
      </c>
      <c r="G428" s="511">
        <f>G427+F428</f>
        <v/>
      </c>
      <c r="H428" s="511">
        <f>IF(B428="",$C$1-A428,DATEDIF(A428,B428,"d"))</f>
        <v/>
      </c>
      <c r="I428">
        <f>IF(B428="",$C$1-A428,H428)</f>
        <v/>
      </c>
      <c r="J428" s="65" t="inlineStr">
        <is>
          <t>森威能源</t>
        </is>
      </c>
      <c r="K428">
        <f>IF(F428&gt;0,(H428*$F428)/365.25,0)</f>
        <v/>
      </c>
      <c r="L428">
        <f>IF(F428&gt;0,(I428*$F428)/365.25,0)</f>
        <v/>
      </c>
      <c r="M428" s="65" t="inlineStr">
        <is>
          <t>股票申購</t>
        </is>
      </c>
      <c r="N428" s="141" t="n"/>
    </row>
    <row r="429" hidden="1" outlineLevel="1">
      <c r="A429" s="508" t="n">
        <v>44510</v>
      </c>
      <c r="B429" s="508" t="n">
        <v>44512</v>
      </c>
      <c r="C429" s="123" t="n">
        <v>19050</v>
      </c>
      <c r="D429" s="509" t="n">
        <v>19070</v>
      </c>
      <c r="E429" s="510">
        <f>E428+C429-D429</f>
        <v/>
      </c>
      <c r="F429" s="510">
        <f>C429-D429</f>
        <v/>
      </c>
      <c r="G429" s="511">
        <f>G428+F429</f>
        <v/>
      </c>
      <c r="H429" s="511">
        <f>IF(B429="",$C$1-A429,DATEDIF(A429,B429,"d"))</f>
        <v/>
      </c>
      <c r="I429">
        <f>IF(B429="",$C$1-A429,H429)</f>
        <v/>
      </c>
      <c r="J429" s="65" t="inlineStr">
        <is>
          <t>星寶國際</t>
        </is>
      </c>
      <c r="K429">
        <f>IF(F429&gt;0,(H429*$F429)/365.25,0)</f>
        <v/>
      </c>
      <c r="L429">
        <f>IF(F429&gt;0,(I429*$F429)/365.25,0)</f>
        <v/>
      </c>
      <c r="M429" s="65" t="inlineStr">
        <is>
          <t>股票申購</t>
        </is>
      </c>
      <c r="N429" s="65" t="n"/>
    </row>
    <row r="430" hidden="1" outlineLevel="1">
      <c r="A430" s="508" t="n">
        <v>44512</v>
      </c>
      <c r="B430" s="508" t="n">
        <v>44516</v>
      </c>
      <c r="C430" s="123" t="n">
        <v>21050</v>
      </c>
      <c r="D430" s="509" t="n">
        <v>21070</v>
      </c>
      <c r="E430" s="510">
        <f>E429+C430-D430</f>
        <v/>
      </c>
      <c r="F430" s="510">
        <f>C430-D430</f>
        <v/>
      </c>
      <c r="G430" s="511">
        <f>G429+F430</f>
        <v/>
      </c>
      <c r="H430" s="511">
        <f>IF(B430="",$C$1-A430,DATEDIF(A430,B430,"d"))</f>
        <v/>
      </c>
      <c r="I430">
        <f>IF(B430="",$C$1-A430,H430)</f>
        <v/>
      </c>
      <c r="J430" s="65" t="inlineStr">
        <is>
          <t>大亞</t>
        </is>
      </c>
      <c r="K430">
        <f>IF(F430&gt;0,(H430*$F430)/365.25,0)</f>
        <v/>
      </c>
      <c r="L430">
        <f>IF(F430&gt;0,(I430*$F430)/365.25,0)</f>
        <v/>
      </c>
      <c r="M430" s="65" t="inlineStr">
        <is>
          <t>股票申購</t>
        </is>
      </c>
    </row>
    <row r="431" hidden="1" outlineLevel="1">
      <c r="A431" s="508" t="n">
        <v>44517</v>
      </c>
      <c r="B431" s="508" t="n"/>
      <c r="C431" s="123" t="n"/>
      <c r="D431" s="509" t="n">
        <v>63390</v>
      </c>
      <c r="E431" s="510">
        <f>E430+C431-D431</f>
        <v/>
      </c>
      <c r="F431" s="510" t="n"/>
      <c r="G431" s="511">
        <f>G430+F431</f>
        <v/>
      </c>
      <c r="H431" s="511">
        <f>IF(B431="",$C$1-A431,DATEDIF(A431,B431,"d"))</f>
        <v/>
      </c>
      <c r="I431">
        <f>IF(B431="",$C$1-A431,H431)</f>
        <v/>
      </c>
      <c r="J431" s="65" t="inlineStr">
        <is>
          <t>東元(1504)</t>
        </is>
      </c>
      <c r="K431">
        <f>IF(F431&gt;0,(H431*$F431)/365.25,0)</f>
        <v/>
      </c>
      <c r="L431">
        <f>IF(F431&gt;0,(I431*$F431)/365.25,0)</f>
        <v/>
      </c>
      <c r="M431" s="65" t="n"/>
      <c r="N431" s="65" t="n"/>
    </row>
    <row r="432" hidden="1" outlineLevel="1">
      <c r="A432" s="508" t="n">
        <v>44517</v>
      </c>
      <c r="B432" s="508" t="n">
        <v>44519</v>
      </c>
      <c r="C432" s="123" t="n">
        <v>27250</v>
      </c>
      <c r="D432" s="509" t="n">
        <v>27270</v>
      </c>
      <c r="E432" s="510">
        <f>E431+C432-D432</f>
        <v/>
      </c>
      <c r="F432" s="510">
        <f>C432-D432</f>
        <v/>
      </c>
      <c r="G432" s="511">
        <f>G431+F432</f>
        <v/>
      </c>
      <c r="H432" s="511">
        <f>IF(B432="",$C$1-A432,DATEDIF(A432,B432,"d"))</f>
        <v/>
      </c>
      <c r="I432">
        <f>IF(B432="",$C$1-A432,H432)</f>
        <v/>
      </c>
      <c r="J432" s="65" t="inlineStr">
        <is>
          <t>鑫創</t>
        </is>
      </c>
      <c r="K432">
        <f>IF(F432&gt;0,(H432*$F432)/365.25,0)</f>
        <v/>
      </c>
      <c r="L432">
        <f>IF(F432&gt;0,(I432*$F432)/365.25,0)</f>
        <v/>
      </c>
      <c r="M432" s="65" t="inlineStr">
        <is>
          <t>股票申購</t>
        </is>
      </c>
      <c r="N432" s="141" t="n"/>
    </row>
    <row r="433" hidden="1" outlineLevel="1">
      <c r="A433" s="508" t="n">
        <v>44518</v>
      </c>
      <c r="B433" s="508" t="n">
        <v>44522</v>
      </c>
      <c r="C433" s="123" t="n">
        <v>21050</v>
      </c>
      <c r="D433" s="509" t="n">
        <v>21070</v>
      </c>
      <c r="E433" s="510">
        <f>E432+C433-D433</f>
        <v/>
      </c>
      <c r="F433" s="510">
        <f>C433-D433</f>
        <v/>
      </c>
      <c r="G433" s="511">
        <f>G432+F433</f>
        <v/>
      </c>
      <c r="H433" s="511">
        <f>IF(B433="",$C$1-A433,DATEDIF(A433,B433,"d"))</f>
        <v/>
      </c>
      <c r="I433">
        <f>IF(B433="",$C$1-A433,H433)</f>
        <v/>
      </c>
      <c r="J433" s="65" t="inlineStr">
        <is>
          <t>精聯</t>
        </is>
      </c>
      <c r="K433">
        <f>IF(F433&gt;0,(H433*$F433)/365.25,0)</f>
        <v/>
      </c>
      <c r="L433">
        <f>IF(F433&gt;0,(I433*$F433)/365.25,0)</f>
        <v/>
      </c>
      <c r="M433" s="65" t="inlineStr">
        <is>
          <t>股票申購</t>
        </is>
      </c>
      <c r="N433" s="65" t="n"/>
    </row>
    <row r="434" hidden="1" outlineLevel="1">
      <c r="A434" s="508" t="n">
        <v>44518</v>
      </c>
      <c r="B434" s="508" t="n">
        <v>44522</v>
      </c>
      <c r="C434" s="123" t="n">
        <v>77050</v>
      </c>
      <c r="D434" s="509" t="n">
        <v>77070</v>
      </c>
      <c r="E434" s="510">
        <f>E433+C434-D434</f>
        <v/>
      </c>
      <c r="F434" s="510">
        <f>C434-D434</f>
        <v/>
      </c>
      <c r="G434" s="511">
        <f>G433+F434</f>
        <v/>
      </c>
      <c r="H434" s="511">
        <f>IF(B434="",$C$1-A434,DATEDIF(A434,B434,"d"))</f>
        <v/>
      </c>
      <c r="I434">
        <f>IF(B434="",$C$1-A434,H434)</f>
        <v/>
      </c>
      <c r="J434" s="65" t="inlineStr">
        <is>
          <t>均興-KY</t>
        </is>
      </c>
      <c r="K434">
        <f>IF(F434&gt;0,(H434*$F434)/365.25,0)</f>
        <v/>
      </c>
      <c r="L434">
        <f>IF(F434&gt;0,(I434*$F434)/365.25,0)</f>
        <v/>
      </c>
      <c r="M434" s="65" t="inlineStr">
        <is>
          <t>股票申購</t>
        </is>
      </c>
    </row>
    <row r="435" hidden="1" outlineLevel="1">
      <c r="A435" s="508" t="n">
        <v>44519</v>
      </c>
      <c r="B435" s="508" t="n"/>
      <c r="C435" s="123" t="n"/>
      <c r="D435" s="509" t="n">
        <v>164233</v>
      </c>
      <c r="E435" s="510">
        <f>E434+C435-D435</f>
        <v/>
      </c>
      <c r="F435" s="510" t="n"/>
      <c r="G435" s="511">
        <f>G434+F435</f>
        <v/>
      </c>
      <c r="H435" s="511">
        <f>IF(B435="",$C$1-A435,DATEDIF(A435,B435,"d"))</f>
        <v/>
      </c>
      <c r="I435">
        <f>IF(B435="",$C$1-A435,H435)</f>
        <v/>
      </c>
      <c r="J435" s="65" t="inlineStr">
        <is>
          <t>敦泰(3545)</t>
        </is>
      </c>
      <c r="K435">
        <f>IF(F435&gt;0,(H435*$F435)/365.25,0)</f>
        <v/>
      </c>
      <c r="L435">
        <f>IF(F435&gt;0,(I435*$F435)/365.25,0)</f>
        <v/>
      </c>
      <c r="M435" s="65" t="n"/>
      <c r="N435" s="65" t="n"/>
    </row>
    <row r="436" hidden="1" outlineLevel="1">
      <c r="A436" s="508" t="n">
        <v>44519</v>
      </c>
      <c r="B436" s="508" t="n">
        <v>44523</v>
      </c>
      <c r="C436" s="123" t="n">
        <v>77050</v>
      </c>
      <c r="D436" s="509" t="n">
        <v>77070</v>
      </c>
      <c r="E436" s="510">
        <f>E435+C436-D436</f>
        <v/>
      </c>
      <c r="F436" s="510">
        <f>C436-D436</f>
        <v/>
      </c>
      <c r="G436" s="511">
        <f>G435+F436</f>
        <v/>
      </c>
      <c r="H436" s="511">
        <f>IF(B436="",$C$1-A436,DATEDIF(A436,B436,"d"))</f>
        <v/>
      </c>
      <c r="I436">
        <f>IF(B436="",$C$1-A436,H436)</f>
        <v/>
      </c>
      <c r="J436" s="65" t="inlineStr">
        <is>
          <t>三地開發</t>
        </is>
      </c>
      <c r="K436">
        <f>IF(F436&gt;0,(H436*$F436)/365.25,0)</f>
        <v/>
      </c>
      <c r="L436">
        <f>IF(F436&gt;0,(I436*$F436)/365.25,0)</f>
        <v/>
      </c>
      <c r="M436" s="65" t="inlineStr">
        <is>
          <t>股票申購</t>
        </is>
      </c>
      <c r="N436" s="65" t="n"/>
    </row>
    <row r="437" hidden="1" outlineLevel="1">
      <c r="A437" s="508" t="n">
        <v>44523</v>
      </c>
      <c r="B437" s="508" t="n">
        <v>44525</v>
      </c>
      <c r="C437" s="123" t="n">
        <v>69050</v>
      </c>
      <c r="D437" s="509" t="n">
        <v>69070</v>
      </c>
      <c r="E437" s="510">
        <f>E436+C437-D437</f>
        <v/>
      </c>
      <c r="F437" s="510">
        <f>C437-D437</f>
        <v/>
      </c>
      <c r="G437" s="511">
        <f>G436+F437</f>
        <v/>
      </c>
      <c r="H437" s="511">
        <f>IF(B437="",$C$1-A437,DATEDIF(A437,B437,"d"))</f>
        <v/>
      </c>
      <c r="I437">
        <f>IF(B437="",$C$1-A437,H437)</f>
        <v/>
      </c>
      <c r="J437" s="65" t="inlineStr">
        <is>
          <t>三商家購</t>
        </is>
      </c>
      <c r="K437">
        <f>IF(F437&gt;0,(H437*$F437)/365.25,0)</f>
        <v/>
      </c>
      <c r="L437">
        <f>IF(F437&gt;0,(I437*$F437)/365.25,0)</f>
        <v/>
      </c>
      <c r="M437" s="65" t="inlineStr">
        <is>
          <t>股票申購</t>
        </is>
      </c>
      <c r="N437" s="65" t="n"/>
    </row>
    <row r="438" hidden="1" outlineLevel="1" customFormat="1" s="65">
      <c r="A438" s="508" t="n">
        <v>44524</v>
      </c>
      <c r="B438" s="508" t="n">
        <v>44558</v>
      </c>
      <c r="C438" s="123" t="n"/>
      <c r="D438" s="509" t="n">
        <v>21981</v>
      </c>
      <c r="E438" s="510">
        <f>E437+C438-D438</f>
        <v/>
      </c>
      <c r="F438" s="510" t="n"/>
      <c r="G438" s="511">
        <f>G437+F438</f>
        <v/>
      </c>
      <c r="H438" s="511">
        <f>IF(B438="",$C$1-A438,DATEDIF(A438,B438,"d"))</f>
        <v/>
      </c>
      <c r="I438">
        <f>IF(B438="",$C$1-A438,H438)</f>
        <v/>
      </c>
      <c r="J438" s="65" t="inlineStr">
        <is>
          <t>友達(2409)</t>
        </is>
      </c>
      <c r="K438">
        <f>IF(F438&gt;0,(H438*$F438)/365.25,0)</f>
        <v/>
      </c>
      <c r="L438">
        <f>IF(F438&gt;0,(I438*$F438)/365.25,0)</f>
        <v/>
      </c>
    </row>
    <row r="439" hidden="1" outlineLevel="1" customFormat="1" s="65">
      <c r="A439" s="508" t="n">
        <v>44524</v>
      </c>
      <c r="B439" s="508" t="n">
        <v>44553</v>
      </c>
      <c r="C439" s="123" t="n"/>
      <c r="D439" s="509" t="n">
        <v>19077</v>
      </c>
      <c r="E439" s="510">
        <f>E438+C439-D439</f>
        <v/>
      </c>
      <c r="F439" s="510" t="n"/>
      <c r="G439" s="511">
        <f>G438+F439</f>
        <v/>
      </c>
      <c r="H439" s="511">
        <f>IF(B439="",$C$1-A439,DATEDIF(A439,B439,"d"))</f>
        <v/>
      </c>
      <c r="I439">
        <f>IF(B439="",$C$1-A439,H439)</f>
        <v/>
      </c>
      <c r="J439" s="65" t="inlineStr">
        <is>
          <t>群創(3481)</t>
        </is>
      </c>
      <c r="K439">
        <f>IF(F439&gt;0,(H439*$F439)/365.25,0)</f>
        <v/>
      </c>
      <c r="L439">
        <f>IF(F439&gt;0,(I439*$F439)/365.25,0)</f>
        <v/>
      </c>
    </row>
    <row r="440" hidden="1" outlineLevel="1" customFormat="1" s="65">
      <c r="A440" s="508" t="n">
        <v>44525</v>
      </c>
      <c r="B440" s="508" t="n">
        <v>44558</v>
      </c>
      <c r="C440" s="123" t="n"/>
      <c r="D440" s="509" t="n">
        <v>108153</v>
      </c>
      <c r="E440" s="510">
        <f>E439+C440-D440</f>
        <v/>
      </c>
      <c r="F440" s="510" t="n"/>
      <c r="G440" s="511">
        <f>G439+F440</f>
        <v/>
      </c>
      <c r="H440" s="511">
        <f>IF(B440="",$C$1-A440,DATEDIF(A440,B440,"d"))</f>
        <v/>
      </c>
      <c r="I440">
        <f>IF(B440="",$C$1-A440,H440)</f>
        <v/>
      </c>
      <c r="J440" s="65" t="inlineStr">
        <is>
          <t>強茂(2481)</t>
        </is>
      </c>
      <c r="K440">
        <f>IF(F440&gt;0,(H440*$F440)/365.25,0)</f>
        <v/>
      </c>
      <c r="L440">
        <f>IF(F440&gt;0,(I440*$F440)/365.25,0)</f>
        <v/>
      </c>
    </row>
    <row r="441" hidden="1" outlineLevel="1">
      <c r="A441" s="508" t="n">
        <v>44529</v>
      </c>
      <c r="B441" s="508" t="n">
        <v>44531</v>
      </c>
      <c r="C441" s="123" t="n">
        <v>16300</v>
      </c>
      <c r="D441" s="509" t="n">
        <v>16320</v>
      </c>
      <c r="E441" s="510">
        <f>E440+C441-D441</f>
        <v/>
      </c>
      <c r="F441" s="510">
        <f>C441-D441</f>
        <v/>
      </c>
      <c r="G441" s="511">
        <f>G440+F441</f>
        <v/>
      </c>
      <c r="H441" s="511">
        <f>IF(B441="",$C$1-A441,DATEDIF(A441,B441,"d"))</f>
        <v/>
      </c>
      <c r="I441">
        <f>IF(B441="",$C$1-A441,H441)</f>
        <v/>
      </c>
      <c r="J441" s="65" t="inlineStr">
        <is>
          <t>三地開發</t>
        </is>
      </c>
      <c r="K441">
        <f>IF(F441&gt;0,(H441*$F441)/365.25,0)</f>
        <v/>
      </c>
      <c r="L441">
        <f>IF(F441&gt;0,(I441*$F441)/365.25,0)</f>
        <v/>
      </c>
      <c r="M441" s="65" t="inlineStr">
        <is>
          <t>股票申購</t>
        </is>
      </c>
      <c r="N441" s="65" t="n"/>
    </row>
    <row r="442" hidden="1" outlineLevel="1">
      <c r="A442" s="508" t="n">
        <v>44529</v>
      </c>
      <c r="B442" s="508" t="n">
        <v>44531</v>
      </c>
      <c r="C442" s="123" t="n">
        <v>49930</v>
      </c>
      <c r="D442" s="509" t="n">
        <v>49950</v>
      </c>
      <c r="E442" s="510">
        <f>E441+C442-D442</f>
        <v/>
      </c>
      <c r="F442" s="510">
        <f>C442-D442</f>
        <v/>
      </c>
      <c r="G442" s="511">
        <f>G441+F442</f>
        <v/>
      </c>
      <c r="H442" s="511">
        <f>IF(B442="",$C$1-A442,DATEDIF(A442,B442,"d"))</f>
        <v/>
      </c>
      <c r="I442">
        <f>IF(B442="",$C$1-A442,H442)</f>
        <v/>
      </c>
      <c r="J442" s="65" t="inlineStr">
        <is>
          <t>三商家購</t>
        </is>
      </c>
      <c r="K442">
        <f>IF(F442&gt;0,(H442*$F442)/365.25,0)</f>
        <v/>
      </c>
      <c r="L442">
        <f>IF(F442&gt;0,(I442*$F442)/365.25,0)</f>
        <v/>
      </c>
      <c r="M442" s="65" t="inlineStr">
        <is>
          <t>股票申購</t>
        </is>
      </c>
      <c r="N442" s="65" t="n"/>
    </row>
    <row r="443" hidden="1" outlineLevel="1" customFormat="1" s="65">
      <c r="A443" s="508" t="n">
        <v>44313</v>
      </c>
      <c r="B443" s="508" t="n">
        <v>44533</v>
      </c>
      <c r="C443" s="123" t="n">
        <v>18319</v>
      </c>
      <c r="D443" s="509" t="n"/>
      <c r="E443" s="510">
        <f>E442+C443-D443</f>
        <v/>
      </c>
      <c r="F443" s="510">
        <f>-D356/2+C443</f>
        <v/>
      </c>
      <c r="G443" s="511">
        <f>G442+F443</f>
        <v/>
      </c>
      <c r="H443" s="511">
        <f>IF(B443="",$C$1-A443,DATEDIF(A443,B443,"d"))</f>
        <v/>
      </c>
      <c r="I443">
        <f>IF(B443="",$C$1-A443,H443)</f>
        <v/>
      </c>
      <c r="J443" s="65" t="inlineStr">
        <is>
          <t>綠電(8440)</t>
        </is>
      </c>
      <c r="K443">
        <f>IF(F443&gt;0,(H443*$F443)/365.25,0)</f>
        <v/>
      </c>
      <c r="L443">
        <f>IF(F443&gt;0,(I443*$F443)/365.25,0)</f>
        <v/>
      </c>
    </row>
    <row r="444" hidden="1" outlineLevel="1">
      <c r="A444" s="518" t="n">
        <v>44540</v>
      </c>
      <c r="B444" s="518" t="n"/>
      <c r="C444" s="148" t="n">
        <v>258</v>
      </c>
      <c r="D444" s="519" t="n"/>
      <c r="E444" s="520">
        <f>E443+C444-D444</f>
        <v/>
      </c>
      <c r="F444" s="520">
        <f>C444-D444</f>
        <v/>
      </c>
      <c r="G444" s="521">
        <f>G443+F444</f>
        <v/>
      </c>
      <c r="H444" s="521">
        <f>IF(B444="",DATEDIF(A444,$F$1,"d"),DATEDIF(A444,B444,"d"))</f>
        <v/>
      </c>
      <c r="I444" s="152">
        <f>IF(B444="",$C$1-A444,H444)</f>
        <v/>
      </c>
      <c r="J444" s="152" t="inlineStr">
        <is>
          <t>折讓入帳</t>
        </is>
      </c>
      <c r="K444" s="152">
        <f>IF(F444&gt;0,(H444*$F444)/365.25,0)</f>
        <v/>
      </c>
      <c r="L444" s="152">
        <f>IF(F444&gt;0,(I444*$F444)/365.25,0)</f>
        <v/>
      </c>
      <c r="M444" s="160" t="n"/>
    </row>
    <row r="445" hidden="1" outlineLevel="1">
      <c r="A445" s="508" t="n">
        <v>44445</v>
      </c>
      <c r="B445" s="508" t="n">
        <v>44547</v>
      </c>
      <c r="C445" s="123" t="n">
        <v>148341</v>
      </c>
      <c r="D445" s="509" t="n"/>
      <c r="E445" s="510">
        <f>E444+C445-D445</f>
        <v/>
      </c>
      <c r="F445" s="510" t="n"/>
      <c r="G445" s="511">
        <f>G444+F445</f>
        <v/>
      </c>
      <c r="H445" s="511">
        <f>IF(B445="",$C$1-A445,DATEDIF(A445,B445,"d"))</f>
        <v/>
      </c>
      <c r="I445">
        <f>IF(B445="",$C$1-A445,H445)</f>
        <v/>
      </c>
      <c r="J445" s="65" t="inlineStr">
        <is>
          <t>帆宣(6196)</t>
        </is>
      </c>
      <c r="K445">
        <f>IF(F445&gt;0,(H445*$F445)/365.25,0)</f>
        <v/>
      </c>
      <c r="L445">
        <f>IF(F445&gt;0,(I445*$F445)/365.25,0)</f>
        <v/>
      </c>
      <c r="M445" s="65" t="n"/>
    </row>
    <row r="446" hidden="1" outlineLevel="1" customFormat="1" s="65">
      <c r="A446" s="513" t="n">
        <v>44551</v>
      </c>
      <c r="B446" s="513" t="n"/>
      <c r="C446" s="154" t="n">
        <v>113</v>
      </c>
      <c r="D446" s="514" t="n"/>
      <c r="E446" s="515">
        <f>E445+C446-D446</f>
        <v/>
      </c>
      <c r="F446" s="515">
        <f>C446-D446</f>
        <v/>
      </c>
      <c r="G446" s="516">
        <f>IF(B446="",G445,G445+C446-D446)</f>
        <v/>
      </c>
      <c r="H446" s="516">
        <f>IF(B446="",$C$1-A446,DATEDIF(A446,B446,"d"))</f>
        <v/>
      </c>
      <c r="I446" s="158">
        <f>IF(B446="",$C$1-A446,H446)</f>
        <v/>
      </c>
      <c r="J446" s="158" t="inlineStr">
        <is>
          <t>利息</t>
        </is>
      </c>
      <c r="K446" s="158">
        <f>(H446*$C446)/365.25</f>
        <v/>
      </c>
      <c r="L446" s="158">
        <f>(I446*$C446)/365.25</f>
        <v/>
      </c>
      <c r="M446" s="159" t="n"/>
    </row>
    <row r="447" hidden="1" outlineLevel="1" customFormat="1" s="65">
      <c r="A447" s="508" t="n">
        <v>44553</v>
      </c>
      <c r="B447" s="508" t="n"/>
      <c r="C447" s="123" t="n"/>
      <c r="D447" s="509" t="n">
        <v>38354</v>
      </c>
      <c r="E447" s="510">
        <f>E446+C447-D447</f>
        <v/>
      </c>
      <c r="F447" s="510" t="n"/>
      <c r="G447" s="511">
        <f>G446+F447</f>
        <v/>
      </c>
      <c r="H447" s="511">
        <f>IF(B447="",$C$1-A447,DATEDIF(A447,B447,"d"))</f>
        <v/>
      </c>
      <c r="I447">
        <f>IF(B447="",$C$1-A447,H447)</f>
        <v/>
      </c>
      <c r="J447" s="65" t="inlineStr">
        <is>
          <t>台橡(2103)</t>
        </is>
      </c>
      <c r="K447">
        <f>IF(F447&gt;0,(H447*$F447)/365.25,0)</f>
        <v/>
      </c>
      <c r="L447">
        <f>IF(F447&gt;0,(I447*$F447)/365.25,0)</f>
        <v/>
      </c>
    </row>
    <row r="448" hidden="1" outlineLevel="1" customFormat="1" s="65">
      <c r="A448" s="508" t="n">
        <v>44553</v>
      </c>
      <c r="B448" s="508" t="n"/>
      <c r="C448" s="123" t="n"/>
      <c r="D448" s="509" t="n">
        <v>27989</v>
      </c>
      <c r="E448" s="510">
        <f>E447+C448-D448</f>
        <v/>
      </c>
      <c r="F448" s="510" t="n"/>
      <c r="G448" s="511">
        <f>G447+F448</f>
        <v/>
      </c>
      <c r="H448" s="511">
        <f>IF(B448="",$C$1-A448,DATEDIF(A448,B448,"d"))</f>
        <v/>
      </c>
      <c r="I448">
        <f>IF(B448="",$C$1-A448,H448)</f>
        <v/>
      </c>
      <c r="J448" s="65" t="inlineStr">
        <is>
          <t>銘異(3060)</t>
        </is>
      </c>
      <c r="K448">
        <f>IF(F448&gt;0,(H448*$F448)/365.25,0)</f>
        <v/>
      </c>
      <c r="L448">
        <f>IF(F448&gt;0,(I448*$F448)/365.25,0)</f>
        <v/>
      </c>
    </row>
    <row r="449" hidden="1" outlineLevel="1" customFormat="1" s="65">
      <c r="A449" s="508" t="n">
        <v>44524</v>
      </c>
      <c r="B449" s="508" t="n">
        <v>44553</v>
      </c>
      <c r="C449" s="123" t="n">
        <v>19265</v>
      </c>
      <c r="D449" s="509" t="n"/>
      <c r="E449" s="510">
        <f>E448+C449-D449</f>
        <v/>
      </c>
      <c r="F449" s="510">
        <f>-D439+C449</f>
        <v/>
      </c>
      <c r="G449" s="511">
        <f>G448+F449</f>
        <v/>
      </c>
      <c r="H449" s="511">
        <f>IF(B449="",$C$1-A449,DATEDIF(A449,B449,"d"))</f>
        <v/>
      </c>
      <c r="I449">
        <f>IF(B449="",$C$1-A449,H449)</f>
        <v/>
      </c>
      <c r="J449" s="65" t="inlineStr">
        <is>
          <t>群創(3481)</t>
        </is>
      </c>
      <c r="K449">
        <f>IF(F449&gt;0,(H449*$F449)/365.25,0)</f>
        <v/>
      </c>
      <c r="L449">
        <f>IF(F449&gt;0,(I449*$F449)/365.25,0)</f>
        <v/>
      </c>
    </row>
    <row r="450" hidden="1" outlineLevel="1" customFormat="1" s="65">
      <c r="A450" s="508" t="n">
        <v>44293</v>
      </c>
      <c r="B450" s="508" t="n">
        <v>44558</v>
      </c>
      <c r="C450" s="123">
        <f>289500-412-868</f>
        <v/>
      </c>
      <c r="D450" s="509" t="n"/>
      <c r="E450" s="510">
        <f>E449+C450-D450</f>
        <v/>
      </c>
      <c r="F450" s="510">
        <f>-D313+C450</f>
        <v/>
      </c>
      <c r="G450" s="511">
        <f>G449+F450</f>
        <v/>
      </c>
      <c r="H450" s="511">
        <f>IF(B450="",$C$1-A450,DATEDIF(A450,B450,"d"))</f>
        <v/>
      </c>
      <c r="I450">
        <f>IF(B450="",$C$1-A450,H450)</f>
        <v/>
      </c>
      <c r="J450" s="65" t="inlineStr">
        <is>
          <t>信邦(3023)</t>
        </is>
      </c>
      <c r="K450">
        <f>IF(F450&gt;0,(H450*$F450)/365.25,0)</f>
        <v/>
      </c>
      <c r="L450">
        <f>IF(F450&gt;0,(I450*$F450)/365.25,0)</f>
        <v/>
      </c>
    </row>
    <row r="451" hidden="1" outlineLevel="1" customFormat="1" s="65">
      <c r="A451" s="508" t="n">
        <v>44308</v>
      </c>
      <c r="B451" s="508" t="n">
        <v>44558</v>
      </c>
      <c r="C451" s="123">
        <f>42900-60-128</f>
        <v/>
      </c>
      <c r="D451" s="509" t="n"/>
      <c r="E451" s="510">
        <f>E450+C451-D451</f>
        <v/>
      </c>
      <c r="F451" s="510">
        <f>-D345+C451</f>
        <v/>
      </c>
      <c r="G451" s="511">
        <f>G450+F451</f>
        <v/>
      </c>
      <c r="H451" s="511">
        <f>IF(B451="",$C$1-A451,DATEDIF(A451,B451,"d"))</f>
        <v/>
      </c>
      <c r="I451">
        <f>IF(B451="",$C$1-A451,H451)</f>
        <v/>
      </c>
      <c r="J451" s="65" t="inlineStr">
        <is>
          <t>台船(2208)</t>
        </is>
      </c>
      <c r="K451">
        <f>IF(F451&gt;0,(H451*$F451)/365.25,0)</f>
        <v/>
      </c>
      <c r="L451">
        <f>IF(F451&gt;0,(I451*$F451)/365.25,0)</f>
        <v/>
      </c>
    </row>
    <row r="452" hidden="1" outlineLevel="1" customFormat="1" s="65">
      <c r="A452" s="508" t="n">
        <v>44308</v>
      </c>
      <c r="B452" s="508" t="n">
        <v>44558</v>
      </c>
      <c r="C452" s="123">
        <f>22350-31-67</f>
        <v/>
      </c>
      <c r="D452" s="509" t="n"/>
      <c r="E452" s="510">
        <f>E451+C452-D452</f>
        <v/>
      </c>
      <c r="F452" s="510">
        <f>-D438+C452</f>
        <v/>
      </c>
      <c r="G452" s="511">
        <f>G451+F452</f>
        <v/>
      </c>
      <c r="H452" s="511">
        <f>IF(B452="",$C$1-A452,DATEDIF(A452,B452,"d"))</f>
        <v/>
      </c>
      <c r="I452">
        <f>IF(B452="",$C$1-A452,H452)</f>
        <v/>
      </c>
      <c r="J452" s="65" t="inlineStr">
        <is>
          <t>友達(2409)</t>
        </is>
      </c>
      <c r="K452">
        <f>IF(F452&gt;0,(H452*$F452)/365.25,0)</f>
        <v/>
      </c>
      <c r="L452">
        <f>IF(F452&gt;0,(I452*$F452)/365.25,0)</f>
        <v/>
      </c>
    </row>
    <row r="453" hidden="1" outlineLevel="1" customFormat="1" s="65">
      <c r="A453" s="508" t="n">
        <v>44525</v>
      </c>
      <c r="B453" s="508" t="n">
        <v>44558</v>
      </c>
      <c r="C453" s="123">
        <f>109000-155-327</f>
        <v/>
      </c>
      <c r="D453" s="509" t="n"/>
      <c r="E453" s="510">
        <f>E452+C453-D453</f>
        <v/>
      </c>
      <c r="F453" s="510">
        <f>-D440+C453</f>
        <v/>
      </c>
      <c r="G453" s="511">
        <f>G452+F453</f>
        <v/>
      </c>
      <c r="H453" s="511">
        <f>IF(B453="",$C$1-A453,DATEDIF(A453,B453,"d"))</f>
        <v/>
      </c>
      <c r="I453">
        <f>IF(B453="",$C$1-A453,H453)</f>
        <v/>
      </c>
      <c r="J453" s="65" t="inlineStr">
        <is>
          <t>強茂(2481)</t>
        </is>
      </c>
      <c r="K453">
        <f>IF(F453&gt;0,(H453*$F453)/365.25,0)</f>
        <v/>
      </c>
      <c r="L453">
        <f>IF(F453&gt;0,(I453*$F453)/365.25,0)</f>
        <v/>
      </c>
    </row>
    <row r="454" hidden="1" outlineLevel="1" customFormat="1" s="65">
      <c r="A454" s="508" t="n">
        <v>44553</v>
      </c>
      <c r="B454" s="508" t="n">
        <v>44558</v>
      </c>
      <c r="C454" s="123">
        <f>40950-58-122</f>
        <v/>
      </c>
      <c r="D454" s="509" t="n"/>
      <c r="E454" s="510">
        <f>E453+C454-D454</f>
        <v/>
      </c>
      <c r="F454" s="510">
        <f>-D447+C454</f>
        <v/>
      </c>
      <c r="G454" s="511">
        <f>G453+F454</f>
        <v/>
      </c>
      <c r="H454" s="511">
        <f>IF(B454="",$C$1-A454,DATEDIF(A454,B454,"d"))</f>
        <v/>
      </c>
      <c r="I454">
        <f>IF(B454="",$C$1-A454,H454)</f>
        <v/>
      </c>
      <c r="J454" s="65" t="inlineStr">
        <is>
          <t>台橡(2103)</t>
        </is>
      </c>
      <c r="K454">
        <f>IF(F454&gt;0,(H454*$F454)/365.25,0)</f>
        <v/>
      </c>
      <c r="L454">
        <f>IF(F454&gt;0,(I454*$F454)/365.25,0)</f>
        <v/>
      </c>
    </row>
    <row r="455" hidden="1" outlineLevel="1" customFormat="1" s="65">
      <c r="A455" s="508" t="n">
        <v>44553</v>
      </c>
      <c r="B455" s="508" t="n">
        <v>44558</v>
      </c>
      <c r="C455" s="123">
        <f>26300-37-78</f>
        <v/>
      </c>
      <c r="D455" s="509" t="n"/>
      <c r="E455" s="510">
        <f>E454+C455-D455</f>
        <v/>
      </c>
      <c r="F455" s="510">
        <f>-D448+C455</f>
        <v/>
      </c>
      <c r="G455" s="511">
        <f>G454+F455</f>
        <v/>
      </c>
      <c r="H455" s="511">
        <f>IF(B455="",$C$1-A455,DATEDIF(A455,B455,"d"))</f>
        <v/>
      </c>
      <c r="I455">
        <f>IF(B455="",$C$1-A455,H455)</f>
        <v/>
      </c>
      <c r="J455" s="65" t="inlineStr">
        <is>
          <t>銘異(3060)</t>
        </is>
      </c>
      <c r="K455">
        <f>IF(F455&gt;0,(H455*$F455)/365.25,0)</f>
        <v/>
      </c>
      <c r="L455">
        <f>IF(F455&gt;0,(I455*$F455)/365.25,0)</f>
        <v/>
      </c>
    </row>
    <row r="456" ht="17.25" customHeight="1" thickBot="1">
      <c r="A456" s="508" t="n">
        <v>44560</v>
      </c>
      <c r="B456" s="508" t="n">
        <v>44565</v>
      </c>
      <c r="C456" s="123" t="n">
        <v>308050</v>
      </c>
      <c r="D456" s="509" t="n">
        <v>308070</v>
      </c>
      <c r="E456" s="510">
        <f>E455+C456-D456</f>
        <v/>
      </c>
      <c r="F456" s="510">
        <f>C456-D456</f>
        <v/>
      </c>
      <c r="G456" s="511">
        <f>G455+F456</f>
        <v/>
      </c>
      <c r="H456" s="511">
        <f>IF(B456="",$C$1-A456,DATEDIF(A456,B456,"d"))</f>
        <v/>
      </c>
      <c r="I456">
        <f>IF(B456="",$C$1-A456,H456)</f>
        <v/>
      </c>
      <c r="J456" s="65" t="inlineStr">
        <is>
          <t>瑞鼎科</t>
        </is>
      </c>
      <c r="K456">
        <f>IF(F456&gt;0,(H456*$F456)/365.25,0)</f>
        <v/>
      </c>
      <c r="L456">
        <f>IF(F456&gt;0,(I456*$F456)/365.25,0)</f>
        <v/>
      </c>
      <c r="M456" s="65" t="inlineStr">
        <is>
          <t>股票申購</t>
        </is>
      </c>
      <c r="N456" s="65" t="n"/>
    </row>
    <row r="457">
      <c r="A457" s="508" t="n">
        <v>44567</v>
      </c>
      <c r="B457" s="508" t="n"/>
      <c r="C457" s="123" t="n"/>
      <c r="D457" s="509" t="n">
        <v>79813</v>
      </c>
      <c r="E457" s="510">
        <f>E456+C457-D457</f>
        <v/>
      </c>
      <c r="F457" s="510" t="n"/>
      <c r="G457" s="511">
        <f>G456+F457</f>
        <v/>
      </c>
      <c r="H457" s="511">
        <f>IF(B457="",$C$1-A457,DATEDIF(A457,B457,"d"))</f>
        <v/>
      </c>
      <c r="I457">
        <f>IF(B457="",$C$1-A457,H457)</f>
        <v/>
      </c>
      <c r="J457" s="65" t="inlineStr">
        <is>
          <t>金像電(2368)</t>
        </is>
      </c>
      <c r="K457" t="inlineStr">
        <is>
          <t>.</t>
        </is>
      </c>
      <c r="L457">
        <f>IF(F457&gt;0,(I457*$F457)/365.25,0)</f>
        <v/>
      </c>
      <c r="M457" s="65" t="n"/>
      <c r="N457" s="217" t="inlineStr">
        <is>
          <t>2022 Total</t>
        </is>
      </c>
      <c r="O457" s="512">
        <f>SUM(D457:D571)</f>
        <v/>
      </c>
    </row>
    <row r="458" collapsed="1" ht="17.25" customHeight="1" thickBot="1">
      <c r="A458" s="508" t="n">
        <v>44567</v>
      </c>
      <c r="B458" s="508" t="n">
        <v>44571</v>
      </c>
      <c r="C458" s="123" t="n">
        <v>589050</v>
      </c>
      <c r="D458" s="509" t="n">
        <v>589070</v>
      </c>
      <c r="E458" s="510">
        <f>E457+C458-D458</f>
        <v/>
      </c>
      <c r="F458" s="510">
        <f>C458-D458</f>
        <v/>
      </c>
      <c r="G458" s="511">
        <f>G457+F458</f>
        <v/>
      </c>
      <c r="H458" s="511">
        <f>IF(B458="",$C$1-A458,DATEDIF(A458,B458,"d"))</f>
        <v/>
      </c>
      <c r="I458">
        <f>IF(B458="",$C$1-A458,H458)</f>
        <v/>
      </c>
      <c r="J458" s="65" t="inlineStr">
        <is>
          <t>力智</t>
        </is>
      </c>
      <c r="K458">
        <f>IF(F458&gt;0,(H458*$F458)/365.25,0)</f>
        <v/>
      </c>
      <c r="L458">
        <f>IF(F458&gt;0,(I458*$F458)/365.25,0)</f>
        <v/>
      </c>
      <c r="M458" s="65" t="inlineStr">
        <is>
          <t>股票申購</t>
        </is>
      </c>
      <c r="N458" s="215" t="inlineStr">
        <is>
          <t>2022 Total Avg</t>
        </is>
      </c>
      <c r="O458" s="517">
        <f>(SUMPRODUCT(C457:C571,I457:I571)+SUMPRODUCT(D457:D571,I457:I571))/($C$1-$A$457)</f>
        <v/>
      </c>
    </row>
    <row r="459" hidden="1" outlineLevel="1">
      <c r="A459" s="518" t="n">
        <v>44571</v>
      </c>
      <c r="B459" s="518" t="n"/>
      <c r="C459" s="148" t="n">
        <v>439</v>
      </c>
      <c r="D459" s="519" t="n"/>
      <c r="E459" s="520">
        <f>E458+C459-D459</f>
        <v/>
      </c>
      <c r="F459" s="520">
        <f>C459-D459</f>
        <v/>
      </c>
      <c r="G459" s="521">
        <f>G458+F459</f>
        <v/>
      </c>
      <c r="H459" s="521">
        <f>IF(B459="",DATEDIF(A459,$E$1,"d"),DATEDIF(A459,B459,"d"))</f>
        <v/>
      </c>
      <c r="I459" s="152">
        <f>IF(B459="",$C$1-A459,H459)</f>
        <v/>
      </c>
      <c r="J459" s="152" t="inlineStr">
        <is>
          <t>折讓入帳</t>
        </is>
      </c>
      <c r="K459" s="152">
        <f>IF(F459&gt;0,(H459*$F459)/365.25,0)</f>
        <v/>
      </c>
      <c r="L459" s="152">
        <f>IF(F459&gt;0,(I459*$F459)/365.25,0)</f>
        <v/>
      </c>
      <c r="M459" s="160" t="n"/>
      <c r="N459" s="65" t="n"/>
    </row>
    <row r="460" hidden="1" outlineLevel="1">
      <c r="A460" s="508" t="n">
        <v>44285</v>
      </c>
      <c r="B460" s="508" t="n">
        <v>44571</v>
      </c>
      <c r="C460" s="123" t="n">
        <v>30615</v>
      </c>
      <c r="D460" s="509" t="n"/>
      <c r="E460" s="510">
        <f>E459+C460-D460</f>
        <v/>
      </c>
      <c r="F460" s="510">
        <f>-D298+C460</f>
        <v/>
      </c>
      <c r="G460" s="511">
        <f>G459+F460</f>
        <v/>
      </c>
      <c r="H460" s="511">
        <f>IF(B460="",$C$1-A460,DATEDIF(A460,B460,"d"))</f>
        <v/>
      </c>
      <c r="I460">
        <f>IF(B460="",$C$1-A460,H460)</f>
        <v/>
      </c>
      <c r="J460" s="65" t="inlineStr">
        <is>
          <t>華邦電(2344)</t>
        </is>
      </c>
      <c r="K460">
        <f>IF(F460&gt;0,(H460*$F460)/365.25,0)</f>
        <v/>
      </c>
      <c r="L460">
        <f>IF(F460&gt;0,(I460*$F460)/365.25,0)</f>
        <v/>
      </c>
      <c r="M460" s="65" t="n"/>
      <c r="N460" s="65" t="n"/>
      <c r="O460" s="66" t="n"/>
    </row>
    <row r="461" hidden="1" outlineLevel="1">
      <c r="A461" s="508" t="n">
        <v>44300</v>
      </c>
      <c r="B461" s="508" t="n">
        <v>44571</v>
      </c>
      <c r="C461" s="123" t="n">
        <v>636173</v>
      </c>
      <c r="D461" s="509" t="n"/>
      <c r="E461" s="510">
        <f>E460+C461-D461</f>
        <v/>
      </c>
      <c r="F461" s="510">
        <f>-D324+C461</f>
        <v/>
      </c>
      <c r="G461" s="511">
        <f>G460+F461</f>
        <v/>
      </c>
      <c r="H461" s="511">
        <f>IF(B461="",$C$1-A461,DATEDIF(A461,B461,"d"))</f>
        <v/>
      </c>
      <c r="I461">
        <f>IF(B461="",$C$1-A461,H461)</f>
        <v/>
      </c>
      <c r="J461" s="65" t="inlineStr">
        <is>
          <t>台積電(2330)</t>
        </is>
      </c>
      <c r="K461">
        <f>IF(F461&gt;0,(H461*$F461)/365.25,0)</f>
        <v/>
      </c>
      <c r="L461">
        <f>IF(F461&gt;0,(I461*$F461)/365.25,0)</f>
        <v/>
      </c>
      <c r="M461" s="65" t="n"/>
      <c r="N461" s="65" t="n"/>
      <c r="O461" s="66" t="n"/>
    </row>
    <row r="462" hidden="1" outlineLevel="1">
      <c r="A462" s="508" t="n">
        <v>44439</v>
      </c>
      <c r="B462" s="508" t="n">
        <v>44571</v>
      </c>
      <c r="C462" s="123" t="n">
        <v>513717</v>
      </c>
      <c r="D462" s="509" t="n"/>
      <c r="E462" s="510">
        <f>E461+C462-D462</f>
        <v/>
      </c>
      <c r="F462" s="510">
        <f>-D401+C462</f>
        <v/>
      </c>
      <c r="G462" s="511">
        <f>G461+F462</f>
        <v/>
      </c>
      <c r="H462" s="511">
        <f>IF(B462="",$C$1-A462,DATEDIF(A462,B462,"d"))</f>
        <v/>
      </c>
      <c r="I462">
        <f>IF(B462="",$C$1-A462,H462)</f>
        <v/>
      </c>
      <c r="J462" s="65" t="inlineStr">
        <is>
          <t>聯詠(3034)</t>
        </is>
      </c>
      <c r="K462">
        <f>IF(F462&gt;0,(H462*$F462)/365.25,0)</f>
        <v/>
      </c>
      <c r="L462">
        <f>IF(F462&gt;0,(I462*$F462)/365.25,0)</f>
        <v/>
      </c>
      <c r="M462" s="65" t="n"/>
      <c r="N462" s="65" t="n"/>
      <c r="O462" s="66" t="n"/>
    </row>
    <row r="463" hidden="1" outlineLevel="1">
      <c r="A463" s="508" t="n">
        <v>44567</v>
      </c>
      <c r="B463" s="508" t="n">
        <v>44644</v>
      </c>
      <c r="C463" s="123" t="n"/>
      <c r="D463" s="509" t="n">
        <v>31645</v>
      </c>
      <c r="E463" s="510">
        <f>E462+C463-D463</f>
        <v/>
      </c>
      <c r="F463" s="510" t="n"/>
      <c r="G463" s="511">
        <f>G462+F463</f>
        <v/>
      </c>
      <c r="H463" s="511">
        <f>IF(B463="",$C$1-A463,DATEDIF(A463,B463,"d"))</f>
        <v/>
      </c>
      <c r="I463">
        <f>IF(B463="",$C$1-A463,H463)</f>
        <v/>
      </c>
      <c r="J463" s="65" t="inlineStr">
        <is>
          <t>弘裕(1474)</t>
        </is>
      </c>
      <c r="K463">
        <f>IF(F463&gt;0,(H463*$F463)/365.25,0)</f>
        <v/>
      </c>
      <c r="L463">
        <f>IF(F463&gt;0,(I463*$F463)/365.25,0)</f>
        <v/>
      </c>
      <c r="M463" s="65" t="n"/>
      <c r="O463" s="66" t="n"/>
    </row>
    <row r="464" hidden="1" outlineLevel="1">
      <c r="A464" s="508" t="n">
        <v>44571</v>
      </c>
      <c r="B464" s="508" t="n">
        <v>44582</v>
      </c>
      <c r="C464" s="123" t="n"/>
      <c r="D464" s="509" t="n">
        <v>27989</v>
      </c>
      <c r="E464" s="510">
        <f>E463+C464-D464</f>
        <v/>
      </c>
      <c r="F464" s="510" t="n"/>
      <c r="G464" s="511">
        <f>G463+F464</f>
        <v/>
      </c>
      <c r="H464" s="511">
        <f>IF(B464="",$C$1-A464,DATEDIF(A464,B464,"d"))</f>
        <v/>
      </c>
      <c r="I464">
        <f>IF(B464="",$C$1-A464,H464)</f>
        <v/>
      </c>
      <c r="J464" s="65" t="inlineStr">
        <is>
          <t>廷鑫(2358)</t>
        </is>
      </c>
      <c r="K464">
        <f>IF(F464&gt;0,(H464*$F464)/365.25,0)</f>
        <v/>
      </c>
      <c r="L464">
        <f>IF(F464&gt;0,(I464*$F464)/365.25,0)</f>
        <v/>
      </c>
      <c r="M464" s="65" t="n"/>
      <c r="N464" s="65" t="n"/>
      <c r="O464" s="66" t="n"/>
    </row>
    <row r="465" hidden="1" outlineLevel="1">
      <c r="A465" s="508" t="n">
        <v>44571</v>
      </c>
      <c r="B465" s="508" t="n">
        <v>44585</v>
      </c>
      <c r="C465" s="123" t="n"/>
      <c r="D465" s="509" t="n">
        <v>27990</v>
      </c>
      <c r="E465" s="510">
        <f>E464+C465-D465</f>
        <v/>
      </c>
      <c r="F465" s="510" t="n"/>
      <c r="G465" s="511">
        <f>G464+F465</f>
        <v/>
      </c>
      <c r="H465" s="511">
        <f>IF(B465="",$C$1-A465,DATEDIF(A465,B465,"d"))</f>
        <v/>
      </c>
      <c r="I465">
        <f>IF(B465="",$C$1-A465,H465)</f>
        <v/>
      </c>
      <c r="J465" s="65" t="inlineStr">
        <is>
          <t>廷鑫(2358)</t>
        </is>
      </c>
      <c r="K465">
        <f>IF(F465&gt;0,(H465*$F465)/365.25,0)</f>
        <v/>
      </c>
      <c r="L465">
        <f>IF(F465&gt;0,(I465*$F465)/365.25,0)</f>
        <v/>
      </c>
      <c r="M465" s="65" t="n"/>
      <c r="N465" s="65" t="n"/>
    </row>
    <row r="466" hidden="1" outlineLevel="1">
      <c r="A466" s="508" t="n">
        <v>44571</v>
      </c>
      <c r="B466" s="508" t="n">
        <v>44585</v>
      </c>
      <c r="C466" s="123" t="n"/>
      <c r="D466" s="509" t="n">
        <v>90929</v>
      </c>
      <c r="E466" s="510">
        <f>E465+C466-D466</f>
        <v/>
      </c>
      <c r="F466" s="510" t="n"/>
      <c r="G466" s="511">
        <f>G465+F466</f>
        <v/>
      </c>
      <c r="H466" s="511">
        <f>IF(B466="",$C$1-A466,DATEDIF(A466,B466,"d"))</f>
        <v/>
      </c>
      <c r="I466">
        <f>IF(B466="",$C$1-A466,H466)</f>
        <v/>
      </c>
      <c r="J466" s="65" t="inlineStr">
        <is>
          <t>雙美(4728)</t>
        </is>
      </c>
      <c r="K466">
        <f>IF(F466&gt;0,(H466*$F466)/365.25,0)</f>
        <v/>
      </c>
      <c r="L466">
        <f>IF(F466&gt;0,(I466*$F466)/365.25,0)</f>
        <v/>
      </c>
      <c r="M466" s="65" t="n"/>
      <c r="O466" s="66" t="n"/>
    </row>
    <row r="467" hidden="1" outlineLevel="1">
      <c r="A467" s="508" t="n">
        <v>44573</v>
      </c>
      <c r="B467" s="508" t="n">
        <v>44575</v>
      </c>
      <c r="C467" s="123" t="n">
        <v>41050</v>
      </c>
      <c r="D467" s="509" t="n">
        <v>41070</v>
      </c>
      <c r="E467" s="510">
        <f>E466+C467-D467</f>
        <v/>
      </c>
      <c r="F467" s="510">
        <f>C467-D467</f>
        <v/>
      </c>
      <c r="G467" s="511">
        <f>G466+F467</f>
        <v/>
      </c>
      <c r="H467" s="511">
        <f>IF(B467="",$C$1-A467,DATEDIF(A467,B467,"d"))</f>
        <v/>
      </c>
      <c r="I467">
        <f>IF(B467="",$C$1-A467,H467)</f>
        <v/>
      </c>
      <c r="J467" s="65" t="inlineStr">
        <is>
          <t>弘凱</t>
        </is>
      </c>
      <c r="K467">
        <f>IF(F467&gt;0,(H467*$F467)/365.25,0)</f>
        <v/>
      </c>
      <c r="L467">
        <f>IF(F467&gt;0,(I467*$F467)/365.25,0)</f>
        <v/>
      </c>
      <c r="M467" s="65" t="inlineStr">
        <is>
          <t>股票申購</t>
        </is>
      </c>
    </row>
    <row r="468" hidden="1" outlineLevel="1">
      <c r="A468" s="508" t="n">
        <v>44571</v>
      </c>
      <c r="B468" s="508" t="n">
        <v>44582</v>
      </c>
      <c r="C468" s="123" t="n">
        <v>25040</v>
      </c>
      <c r="D468" s="509" t="n"/>
      <c r="E468" s="510">
        <f>E467+C468-D468</f>
        <v/>
      </c>
      <c r="F468" s="510">
        <f>-D464+C468</f>
        <v/>
      </c>
      <c r="G468" s="511">
        <f>G467+F468</f>
        <v/>
      </c>
      <c r="H468" s="511">
        <f>IF(B468="",$C$1-A468,DATEDIF(A468,B468,"d"))</f>
        <v/>
      </c>
      <c r="I468">
        <f>IF(B468="",$C$1-A468,H468)</f>
        <v/>
      </c>
      <c r="J468" s="65" t="inlineStr">
        <is>
          <t>廷鑫(2358)</t>
        </is>
      </c>
      <c r="K468">
        <f>IF(F468&gt;0,(H468*$F468)/365.25,0)</f>
        <v/>
      </c>
      <c r="L468">
        <f>IF(F468&gt;0,(I468*$F468)/365.25,0)</f>
        <v/>
      </c>
      <c r="M468" s="65" t="n"/>
      <c r="O468" s="66" t="n"/>
    </row>
    <row r="469" hidden="1" outlineLevel="1">
      <c r="A469" s="508" t="n">
        <v>44571</v>
      </c>
      <c r="B469" s="508" t="n">
        <v>44585</v>
      </c>
      <c r="C469" s="123" t="n">
        <v>24641</v>
      </c>
      <c r="D469" s="509" t="n"/>
      <c r="E469" s="510">
        <f>E468+C469-D469</f>
        <v/>
      </c>
      <c r="F469" s="510">
        <f>-D465+C469</f>
        <v/>
      </c>
      <c r="G469" s="511">
        <f>G468+F469</f>
        <v/>
      </c>
      <c r="H469" s="511">
        <f>IF(B469="",$C$1-A469,DATEDIF(A469,B469,"d"))</f>
        <v/>
      </c>
      <c r="I469">
        <f>IF(B469="",$C$1-A469,H469)</f>
        <v/>
      </c>
      <c r="J469" s="65" t="inlineStr">
        <is>
          <t>廷鑫(2358)</t>
        </is>
      </c>
      <c r="K469">
        <f>IF(F469&gt;0,(H469*$F469)/365.25,0)</f>
        <v/>
      </c>
      <c r="L469">
        <f>IF(F469&gt;0,(I469*$F469)/365.25,0)</f>
        <v/>
      </c>
      <c r="M469" s="65" t="n"/>
      <c r="N469" s="65" t="n"/>
      <c r="O469" s="66" t="n"/>
    </row>
    <row r="470" hidden="1" outlineLevel="1">
      <c r="A470" s="508" t="n">
        <v>44571</v>
      </c>
      <c r="B470" s="508" t="n">
        <v>44585</v>
      </c>
      <c r="C470" s="123" t="n">
        <v>89902</v>
      </c>
      <c r="D470" s="509" t="n"/>
      <c r="E470" s="510">
        <f>E469+C470-D470</f>
        <v/>
      </c>
      <c r="F470" s="510">
        <f>-D466+C470</f>
        <v/>
      </c>
      <c r="G470" s="511">
        <f>G469+F470</f>
        <v/>
      </c>
      <c r="H470" s="511">
        <f>IF(B470="",$C$1-A470,DATEDIF(A470,B470,"d"))</f>
        <v/>
      </c>
      <c r="I470">
        <f>IF(B470="",$C$1-A470,H470)</f>
        <v/>
      </c>
      <c r="J470" s="65" t="inlineStr">
        <is>
          <t>雙美(4728)</t>
        </is>
      </c>
      <c r="K470">
        <f>IF(F470&gt;0,(H470*$F470)/365.25,0)</f>
        <v/>
      </c>
      <c r="L470">
        <f>IF(F470&gt;0,(I470*$F470)/365.25,0)</f>
        <v/>
      </c>
      <c r="M470" s="65" t="n"/>
      <c r="N470" s="65" t="n"/>
      <c r="O470" s="66" t="n"/>
    </row>
    <row r="471" hidden="1" outlineLevel="1">
      <c r="A471" s="508" t="n">
        <v>44585</v>
      </c>
      <c r="B471" s="508" t="n">
        <v>44621</v>
      </c>
      <c r="C471" s="123" t="n"/>
      <c r="D471" s="509" t="n">
        <v>58883</v>
      </c>
      <c r="E471" s="510">
        <f>E470+C471-D471</f>
        <v/>
      </c>
      <c r="F471" s="510" t="n"/>
      <c r="G471" s="511">
        <f>G470+F471</f>
        <v/>
      </c>
      <c r="H471" s="511">
        <f>IF(B471="",$C$1-A471,DATEDIF(A471,B471,"d"))</f>
        <v/>
      </c>
      <c r="I471">
        <f>IF(B471="",$C$1-A471,H471)</f>
        <v/>
      </c>
      <c r="J471" s="65" t="inlineStr">
        <is>
          <t>泰碩(3338)</t>
        </is>
      </c>
      <c r="K471">
        <f>IF(F471&gt;0,(H471*$F471)/365.25,0)</f>
        <v/>
      </c>
      <c r="L471">
        <f>IF(F471&gt;0,(I471*$F471)/365.25,0)</f>
        <v/>
      </c>
      <c r="M471" s="65" t="n"/>
      <c r="N471" s="65" t="n"/>
      <c r="O471" s="66" t="n"/>
    </row>
    <row r="472" hidden="1" outlineLevel="1">
      <c r="A472" s="508" t="n">
        <v>44585</v>
      </c>
      <c r="B472" s="508" t="n">
        <v>44726</v>
      </c>
      <c r="C472" s="123" t="n"/>
      <c r="D472" s="509" t="n">
        <v>74305</v>
      </c>
      <c r="E472" s="510">
        <f>E471+C472-D472</f>
        <v/>
      </c>
      <c r="F472" s="510" t="n"/>
      <c r="G472" s="511">
        <f>G471+F472</f>
        <v/>
      </c>
      <c r="H472" s="511">
        <f>IF(B472="",$C$1-A472,DATEDIF(A472,B472,"d"))</f>
        <v/>
      </c>
      <c r="I472">
        <f>IF(B472="",$C$1-A472,H472)</f>
        <v/>
      </c>
      <c r="J472" s="65" t="inlineStr">
        <is>
          <t>兆利(3548)</t>
        </is>
      </c>
      <c r="K472">
        <f>IF(F472&gt;0,(H472*$F472)/365.25,0)</f>
        <v/>
      </c>
      <c r="L472">
        <f>IF(F472&gt;0,(I472*$F472)/365.25,0)</f>
        <v/>
      </c>
      <c r="M472" s="65" t="n"/>
      <c r="N472" s="65" t="n"/>
      <c r="O472" s="66" t="n"/>
    </row>
    <row r="473" hidden="1" outlineLevel="1">
      <c r="A473" s="518" t="n">
        <v>44602</v>
      </c>
      <c r="B473" s="518" t="n"/>
      <c r="C473" s="148" t="n">
        <v>974</v>
      </c>
      <c r="D473" s="519" t="n"/>
      <c r="E473" s="520">
        <f>E472+C473-D473</f>
        <v/>
      </c>
      <c r="F473" s="520">
        <f>C473-D473</f>
        <v/>
      </c>
      <c r="G473" s="521">
        <f>G472+F473</f>
        <v/>
      </c>
      <c r="H473" s="521">
        <f>IF(B473="",DATEDIF(A473,$E$1,"d"),DATEDIF(A473,B473,"d"))</f>
        <v/>
      </c>
      <c r="I473" s="152">
        <f>IF(B473="",$C$1-A473,H473)</f>
        <v/>
      </c>
      <c r="J473" s="152" t="inlineStr">
        <is>
          <t>折讓入帳</t>
        </is>
      </c>
      <c r="K473" s="152">
        <f>IF(F473&gt;0,(H473*$F473)/365.25,0)</f>
        <v/>
      </c>
      <c r="L473" s="152">
        <f>IF(F473&gt;0,(I473*$F473)/365.25,0)</f>
        <v/>
      </c>
      <c r="M473" s="160" t="n"/>
      <c r="N473" s="65" t="n"/>
    </row>
    <row r="474" hidden="1" outlineLevel="1">
      <c r="A474" s="508" t="n">
        <v>44602</v>
      </c>
      <c r="B474" s="508" t="n">
        <v>44624</v>
      </c>
      <c r="C474" s="123" t="n"/>
      <c r="D474" s="509" t="n">
        <v>72002</v>
      </c>
      <c r="E474" s="510">
        <f>E473+C474-D474</f>
        <v/>
      </c>
      <c r="F474" s="510" t="n"/>
      <c r="G474" s="511">
        <f>G473+F474</f>
        <v/>
      </c>
      <c r="H474" s="511">
        <f>IF(B474="",$C$1-A474,DATEDIF(A474,B474,"d"))</f>
        <v/>
      </c>
      <c r="I474">
        <f>IF(B474="",$C$1-A474,H474)</f>
        <v/>
      </c>
      <c r="J474" s="65" t="inlineStr">
        <is>
          <t>東和鋼鐵(2006)</t>
        </is>
      </c>
      <c r="K474">
        <f>IF(F474&gt;0,(H474*$F474)/365.25,0)</f>
        <v/>
      </c>
      <c r="L474">
        <f>IF(F474&gt;0,(I474*$F474)/365.25,0)</f>
        <v/>
      </c>
      <c r="M474" s="65" t="n"/>
      <c r="N474" s="65" t="n"/>
      <c r="O474" s="66" t="n"/>
    </row>
    <row r="475" hidden="1" outlineLevel="1">
      <c r="A475" s="508" t="n">
        <v>44603</v>
      </c>
      <c r="B475" s="508" t="n"/>
      <c r="C475" s="123" t="n"/>
      <c r="D475" s="509" t="n">
        <v>105149</v>
      </c>
      <c r="E475" s="510">
        <f>E474+C475-D475</f>
        <v/>
      </c>
      <c r="F475" s="510" t="n"/>
      <c r="G475" s="511">
        <f>G474+F475</f>
        <v/>
      </c>
      <c r="H475" s="511">
        <f>IF(B475="",$C$1-A475,DATEDIF(A475,B475,"d"))</f>
        <v/>
      </c>
      <c r="I475">
        <f>IF(B475="",$C$1-A475,H475)</f>
        <v/>
      </c>
      <c r="J475" s="65" t="inlineStr">
        <is>
          <t>奇鋐(3017)</t>
        </is>
      </c>
      <c r="K475">
        <f>IF(F475&gt;0,(H475*$F475)/365.25,0)</f>
        <v/>
      </c>
      <c r="L475">
        <f>IF(F475&gt;0,(I475*$F475)/365.25,0)</f>
        <v/>
      </c>
      <c r="M475" s="65" t="n"/>
      <c r="N475" s="65" t="n"/>
      <c r="O475" s="66" t="n"/>
    </row>
    <row r="476" hidden="1" outlineLevel="1">
      <c r="A476" s="508" t="n">
        <v>44603</v>
      </c>
      <c r="B476" s="508" t="n"/>
      <c r="C476" s="123" t="n"/>
      <c r="D476" s="509" t="n">
        <v>118168</v>
      </c>
      <c r="E476" s="510">
        <f>E475+C476-D476</f>
        <v/>
      </c>
      <c r="F476" s="510" t="n"/>
      <c r="G476" s="511">
        <f>G475+F476</f>
        <v/>
      </c>
      <c r="H476" s="511">
        <f>IF(B476="",$C$1-A476,DATEDIF(A476,B476,"d"))</f>
        <v/>
      </c>
      <c r="I476">
        <f>IF(B476="",$C$1-A476,H476)</f>
        <v/>
      </c>
      <c r="J476" s="65" t="inlineStr">
        <is>
          <t>宇隆(2233)</t>
        </is>
      </c>
      <c r="K476">
        <f>IF(F476&gt;0,(H476*$F476)/365.25,0)</f>
        <v/>
      </c>
      <c r="L476">
        <f>IF(F476&gt;0,(I476*$F476)/365.25,0)</f>
        <v/>
      </c>
      <c r="M476" s="65" t="n"/>
      <c r="N476" s="65" t="n"/>
      <c r="O476" s="66" t="n"/>
    </row>
    <row r="477" hidden="1" outlineLevel="1">
      <c r="A477" s="508" t="n">
        <v>44607</v>
      </c>
      <c r="B477" s="508" t="n"/>
      <c r="C477" s="123" t="n"/>
      <c r="D477" s="509" t="n">
        <v>503716</v>
      </c>
      <c r="E477" s="510">
        <f>E476+C477-D477</f>
        <v/>
      </c>
      <c r="F477" s="510" t="n"/>
      <c r="G477" s="511">
        <f>G476+F477</f>
        <v/>
      </c>
      <c r="H477" s="511">
        <f>IF(B477="",$C$1-A477,DATEDIF(A477,B477,"d"))</f>
        <v/>
      </c>
      <c r="I477">
        <f>IF(B477="",$C$1-A477,H477)</f>
        <v/>
      </c>
      <c r="J477" s="65" t="inlineStr">
        <is>
          <t>群聯(8299)</t>
        </is>
      </c>
      <c r="K477">
        <f>IF(F477&gt;0,(H477*$F477)/365.25,0)</f>
        <v/>
      </c>
      <c r="L477">
        <f>IF(F477&gt;0,(I477*$F477)/365.25,0)</f>
        <v/>
      </c>
      <c r="M477" s="65" t="n"/>
      <c r="N477" s="65" t="n"/>
      <c r="O477" s="66" t="n"/>
    </row>
    <row r="478" hidden="1" outlineLevel="1">
      <c r="A478" s="508" t="n">
        <v>44585</v>
      </c>
      <c r="B478" s="508" t="n">
        <v>44621</v>
      </c>
      <c r="C478" s="123" t="n">
        <v>54260</v>
      </c>
      <c r="D478" s="509" t="n"/>
      <c r="E478" s="510">
        <f>E477+C478-D478</f>
        <v/>
      </c>
      <c r="F478" s="510">
        <f>-D471+C478</f>
        <v/>
      </c>
      <c r="G478" s="511">
        <f>G477+F478</f>
        <v/>
      </c>
      <c r="H478" s="511">
        <f>IF(B478="",$C$1-A478,DATEDIF(A478,B478,"d"))</f>
        <v/>
      </c>
      <c r="I478">
        <f>IF(B478="",$C$1-A478,H478)</f>
        <v/>
      </c>
      <c r="J478" s="65" t="inlineStr">
        <is>
          <t>泰碩(3338)</t>
        </is>
      </c>
      <c r="K478">
        <f>IF(F478&gt;0,(H478*$F478)/365.25,0)</f>
        <v/>
      </c>
      <c r="L478">
        <f>IF(F478&gt;0,(I478*$F478)/365.25,0)</f>
        <v/>
      </c>
      <c r="M478" s="65" t="n"/>
      <c r="O478" s="66" t="n"/>
    </row>
    <row r="479" hidden="1" outlineLevel="1">
      <c r="A479" s="508" t="n">
        <v>44624</v>
      </c>
      <c r="B479" s="508" t="n">
        <v>44624</v>
      </c>
      <c r="C479" s="123" t="n">
        <v>63016</v>
      </c>
      <c r="D479" s="509" t="n">
        <v>63290</v>
      </c>
      <c r="E479" s="510">
        <f>E478+C479-D479</f>
        <v/>
      </c>
      <c r="F479" s="510" t="n"/>
      <c r="G479" s="511">
        <f>G478+F479</f>
        <v/>
      </c>
      <c r="H479" s="511">
        <f>IF(B479="",$C$1-A479,DATEDIF(A479,B479,"d"))</f>
        <v/>
      </c>
      <c r="I479">
        <f>IF(B479="",$C$1-A479,H479)</f>
        <v/>
      </c>
      <c r="J479" s="65" t="inlineStr">
        <is>
          <t>台聚(1304)</t>
        </is>
      </c>
      <c r="K479">
        <f>IF(F479&gt;0,(H479*$F479)/365.25,0)</f>
        <v/>
      </c>
      <c r="L479">
        <f>IF(F479&gt;0,(I479*$F479)/365.25,0)</f>
        <v/>
      </c>
      <c r="M479" s="65" t="inlineStr">
        <is>
          <t>當沖</t>
        </is>
      </c>
      <c r="N479" s="65" t="n"/>
      <c r="O479" s="66" t="n"/>
    </row>
    <row r="480" hidden="1" outlineLevel="1">
      <c r="A480" s="508" t="n">
        <v>44624</v>
      </c>
      <c r="B480" s="508" t="n">
        <v>44624</v>
      </c>
      <c r="C480" s="123" t="n">
        <v>62318</v>
      </c>
      <c r="D480" s="509" t="n">
        <v>63790</v>
      </c>
      <c r="E480" s="510">
        <f>E479+C480-D480</f>
        <v/>
      </c>
      <c r="F480" s="510" t="n"/>
      <c r="G480" s="511">
        <f>G479+F480</f>
        <v/>
      </c>
      <c r="H480" s="511">
        <f>IF(B480="",$C$1-A480,DATEDIF(A480,B480,"d"))</f>
        <v/>
      </c>
      <c r="I480">
        <f>IF(B480="",$C$1-A480,H480)</f>
        <v/>
      </c>
      <c r="J480" s="65" t="inlineStr">
        <is>
          <t>長榮鋼(2211)</t>
        </is>
      </c>
      <c r="K480">
        <f>IF(F480&gt;0,(H480*$F480)/365.25,0)</f>
        <v/>
      </c>
      <c r="L480">
        <f>IF(F480&gt;0,(I480*$F480)/365.25,0)</f>
        <v/>
      </c>
      <c r="M480" s="65" t="inlineStr">
        <is>
          <t>當沖</t>
        </is>
      </c>
      <c r="N480" s="65" t="n"/>
      <c r="O480" s="66" t="n"/>
    </row>
    <row r="481" hidden="1" outlineLevel="1">
      <c r="A481" s="508" t="n">
        <v>44624</v>
      </c>
      <c r="B481" s="508" t="n">
        <v>44624</v>
      </c>
      <c r="C481" s="123" t="n">
        <v>67303</v>
      </c>
      <c r="D481" s="509" t="n">
        <v>68797</v>
      </c>
      <c r="E481" s="510">
        <f>E480+C481-D481</f>
        <v/>
      </c>
      <c r="F481" s="510" t="n"/>
      <c r="G481" s="511">
        <f>G480+F481</f>
        <v/>
      </c>
      <c r="H481" s="511">
        <f>IF(B481="",$C$1-A481,DATEDIF(A481,B481,"d"))</f>
        <v/>
      </c>
      <c r="I481">
        <f>IF(B481="",$C$1-A481,H481)</f>
        <v/>
      </c>
      <c r="J481" s="65" t="inlineStr">
        <is>
          <t>鑫科(3663)</t>
        </is>
      </c>
      <c r="K481">
        <f>IF(F481&gt;0,(H481*$F481)/365.25,0)</f>
        <v/>
      </c>
      <c r="L481">
        <f>IF(F481&gt;0,(I481*$F481)/365.25,0)</f>
        <v/>
      </c>
      <c r="M481" s="65" t="inlineStr">
        <is>
          <t>當沖</t>
        </is>
      </c>
      <c r="N481" s="65" t="n"/>
      <c r="O481" s="66" t="n"/>
    </row>
    <row r="482" hidden="1" outlineLevel="1">
      <c r="A482" s="508" t="n">
        <v>44624</v>
      </c>
      <c r="B482" s="508" t="n"/>
      <c r="C482" s="123" t="n"/>
      <c r="D482" s="509" t="n"/>
      <c r="E482" s="510">
        <f>E481+C482-D482</f>
        <v/>
      </c>
      <c r="F482" s="510" t="n"/>
      <c r="G482" s="511">
        <f>G481+F482</f>
        <v/>
      </c>
      <c r="H482" s="511">
        <f>IF(B482="",$C$1-A482,DATEDIF(A482,B482,"d"))</f>
        <v/>
      </c>
      <c r="I482">
        <f>IF(B482="",$C$1-A482,H482)</f>
        <v/>
      </c>
      <c r="J482" s="65" t="inlineStr">
        <is>
          <t>奇鋐(3017)</t>
        </is>
      </c>
      <c r="K482">
        <f>IF(F482&gt;0,(H482*$F482)/365.25,0)</f>
        <v/>
      </c>
      <c r="L482">
        <f>IF(F482&gt;0,(I482*$F482)/365.25,0)</f>
        <v/>
      </c>
      <c r="M482" s="65" t="n"/>
      <c r="N482" s="65" t="n"/>
    </row>
    <row r="483" hidden="1" outlineLevel="1">
      <c r="A483" s="508" t="n">
        <v>44624</v>
      </c>
      <c r="B483" s="508" t="n"/>
      <c r="C483" s="123" t="n"/>
      <c r="D483" s="509" t="n">
        <v>88525</v>
      </c>
      <c r="E483" s="510">
        <f>E482+C483-D483</f>
        <v/>
      </c>
      <c r="F483" s="510" t="n"/>
      <c r="G483" s="511">
        <f>G482+F483</f>
        <v/>
      </c>
      <c r="H483" s="511">
        <f>IF(B483="",$C$1-A483,DATEDIF(A483,B483,"d"))</f>
        <v/>
      </c>
      <c r="I483">
        <f>IF(B483="",$C$1-A483,H483)</f>
        <v/>
      </c>
      <c r="J483" s="65" t="inlineStr">
        <is>
          <t>豐興(2015)</t>
        </is>
      </c>
      <c r="K483">
        <f>IF(F483&gt;0,(H483*$F483)/365.25,0)</f>
        <v/>
      </c>
      <c r="L483">
        <f>IF(F483&gt;0,(I483*$F483)/365.25,0)</f>
        <v/>
      </c>
      <c r="M483" s="65" t="n"/>
      <c r="N483" s="532" t="n"/>
      <c r="O483" s="66" t="n"/>
    </row>
    <row r="484" hidden="1" outlineLevel="1">
      <c r="A484" s="508" t="n">
        <v>44624</v>
      </c>
      <c r="B484" s="508" t="n"/>
      <c r="C484" s="123" t="n"/>
      <c r="D484" s="509" t="n">
        <v>40070</v>
      </c>
      <c r="E484" s="510">
        <f>E483+C484-D484</f>
        <v/>
      </c>
      <c r="F484" s="510" t="n"/>
      <c r="G484" s="511">
        <f>G483+F484</f>
        <v/>
      </c>
      <c r="H484" s="511">
        <f>IF(B484="",$C$1-A484,DATEDIF(A484,B484,"d"))</f>
        <v/>
      </c>
      <c r="I484">
        <f>IF(B484="",$C$1-A484,H484)</f>
        <v/>
      </c>
      <c r="J484" s="65" t="inlineStr">
        <is>
          <t>昶昕</t>
        </is>
      </c>
      <c r="K484">
        <f>IF(F484&gt;0,(H484*$F484)/365.25,0)</f>
        <v/>
      </c>
      <c r="L484">
        <f>IF(F484&gt;0,(I484*$F484)/365.25,0)</f>
        <v/>
      </c>
      <c r="M484" s="65" t="inlineStr">
        <is>
          <t>股票申購</t>
        </is>
      </c>
      <c r="N484" s="532" t="n"/>
    </row>
    <row r="485" hidden="1" outlineLevel="1">
      <c r="A485" s="508" t="n">
        <v>44624</v>
      </c>
      <c r="B485" s="508" t="n"/>
      <c r="C485" s="123" t="n"/>
      <c r="D485" s="509" t="n">
        <v>66070</v>
      </c>
      <c r="E485" s="510">
        <f>E484+C485-D485</f>
        <v/>
      </c>
      <c r="F485" s="510" t="n"/>
      <c r="G485" s="511">
        <f>G484+F485</f>
        <v/>
      </c>
      <c r="H485" s="511">
        <f>IF(B485="",$C$1-A485,DATEDIF(A485,B485,"d"))</f>
        <v/>
      </c>
      <c r="I485">
        <f>IF(B485="",$C$1-A485,H485)</f>
        <v/>
      </c>
      <c r="J485" s="65" t="inlineStr">
        <is>
          <t>千附精密</t>
        </is>
      </c>
      <c r="K485">
        <f>IF(F485&gt;0,(H485*$F485)/365.25,0)</f>
        <v/>
      </c>
      <c r="L485">
        <f>IF(F485&gt;0,(I485*$F485)/365.25,0)</f>
        <v/>
      </c>
      <c r="M485" s="65" t="inlineStr">
        <is>
          <t>股票申購</t>
        </is>
      </c>
      <c r="N485" s="532" t="n"/>
    </row>
    <row r="486" hidden="1" outlineLevel="1">
      <c r="A486" s="508" t="n">
        <v>44627</v>
      </c>
      <c r="B486" s="508" t="n"/>
      <c r="C486" s="123" t="n"/>
      <c r="D486" s="509" t="n">
        <v>61950</v>
      </c>
      <c r="E486" s="510">
        <f>E485+C486-D486</f>
        <v/>
      </c>
      <c r="F486" s="510" t="n"/>
      <c r="G486" s="511">
        <f>G485+F486</f>
        <v/>
      </c>
      <c r="H486" s="511">
        <f>IF(B486="",$C$1-A486,DATEDIF(A486,B486,"d"))</f>
        <v/>
      </c>
      <c r="I486">
        <f>IF(B486="",$C$1-A486,H486)</f>
        <v/>
      </c>
      <c r="J486" s="65" t="inlineStr">
        <is>
          <t>力士</t>
        </is>
      </c>
      <c r="K486">
        <f>IF(F486&gt;0,(H486*$F486)/365.25,0)</f>
        <v/>
      </c>
      <c r="L486">
        <f>IF(F486&gt;0,(I486*$F486)/365.25,0)</f>
        <v/>
      </c>
      <c r="M486" s="65" t="inlineStr">
        <is>
          <t>股票申購</t>
        </is>
      </c>
      <c r="N486" s="532" t="n"/>
    </row>
    <row r="487" hidden="1" outlineLevel="1">
      <c r="A487" s="508" t="n">
        <v>44628</v>
      </c>
      <c r="B487" s="508" t="n"/>
      <c r="C487" s="123" t="n">
        <v>66050</v>
      </c>
      <c r="D487" s="509" t="n"/>
      <c r="E487" s="510">
        <f>E486+C487-D487</f>
        <v/>
      </c>
      <c r="F487" s="510" t="n"/>
      <c r="G487" s="511">
        <f>G486+F487</f>
        <v/>
      </c>
      <c r="H487" s="511">
        <f>IF(B487="",$C$1-A487,DATEDIF(A487,B487,"d"))</f>
        <v/>
      </c>
      <c r="I487">
        <f>IF(B487="",$C$1-A487,H487)</f>
        <v/>
      </c>
      <c r="J487" s="65" t="inlineStr">
        <is>
          <t>昶昕</t>
        </is>
      </c>
      <c r="K487">
        <f>IF(F487&gt;0,(H487*$F487)/365.25,0)</f>
        <v/>
      </c>
      <c r="L487">
        <f>IF(F487&gt;0,(I487*$F487)/365.25,0)</f>
        <v/>
      </c>
      <c r="M487" s="65" t="n"/>
      <c r="N487" s="532" t="n"/>
    </row>
    <row r="488" hidden="1" outlineLevel="1">
      <c r="A488" s="508" t="n">
        <v>44628</v>
      </c>
      <c r="B488" s="508" t="n"/>
      <c r="C488" s="123" t="n">
        <v>40050</v>
      </c>
      <c r="D488" s="509" t="n"/>
      <c r="E488" s="510">
        <f>E487+C488-D488</f>
        <v/>
      </c>
      <c r="F488" s="510" t="n"/>
      <c r="G488" s="511">
        <f>G487+F488</f>
        <v/>
      </c>
      <c r="H488" s="511">
        <f>IF(B488="",$C$1-A488,DATEDIF(A488,B488,"d"))</f>
        <v/>
      </c>
      <c r="I488">
        <f>IF(B488="",$C$1-A488,H488)</f>
        <v/>
      </c>
      <c r="J488" s="65" t="inlineStr">
        <is>
          <t>千附精密</t>
        </is>
      </c>
      <c r="K488">
        <f>IF(F488&gt;0,(H488*$F488)/365.25,0)</f>
        <v/>
      </c>
      <c r="L488">
        <f>IF(F488&gt;0,(I488*$F488)/365.25,0)</f>
        <v/>
      </c>
      <c r="M488" s="65" t="n"/>
      <c r="N488" s="532" t="n"/>
    </row>
    <row r="489" hidden="1" outlineLevel="1">
      <c r="A489" s="508" t="n">
        <v>44628</v>
      </c>
      <c r="B489" s="508" t="n"/>
      <c r="C489" s="123" t="n">
        <v>114492</v>
      </c>
      <c r="D489" s="509" t="n"/>
      <c r="E489" s="510">
        <f>E488+C489-D489</f>
        <v/>
      </c>
      <c r="F489" s="510">
        <f>-D473+C489</f>
        <v/>
      </c>
      <c r="G489" s="511">
        <f>G488+F489</f>
        <v/>
      </c>
      <c r="H489" s="511">
        <f>IF(B489="",$C$1-A489,DATEDIF(A489,B489,"d"))</f>
        <v/>
      </c>
      <c r="I489">
        <f>IF(B489="",$C$1-A489,H489)</f>
        <v/>
      </c>
      <c r="J489" s="65" t="inlineStr">
        <is>
          <t>奇鋐(3017)</t>
        </is>
      </c>
      <c r="K489">
        <f>IF(F489&gt;0,(H489*$F489)/365.25,0)</f>
        <v/>
      </c>
      <c r="L489">
        <f>IF(F489&gt;0,(I489*$F489)/365.25,0)</f>
        <v/>
      </c>
      <c r="M489" s="65" t="n"/>
      <c r="N489" s="65" t="n"/>
      <c r="O489" s="66" t="n"/>
    </row>
    <row r="490" hidden="1" outlineLevel="1">
      <c r="A490" s="508" t="n">
        <v>44629</v>
      </c>
      <c r="B490" s="508" t="n"/>
      <c r="C490" s="123" t="n">
        <v>61930</v>
      </c>
      <c r="D490" s="509" t="n"/>
      <c r="E490" s="510">
        <f>E489+C490-D490</f>
        <v/>
      </c>
      <c r="F490" s="510" t="n"/>
      <c r="G490" s="511">
        <f>G489+F490</f>
        <v/>
      </c>
      <c r="H490" s="511">
        <f>IF(B490="",$C$1-A490,DATEDIF(A490,B490,"d"))</f>
        <v/>
      </c>
      <c r="I490">
        <f>IF(B490="",$C$1-A490,H490)</f>
        <v/>
      </c>
      <c r="J490" s="65" t="inlineStr">
        <is>
          <t>力士</t>
        </is>
      </c>
      <c r="K490">
        <f>IF(F490&gt;0,(H490*$F490)/365.25,0)</f>
        <v/>
      </c>
      <c r="L490">
        <f>IF(F490&gt;0,(I490*$F490)/365.25,0)</f>
        <v/>
      </c>
      <c r="M490" s="65" t="n"/>
      <c r="N490" s="532" t="n"/>
    </row>
    <row r="491" hidden="1" outlineLevel="1">
      <c r="A491" s="518" t="n">
        <v>44630</v>
      </c>
      <c r="B491" s="518" t="n"/>
      <c r="C491" s="148" t="n">
        <v>482</v>
      </c>
      <c r="D491" s="519" t="n"/>
      <c r="E491" s="520">
        <f>E490+C491-D491</f>
        <v/>
      </c>
      <c r="F491" s="520">
        <f>C491-D491</f>
        <v/>
      </c>
      <c r="G491" s="521">
        <f>G490+F491</f>
        <v/>
      </c>
      <c r="H491" s="521">
        <f>IF(B491="",DATEDIF(A491,$E$1,"d"),DATEDIF(A491,B491,"d"))</f>
        <v/>
      </c>
      <c r="I491" s="152">
        <f>IF(B491="",$C$1-A491,H491)</f>
        <v/>
      </c>
      <c r="J491" s="152" t="inlineStr">
        <is>
          <t>折讓入帳</t>
        </is>
      </c>
      <c r="K491" s="152">
        <f>IF(F491&gt;0,(H491*$F491)/365.25,0)</f>
        <v/>
      </c>
      <c r="L491" s="152">
        <f>IF(F491&gt;0,(I491*$F491)/365.25,0)</f>
        <v/>
      </c>
      <c r="M491" s="160" t="n"/>
      <c r="N491" s="532" t="n">
        <v>1194959</v>
      </c>
    </row>
    <row r="492" hidden="1" outlineLevel="1">
      <c r="A492" s="508" t="n">
        <v>44630</v>
      </c>
      <c r="B492" s="508" t="n"/>
      <c r="C492" s="123" t="n">
        <v>40050</v>
      </c>
      <c r="D492" s="509" t="n">
        <v>40070</v>
      </c>
      <c r="E492" s="510">
        <f>E491+C492-D492</f>
        <v/>
      </c>
      <c r="F492" s="510">
        <f>C492-D492</f>
        <v/>
      </c>
      <c r="G492" s="511">
        <f>G491+F492</f>
        <v/>
      </c>
      <c r="H492" s="511">
        <f>IF(B492="",$C$1-A492,DATEDIF(A492,B492,"d"))</f>
        <v/>
      </c>
      <c r="I492">
        <f>IF(B492="",$C$1-A492,H492)</f>
        <v/>
      </c>
      <c r="J492" s="65" t="inlineStr">
        <is>
          <t>寶瑋</t>
        </is>
      </c>
      <c r="K492">
        <f>IF(F492&gt;0,(H492*$F492)/365.25,0)</f>
        <v/>
      </c>
      <c r="L492">
        <f>IF(F492&gt;0,(I492*$F492)/365.25,0)</f>
        <v/>
      </c>
      <c r="M492" s="65" t="inlineStr">
        <is>
          <t>股票申購</t>
        </is>
      </c>
      <c r="N492" s="532" t="n"/>
    </row>
    <row r="493" hidden="1" outlineLevel="1">
      <c r="A493" s="508" t="n">
        <v>44634</v>
      </c>
      <c r="B493" s="508" t="n"/>
      <c r="C493" s="123" t="n">
        <v>18930</v>
      </c>
      <c r="D493" s="509" t="n">
        <v>18950</v>
      </c>
      <c r="E493" s="510">
        <f>E492+C493-D493</f>
        <v/>
      </c>
      <c r="F493" s="510">
        <f>C493-D493</f>
        <v/>
      </c>
      <c r="G493" s="511">
        <f>G492+F493</f>
        <v/>
      </c>
      <c r="H493" s="511">
        <f>IF(B493="",$C$1-A493,DATEDIF(A493,B493,"d"))</f>
        <v/>
      </c>
      <c r="I493">
        <f>IF(B493="",$C$1-A493,H493)</f>
        <v/>
      </c>
      <c r="J493" s="65" t="inlineStr">
        <is>
          <t>寶德</t>
        </is>
      </c>
      <c r="K493">
        <f>IF(F493&gt;0,(H493*$F493)/365.25,0)</f>
        <v/>
      </c>
      <c r="L493">
        <f>IF(F493&gt;0,(I493*$F493)/365.25,0)</f>
        <v/>
      </c>
      <c r="M493" s="65" t="inlineStr">
        <is>
          <t>股票申購</t>
        </is>
      </c>
      <c r="N493" s="532" t="n"/>
    </row>
    <row r="494" hidden="1" outlineLevel="1">
      <c r="A494" s="522" t="n">
        <v>44642</v>
      </c>
      <c r="B494" s="522" t="n">
        <v>44642</v>
      </c>
      <c r="C494" s="196" t="n">
        <v>2558</v>
      </c>
      <c r="D494" s="523" t="n">
        <v>0</v>
      </c>
      <c r="E494" s="524">
        <f>E493+C494-D494</f>
        <v/>
      </c>
      <c r="F494" s="524">
        <f>C494</f>
        <v/>
      </c>
      <c r="G494" s="525">
        <f>G493+C494-D494</f>
        <v/>
      </c>
      <c r="H494" s="525">
        <f>IF(B494="",DATEDIF(A494,$G$1,"d"),DATEDIF(A494,B494,"d"))</f>
        <v/>
      </c>
      <c r="I494" s="200">
        <f>IF(B494="",$C$1-A494,H494)</f>
        <v/>
      </c>
      <c r="J494" s="200" t="inlineStr">
        <is>
          <t>力積電現金股</t>
        </is>
      </c>
      <c r="K494" s="200">
        <f>(H494*$C494)/365.25</f>
        <v/>
      </c>
      <c r="L494" s="200">
        <f>(I494*$C494)/365.25</f>
        <v/>
      </c>
      <c r="M494" s="200" t="inlineStr">
        <is>
          <t>現金股利</t>
        </is>
      </c>
      <c r="N494" s="532" t="n"/>
    </row>
    <row r="495" hidden="1" outlineLevel="1">
      <c r="A495" s="508" t="n">
        <v>44644</v>
      </c>
      <c r="B495" s="508" t="n">
        <v>44648</v>
      </c>
      <c r="C495" s="123" t="n">
        <v>40050</v>
      </c>
      <c r="D495" s="509" t="n">
        <v>40070</v>
      </c>
      <c r="E495" s="510">
        <f>E494+C495-D495</f>
        <v/>
      </c>
      <c r="F495" s="510">
        <f>C495-D495</f>
        <v/>
      </c>
      <c r="G495" s="511">
        <f>G494+F495</f>
        <v/>
      </c>
      <c r="H495" s="511">
        <f>IF(B495="",$C$1-A495,DATEDIF(A495,B495,"d"))</f>
        <v/>
      </c>
      <c r="I495">
        <f>IF(B495="",$C$1-A495,H495)</f>
        <v/>
      </c>
      <c r="J495" s="65" t="inlineStr">
        <is>
          <t>明係</t>
        </is>
      </c>
      <c r="K495">
        <f>IF(F495&gt;0,(H495*$F495)/365.25,0)</f>
        <v/>
      </c>
      <c r="L495">
        <f>IF(F495&gt;0,(I495*$F495)/365.25,0)</f>
        <v/>
      </c>
      <c r="M495" s="65" t="inlineStr">
        <is>
          <t>股票申購</t>
        </is>
      </c>
      <c r="N495" s="532" t="n"/>
    </row>
    <row r="496" hidden="1" outlineLevel="1">
      <c r="A496" s="508" t="n">
        <v>44567</v>
      </c>
      <c r="B496" s="508" t="n">
        <v>44648</v>
      </c>
      <c r="C496" s="123" t="n">
        <v>30067</v>
      </c>
      <c r="D496" s="509" t="n"/>
      <c r="E496" s="510">
        <f>E495+C496-D496</f>
        <v/>
      </c>
      <c r="F496" s="510">
        <f>-D461+C496</f>
        <v/>
      </c>
      <c r="G496" s="511">
        <f>G495+F496</f>
        <v/>
      </c>
      <c r="H496" s="511">
        <f>IF(B496="",$C$1-A496,DATEDIF(A496,B496,"d"))</f>
        <v/>
      </c>
      <c r="I496">
        <f>IF(B496="",$C$1-A496,H496)</f>
        <v/>
      </c>
      <c r="J496" s="65" t="inlineStr">
        <is>
          <t>弘裕(1474)</t>
        </is>
      </c>
      <c r="K496">
        <f>IF(F496&gt;0,(H496*$F496)/365.25,0)</f>
        <v/>
      </c>
      <c r="L496">
        <f>IF(F496&gt;0,(I496*$F496)/365.25,0)</f>
        <v/>
      </c>
      <c r="M496" s="65" t="n"/>
      <c r="N496" s="532" t="n"/>
      <c r="O496" s="66" t="n"/>
    </row>
    <row r="497" hidden="1" outlineLevel="1">
      <c r="A497" s="508" t="n">
        <v>44602</v>
      </c>
      <c r="B497" s="508" t="n">
        <v>44624</v>
      </c>
      <c r="C497" s="123" t="n">
        <v>80443</v>
      </c>
      <c r="D497" s="509" t="n"/>
      <c r="E497" s="510">
        <f>E496+C497-D497</f>
        <v/>
      </c>
      <c r="F497" s="510">
        <f>-D471+C497</f>
        <v/>
      </c>
      <c r="G497" s="511">
        <f>G496+F497</f>
        <v/>
      </c>
      <c r="H497" s="511">
        <f>IF(B497="",$C$1-A497,DATEDIF(A497,B497,"d"))</f>
        <v/>
      </c>
      <c r="I497">
        <f>IF(B497="",$C$1-A497,H497)</f>
        <v/>
      </c>
      <c r="J497" s="65" t="inlineStr">
        <is>
          <t>東和鋼鐵(2006)</t>
        </is>
      </c>
      <c r="K497">
        <f>IF(F497&gt;0,(H497*$F497)/365.25,0)</f>
        <v/>
      </c>
      <c r="L497">
        <f>IF(F497&gt;0,(I497*$F497)/365.25,0)</f>
        <v/>
      </c>
      <c r="M497" s="65" t="n"/>
      <c r="N497" s="532" t="n"/>
      <c r="O497" s="66" t="n"/>
    </row>
    <row r="498" hidden="1" outlineLevel="1">
      <c r="A498" s="508" t="n">
        <v>44648</v>
      </c>
      <c r="B498" s="508" t="n">
        <v>44650</v>
      </c>
      <c r="C498" s="123" t="n">
        <v>33050</v>
      </c>
      <c r="D498" s="509" t="n">
        <v>33070</v>
      </c>
      <c r="E498" s="510">
        <f>E497+C498-D498</f>
        <v/>
      </c>
      <c r="F498" s="510">
        <f>C498-D498</f>
        <v/>
      </c>
      <c r="G498" s="511">
        <f>G497+F498</f>
        <v/>
      </c>
      <c r="H498" s="511">
        <f>IF(B498="",$C$1-A498,DATEDIF(A498,B498,"d"))</f>
        <v/>
      </c>
      <c r="I498">
        <f>IF(B498="",$C$1-A498,H498)</f>
        <v/>
      </c>
      <c r="J498" s="65" t="inlineStr">
        <is>
          <t>麗清</t>
        </is>
      </c>
      <c r="K498">
        <f>IF(F498&gt;0,(H498*$F498)/365.25,0)</f>
        <v/>
      </c>
      <c r="L498">
        <f>IF(F498&gt;0,(I498*$F498)/365.25,0)</f>
        <v/>
      </c>
      <c r="M498" s="65" t="inlineStr">
        <is>
          <t>股票申購</t>
        </is>
      </c>
      <c r="N498" s="532" t="n"/>
    </row>
    <row r="499" hidden="1" outlineLevel="1">
      <c r="A499" s="508" t="n">
        <v>44648</v>
      </c>
      <c r="B499" s="508" t="n">
        <v>44650</v>
      </c>
      <c r="C499" s="123" t="n">
        <v>88050</v>
      </c>
      <c r="D499" s="509" t="n">
        <v>88070</v>
      </c>
      <c r="E499" s="510">
        <f>E498+C499-D499</f>
        <v/>
      </c>
      <c r="F499" s="510">
        <f>C499-D499</f>
        <v/>
      </c>
      <c r="G499" s="511">
        <f>G498+F499</f>
        <v/>
      </c>
      <c r="H499" s="511">
        <f>IF(B499="",$C$1-A499,DATEDIF(A499,B499,"d"))</f>
        <v/>
      </c>
      <c r="I499">
        <f>IF(B499="",$C$1-A499,H499)</f>
        <v/>
      </c>
      <c r="J499" s="65" t="inlineStr">
        <is>
          <t>醫楊</t>
        </is>
      </c>
      <c r="K499">
        <f>IF(F499&gt;0,(H499*$F499)/365.25,0)</f>
        <v/>
      </c>
      <c r="L499">
        <f>IF(F499&gt;0,(I499*$F499)/365.25,0)</f>
        <v/>
      </c>
      <c r="M499" s="65" t="inlineStr">
        <is>
          <t>股票申購</t>
        </is>
      </c>
      <c r="N499" s="532" t="n"/>
    </row>
    <row r="500" collapsed="1">
      <c r="A500" s="522" t="n">
        <v>44648</v>
      </c>
      <c r="B500" s="522" t="n">
        <v>44648</v>
      </c>
      <c r="C500" s="196" t="n">
        <v>4039</v>
      </c>
      <c r="D500" s="523" t="n">
        <v>0</v>
      </c>
      <c r="E500" s="524">
        <f>E499+C500-D500</f>
        <v/>
      </c>
      <c r="F500" s="524">
        <f>C500</f>
        <v/>
      </c>
      <c r="G500" s="525">
        <f>G499+C500-D500</f>
        <v/>
      </c>
      <c r="H500" s="525">
        <f>IF(B500="",DATEDIF(A500,$G$1,"d"),DATEDIF(A500,B500,"d"))</f>
        <v/>
      </c>
      <c r="I500" s="200">
        <f>IF(B500="",$C$1-A500,H500)</f>
        <v/>
      </c>
      <c r="J500" s="200" t="inlineStr">
        <is>
          <t>燦星網通減資</t>
        </is>
      </c>
      <c r="K500" s="200">
        <f>(H500*$C500)/365.25</f>
        <v/>
      </c>
      <c r="L500" s="200">
        <f>(I500*$C500)/365.25</f>
        <v/>
      </c>
      <c r="M500" s="200" t="inlineStr">
        <is>
          <t>減資</t>
        </is>
      </c>
      <c r="N500" s="532" t="n"/>
    </row>
    <row r="501" hidden="1" outlineLevel="1">
      <c r="A501" s="508" t="n">
        <v>44652</v>
      </c>
      <c r="B501" s="508" t="n"/>
      <c r="C501" s="123" t="n"/>
      <c r="D501" s="509" t="n">
        <v>104148</v>
      </c>
      <c r="E501" s="510">
        <f>E500+C501-D501</f>
        <v/>
      </c>
      <c r="F501" s="510" t="n"/>
      <c r="G501" s="511">
        <f>G500+F501</f>
        <v/>
      </c>
      <c r="H501" s="511">
        <f>IF(B501="",$C$1-A501,DATEDIF(A501,B501,"d"))</f>
        <v/>
      </c>
      <c r="I501">
        <f>IF(B501="",$C$1-A501,H501)</f>
        <v/>
      </c>
      <c r="J501" s="65" t="inlineStr">
        <is>
          <t>瑞儀(6176)</t>
        </is>
      </c>
      <c r="K501">
        <f>IF(F501&gt;0,(H501*$F501)/365.25,0)</f>
        <v/>
      </c>
      <c r="L501">
        <f>IF(F501&gt;0,(I501*$F501)/365.25,0)</f>
        <v/>
      </c>
      <c r="M501" s="65" t="n"/>
      <c r="N501" s="532" t="n"/>
      <c r="O501" s="66" t="n"/>
    </row>
    <row r="502" hidden="1" outlineLevel="1">
      <c r="A502" s="508" t="n">
        <v>44652</v>
      </c>
      <c r="B502" s="508" t="n">
        <v>44753</v>
      </c>
      <c r="C502" s="123" t="n"/>
      <c r="D502" s="509" t="n">
        <v>54577</v>
      </c>
      <c r="E502" s="510">
        <f>E501+C502-D502</f>
        <v/>
      </c>
      <c r="F502" s="510" t="n"/>
      <c r="G502" s="511">
        <f>G501+F502</f>
        <v/>
      </c>
      <c r="H502" s="511">
        <f>IF(B502="",$C$1-A502,DATEDIF(A502,B502,"d"))</f>
        <v/>
      </c>
      <c r="I502">
        <f>IF(B502="",$C$1-A502,H502)</f>
        <v/>
      </c>
      <c r="J502" s="65" t="inlineStr">
        <is>
          <t>上奇(6123)</t>
        </is>
      </c>
      <c r="K502">
        <f>IF(F502&gt;0,(H502*$F502)/365.25,0)</f>
        <v/>
      </c>
      <c r="L502">
        <f>IF(F502&gt;0,(I502*$F502)/365.25,0)</f>
        <v/>
      </c>
      <c r="M502" s="65" t="n"/>
      <c r="N502" s="532" t="n"/>
      <c r="O502" s="66" t="n"/>
    </row>
    <row r="503" hidden="1" outlineLevel="1">
      <c r="A503" s="508" t="n">
        <v>44657</v>
      </c>
      <c r="B503" s="508" t="n">
        <v>44662</v>
      </c>
      <c r="C503" s="123" t="n"/>
      <c r="D503" s="509" t="n">
        <v>17074</v>
      </c>
      <c r="E503" s="510">
        <f>E502+C503-D503</f>
        <v/>
      </c>
      <c r="F503" s="510" t="n"/>
      <c r="G503" s="511">
        <f>G502+F503</f>
        <v/>
      </c>
      <c r="H503" s="511">
        <f>IF(B503="",$C$1-A503,DATEDIF(A503,B503,"d"))</f>
        <v/>
      </c>
      <c r="I503">
        <f>IF(B503="",$C$1-A503,H503)</f>
        <v/>
      </c>
      <c r="J503" s="65" t="inlineStr">
        <is>
          <t>金寶(2312)</t>
        </is>
      </c>
      <c r="K503">
        <f>IF(F503&gt;0,(H503*$F503)/365.25,0)</f>
        <v/>
      </c>
      <c r="L503">
        <f>IF(F503&gt;0,(I503*$F503)/365.25,0)</f>
        <v/>
      </c>
      <c r="M503" s="65" t="n"/>
      <c r="N503" s="532" t="n"/>
      <c r="O503" s="66" t="n"/>
    </row>
    <row r="504" hidden="1" outlineLevel="1">
      <c r="A504" s="508" t="n">
        <v>44657</v>
      </c>
      <c r="B504" s="508" t="n"/>
      <c r="C504" s="123" t="n"/>
      <c r="D504" s="509" t="n">
        <v>17074</v>
      </c>
      <c r="E504" s="510">
        <f>E503+C504-D504</f>
        <v/>
      </c>
      <c r="F504" s="510" t="n"/>
      <c r="G504" s="511">
        <f>G503+F504</f>
        <v/>
      </c>
      <c r="H504" s="511">
        <f>IF(B504="",$C$1-A504,DATEDIF(A504,B504,"d"))</f>
        <v/>
      </c>
      <c r="I504">
        <f>IF(B504="",$C$1-A504,H504)</f>
        <v/>
      </c>
      <c r="J504" s="65" t="inlineStr">
        <is>
          <t>金寶(2312)</t>
        </is>
      </c>
      <c r="K504">
        <f>IF(F504&gt;0,(H504*$F504)/365.25,0)</f>
        <v/>
      </c>
      <c r="L504">
        <f>IF(F504&gt;0,(I504*$F504)/365.25,0)</f>
        <v/>
      </c>
      <c r="M504" s="65" t="n"/>
      <c r="N504" s="532" t="n"/>
    </row>
    <row r="505" hidden="1" outlineLevel="1">
      <c r="A505" s="508" t="n">
        <v>44657</v>
      </c>
      <c r="B505" s="508" t="n">
        <v>44659</v>
      </c>
      <c r="C505" s="123" t="n">
        <v>86850</v>
      </c>
      <c r="D505" s="509" t="n">
        <v>86870</v>
      </c>
      <c r="E505" s="510">
        <f>E504+C505-D505</f>
        <v/>
      </c>
      <c r="F505" s="510">
        <f>C505-D505</f>
        <v/>
      </c>
      <c r="G505" s="511">
        <f>G504+F505</f>
        <v/>
      </c>
      <c r="H505" s="511">
        <f>IF(B505="",$C$1-A505,DATEDIF(A505,B505,"d"))</f>
        <v/>
      </c>
      <c r="I505">
        <f>IF(B505="",$C$1-A505,H505)</f>
        <v/>
      </c>
      <c r="J505" s="65" t="inlineStr">
        <is>
          <t>晶呈科技</t>
        </is>
      </c>
      <c r="K505">
        <f>IF(F505&gt;0,(H505*$F505)/365.25,0)</f>
        <v/>
      </c>
      <c r="L505">
        <f>IF(F505&gt;0,(I505*$F505)/365.25,0)</f>
        <v/>
      </c>
      <c r="M505" s="65" t="inlineStr">
        <is>
          <t>股票申購</t>
        </is>
      </c>
      <c r="N505" s="532" t="n"/>
    </row>
    <row r="506" hidden="1" outlineLevel="1">
      <c r="A506" s="518" t="n">
        <v>44659</v>
      </c>
      <c r="B506" s="518" t="n"/>
      <c r="C506" s="148" t="n">
        <v>505</v>
      </c>
      <c r="D506" s="519" t="n"/>
      <c r="E506" s="520">
        <f>E505+C506-D506</f>
        <v/>
      </c>
      <c r="F506" s="520">
        <f>C506-D506</f>
        <v/>
      </c>
      <c r="G506" s="521">
        <f>G505+F506</f>
        <v/>
      </c>
      <c r="H506" s="521">
        <f>IF(B506="",DATEDIF(A506,$E$1,"d"),DATEDIF(A506,B506,"d"))</f>
        <v/>
      </c>
      <c r="I506" s="152">
        <f>IF(B506="",$C$1-A506,H506)</f>
        <v/>
      </c>
      <c r="J506" s="152" t="inlineStr">
        <is>
          <t>折讓入帳</t>
        </is>
      </c>
      <c r="K506" s="152">
        <f>IF(F506&gt;0,(H506*$F506)/365.25,0)</f>
        <v/>
      </c>
      <c r="L506" s="152">
        <f>IF(F506&gt;0,(I506*$F506)/365.25,0)</f>
        <v/>
      </c>
      <c r="M506" s="160" t="n"/>
      <c r="O506" s="66" t="n"/>
    </row>
    <row r="507" hidden="1" outlineLevel="1">
      <c r="A507" s="508" t="n">
        <v>44657</v>
      </c>
      <c r="B507" s="508" t="n">
        <v>44662</v>
      </c>
      <c r="C507" s="123" t="n">
        <v>15283</v>
      </c>
      <c r="D507" s="509" t="n"/>
      <c r="E507" s="510">
        <f>E506+C507-D507</f>
        <v/>
      </c>
      <c r="F507" s="510">
        <f>-D503+C507</f>
        <v/>
      </c>
      <c r="G507" s="511">
        <f>G506+F507</f>
        <v/>
      </c>
      <c r="H507" s="511">
        <f>IF(B507="",$C$1-A507,DATEDIF(A507,B507,"d"))</f>
        <v/>
      </c>
      <c r="I507">
        <f>IF(B507="",$C$1-A507,H507)</f>
        <v/>
      </c>
      <c r="J507" s="65" t="inlineStr">
        <is>
          <t>金寶(2312)</t>
        </is>
      </c>
      <c r="K507">
        <f>IF(F507&gt;0,(H507*$F507)/365.25,0)</f>
        <v/>
      </c>
      <c r="L507">
        <f>IF(F507&gt;0,(I507*$F507)/365.25,0)</f>
        <v/>
      </c>
      <c r="M507" s="65" t="n"/>
      <c r="N507" s="532" t="n"/>
      <c r="O507" s="66" t="n"/>
    </row>
    <row r="508" hidden="1" outlineLevel="1">
      <c r="A508" s="508" t="n">
        <v>44662</v>
      </c>
      <c r="B508" s="508" t="n">
        <v>44720</v>
      </c>
      <c r="C508" s="123" t="n"/>
      <c r="D508" s="509" t="n">
        <v>29392</v>
      </c>
      <c r="E508" s="510">
        <f>E507+C508-D508</f>
        <v/>
      </c>
      <c r="F508" s="510" t="n"/>
      <c r="G508" s="511">
        <f>G507+F508</f>
        <v/>
      </c>
      <c r="H508" s="511">
        <f>IF(B508="",$C$1-A508,DATEDIF(A508,B508,"d"))</f>
        <v/>
      </c>
      <c r="I508">
        <f>IF(B508="",$C$1-A508,H508)</f>
        <v/>
      </c>
      <c r="J508" s="65" t="inlineStr">
        <is>
          <t>凱鈺(5468)</t>
        </is>
      </c>
      <c r="K508">
        <f>IF(F508&gt;0,(H508*$F508)/365.25,0)</f>
        <v/>
      </c>
      <c r="L508">
        <f>IF(F508&gt;0,(I508*$F508)/365.25,0)</f>
        <v/>
      </c>
      <c r="M508" s="65" t="n"/>
      <c r="N508" s="532" t="n"/>
    </row>
    <row r="509" hidden="1" outlineLevel="1">
      <c r="A509" s="508" t="n">
        <v>44662</v>
      </c>
      <c r="B509" s="508" t="n">
        <v>44722</v>
      </c>
      <c r="C509" s="123" t="n"/>
      <c r="D509" s="509" t="n">
        <v>29391</v>
      </c>
      <c r="E509" s="510">
        <f>E508+C509-D509</f>
        <v/>
      </c>
      <c r="F509" s="510">
        <f>-D504+C509</f>
        <v/>
      </c>
      <c r="G509" s="511">
        <f>G508+F509</f>
        <v/>
      </c>
      <c r="H509" s="511">
        <f>IF(B509="",$C$1-A509,DATEDIF(A509,B509,"d"))</f>
        <v/>
      </c>
      <c r="I509">
        <f>IF(B509="",$C$1-A509,H509)</f>
        <v/>
      </c>
      <c r="J509" s="65" t="inlineStr">
        <is>
          <t>凱鈺(5468)</t>
        </is>
      </c>
      <c r="K509">
        <f>IF(F509&gt;0,(H509*$F509)/365.25,0)</f>
        <v/>
      </c>
      <c r="L509">
        <f>IF(F509&gt;0,(I509*$F509)/365.25,0)</f>
        <v/>
      </c>
      <c r="M509" s="65" t="n"/>
      <c r="N509" s="532" t="n"/>
    </row>
    <row r="510" hidden="1" outlineLevel="1">
      <c r="A510" s="508" t="n">
        <v>44662</v>
      </c>
      <c r="B510" s="508" t="n"/>
      <c r="C510" s="123" t="n"/>
      <c r="D510" s="509" t="n">
        <v>29792</v>
      </c>
      <c r="E510" s="510">
        <f>E509+C510-D510</f>
        <v/>
      </c>
      <c r="F510" s="510" t="n"/>
      <c r="G510" s="511">
        <f>G509+F510</f>
        <v/>
      </c>
      <c r="H510" s="511">
        <f>IF(B510="",$C$1-A510,DATEDIF(A510,B510,"d"))</f>
        <v/>
      </c>
      <c r="I510">
        <f>IF(B510="",$C$1-A510,H510)</f>
        <v/>
      </c>
      <c r="J510" s="65" t="inlineStr">
        <is>
          <t>第一金(2892)</t>
        </is>
      </c>
      <c r="K510">
        <f>IF(F510&gt;0,(H510*$F510)/365.25,0)</f>
        <v/>
      </c>
      <c r="L510">
        <f>IF(F510&gt;0,(I510*$F510)/365.25,0)</f>
        <v/>
      </c>
      <c r="M510" s="65" t="n"/>
      <c r="N510" s="532">
        <f>E508-1015443</f>
        <v/>
      </c>
      <c r="O510" s="66" t="n"/>
    </row>
    <row r="511" hidden="1" outlineLevel="1">
      <c r="A511" s="508" t="n">
        <v>44662</v>
      </c>
      <c r="B511" s="508" t="n"/>
      <c r="C511" s="123" t="n"/>
      <c r="D511" s="509" t="n">
        <v>30843</v>
      </c>
      <c r="E511" s="510">
        <f>E510+C511-D511</f>
        <v/>
      </c>
      <c r="F511" s="510" t="n"/>
      <c r="G511" s="511">
        <f>G510+F511</f>
        <v/>
      </c>
      <c r="H511" s="511">
        <f>IF(B511="",$C$1-A511,DATEDIF(A511,B511,"d"))</f>
        <v/>
      </c>
      <c r="I511">
        <f>IF(B511="",$C$1-A511,H511)</f>
        <v/>
      </c>
      <c r="J511" s="65" t="inlineStr">
        <is>
          <t>合庫金(5880)</t>
        </is>
      </c>
      <c r="K511">
        <f>IF(F511&gt;0,(H511*$F511)/365.25,0)</f>
        <v/>
      </c>
      <c r="L511">
        <f>IF(F511&gt;0,(I511*$F511)/365.25,0)</f>
        <v/>
      </c>
      <c r="M511" s="65" t="n"/>
      <c r="N511" s="532">
        <f>E509-1015443</f>
        <v/>
      </c>
      <c r="O511" s="66" t="n"/>
    </row>
    <row r="512" hidden="1" outlineLevel="1">
      <c r="A512" s="508" t="n">
        <v>44657</v>
      </c>
      <c r="B512" s="508" t="n">
        <v>44664</v>
      </c>
      <c r="C512" s="123" t="n">
        <v>14537</v>
      </c>
      <c r="D512" s="509" t="n"/>
      <c r="E512" s="510">
        <f>E511+C512-D512</f>
        <v/>
      </c>
      <c r="F512" s="510">
        <f>-D506+C512</f>
        <v/>
      </c>
      <c r="G512" s="511">
        <f>G511+F512</f>
        <v/>
      </c>
      <c r="H512" s="511">
        <f>IF(B512="",$C$1-A512,DATEDIF(A512,B512,"d"))</f>
        <v/>
      </c>
      <c r="I512">
        <f>IF(B512="",$C$1-A512,H512)</f>
        <v/>
      </c>
      <c r="J512" s="65" t="inlineStr">
        <is>
          <t>金寶(2312)</t>
        </is>
      </c>
      <c r="K512">
        <f>IF(F512&gt;0,(H512*$F512)/365.25,0)</f>
        <v/>
      </c>
      <c r="L512">
        <f>IF(F512&gt;0,(I512*$F512)/365.25,0)</f>
        <v/>
      </c>
      <c r="M512" s="65" t="n"/>
      <c r="N512" s="532" t="n"/>
      <c r="O512" s="66" t="n"/>
    </row>
    <row r="513" hidden="1" outlineLevel="1">
      <c r="A513" s="508" t="n">
        <v>44665</v>
      </c>
      <c r="B513" s="508" t="n">
        <v>44666</v>
      </c>
      <c r="C513" s="123" t="n"/>
      <c r="D513" s="509" t="n">
        <v>23934</v>
      </c>
      <c r="E513" s="510">
        <f>E512+C513-D513</f>
        <v/>
      </c>
      <c r="F513" s="510" t="n"/>
      <c r="G513" s="511">
        <f>G512+F513</f>
        <v/>
      </c>
      <c r="H513" s="511">
        <f>IF(B513="",$C$1-A513,DATEDIF(A513,B513,"d"))</f>
        <v/>
      </c>
      <c r="I513">
        <f>IF(B513="",$C$1-A513,H513)</f>
        <v/>
      </c>
      <c r="J513" s="65" t="inlineStr">
        <is>
          <t>大展證(6020)</t>
        </is>
      </c>
      <c r="K513">
        <f>IF(F513&gt;0,(H513*$F513)/365.25,0)</f>
        <v/>
      </c>
      <c r="L513">
        <f>IF(F513&gt;0,(I513*$F513)/365.25,0)</f>
        <v/>
      </c>
      <c r="M513" s="65" t="n"/>
      <c r="O513" s="66" t="n"/>
    </row>
    <row r="514" hidden="1" outlineLevel="1">
      <c r="A514" s="508" t="n">
        <v>44665</v>
      </c>
      <c r="B514" s="508" t="n">
        <v>44666</v>
      </c>
      <c r="C514" s="123" t="n">
        <v>24044</v>
      </c>
      <c r="D514" s="509" t="n"/>
      <c r="E514" s="510">
        <f>E513+C514-D514</f>
        <v/>
      </c>
      <c r="F514" s="510">
        <f>-D513+C514</f>
        <v/>
      </c>
      <c r="G514" s="511">
        <f>G513+F514</f>
        <v/>
      </c>
      <c r="H514" s="511">
        <f>IF(B514="",$C$1-A514,DATEDIF(A514,B514,"d"))</f>
        <v/>
      </c>
      <c r="I514">
        <f>IF(B514="",$C$1-A514,H514)</f>
        <v/>
      </c>
      <c r="J514" s="65" t="inlineStr">
        <is>
          <t>大展證(6020)</t>
        </is>
      </c>
      <c r="K514">
        <f>IF(F514&gt;0,(H514*$F514)/365.25,0)</f>
        <v/>
      </c>
      <c r="L514">
        <f>IF(F514&gt;0,(I514*$F514)/365.25,0)</f>
        <v/>
      </c>
      <c r="M514" s="65" t="n"/>
      <c r="O514" s="66" t="n"/>
    </row>
    <row r="515" hidden="1" outlineLevel="1">
      <c r="A515" s="508" t="n">
        <v>44669</v>
      </c>
      <c r="B515" s="508" t="n"/>
      <c r="C515" s="123" t="n"/>
      <c r="D515" s="509" t="n">
        <v>21180</v>
      </c>
      <c r="E515" s="510">
        <f>E514+C515-D515</f>
        <v/>
      </c>
      <c r="F515" s="510" t="n"/>
      <c r="G515" s="511">
        <f>G514+F515</f>
        <v/>
      </c>
      <c r="H515" s="511">
        <f>IF(B515="",$C$1-A515,DATEDIF(A515,B515,"d"))</f>
        <v/>
      </c>
      <c r="I515">
        <f>IF(B515="",$C$1-A515,H515)</f>
        <v/>
      </c>
      <c r="J515" s="65" t="inlineStr">
        <is>
          <t>大展證(6020)</t>
        </is>
      </c>
      <c r="K515">
        <f>IF(F515&gt;0,(H515*$F515)/365.25,0)</f>
        <v/>
      </c>
      <c r="L515">
        <f>IF(F515&gt;0,(I515*$F515)/365.25,0)</f>
        <v/>
      </c>
      <c r="M515" s="65" t="n"/>
      <c r="N515" s="532" t="n"/>
      <c r="O515" s="66" t="n"/>
    </row>
    <row r="516" hidden="1" outlineLevel="1">
      <c r="A516" s="522" t="n">
        <v>44671</v>
      </c>
      <c r="B516" s="522" t="n">
        <v>44671</v>
      </c>
      <c r="C516" s="196" t="n">
        <v>2846</v>
      </c>
      <c r="D516" s="523" t="n">
        <v>0</v>
      </c>
      <c r="E516" s="524">
        <f>E515+C516-D516</f>
        <v/>
      </c>
      <c r="F516" s="524">
        <f>C516</f>
        <v/>
      </c>
      <c r="G516" s="525">
        <f>G515+C516-D516</f>
        <v/>
      </c>
      <c r="H516" s="525">
        <f>IF(B516="",DATEDIF(A516,$G$1,"d"),DATEDIF(A516,B516,"d"))</f>
        <v/>
      </c>
      <c r="I516" s="200">
        <f>IF(B516="",$C$1-A516,H516)</f>
        <v/>
      </c>
      <c r="J516" s="200" t="inlineStr">
        <is>
          <t>燦星現金股</t>
        </is>
      </c>
      <c r="K516" s="200">
        <f>(H516*$C516)/365.25</f>
        <v/>
      </c>
      <c r="L516" s="200">
        <f>(I516*$C516)/365.25</f>
        <v/>
      </c>
      <c r="M516" s="200" t="inlineStr">
        <is>
          <t>現金股利</t>
        </is>
      </c>
      <c r="N516" s="532" t="n">
        <v>1011756</v>
      </c>
    </row>
    <row r="517" hidden="1" outlineLevel="1">
      <c r="A517" s="508" t="n">
        <v>44680</v>
      </c>
      <c r="B517" s="508" t="n">
        <v>44685</v>
      </c>
      <c r="C517" s="123" t="n">
        <v>20050</v>
      </c>
      <c r="D517" s="509" t="n">
        <v>20070</v>
      </c>
      <c r="E517" s="510">
        <f>E516+C517-D517</f>
        <v/>
      </c>
      <c r="F517" s="510">
        <f>C517-D517</f>
        <v/>
      </c>
      <c r="G517" s="511">
        <f>G516+F517</f>
        <v/>
      </c>
      <c r="H517" s="511">
        <f>IF(B517="",$C$1-A517,DATEDIF(A517,B517,"d"))</f>
        <v/>
      </c>
      <c r="I517">
        <f>IF(B517="",$C$1-A517,H517)</f>
        <v/>
      </c>
      <c r="J517" s="65" t="inlineStr">
        <is>
          <t>台灣精銳</t>
        </is>
      </c>
      <c r="K517">
        <f>IF(F517&gt;0,(H517*$F517)/365.25,0)</f>
        <v/>
      </c>
      <c r="L517">
        <f>IF(F517&gt;0,(I517*$F517)/365.25,0)</f>
        <v/>
      </c>
      <c r="M517" s="65" t="n"/>
      <c r="N517" s="65" t="inlineStr">
        <is>
          <t>股票申購</t>
        </is>
      </c>
    </row>
    <row r="518" hidden="1" outlineLevel="1">
      <c r="A518" s="522" t="n">
        <v>44687</v>
      </c>
      <c r="B518" s="522" t="n">
        <v>44687</v>
      </c>
      <c r="C518" s="196" t="n">
        <v>4990</v>
      </c>
      <c r="D518" s="523" t="n">
        <v>0</v>
      </c>
      <c r="E518" s="524">
        <f>E517+C518-D518</f>
        <v/>
      </c>
      <c r="F518" s="524">
        <f>C518</f>
        <v/>
      </c>
      <c r="G518" s="525">
        <f>G517+C518-D518</f>
        <v/>
      </c>
      <c r="H518" s="525">
        <f>IF(B518="",DATEDIF(A518,$G$1,"d"),DATEDIF(A518,B518,"d"))</f>
        <v/>
      </c>
      <c r="I518" s="200">
        <f>IF(B518="",$C$1-A518,H518)</f>
        <v/>
      </c>
      <c r="J518" s="200" t="inlineStr">
        <is>
          <t>豐興鋼鐵現金股</t>
        </is>
      </c>
      <c r="K518" s="200">
        <f>(H518*$C518)/365.25</f>
        <v/>
      </c>
      <c r="L518" s="200">
        <f>(I518*$C518)/365.25</f>
        <v/>
      </c>
      <c r="M518" s="200" t="inlineStr">
        <is>
          <t>現金股利</t>
        </is>
      </c>
      <c r="N518" s="532" t="n"/>
    </row>
    <row r="519" hidden="1" outlineLevel="1">
      <c r="A519" s="508" t="n">
        <v>44680</v>
      </c>
      <c r="B519" s="508" t="n">
        <v>44685</v>
      </c>
      <c r="C519" s="123" t="n">
        <v>60050</v>
      </c>
      <c r="D519" s="509" t="n">
        <v>60070</v>
      </c>
      <c r="E519" s="510">
        <f>E518+C519-D519</f>
        <v/>
      </c>
      <c r="F519" s="510">
        <f>C519-D519</f>
        <v/>
      </c>
      <c r="G519" s="511">
        <f>G518+F519</f>
        <v/>
      </c>
      <c r="H519" s="511">
        <f>IF(B519="",$C$1-A519,DATEDIF(A519,B519,"d"))</f>
        <v/>
      </c>
      <c r="I519">
        <f>IF(B519="",$C$1-A519,H519)</f>
        <v/>
      </c>
      <c r="J519" s="65" t="inlineStr">
        <is>
          <t>台灣精銳</t>
        </is>
      </c>
      <c r="K519">
        <f>IF(F519&gt;0,(H519*$F519)/365.25,0)</f>
        <v/>
      </c>
      <c r="L519">
        <f>IF(F519&gt;0,(I519*$F519)/365.25,0)</f>
        <v/>
      </c>
      <c r="M519" s="65" t="n"/>
      <c r="N519" s="65" t="inlineStr">
        <is>
          <t>股票申購</t>
        </is>
      </c>
    </row>
    <row r="520" hidden="1" outlineLevel="1">
      <c r="A520" s="518" t="n">
        <v>44691</v>
      </c>
      <c r="B520" s="518" t="n"/>
      <c r="C520" s="148" t="n">
        <v>120</v>
      </c>
      <c r="D520" s="519" t="n"/>
      <c r="E520" s="520">
        <f>E519+C520-D520</f>
        <v/>
      </c>
      <c r="F520" s="520">
        <f>C520-D520</f>
        <v/>
      </c>
      <c r="G520" s="521">
        <f>G519+F520</f>
        <v/>
      </c>
      <c r="H520" s="521">
        <f>IF(B520="",DATEDIF(A520,$E$1,"d"),DATEDIF(A520,B520,"d"))</f>
        <v/>
      </c>
      <c r="I520" s="152">
        <f>IF(B520="",$C$1-A520,H520)</f>
        <v/>
      </c>
      <c r="J520" s="152" t="inlineStr">
        <is>
          <t>折讓入帳</t>
        </is>
      </c>
      <c r="K520" s="152">
        <f>IF(F520&gt;0,(H520*$F520)/365.25,0)</f>
        <v/>
      </c>
      <c r="L520" s="152">
        <f>IF(F520&gt;0,(I520*$F520)/365.25,0)</f>
        <v/>
      </c>
      <c r="M520" s="160" t="n"/>
      <c r="N520" s="532" t="n"/>
    </row>
    <row r="521" hidden="1" outlineLevel="1">
      <c r="A521" s="508" t="n">
        <v>44710</v>
      </c>
      <c r="B521" s="508" t="n">
        <v>44712</v>
      </c>
      <c r="C521" s="123" t="n">
        <v>82050</v>
      </c>
      <c r="D521" s="509" t="n">
        <v>82070</v>
      </c>
      <c r="E521" s="510">
        <f>E520+C521-D521</f>
        <v/>
      </c>
      <c r="F521" s="510">
        <f>C521-D521</f>
        <v/>
      </c>
      <c r="G521" s="511">
        <f>G520+F521</f>
        <v/>
      </c>
      <c r="H521" s="511">
        <f>IF(B521="",$C$1-A521,DATEDIF(A521,B521,"d"))</f>
        <v/>
      </c>
      <c r="I521">
        <f>IF(B521="",$C$1-A521,H521)</f>
        <v/>
      </c>
      <c r="J521" s="65" t="inlineStr">
        <is>
          <t>北極星藥業-KY</t>
        </is>
      </c>
      <c r="K521">
        <f>IF(F521&gt;0,(H521*$F521)/365.25,0)</f>
        <v/>
      </c>
      <c r="L521">
        <f>IF(F521&gt;0,(I521*$F521)/365.25,0)</f>
        <v/>
      </c>
      <c r="M521" s="65" t="n"/>
      <c r="N521" s="65" t="inlineStr">
        <is>
          <t>股票申購</t>
        </is>
      </c>
    </row>
    <row r="522" hidden="1" outlineLevel="1">
      <c r="A522" s="508" t="n">
        <v>44714</v>
      </c>
      <c r="B522" s="508" t="n">
        <v>44719</v>
      </c>
      <c r="C522" s="123" t="n">
        <v>95050</v>
      </c>
      <c r="D522" s="509" t="n">
        <v>95070</v>
      </c>
      <c r="E522" s="510">
        <f>E521+C522-D522</f>
        <v/>
      </c>
      <c r="F522" s="510">
        <f>C522-D522</f>
        <v/>
      </c>
      <c r="G522" s="511">
        <f>G521+F522</f>
        <v/>
      </c>
      <c r="H522" s="511">
        <f>IF(B522="",$C$1-A522,DATEDIF(A522,B522,"d"))</f>
        <v/>
      </c>
      <c r="I522">
        <f>IF(B522="",$C$1-A522,H522)</f>
        <v/>
      </c>
      <c r="J522" s="65" t="inlineStr">
        <is>
          <t>漢磊</t>
        </is>
      </c>
      <c r="K522">
        <f>IF(F522&gt;0,(H522*$F522)/365.25,0)</f>
        <v/>
      </c>
      <c r="L522">
        <f>IF(F522&gt;0,(I522*$F522)/365.25,0)</f>
        <v/>
      </c>
      <c r="M522" s="65" t="n"/>
      <c r="N522" s="65" t="inlineStr">
        <is>
          <t>股票申購</t>
        </is>
      </c>
    </row>
    <row r="523" hidden="1" outlineLevel="1">
      <c r="A523" s="508" t="n">
        <v>44719</v>
      </c>
      <c r="B523" s="508" t="n">
        <v>44721</v>
      </c>
      <c r="C523" s="123" t="n">
        <v>32050</v>
      </c>
      <c r="D523" s="509" t="n">
        <v>32070</v>
      </c>
      <c r="E523" s="510">
        <f>E522+C523-D523</f>
        <v/>
      </c>
      <c r="F523" s="510">
        <f>C523-D523</f>
        <v/>
      </c>
      <c r="G523" s="511">
        <f>G522+F523</f>
        <v/>
      </c>
      <c r="H523" s="511">
        <f>IF(B523="",$C$1-A523,DATEDIF(A523,B523,"d"))</f>
        <v/>
      </c>
      <c r="I523">
        <f>IF(B523="",$C$1-A523,H523)</f>
        <v/>
      </c>
      <c r="J523" s="65" t="inlineStr">
        <is>
          <t>達航</t>
        </is>
      </c>
      <c r="K523">
        <f>IF(F523&gt;0,(H523*$F523)/365.25,0)</f>
        <v/>
      </c>
      <c r="L523">
        <f>IF(F523&gt;0,(I523*$F523)/365.25,0)</f>
        <v/>
      </c>
      <c r="M523" s="65" t="n"/>
      <c r="N523" s="65" t="inlineStr">
        <is>
          <t>股票申購</t>
        </is>
      </c>
    </row>
    <row r="524" hidden="1" outlineLevel="1">
      <c r="A524" s="508" t="n">
        <v>44662</v>
      </c>
      <c r="B524" s="508" t="n">
        <v>44720</v>
      </c>
      <c r="C524" s="123" t="n">
        <v>38331</v>
      </c>
      <c r="D524" s="509" t="n"/>
      <c r="E524" s="510">
        <f>E523+C524-D524</f>
        <v/>
      </c>
      <c r="F524" s="510">
        <f>-D508+C524</f>
        <v/>
      </c>
      <c r="G524" s="511">
        <f>G523+F524</f>
        <v/>
      </c>
      <c r="H524" s="511">
        <f>IF(B524="",$C$1-A524,DATEDIF(A524,B524,"d"))</f>
        <v/>
      </c>
      <c r="I524">
        <f>IF(B524="",$C$1-A524,H524)</f>
        <v/>
      </c>
      <c r="J524" s="65" t="inlineStr">
        <is>
          <t>凱鈺(5468)</t>
        </is>
      </c>
      <c r="K524">
        <f>IF(F524&gt;0,(H524*$F524)/365.25,0)</f>
        <v/>
      </c>
      <c r="L524">
        <f>IF(F524&gt;0,(I524*$F524)/365.25,0)</f>
        <v/>
      </c>
      <c r="M524" s="65" t="n"/>
      <c r="N524" s="532" t="n"/>
      <c r="O524" s="66" t="n"/>
    </row>
    <row r="525" hidden="1" outlineLevel="1">
      <c r="A525" s="508" t="n">
        <v>44652</v>
      </c>
      <c r="B525" s="508" t="n">
        <v>44720</v>
      </c>
      <c r="C525" s="123" t="n">
        <v>105034</v>
      </c>
      <c r="D525" s="509" t="n"/>
      <c r="E525" s="510">
        <f>E524+C525-D525</f>
        <v/>
      </c>
      <c r="F525" s="510" t="n"/>
      <c r="G525" s="511">
        <f>G524+F525</f>
        <v/>
      </c>
      <c r="H525" s="511">
        <f>IF(B525="",$C$1-A525,DATEDIF(A525,B525,"d"))</f>
        <v/>
      </c>
      <c r="I525">
        <f>IF(B525="",$C$1-A525,H525)</f>
        <v/>
      </c>
      <c r="J525" s="65" t="inlineStr">
        <is>
          <t>瑞儀(6176)</t>
        </is>
      </c>
      <c r="K525">
        <f>IF(F525&gt;0,(H525*$F525)/365.25,0)</f>
        <v/>
      </c>
      <c r="L525">
        <f>IF(F525&gt;0,(I525*$F525)/365.25,0)</f>
        <v/>
      </c>
      <c r="M525" s="65" t="n"/>
      <c r="N525" s="532" t="n"/>
      <c r="O525" s="66" t="n"/>
    </row>
    <row r="526" hidden="1" outlineLevel="1">
      <c r="A526" s="508" t="n">
        <v>44720</v>
      </c>
      <c r="B526" s="508" t="n">
        <v>44722</v>
      </c>
      <c r="C526" s="123" t="n">
        <v>82050</v>
      </c>
      <c r="D526" s="509" t="n">
        <v>82070</v>
      </c>
      <c r="E526" s="510">
        <f>E525+C526-D526</f>
        <v/>
      </c>
      <c r="F526" s="510">
        <f>C526-D526</f>
        <v/>
      </c>
      <c r="G526" s="511">
        <f>G525+F526</f>
        <v/>
      </c>
      <c r="H526" s="511">
        <f>IF(B526="",$C$1-A526,DATEDIF(A526,B526,"d"))</f>
        <v/>
      </c>
      <c r="I526">
        <f>IF(B526="",$C$1-A526,H526)</f>
        <v/>
      </c>
      <c r="J526" s="65" t="inlineStr">
        <is>
          <t>嘉晶</t>
        </is>
      </c>
      <c r="K526">
        <f>IF(F526&gt;0,(H526*$F526)/365.25,0)</f>
        <v/>
      </c>
      <c r="L526">
        <f>IF(F526&gt;0,(I526*$F526)/365.25,0)</f>
        <v/>
      </c>
      <c r="M526" s="65" t="n"/>
      <c r="N526" s="65" t="inlineStr">
        <is>
          <t>股票申購</t>
        </is>
      </c>
    </row>
    <row r="527" hidden="1" outlineLevel="1">
      <c r="A527" s="508" t="n">
        <v>44662</v>
      </c>
      <c r="B527" s="508" t="n">
        <v>44722</v>
      </c>
      <c r="C527" s="123" t="n">
        <v>34995</v>
      </c>
      <c r="D527" s="509" t="n"/>
      <c r="E527" s="510">
        <f>E526+C527-D527</f>
        <v/>
      </c>
      <c r="F527" s="510">
        <f>-D509+C527</f>
        <v/>
      </c>
      <c r="G527" s="511">
        <f>G526+F527</f>
        <v/>
      </c>
      <c r="H527" s="511">
        <f>IF(B527="",$C$1-A527,DATEDIF(A527,B527,"d"))</f>
        <v/>
      </c>
      <c r="I527">
        <f>IF(B527="",$C$1-A527,H527)</f>
        <v/>
      </c>
      <c r="J527" s="65" t="inlineStr">
        <is>
          <t>凱鈺(5468)</t>
        </is>
      </c>
      <c r="K527">
        <f>IF(F527&gt;0,(H527*$F527)/365.25,0)</f>
        <v/>
      </c>
      <c r="L527">
        <f>IF(F527&gt;0,(I527*$F527)/365.25,0)</f>
        <v/>
      </c>
      <c r="M527" s="65" t="n"/>
      <c r="N527" s="532" t="n"/>
      <c r="O527" s="66" t="n"/>
    </row>
    <row r="528" hidden="1" outlineLevel="1">
      <c r="A528" s="508" t="n">
        <v>44585</v>
      </c>
      <c r="B528" s="508" t="n">
        <v>44726</v>
      </c>
      <c r="C528" s="123" t="n">
        <v>66904</v>
      </c>
      <c r="D528" s="509" t="n"/>
      <c r="E528" s="510">
        <f>E527+C528-D528</f>
        <v/>
      </c>
      <c r="F528" s="510">
        <f>-D469+C528</f>
        <v/>
      </c>
      <c r="G528" s="511">
        <f>G527+F528</f>
        <v/>
      </c>
      <c r="H528" s="511">
        <f>IF(B528="",$C$1-A528,DATEDIF(A528,B528,"d"))</f>
        <v/>
      </c>
      <c r="I528">
        <f>IF(B528="",$C$1-A528,H528)</f>
        <v/>
      </c>
      <c r="J528" s="65" t="inlineStr">
        <is>
          <t>兆利(3548)</t>
        </is>
      </c>
      <c r="K528">
        <f>IF(F528&gt;0,(H528*$F528)/365.25,0)</f>
        <v/>
      </c>
      <c r="L528">
        <f>IF(F528&gt;0,(I528*$F528)/365.25,0)</f>
        <v/>
      </c>
      <c r="M528" s="65" t="n"/>
      <c r="N528" s="532" t="n"/>
      <c r="O528" s="66" t="n"/>
    </row>
    <row r="529" hidden="1" outlineLevel="1">
      <c r="A529" s="508" t="n">
        <v>44624</v>
      </c>
      <c r="B529" s="508" t="n">
        <v>44726</v>
      </c>
      <c r="C529" s="123" t="n">
        <v>91495</v>
      </c>
      <c r="D529" s="509" t="n"/>
      <c r="E529" s="510">
        <f>E528+C529-D529</f>
        <v/>
      </c>
      <c r="F529" s="510">
        <f>-D456+C529</f>
        <v/>
      </c>
      <c r="G529" s="511">
        <f>G528+F529</f>
        <v/>
      </c>
      <c r="H529" s="511">
        <f>IF(B529="",$C$1-A529,DATEDIF(A529,B529,"d"))</f>
        <v/>
      </c>
      <c r="I529">
        <f>IF(B529="",$C$1-A529,H529)</f>
        <v/>
      </c>
      <c r="J529" s="65" t="inlineStr">
        <is>
          <t>金像電(2368)</t>
        </is>
      </c>
      <c r="K529">
        <f>IF(F529&gt;0,(H529*$F529)/365.25,0)</f>
        <v/>
      </c>
      <c r="L529">
        <f>IF(F529&gt;0,(I529*$F529)/365.25,0)</f>
        <v/>
      </c>
      <c r="M529" s="65" t="n"/>
      <c r="N529" s="532" t="n"/>
      <c r="O529" s="66" t="n"/>
    </row>
    <row r="530" hidden="1" outlineLevel="1">
      <c r="A530" s="513" t="n">
        <v>44733</v>
      </c>
      <c r="B530" s="513" t="n"/>
      <c r="C530" s="154" t="n">
        <v>348</v>
      </c>
      <c r="D530" s="514" t="n"/>
      <c r="E530" s="515">
        <f>E529+C530-D530</f>
        <v/>
      </c>
      <c r="F530" s="515">
        <f>C530-D530</f>
        <v/>
      </c>
      <c r="G530" s="516">
        <f>IF(B530="",G529,G529+C530-D530)</f>
        <v/>
      </c>
      <c r="H530" s="516">
        <f>IF(B530="",$C$1-A530,DATEDIF(A530,B530,"d"))</f>
        <v/>
      </c>
      <c r="I530" s="158">
        <f>IF(B530="",$C$1-A530,H530)</f>
        <v/>
      </c>
      <c r="J530" s="158" t="inlineStr">
        <is>
          <t>利息</t>
        </is>
      </c>
      <c r="K530" s="158">
        <f>(H530*$C530)/365.25</f>
        <v/>
      </c>
      <c r="L530" s="158">
        <f>(I530*$C530)/365.25</f>
        <v/>
      </c>
      <c r="M530" s="159" t="n"/>
    </row>
    <row r="531" hidden="1" outlineLevel="1">
      <c r="A531" s="508" t="n">
        <v>44735</v>
      </c>
      <c r="B531" s="508" t="n">
        <v>44739</v>
      </c>
      <c r="C531" s="123" t="n">
        <v>98650</v>
      </c>
      <c r="D531" s="509" t="n">
        <v>98670</v>
      </c>
      <c r="E531" s="510">
        <f>E530+C531-D531</f>
        <v/>
      </c>
      <c r="F531" s="510">
        <f>C531-D531</f>
        <v/>
      </c>
      <c r="G531" s="511">
        <f>G530+F531</f>
        <v/>
      </c>
      <c r="H531" s="511">
        <f>IF(B531="",$C$1-A531,DATEDIF(A531,B531,"d"))</f>
        <v/>
      </c>
      <c r="I531">
        <f>IF(B531="",$C$1-A531,H531)</f>
        <v/>
      </c>
      <c r="J531" s="65" t="inlineStr">
        <is>
          <t>濾能</t>
        </is>
      </c>
      <c r="K531">
        <f>IF(F531&gt;0,(H531*$F531)/365.25,0)</f>
        <v/>
      </c>
      <c r="L531">
        <f>IF(F531&gt;0,(I531*$F531)/365.25,0)</f>
        <v/>
      </c>
      <c r="M531" s="65" t="n"/>
      <c r="N531" s="65" t="inlineStr">
        <is>
          <t>股票申購</t>
        </is>
      </c>
    </row>
    <row r="532" collapsed="1">
      <c r="A532" s="508" t="n">
        <v>44735</v>
      </c>
      <c r="B532" s="508" t="n">
        <v>44739</v>
      </c>
      <c r="C532" s="123" t="n">
        <v>290050</v>
      </c>
      <c r="D532" s="509" t="n">
        <v>290070</v>
      </c>
      <c r="E532" s="510">
        <f>E531+C532-D532</f>
        <v/>
      </c>
      <c r="F532" s="510">
        <f>C532-D532</f>
        <v/>
      </c>
      <c r="G532" s="511">
        <f>G531+F532</f>
        <v/>
      </c>
      <c r="H532" s="511">
        <f>IF(B532="",$C$1-A532,DATEDIF(A532,B532,"d"))</f>
        <v/>
      </c>
      <c r="I532">
        <f>IF(B532="",$C$1-A532,H532)</f>
        <v/>
      </c>
      <c r="J532" s="65" t="inlineStr">
        <is>
          <t>采鈺</t>
        </is>
      </c>
      <c r="K532">
        <f>IF(F532&gt;0,(H532*$F532)/365.25,0)</f>
        <v/>
      </c>
      <c r="L532">
        <f>IF(F532&gt;0,(I532*$F532)/365.25,0)</f>
        <v/>
      </c>
      <c r="M532" s="65" t="n"/>
      <c r="N532" s="65" t="inlineStr">
        <is>
          <t>股票申購</t>
        </is>
      </c>
    </row>
    <row r="533" hidden="1" outlineLevel="1">
      <c r="A533" s="508" t="n">
        <v>44749</v>
      </c>
      <c r="B533" s="508" t="n">
        <v>44753</v>
      </c>
      <c r="C533" s="123" t="n">
        <v>26550</v>
      </c>
      <c r="D533" s="509" t="n">
        <v>26570</v>
      </c>
      <c r="E533" s="510">
        <f>E532+C533-D533</f>
        <v/>
      </c>
      <c r="F533" s="510">
        <f>C533-D533</f>
        <v/>
      </c>
      <c r="G533" s="511">
        <f>G532+F533</f>
        <v/>
      </c>
      <c r="H533" s="511">
        <f>IF(B533="",$C$1-A533,DATEDIF(A533,B533,"d"))</f>
        <v/>
      </c>
      <c r="I533">
        <f>IF(B533="",$C$1-A533,H533)</f>
        <v/>
      </c>
      <c r="J533" s="65" t="inlineStr">
        <is>
          <t>元晶(6443)</t>
        </is>
      </c>
      <c r="K533">
        <f>IF(F533&gt;0,(H533*$F533)/365.25,0)</f>
        <v/>
      </c>
      <c r="L533">
        <f>IF(F533&gt;0,(I533*$F533)/365.25,0)</f>
        <v/>
      </c>
      <c r="M533" s="65" t="n"/>
      <c r="N533" s="65" t="inlineStr">
        <is>
          <t>股票申購</t>
        </is>
      </c>
    </row>
    <row r="534" hidden="1" outlineLevel="1">
      <c r="A534" s="518" t="n">
        <v>44750</v>
      </c>
      <c r="B534" s="518" t="n"/>
      <c r="C534" s="148" t="n">
        <v>191</v>
      </c>
      <c r="D534" s="519" t="n"/>
      <c r="E534" s="520">
        <f>E533+C534-D534</f>
        <v/>
      </c>
      <c r="F534" s="520">
        <f>C534-D534</f>
        <v/>
      </c>
      <c r="G534" s="521">
        <f>G533+F534</f>
        <v/>
      </c>
      <c r="H534" s="521">
        <f>IF(B534="",DATEDIF(A534,$E$1,"d"),DATEDIF(A534,B534,"d"))</f>
        <v/>
      </c>
      <c r="I534" s="152">
        <f>IF(B534="",$C$1-A534,H534)</f>
        <v/>
      </c>
      <c r="J534" s="152" t="inlineStr">
        <is>
          <t>折讓入帳</t>
        </is>
      </c>
      <c r="K534" s="152">
        <f>IF(F534&gt;0,(H534*$F534)/365.25,0)</f>
        <v/>
      </c>
      <c r="L534" s="152">
        <f>IF(F534&gt;0,(I534*$F534)/365.25,0)</f>
        <v/>
      </c>
      <c r="M534" s="160" t="n"/>
      <c r="N534" s="532" t="n"/>
    </row>
    <row r="535" hidden="1" outlineLevel="1">
      <c r="A535" s="522" t="n">
        <v>44750</v>
      </c>
      <c r="B535" s="522" t="n">
        <v>44750</v>
      </c>
      <c r="C535" s="196" t="n">
        <v>3290</v>
      </c>
      <c r="D535" s="523" t="n">
        <v>0</v>
      </c>
      <c r="E535" s="524">
        <f>E534+C535-D535</f>
        <v/>
      </c>
      <c r="F535" s="524">
        <f>C535</f>
        <v/>
      </c>
      <c r="G535" s="525">
        <f>G534+C535-D535</f>
        <v/>
      </c>
      <c r="H535" s="525">
        <f>IF(B535="",DATEDIF(A535,$G$1,"d"),DATEDIF(A535,B535,"d"))</f>
        <v/>
      </c>
      <c r="I535" s="200">
        <f>IF(B535="",$C$1-A535,H535)</f>
        <v/>
      </c>
      <c r="J535" s="200" t="inlineStr">
        <is>
          <t>上奇科技現金股</t>
        </is>
      </c>
      <c r="K535" s="200">
        <f>(H535*$C535)/365.25</f>
        <v/>
      </c>
      <c r="L535" s="200">
        <f>(I535*$C535)/365.25</f>
        <v/>
      </c>
      <c r="M535" s="200" t="inlineStr">
        <is>
          <t>現金股利</t>
        </is>
      </c>
    </row>
    <row r="536" hidden="1" outlineLevel="1">
      <c r="A536" s="508" t="n">
        <v>44652</v>
      </c>
      <c r="B536" s="508" t="n">
        <v>44753</v>
      </c>
      <c r="C536" s="123" t="n">
        <v>50476</v>
      </c>
      <c r="D536" s="509" t="n"/>
      <c r="E536" s="510">
        <f>E535+C536-D536</f>
        <v/>
      </c>
      <c r="F536" s="510">
        <f>-D502+C536</f>
        <v/>
      </c>
      <c r="G536" s="511">
        <f>G535+F536</f>
        <v/>
      </c>
      <c r="H536" s="511">
        <f>IF(B536="",$C$1-A536,DATEDIF(A536,B536,"d"))</f>
        <v/>
      </c>
      <c r="I536">
        <f>IF(B536="",$C$1-A536,H536)</f>
        <v/>
      </c>
      <c r="J536" s="65" t="inlineStr">
        <is>
          <t>上奇(6123)</t>
        </is>
      </c>
      <c r="K536">
        <f>IF(F536&gt;0,(H536*$F536)/365.25,0)</f>
        <v/>
      </c>
      <c r="L536">
        <f>IF(F536&gt;0,(I536*$F536)/365.25,0)</f>
        <v/>
      </c>
      <c r="M536" s="65" t="n"/>
      <c r="N536" s="532" t="n"/>
      <c r="O536" s="66" t="n"/>
    </row>
    <row r="537" hidden="1" outlineLevel="1">
      <c r="A537" s="522" t="n">
        <v>44757</v>
      </c>
      <c r="B537" s="522" t="n">
        <v>44757</v>
      </c>
      <c r="C537" s="196" t="n">
        <v>2695</v>
      </c>
      <c r="D537" s="523" t="n">
        <v>0</v>
      </c>
      <c r="E537" s="524">
        <f>E536+C537-D537</f>
        <v/>
      </c>
      <c r="F537" s="524">
        <f>C537</f>
        <v/>
      </c>
      <c r="G537" s="525">
        <f>G536+C537-D537</f>
        <v/>
      </c>
      <c r="H537" s="525">
        <f>IF(B537="",DATEDIF(A537,$G$1,"d"),DATEDIF(A537,B537,"d"))</f>
        <v/>
      </c>
      <c r="I537" s="200">
        <f>IF(B537="",$C$1-A537,H537)</f>
        <v/>
      </c>
      <c r="J537" s="200" t="inlineStr">
        <is>
          <t>東元現金股</t>
        </is>
      </c>
      <c r="K537" s="200">
        <f>(H537*$C537)/365.25</f>
        <v/>
      </c>
      <c r="L537" s="200">
        <f>(I537*$C537)/365.25</f>
        <v/>
      </c>
      <c r="M537" s="200" t="inlineStr">
        <is>
          <t>現金股利</t>
        </is>
      </c>
      <c r="N537" s="65" t="n"/>
    </row>
    <row r="538" hidden="1" outlineLevel="1">
      <c r="A538" s="522" t="n">
        <v>44769</v>
      </c>
      <c r="B538" s="522" t="n">
        <v>44769</v>
      </c>
      <c r="C538" s="196" t="n">
        <v>13801</v>
      </c>
      <c r="D538" s="523" t="n">
        <v>0</v>
      </c>
      <c r="E538" s="524">
        <f>E537+C538-D538</f>
        <v/>
      </c>
      <c r="F538" s="524">
        <f>C538</f>
        <v/>
      </c>
      <c r="G538" s="525">
        <f>G537+C538-D538</f>
        <v/>
      </c>
      <c r="H538" s="525">
        <f>IF(B538="",DATEDIF(A538,$G$1,"d"),DATEDIF(A538,B538,"d"))</f>
        <v/>
      </c>
      <c r="I538" s="200">
        <f>IF(B538="",$C$1-A538,H538)</f>
        <v/>
      </c>
      <c r="J538" s="200" t="inlineStr">
        <is>
          <t>義隆電子現金股</t>
        </is>
      </c>
      <c r="K538" s="200">
        <f>(H538*$C538)/365.25</f>
        <v/>
      </c>
      <c r="L538" s="200">
        <f>(I538*$C538)/365.25</f>
        <v/>
      </c>
      <c r="M538" s="200" t="inlineStr">
        <is>
          <t>現金股利</t>
        </is>
      </c>
      <c r="N538" s="65" t="n"/>
    </row>
    <row r="539" hidden="1" outlineLevel="1">
      <c r="A539" s="522" t="n">
        <v>44771</v>
      </c>
      <c r="B539" s="522" t="n">
        <v>44771</v>
      </c>
      <c r="C539" s="196" t="n">
        <v>12990</v>
      </c>
      <c r="D539" s="523" t="n">
        <v>0</v>
      </c>
      <c r="E539" s="524">
        <f>E538+C539-D539</f>
        <v/>
      </c>
      <c r="F539" s="524">
        <f>C539</f>
        <v/>
      </c>
      <c r="G539" s="525">
        <f>G538+C539-D539</f>
        <v/>
      </c>
      <c r="H539" s="525">
        <f>IF(B539="",DATEDIF(A539,$G$1,"d"),DATEDIF(A539,B539,"d"))</f>
        <v/>
      </c>
      <c r="I539" s="200">
        <f>IF(B539="",$C$1-A539,H539)</f>
        <v/>
      </c>
      <c r="J539" s="200" t="inlineStr">
        <is>
          <t>群聯電子現金股</t>
        </is>
      </c>
      <c r="K539" s="200">
        <f>(H539*$C539)/365.25</f>
        <v/>
      </c>
      <c r="L539" s="200">
        <f>(I539*$C539)/365.25</f>
        <v/>
      </c>
      <c r="M539" s="200" t="inlineStr">
        <is>
          <t>現金股利</t>
        </is>
      </c>
      <c r="N539" s="65" t="n"/>
    </row>
    <row r="540" hidden="1" outlineLevel="1">
      <c r="A540" s="522" t="n">
        <v>44771</v>
      </c>
      <c r="B540" s="522" t="n">
        <v>44771</v>
      </c>
      <c r="C540" s="196" t="n">
        <v>3990</v>
      </c>
      <c r="D540" s="523" t="n">
        <v>0</v>
      </c>
      <c r="E540" s="524">
        <f>E539+C540-D540</f>
        <v/>
      </c>
      <c r="F540" s="524">
        <f>C540</f>
        <v/>
      </c>
      <c r="G540" s="525">
        <f>G539+C540-D540</f>
        <v/>
      </c>
      <c r="H540" s="525">
        <f>IF(B540="",DATEDIF(A540,$G$1,"d"),DATEDIF(A540,B540,"d"))</f>
        <v/>
      </c>
      <c r="I540" s="200">
        <f>IF(B540="",$C$1-A540,H540)</f>
        <v/>
      </c>
      <c r="J540" s="200" t="inlineStr">
        <is>
          <t>日電貿現金股</t>
        </is>
      </c>
      <c r="K540" s="200">
        <f>(H540*$C540)/365.25</f>
        <v/>
      </c>
      <c r="L540" s="200">
        <f>(I540*$C540)/365.25</f>
        <v/>
      </c>
      <c r="M540" s="200" t="inlineStr">
        <is>
          <t>現金股利</t>
        </is>
      </c>
      <c r="N540" s="65" t="n"/>
    </row>
    <row r="541" hidden="1" outlineLevel="1">
      <c r="A541" s="508" t="n">
        <v>44775</v>
      </c>
      <c r="B541" s="508" t="n">
        <v>44777</v>
      </c>
      <c r="C541" s="123" t="n">
        <v>110050</v>
      </c>
      <c r="D541" s="509" t="n">
        <v>110070</v>
      </c>
      <c r="E541" s="510">
        <f>E540+C541-D541</f>
        <v/>
      </c>
      <c r="F541" s="510">
        <f>C541-D541</f>
        <v/>
      </c>
      <c r="G541" s="511">
        <f>G540+F541</f>
        <v/>
      </c>
      <c r="H541" s="511">
        <f>IF(B541="",$C$1-A541,DATEDIF(A541,B541,"d"))</f>
        <v/>
      </c>
      <c r="I541">
        <f>IF(B541="",$C$1-A541,H541)</f>
        <v/>
      </c>
      <c r="J541" s="65" t="inlineStr">
        <is>
          <t>宏碁資訊</t>
        </is>
      </c>
      <c r="K541">
        <f>IF(F541&gt;0,(H541*$F541)/365.25,0)</f>
        <v/>
      </c>
      <c r="L541">
        <f>IF(F541&gt;0,(I541*$F541)/365.25,0)</f>
        <v/>
      </c>
      <c r="M541" s="65" t="n"/>
      <c r="N541" s="65" t="inlineStr">
        <is>
          <t>股票申購</t>
        </is>
      </c>
    </row>
    <row r="542" hidden="1" outlineLevel="1">
      <c r="A542" s="508" t="n">
        <v>44777</v>
      </c>
      <c r="B542" s="508" t="n">
        <v>44777</v>
      </c>
      <c r="C542" s="123" t="n">
        <v>30050</v>
      </c>
      <c r="D542" s="509" t="n">
        <v>30070</v>
      </c>
      <c r="E542" s="510">
        <f>E541+C542-D542</f>
        <v/>
      </c>
      <c r="F542" s="510">
        <f>C542-D542</f>
        <v/>
      </c>
      <c r="G542" s="511">
        <f>G541+F542</f>
        <v/>
      </c>
      <c r="H542" s="511">
        <f>IF(B542="",$C$1-A542,DATEDIF(A542,B542,"d"))</f>
        <v/>
      </c>
      <c r="I542">
        <f>IF(B542="",$C$1-A542,H542)</f>
        <v/>
      </c>
      <c r="J542" s="65" t="inlineStr">
        <is>
          <t>華新</t>
        </is>
      </c>
      <c r="K542">
        <f>IF(F542&gt;0,(H542*$F542)/365.25,0)</f>
        <v/>
      </c>
      <c r="L542">
        <f>IF(F542&gt;0,(I542*$F542)/365.25,0)</f>
        <v/>
      </c>
      <c r="M542" s="65" t="n"/>
      <c r="N542" s="65" t="inlineStr">
        <is>
          <t>股票申購</t>
        </is>
      </c>
    </row>
    <row r="543" hidden="1" outlineLevel="1">
      <c r="A543" s="522" t="n">
        <v>44778</v>
      </c>
      <c r="B543" s="522" t="n">
        <v>44778</v>
      </c>
      <c r="C543" s="196" t="n">
        <v>2790</v>
      </c>
      <c r="D543" s="523" t="n">
        <v>0</v>
      </c>
      <c r="E543" s="524">
        <f>E542+C543-D543</f>
        <v/>
      </c>
      <c r="F543" s="524">
        <f>C543</f>
        <v/>
      </c>
      <c r="G543" s="525">
        <f>G542+C543-D543</f>
        <v/>
      </c>
      <c r="H543" s="525">
        <f>IF(B543="",DATEDIF(A543,$G$1,"d"),DATEDIF(A543,B543,"d"))</f>
        <v/>
      </c>
      <c r="I543" s="200">
        <f>IF(B543="",$C$1-A543,H543)</f>
        <v/>
      </c>
      <c r="J543" s="200" t="inlineStr">
        <is>
          <t>宏捷科現金股</t>
        </is>
      </c>
      <c r="K543" s="200">
        <f>(H543*$C543)/365.25</f>
        <v/>
      </c>
      <c r="L543" s="200">
        <f>(I543*$C543)/365.25</f>
        <v/>
      </c>
      <c r="M543" s="200" t="inlineStr">
        <is>
          <t>現金股利</t>
        </is>
      </c>
      <c r="N543" s="532" t="n"/>
    </row>
    <row r="544" hidden="1" outlineLevel="1">
      <c r="A544" s="522" t="n">
        <v>44778</v>
      </c>
      <c r="B544" s="522" t="n">
        <v>44778</v>
      </c>
      <c r="C544" s="196" t="n">
        <v>1000</v>
      </c>
      <c r="D544" s="523" t="n">
        <v>0</v>
      </c>
      <c r="E544" s="524">
        <f>E543+C544-D544</f>
        <v/>
      </c>
      <c r="F544" s="524">
        <f>C544</f>
        <v/>
      </c>
      <c r="G544" s="525">
        <f>G543+C544-D544</f>
        <v/>
      </c>
      <c r="H544" s="525">
        <f>IF(B544="",DATEDIF(A544,$G$1,"d"),DATEDIF(A544,B544,"d"))</f>
        <v/>
      </c>
      <c r="I544" s="200">
        <f>IF(B544="",$C$1-A544,H544)</f>
        <v/>
      </c>
      <c r="J544" s="200" t="inlineStr">
        <is>
          <t>友達現金股</t>
        </is>
      </c>
      <c r="K544" s="200">
        <f>(H544*$C544)/365.25</f>
        <v/>
      </c>
      <c r="L544" s="200">
        <f>(I544*$C544)/365.25</f>
        <v/>
      </c>
      <c r="M544" s="200" t="inlineStr">
        <is>
          <t>現金股利</t>
        </is>
      </c>
      <c r="N544" s="532" t="n"/>
    </row>
    <row r="545" hidden="1" outlineLevel="1">
      <c r="A545" s="518" t="n">
        <v>44783</v>
      </c>
      <c r="B545" s="518" t="n"/>
      <c r="C545" s="148" t="n">
        <v>28</v>
      </c>
      <c r="D545" s="519" t="n"/>
      <c r="E545" s="520">
        <f>E544+C545-D545</f>
        <v/>
      </c>
      <c r="F545" s="520">
        <f>C545-D545</f>
        <v/>
      </c>
      <c r="G545" s="521">
        <f>G544+F545</f>
        <v/>
      </c>
      <c r="H545" s="521">
        <f>IF(B545="",DATEDIF(A545,$E$1,"d"),DATEDIF(A545,B545,"d"))</f>
        <v/>
      </c>
      <c r="I545" s="152">
        <f>IF(B545="",$C$1-A545,H545)</f>
        <v/>
      </c>
      <c r="J545" s="152" t="inlineStr">
        <is>
          <t>折讓入帳</t>
        </is>
      </c>
      <c r="K545" s="152">
        <f>IF(F545&gt;0,(H545*$F545)/365.25,0)</f>
        <v/>
      </c>
      <c r="L545" s="152">
        <f>IF(F545&gt;0,(I545*$F545)/365.25,0)</f>
        <v/>
      </c>
      <c r="M545" s="160" t="n"/>
      <c r="N545" s="532" t="n"/>
    </row>
    <row r="546" hidden="1" outlineLevel="1">
      <c r="A546" s="508" t="n">
        <v>44783</v>
      </c>
      <c r="B546" s="508" t="n">
        <v>44785</v>
      </c>
      <c r="C546" s="123" t="n">
        <v>11050</v>
      </c>
      <c r="D546" s="509" t="n">
        <v>11070</v>
      </c>
      <c r="E546" s="510">
        <f>E545+C546-D546</f>
        <v/>
      </c>
      <c r="F546" s="510">
        <f>C546-D546</f>
        <v/>
      </c>
      <c r="G546" s="511">
        <f>G545+F546</f>
        <v/>
      </c>
      <c r="H546" s="511">
        <f>IF(B546="",$C$1-A546,DATEDIF(A546,B546,"d"))</f>
        <v/>
      </c>
      <c r="I546">
        <f>IF(B546="",$C$1-A546,H546)</f>
        <v/>
      </c>
      <c r="J546" s="65" t="inlineStr">
        <is>
          <t>連展</t>
        </is>
      </c>
      <c r="K546">
        <f>IF(F546&gt;0,(H546*$F546)/365.25,0)</f>
        <v/>
      </c>
      <c r="L546">
        <f>IF(F546&gt;0,(I546*$F546)/365.25,0)</f>
        <v/>
      </c>
      <c r="M546" s="65" t="n"/>
      <c r="N546" s="65" t="inlineStr">
        <is>
          <t>股票申購</t>
        </is>
      </c>
    </row>
    <row r="547" hidden="1" outlineLevel="1">
      <c r="A547" s="522" t="n">
        <v>44783</v>
      </c>
      <c r="B547" s="522" t="n">
        <v>44783</v>
      </c>
      <c r="C547" s="196" t="n">
        <v>1044</v>
      </c>
      <c r="D547" s="523" t="n">
        <v>0</v>
      </c>
      <c r="E547" s="524">
        <f>E546+C547-D547</f>
        <v/>
      </c>
      <c r="F547" s="524">
        <f>C547</f>
        <v/>
      </c>
      <c r="G547" s="525">
        <f>G546+C547-D547</f>
        <v/>
      </c>
      <c r="H547" s="525">
        <f>IF(B547="",DATEDIF(A547,$G$1,"d"),DATEDIF(A547,B547,"d"))</f>
        <v/>
      </c>
      <c r="I547" s="200">
        <f>IF(B547="",$C$1-A547,H547)</f>
        <v/>
      </c>
      <c r="J547" s="200" t="inlineStr">
        <is>
          <t>群創光電現金股</t>
        </is>
      </c>
      <c r="K547" s="200">
        <f>(H547*$C547)/365.25</f>
        <v/>
      </c>
      <c r="L547" s="200">
        <f>(I547*$C547)/365.25</f>
        <v/>
      </c>
      <c r="M547" s="200" t="inlineStr">
        <is>
          <t>現金股利</t>
        </is>
      </c>
      <c r="N547" s="532" t="n"/>
    </row>
    <row r="548" hidden="1" outlineLevel="1">
      <c r="A548" s="508" t="n">
        <v>44785</v>
      </c>
      <c r="B548" s="508" t="n">
        <v>44789</v>
      </c>
      <c r="C548" s="123" t="n">
        <v>50050</v>
      </c>
      <c r="D548" s="509" t="n">
        <v>50070</v>
      </c>
      <c r="E548" s="510">
        <f>E547+C548-D548</f>
        <v/>
      </c>
      <c r="F548" s="510">
        <f>C548-D548</f>
        <v/>
      </c>
      <c r="G548" s="511">
        <f>G547+F548</f>
        <v/>
      </c>
      <c r="H548" s="511">
        <f>IF(B548="",$C$1-A548,DATEDIF(A548,B548,"d"))</f>
        <v/>
      </c>
      <c r="I548">
        <f>IF(B548="",$C$1-A548,H548)</f>
        <v/>
      </c>
      <c r="J548" s="65" t="inlineStr">
        <is>
          <t>普鴻</t>
        </is>
      </c>
      <c r="K548">
        <f>IF(F548&gt;0,(H548*$F548)/365.25,0)</f>
        <v/>
      </c>
      <c r="L548">
        <f>IF(F548&gt;0,(I548*$F548)/365.25,0)</f>
        <v/>
      </c>
      <c r="M548" s="65" t="n"/>
      <c r="N548" s="65" t="inlineStr">
        <is>
          <t>股票申購</t>
        </is>
      </c>
    </row>
    <row r="549" hidden="1" outlineLevel="1">
      <c r="A549" s="522" t="n">
        <v>44785</v>
      </c>
      <c r="B549" s="522" t="n">
        <v>44785</v>
      </c>
      <c r="C549" s="196" t="n">
        <v>50403</v>
      </c>
      <c r="D549" s="523" t="n">
        <v>0</v>
      </c>
      <c r="E549" s="524">
        <f>E548+C549-D549</f>
        <v/>
      </c>
      <c r="F549" s="524">
        <f>C549</f>
        <v/>
      </c>
      <c r="G549" s="525">
        <f>G548+C549-D549</f>
        <v/>
      </c>
      <c r="H549" s="525">
        <f>IF(B549="",DATEDIF(A549,$G$1,"d"),DATEDIF(A549,B549,"d"))</f>
        <v/>
      </c>
      <c r="I549" s="200">
        <f>IF(B549="",$C$1-A549,H549)</f>
        <v/>
      </c>
      <c r="J549" s="200" t="inlineStr">
        <is>
          <t>聯詠科技現金股</t>
        </is>
      </c>
      <c r="K549" s="200">
        <f>(H549*$C549)/365.25</f>
        <v/>
      </c>
      <c r="L549" s="200">
        <f>(I549*$C549)/365.25</f>
        <v/>
      </c>
      <c r="M549" s="200" t="inlineStr">
        <is>
          <t>現金股利</t>
        </is>
      </c>
      <c r="N549" s="65" t="n"/>
    </row>
    <row r="550" hidden="1" outlineLevel="1">
      <c r="A550" s="508" t="n">
        <v>44785</v>
      </c>
      <c r="B550" s="508" t="n">
        <v>44789</v>
      </c>
      <c r="C550" s="123" t="n">
        <v>39350</v>
      </c>
      <c r="D550" s="509" t="n">
        <v>39370</v>
      </c>
      <c r="E550" s="510">
        <f>E549+C550-D550</f>
        <v/>
      </c>
      <c r="F550" s="510">
        <f>C550-D550</f>
        <v/>
      </c>
      <c r="G550" s="511">
        <f>G549+F550</f>
        <v/>
      </c>
      <c r="H550" s="511">
        <f>IF(B550="",$C$1-A550,DATEDIF(A550,B550,"d"))</f>
        <v/>
      </c>
      <c r="I550">
        <f>IF(B550="",$C$1-A550,H550)</f>
        <v/>
      </c>
      <c r="J550" s="65" t="inlineStr">
        <is>
          <t>中探針</t>
        </is>
      </c>
      <c r="K550">
        <f>IF(F550&gt;0,(H550*$F550)/365.25,0)</f>
        <v/>
      </c>
      <c r="L550">
        <f>IF(F550&gt;0,(I550*$F550)/365.25,0)</f>
        <v/>
      </c>
      <c r="M550" s="65" t="n"/>
      <c r="N550" s="65" t="inlineStr">
        <is>
          <t>股票申購</t>
        </is>
      </c>
    </row>
    <row r="551" hidden="1" outlineLevel="1">
      <c r="A551" s="508" t="n">
        <v>44795</v>
      </c>
      <c r="B551" s="508" t="n">
        <v>44797</v>
      </c>
      <c r="C551" s="123" t="n">
        <v>150050</v>
      </c>
      <c r="D551" s="509" t="n">
        <v>150070</v>
      </c>
      <c r="E551" s="510">
        <f>E550+C551-D551</f>
        <v/>
      </c>
      <c r="F551" s="510">
        <f>C551-D551</f>
        <v/>
      </c>
      <c r="G551" s="511">
        <f>G550+F551</f>
        <v/>
      </c>
      <c r="H551" s="511">
        <f>IF(B551="",$C$1-A551,DATEDIF(A551,B551,"d"))</f>
        <v/>
      </c>
      <c r="I551">
        <f>IF(B551="",$C$1-A551,H551)</f>
        <v/>
      </c>
      <c r="J551" s="65" t="inlineStr">
        <is>
          <t>裕融</t>
        </is>
      </c>
      <c r="K551">
        <f>IF(F551&gt;0,(H551*$F551)/365.25,0)</f>
        <v/>
      </c>
      <c r="L551">
        <f>IF(F551&gt;0,(I551*$F551)/365.25,0)</f>
        <v/>
      </c>
      <c r="M551" s="65" t="n"/>
      <c r="N551" s="65" t="inlineStr">
        <is>
          <t>股票申購</t>
        </is>
      </c>
    </row>
    <row r="552" hidden="1" outlineLevel="1">
      <c r="A552" s="508" t="n">
        <v>44797</v>
      </c>
      <c r="B552" s="508" t="n">
        <v>44799</v>
      </c>
      <c r="C552" s="123" t="n">
        <v>100050</v>
      </c>
      <c r="D552" s="509" t="n">
        <v>100070</v>
      </c>
      <c r="E552" s="510">
        <f>E551+C552-D552</f>
        <v/>
      </c>
      <c r="F552" s="510">
        <f>C552-D552</f>
        <v/>
      </c>
      <c r="G552" s="511">
        <f>G551+F552</f>
        <v/>
      </c>
      <c r="H552" s="511">
        <f>IF(B552="",$C$1-A552,DATEDIF(A552,B552,"d"))</f>
        <v/>
      </c>
      <c r="I552">
        <f>IF(B552="",$C$1-A552,H552)</f>
        <v/>
      </c>
      <c r="J552" s="65" t="inlineStr">
        <is>
          <t>汎銓</t>
        </is>
      </c>
      <c r="K552">
        <f>IF(F552&gt;0,(H552*$F552)/365.25,0)</f>
        <v/>
      </c>
      <c r="L552">
        <f>IF(F552&gt;0,(I552*$F552)/365.25,0)</f>
        <v/>
      </c>
      <c r="M552" s="65" t="n"/>
      <c r="N552" s="65" t="inlineStr">
        <is>
          <t>股票申購</t>
        </is>
      </c>
    </row>
    <row r="553" hidden="1" outlineLevel="1">
      <c r="A553" s="508" t="n">
        <v>44797</v>
      </c>
      <c r="B553" s="508" t="n">
        <v>44799</v>
      </c>
      <c r="C553" s="123" t="n">
        <v>160050</v>
      </c>
      <c r="D553" s="509" t="n">
        <v>160070</v>
      </c>
      <c r="E553" s="510">
        <f>E552+C553-D553</f>
        <v/>
      </c>
      <c r="F553" s="510">
        <f>C553-D553</f>
        <v/>
      </c>
      <c r="G553" s="511">
        <f>G552+F553</f>
        <v/>
      </c>
      <c r="H553" s="511">
        <f>IF(B553="",$C$1-A553,DATEDIF(A553,B553,"d"))</f>
        <v/>
      </c>
      <c r="I553">
        <f>IF(B553="",$C$1-A553,H553)</f>
        <v/>
      </c>
      <c r="J553" s="65" t="inlineStr">
        <is>
          <t>上銀</t>
        </is>
      </c>
      <c r="K553">
        <f>IF(F553&gt;0,(H553*$F553)/365.25,0)</f>
        <v/>
      </c>
      <c r="L553">
        <f>IF(F553&gt;0,(I553*$F553)/365.25,0)</f>
        <v/>
      </c>
      <c r="M553" s="65" t="n"/>
      <c r="N553" s="65" t="inlineStr">
        <is>
          <t>股票申購</t>
        </is>
      </c>
    </row>
    <row r="554" hidden="1" outlineLevel="1">
      <c r="A554" s="522" t="n">
        <v>44797</v>
      </c>
      <c r="B554" s="522" t="n">
        <v>44797</v>
      </c>
      <c r="C554" s="196" t="n">
        <v>15826</v>
      </c>
      <c r="D554" s="523" t="n">
        <v>0</v>
      </c>
      <c r="E554" s="524">
        <f>E553+C554-D554</f>
        <v/>
      </c>
      <c r="F554" s="524">
        <f>C554</f>
        <v/>
      </c>
      <c r="G554" s="525">
        <f>G553+C554-D554</f>
        <v/>
      </c>
      <c r="H554" s="525">
        <f>IF(B554="",DATEDIF(A554,$G$1,"d"),DATEDIF(A554,B554,"d"))</f>
        <v/>
      </c>
      <c r="I554" s="200">
        <f>IF(B554="",$C$1-A554,H554)</f>
        <v/>
      </c>
      <c r="J554" s="200" t="inlineStr">
        <is>
          <t>敦泰現金股</t>
        </is>
      </c>
      <c r="K554" s="200">
        <f>(H554*$C554)/365.25</f>
        <v/>
      </c>
      <c r="L554" s="200">
        <f>(I554*$C554)/365.25</f>
        <v/>
      </c>
      <c r="M554" s="200" t="inlineStr">
        <is>
          <t>現金股利</t>
        </is>
      </c>
      <c r="N554" s="532" t="n"/>
    </row>
    <row r="555" hidden="1" outlineLevel="1">
      <c r="A555" s="508" t="n">
        <v>44798</v>
      </c>
      <c r="B555" s="508" t="n">
        <v>44802</v>
      </c>
      <c r="C555" s="123" t="n">
        <v>27000</v>
      </c>
      <c r="D555" s="509" t="n">
        <v>27020</v>
      </c>
      <c r="E555" s="510">
        <f>E554+C555-D555</f>
        <v/>
      </c>
      <c r="F555" s="510">
        <f>C555-D555</f>
        <v/>
      </c>
      <c r="G555" s="511">
        <f>G554+F555</f>
        <v/>
      </c>
      <c r="H555" s="511">
        <f>IF(B555="",$C$1-A555,DATEDIF(A555,B555,"d"))</f>
        <v/>
      </c>
      <c r="I555">
        <f>IF(B555="",$C$1-A555,H555)</f>
        <v/>
      </c>
      <c r="J555" s="65" t="inlineStr">
        <is>
          <t>天二科技</t>
        </is>
      </c>
      <c r="K555">
        <f>IF(F555&gt;0,(H555*$F555)/365.25,0)</f>
        <v/>
      </c>
      <c r="L555">
        <f>IF(F555&gt;0,(I555*$F555)/365.25,0)</f>
        <v/>
      </c>
      <c r="M555" s="65" t="n"/>
      <c r="N555" s="65" t="inlineStr">
        <is>
          <t>股票申購</t>
        </is>
      </c>
    </row>
    <row r="556" hidden="1" outlineLevel="1">
      <c r="A556" s="508" t="n">
        <v>44798</v>
      </c>
      <c r="B556" s="508" t="n">
        <v>44802</v>
      </c>
      <c r="C556" s="123" t="n">
        <v>30050</v>
      </c>
      <c r="D556" s="509" t="n">
        <v>30070</v>
      </c>
      <c r="E556" s="510">
        <f>E555+C556-D556</f>
        <v/>
      </c>
      <c r="F556" s="510">
        <f>C556-D556</f>
        <v/>
      </c>
      <c r="G556" s="511">
        <f>G555+F556</f>
        <v/>
      </c>
      <c r="H556" s="511">
        <f>IF(B556="",$C$1-A556,DATEDIF(A556,B556,"d"))</f>
        <v/>
      </c>
      <c r="I556">
        <f>IF(B556="",$C$1-A556,H556)</f>
        <v/>
      </c>
      <c r="J556" s="65" t="inlineStr">
        <is>
          <t>天宇</t>
        </is>
      </c>
      <c r="K556">
        <f>IF(F556&gt;0,(H556*$F556)/365.25,0)</f>
        <v/>
      </c>
      <c r="L556">
        <f>IF(F556&gt;0,(I556*$F556)/365.25,0)</f>
        <v/>
      </c>
      <c r="M556" s="65" t="n"/>
      <c r="N556" s="65" t="inlineStr">
        <is>
          <t>股票申購</t>
        </is>
      </c>
    </row>
    <row r="557" hidden="1" outlineLevel="1">
      <c r="A557" s="522" t="n">
        <v>44798</v>
      </c>
      <c r="B557" s="522" t="n">
        <v>44798</v>
      </c>
      <c r="C557" s="196" t="n">
        <v>990</v>
      </c>
      <c r="D557" s="523" t="n">
        <v>0</v>
      </c>
      <c r="E557" s="524">
        <f>E556+C557-D557</f>
        <v/>
      </c>
      <c r="F557" s="524">
        <f>C557</f>
        <v/>
      </c>
      <c r="G557" s="525">
        <f>G556+C557-D557</f>
        <v/>
      </c>
      <c r="H557" s="525">
        <f>IF(B557="",DATEDIF(A557,$G$1,"d"),DATEDIF(A557,B557,"d"))</f>
        <v/>
      </c>
      <c r="I557" s="200">
        <f>IF(B557="",$C$1-A557,H557)</f>
        <v/>
      </c>
      <c r="J557" s="200" t="inlineStr">
        <is>
          <t>第一金現金股</t>
        </is>
      </c>
      <c r="K557" s="200">
        <f>(H557*$C557)/365.25</f>
        <v/>
      </c>
      <c r="L557" s="200">
        <f>(I557*$C557)/365.25</f>
        <v/>
      </c>
      <c r="M557" s="200" t="inlineStr">
        <is>
          <t>現金股利</t>
        </is>
      </c>
      <c r="N557" s="532" t="n"/>
    </row>
    <row r="558" hidden="1" outlineLevel="1">
      <c r="A558" s="522" t="n">
        <v>44798</v>
      </c>
      <c r="B558" s="522" t="n">
        <v>44798</v>
      </c>
      <c r="C558" s="196" t="n">
        <v>9293</v>
      </c>
      <c r="D558" s="523" t="n">
        <v>0</v>
      </c>
      <c r="E558" s="524">
        <f>E557+C558-D558</f>
        <v/>
      </c>
      <c r="F558" s="524">
        <f>C558</f>
        <v/>
      </c>
      <c r="G558" s="525">
        <f>G557+C558-D558</f>
        <v/>
      </c>
      <c r="H558" s="525">
        <f>IF(B558="",DATEDIF(A558,$G$1,"d"),DATEDIF(A558,B558,"d"))</f>
        <v/>
      </c>
      <c r="I558" s="200">
        <f>IF(B558="",$C$1-A558,H558)</f>
        <v/>
      </c>
      <c r="J558" s="200" t="inlineStr">
        <is>
          <t>中鋼現金股</t>
        </is>
      </c>
      <c r="K558" s="200">
        <f>(H558*$C558)/365.25</f>
        <v/>
      </c>
      <c r="L558" s="200">
        <f>(I558*$C558)/365.25</f>
        <v/>
      </c>
      <c r="M558" s="200" t="inlineStr">
        <is>
          <t>現金股利</t>
        </is>
      </c>
      <c r="N558" s="532" t="n"/>
    </row>
    <row r="559" hidden="1" outlineLevel="1">
      <c r="A559" s="522" t="n">
        <v>44804</v>
      </c>
      <c r="B559" s="522" t="n">
        <v>44804</v>
      </c>
      <c r="C559" s="196" t="n">
        <v>5390</v>
      </c>
      <c r="D559" s="523" t="n">
        <v>0</v>
      </c>
      <c r="E559" s="524">
        <f>E558+C559-D559</f>
        <v/>
      </c>
      <c r="F559" s="524">
        <f>C559</f>
        <v/>
      </c>
      <c r="G559" s="525">
        <f>G558+C559-D559</f>
        <v/>
      </c>
      <c r="H559" s="525">
        <f>IF(B559="",DATEDIF(A559,$G$1,"d"),DATEDIF(A559,B559,"d"))</f>
        <v/>
      </c>
      <c r="I559" s="200">
        <f>IF(B559="",$C$1-A559,H559)</f>
        <v/>
      </c>
      <c r="J559" s="200" t="inlineStr">
        <is>
          <t>宇隆科技現金股</t>
        </is>
      </c>
      <c r="K559" s="200">
        <f>(H559*$C559)/365.25</f>
        <v/>
      </c>
      <c r="L559" s="200">
        <f>(I559*$C559)/365.25</f>
        <v/>
      </c>
      <c r="M559" s="200" t="inlineStr">
        <is>
          <t>現金股利</t>
        </is>
      </c>
    </row>
    <row r="560" hidden="1" outlineLevel="1">
      <c r="A560" s="508" t="n">
        <v>44805</v>
      </c>
      <c r="B560" s="508" t="n">
        <v>44809</v>
      </c>
      <c r="C560" s="123" t="n">
        <v>42050</v>
      </c>
      <c r="D560" s="509" t="n">
        <v>42070</v>
      </c>
      <c r="E560" s="510">
        <f>E559+C560-D560</f>
        <v/>
      </c>
      <c r="F560" s="510">
        <f>C560-D560</f>
        <v/>
      </c>
      <c r="G560" s="511">
        <f>G559+F560</f>
        <v/>
      </c>
      <c r="H560" s="511">
        <f>IF(B560="",$C$1-A560,DATEDIF(A560,B560,"d"))</f>
        <v/>
      </c>
      <c r="I560">
        <f>IF(B560="",$C$1-A560,H560)</f>
        <v/>
      </c>
      <c r="J560" s="65" t="inlineStr">
        <is>
          <t>奇鈦科</t>
        </is>
      </c>
      <c r="K560">
        <f>IF(F560&gt;0,(H560*$F560)/365.25,0)</f>
        <v/>
      </c>
      <c r="L560">
        <f>IF(F560&gt;0,(I560*$F560)/365.25,0)</f>
        <v/>
      </c>
      <c r="M560" s="65" t="n"/>
      <c r="N560" s="65" t="inlineStr">
        <is>
          <t>股票申購</t>
        </is>
      </c>
    </row>
    <row r="561" hidden="1" outlineLevel="1">
      <c r="A561" s="508" t="n">
        <v>44811</v>
      </c>
      <c r="B561" s="508" t="n">
        <v>44816</v>
      </c>
      <c r="C561" s="123" t="n">
        <v>115050</v>
      </c>
      <c r="D561" s="509" t="n">
        <v>115070</v>
      </c>
      <c r="E561" s="510">
        <f>E560+C561-D561</f>
        <v/>
      </c>
      <c r="F561" s="510">
        <f>C561-D561</f>
        <v/>
      </c>
      <c r="G561" s="511">
        <f>G560+F561</f>
        <v/>
      </c>
      <c r="H561" s="511">
        <f>IF(B561="",$C$1-A561,DATEDIF(A561,B561,"d"))</f>
        <v/>
      </c>
      <c r="I561">
        <f>IF(B561="",$C$1-A561,H561)</f>
        <v/>
      </c>
      <c r="J561" s="65" t="inlineStr">
        <is>
          <t>碩禾</t>
        </is>
      </c>
      <c r="K561">
        <f>IF(F561&gt;0,(H561*$F561)/365.25,0)</f>
        <v/>
      </c>
      <c r="L561">
        <f>IF(F561&gt;0,(I561*$F561)/365.25,0)</f>
        <v/>
      </c>
      <c r="M561" s="65" t="n"/>
      <c r="N561" s="65" t="inlineStr">
        <is>
          <t>股票申購</t>
        </is>
      </c>
    </row>
    <row r="562" hidden="1" outlineLevel="1">
      <c r="A562" s="508" t="n">
        <v>44812</v>
      </c>
      <c r="B562" s="508" t="n">
        <v>44817</v>
      </c>
      <c r="C562" s="123" t="n">
        <v>18050</v>
      </c>
      <c r="D562" s="509" t="n">
        <v>18070</v>
      </c>
      <c r="E562" s="510">
        <f>E561+C562-D562</f>
        <v/>
      </c>
      <c r="F562" s="510">
        <f>C562-D562</f>
        <v/>
      </c>
      <c r="G562" s="511">
        <f>G561+F562</f>
        <v/>
      </c>
      <c r="H562" s="511">
        <f>IF(B562="",$C$1-A562,DATEDIF(A562,B562,"d"))</f>
        <v/>
      </c>
      <c r="I562">
        <f>IF(B562="",$C$1-A562,H562)</f>
        <v/>
      </c>
      <c r="J562" s="65" t="inlineStr">
        <is>
          <t>凱鈺</t>
        </is>
      </c>
      <c r="K562">
        <f>IF(F562&gt;0,(H562*$F562)/365.25,0)</f>
        <v/>
      </c>
      <c r="L562">
        <f>IF(F562&gt;0,(I562*$F562)/365.25,0)</f>
        <v/>
      </c>
      <c r="M562" s="65" t="n"/>
      <c r="N562" s="65" t="inlineStr">
        <is>
          <t>股票申購</t>
        </is>
      </c>
    </row>
    <row r="563" hidden="1" outlineLevel="1">
      <c r="A563" s="522" t="n">
        <v>44817</v>
      </c>
      <c r="B563" s="522" t="n">
        <v>44817</v>
      </c>
      <c r="C563" s="196" t="n">
        <v>990</v>
      </c>
      <c r="D563" s="523" t="n">
        <v>0</v>
      </c>
      <c r="E563" s="524">
        <f>E562+C563-D563</f>
        <v/>
      </c>
      <c r="F563" s="524">
        <f>C563</f>
        <v/>
      </c>
      <c r="G563" s="525">
        <f>G562+C563-D563</f>
        <v/>
      </c>
      <c r="H563" s="525">
        <f>IF(B563="",DATEDIF(A563,$G$1,"d"),DATEDIF(A563,B563,"d"))</f>
        <v/>
      </c>
      <c r="I563" s="200">
        <f>IF(B563="",$C$1-A563,H563)</f>
        <v/>
      </c>
      <c r="J563" s="200" t="inlineStr">
        <is>
          <t>合庫金現金股</t>
        </is>
      </c>
      <c r="K563" s="200">
        <f>(H563*$C563)/365.25</f>
        <v/>
      </c>
      <c r="L563" s="200">
        <f>(I563*$C563)/365.25</f>
        <v/>
      </c>
      <c r="M563" s="200" t="inlineStr">
        <is>
          <t>現金股利</t>
        </is>
      </c>
      <c r="N563" s="214" t="n">
        <v>1528720</v>
      </c>
    </row>
    <row r="564" hidden="1" outlineLevel="1">
      <c r="A564" s="508" t="n">
        <v>44819</v>
      </c>
      <c r="B564" s="508" t="n">
        <v>44823</v>
      </c>
      <c r="C564" s="123" t="n">
        <v>20050</v>
      </c>
      <c r="D564" s="509" t="n">
        <v>20070</v>
      </c>
      <c r="E564" s="510">
        <f>E563+C564-D564</f>
        <v/>
      </c>
      <c r="F564" s="510">
        <f>C564-D564</f>
        <v/>
      </c>
      <c r="G564" s="511">
        <f>G563+F564</f>
        <v/>
      </c>
      <c r="H564" s="511">
        <f>IF(B564="",$C$1-A564,DATEDIF(A564,B564,"d"))</f>
        <v/>
      </c>
      <c r="I564">
        <f>IF(B564="",$C$1-A564,H564)</f>
        <v/>
      </c>
      <c r="J564" s="65" t="inlineStr">
        <is>
          <t>鑫龍騰</t>
        </is>
      </c>
      <c r="K564">
        <f>IF(F564&gt;0,(H564*$F564)/365.25,0)</f>
        <v/>
      </c>
      <c r="L564">
        <f>IF(F564&gt;0,(I564*$F564)/365.25,0)</f>
        <v/>
      </c>
      <c r="M564" s="65" t="n"/>
      <c r="N564" s="532" t="n"/>
    </row>
    <row r="565" hidden="1" outlineLevel="1">
      <c r="A565" s="508" t="n">
        <v>44819</v>
      </c>
      <c r="B565" s="508" t="n">
        <v>44823</v>
      </c>
      <c r="C565" s="123" t="n">
        <v>100050</v>
      </c>
      <c r="D565" s="509" t="n">
        <v>100070</v>
      </c>
      <c r="E565" s="510">
        <f>E564+C565-D565</f>
        <v/>
      </c>
      <c r="F565" s="510">
        <f>C565-D565</f>
        <v/>
      </c>
      <c r="G565" s="511">
        <f>G564+F565</f>
        <v/>
      </c>
      <c r="H565" s="511">
        <f>IF(B565="",$C$1-A565,DATEDIF(A565,B565,"d"))</f>
        <v/>
      </c>
      <c r="I565">
        <f>IF(B565="",$C$1-A565,H565)</f>
        <v/>
      </c>
      <c r="J565" s="65" t="inlineStr">
        <is>
          <t>和潤企業甲特</t>
        </is>
      </c>
      <c r="K565">
        <f>IF(F565&gt;0,(H565*$F565)/365.25,0)</f>
        <v/>
      </c>
      <c r="L565">
        <f>IF(F565&gt;0,(I565*$F565)/365.25,0)</f>
        <v/>
      </c>
      <c r="M565" s="65" t="n"/>
      <c r="N565" s="532" t="n"/>
    </row>
    <row r="566" hidden="1" outlineLevel="1">
      <c r="A566" s="522" t="n">
        <v>44825</v>
      </c>
      <c r="B566" s="522" t="n">
        <v>44825</v>
      </c>
      <c r="C566" s="196" t="n">
        <v>1574</v>
      </c>
      <c r="D566" s="523" t="n">
        <v>0</v>
      </c>
      <c r="E566" s="524">
        <f>E565+C566-D566</f>
        <v/>
      </c>
      <c r="F566" s="524">
        <f>C566</f>
        <v/>
      </c>
      <c r="G566" s="525">
        <f>G565+C566-D566</f>
        <v/>
      </c>
      <c r="H566" s="525">
        <f>IF(B566="",DATEDIF(A566,$G$1,"d"),DATEDIF(A566,B566,"d"))</f>
        <v/>
      </c>
      <c r="I566" s="200">
        <f>IF(B566="",$C$1-A566,H566)</f>
        <v/>
      </c>
      <c r="J566" s="200" t="inlineStr">
        <is>
          <t>力積電現金股</t>
        </is>
      </c>
      <c r="K566" s="200">
        <f>(H566*$C566)/365.25</f>
        <v/>
      </c>
      <c r="L566" s="200">
        <f>(I566*$C566)/365.25</f>
        <v/>
      </c>
      <c r="M566" s="200" t="inlineStr">
        <is>
          <t>現金股利</t>
        </is>
      </c>
      <c r="N566" s="65" t="n"/>
    </row>
    <row r="567" hidden="1" outlineLevel="1">
      <c r="A567" s="508" t="n">
        <v>44845</v>
      </c>
      <c r="B567" s="508" t="n">
        <v>44845</v>
      </c>
      <c r="C567" s="123" t="n"/>
      <c r="D567" s="509">
        <f>6*20</f>
        <v/>
      </c>
      <c r="E567" s="510">
        <f>E566+C567-D567</f>
        <v/>
      </c>
      <c r="F567" s="510">
        <f>C567-D567</f>
        <v/>
      </c>
      <c r="G567" s="511">
        <f>G566+F567</f>
        <v/>
      </c>
      <c r="H567" s="511">
        <f>IF(B567="",$C$1-A567,DATEDIF(A567,B567,"d"))</f>
        <v/>
      </c>
      <c r="I567">
        <f>IF(B567="",$C$1-A567,H567)</f>
        <v/>
      </c>
      <c r="J567" s="65" t="n"/>
      <c r="K567">
        <f>IF(F567&gt;0,(H567*$F567)/365.25,0)</f>
        <v/>
      </c>
      <c r="L567">
        <f>IF(F567&gt;0,(I567*$F567)/365.25,0)</f>
        <v/>
      </c>
      <c r="M567" s="65" t="n"/>
      <c r="N567" s="65" t="inlineStr">
        <is>
          <t>股票申購</t>
        </is>
      </c>
    </row>
    <row r="568" hidden="1" outlineLevel="1">
      <c r="A568" s="522" t="n">
        <v>44845</v>
      </c>
      <c r="B568" s="522" t="n">
        <v>44845</v>
      </c>
      <c r="C568" s="196" t="n">
        <v>2000</v>
      </c>
      <c r="D568" s="523" t="n">
        <v>0</v>
      </c>
      <c r="E568" s="524">
        <f>E567+C568-D568</f>
        <v/>
      </c>
      <c r="F568" s="524">
        <f>C568</f>
        <v/>
      </c>
      <c r="G568" s="525">
        <f>G567+C568-D568</f>
        <v/>
      </c>
      <c r="H568" s="525">
        <f>IF(B568="",DATEDIF(A568,$G$1,"d"),DATEDIF(A568,B568,"d"))</f>
        <v/>
      </c>
      <c r="I568" s="200">
        <f>IF(B568="",$C$1-A568,H568)</f>
        <v/>
      </c>
      <c r="J568" s="200" t="inlineStr">
        <is>
          <t>友達減資</t>
        </is>
      </c>
      <c r="K568" s="200">
        <f>(H568*$C568)/365.25</f>
        <v/>
      </c>
      <c r="L568" s="200">
        <f>(I568*$C568)/365.25</f>
        <v/>
      </c>
      <c r="M568" s="200" t="inlineStr">
        <is>
          <t>減資</t>
        </is>
      </c>
      <c r="N568" s="532" t="n"/>
    </row>
    <row r="569" hidden="1" outlineLevel="1">
      <c r="A569" s="522" t="n">
        <v>44845</v>
      </c>
      <c r="B569" s="522" t="n">
        <v>44845</v>
      </c>
      <c r="C569" s="196" t="n">
        <v>940</v>
      </c>
      <c r="D569" s="523" t="n">
        <v>0</v>
      </c>
      <c r="E569" s="524">
        <f>E568+C569-D569</f>
        <v/>
      </c>
      <c r="F569" s="524">
        <f>C569</f>
        <v/>
      </c>
      <c r="G569" s="525">
        <f>G568+C569-D569</f>
        <v/>
      </c>
      <c r="H569" s="525">
        <f>IF(B569="",DATEDIF(A569,$G$1,"d"),DATEDIF(A569,B569,"d"))</f>
        <v/>
      </c>
      <c r="I569" s="200">
        <f>IF(B569="",$C$1-A569,H569)</f>
        <v/>
      </c>
      <c r="J569" s="200" t="inlineStr">
        <is>
          <t>群創光減資</t>
        </is>
      </c>
      <c r="K569" s="200">
        <f>(H569*$C569)/365.25</f>
        <v/>
      </c>
      <c r="L569" s="200">
        <f>(I569*$C569)/365.25</f>
        <v/>
      </c>
      <c r="M569" s="200" t="inlineStr">
        <is>
          <t>減資</t>
        </is>
      </c>
      <c r="N569" s="532" t="n"/>
    </row>
    <row r="570" collapsed="1" ht="17.25" customHeight="1" thickBot="1">
      <c r="A570" s="513" t="n">
        <v>44916</v>
      </c>
      <c r="B570" s="513" t="n"/>
      <c r="C570" s="154" t="n">
        <v>1869</v>
      </c>
      <c r="D570" s="514" t="n"/>
      <c r="E570" s="515">
        <f>E569+C570-D570</f>
        <v/>
      </c>
      <c r="F570" s="515">
        <f>C570-D570</f>
        <v/>
      </c>
      <c r="G570" s="516">
        <f>IF(B570="",G569,G569+C570-D570)</f>
        <v/>
      </c>
      <c r="H570" s="516">
        <f>IF(B570="",$C$1-A570,DATEDIF(A570,B570,"d"))</f>
        <v/>
      </c>
      <c r="I570" s="158">
        <f>IF(B570="",$C$1-A570,H570)</f>
        <v/>
      </c>
      <c r="J570" s="158" t="inlineStr">
        <is>
          <t>利息</t>
        </is>
      </c>
      <c r="K570" s="158">
        <f>(H570*$C570)/365.25</f>
        <v/>
      </c>
      <c r="L570" s="158">
        <f>(I570*$C570)/365.25</f>
        <v/>
      </c>
      <c r="M570" s="159" t="n"/>
      <c r="N570" s="532" t="n"/>
    </row>
    <row r="571" hidden="1" outlineLevel="1" ht="17.25" customHeight="1" thickBot="1">
      <c r="A571" s="508" t="n">
        <v>44916</v>
      </c>
      <c r="B571" s="508" t="n">
        <v>44916</v>
      </c>
      <c r="C571" s="123" t="n"/>
      <c r="D571" s="509" t="n">
        <v>80</v>
      </c>
      <c r="E571" s="510">
        <f>E570+C571-D571</f>
        <v/>
      </c>
      <c r="F571" s="510">
        <f>C571-D571</f>
        <v/>
      </c>
      <c r="G571" s="511">
        <f>G570+F571</f>
        <v/>
      </c>
      <c r="H571" s="511">
        <f>IF(B571="",$C$1-A571,DATEDIF(A571,B571,"d"))</f>
        <v/>
      </c>
      <c r="I571">
        <f>IF(B571="",$C$1-A571,H571)</f>
        <v/>
      </c>
      <c r="J571" s="65" t="n"/>
      <c r="K571">
        <f>IF(F571&gt;0,(H571*$F571)/365.25,0)</f>
        <v/>
      </c>
      <c r="L571">
        <f>IF(F571&gt;0,(I571*$F571)/365.25,0)</f>
        <v/>
      </c>
      <c r="M571" s="65" t="n"/>
      <c r="N571" s="65" t="inlineStr">
        <is>
          <t>股票申購</t>
        </is>
      </c>
    </row>
    <row r="572">
      <c r="A572" s="522" t="n">
        <v>44932</v>
      </c>
      <c r="B572" s="522" t="n">
        <v>44932</v>
      </c>
      <c r="C572" s="196" t="n">
        <v>10267</v>
      </c>
      <c r="D572" s="523" t="n">
        <v>0</v>
      </c>
      <c r="E572" s="524">
        <f>E571+C572-D572</f>
        <v/>
      </c>
      <c r="F572" s="524">
        <f>C572</f>
        <v/>
      </c>
      <c r="G572" s="525">
        <f>G571+C572-D572</f>
        <v/>
      </c>
      <c r="H572" s="525">
        <f>IF(B572="",DATEDIF(A572,$G$1,"d"),DATEDIF(A572,B572,"d"))</f>
        <v/>
      </c>
      <c r="I572" s="200">
        <f>IF(B572="",$C$1-A572,H572)</f>
        <v/>
      </c>
      <c r="J572" s="200" t="inlineStr">
        <is>
          <t>群聯電子現金股</t>
        </is>
      </c>
      <c r="K572" s="200">
        <f>(H572*$C572)/365.25</f>
        <v/>
      </c>
      <c r="L572" s="200">
        <f>(I572*$C572)/365.25</f>
        <v/>
      </c>
      <c r="M572" s="200" t="inlineStr">
        <is>
          <t>現金股利</t>
        </is>
      </c>
      <c r="N572" s="217" t="inlineStr">
        <is>
          <t>2023 Total</t>
        </is>
      </c>
      <c r="O572" s="512">
        <f>SUM(D572:D642)</f>
        <v/>
      </c>
    </row>
    <row r="573" collapsed="1" ht="17.25" customHeight="1" thickBot="1">
      <c r="A573" s="508" t="n">
        <v>45008</v>
      </c>
      <c r="B573" s="508" t="n">
        <v>45008</v>
      </c>
      <c r="C573" s="123" t="n"/>
      <c r="D573" s="509" t="n">
        <v>140</v>
      </c>
      <c r="E573" s="510">
        <f>E572+C573-D573</f>
        <v/>
      </c>
      <c r="F573" s="510">
        <f>C573-D573</f>
        <v/>
      </c>
      <c r="G573" s="511">
        <f>G572+F573</f>
        <v/>
      </c>
      <c r="H573" s="511">
        <f>IF(B573="",$C$1-A573,DATEDIF(A573,B573,"d"))</f>
        <v/>
      </c>
      <c r="I573">
        <f>IF(B573="",$C$1-A573,H573)</f>
        <v/>
      </c>
      <c r="J573" s="65" t="n"/>
      <c r="K573">
        <f>IF(F573&gt;0,(H573*$F573)/365.25,0)</f>
        <v/>
      </c>
      <c r="L573">
        <f>IF(F573&gt;0,(I573*$F573)/365.25,0)</f>
        <v/>
      </c>
      <c r="M573" s="65" t="n"/>
      <c r="N573" s="215" t="inlineStr">
        <is>
          <t>2023 Total Avg</t>
        </is>
      </c>
      <c r="O573" s="517">
        <f>(SUMPRODUCT(C572:C642,I572:I642)+SUMPRODUCT(D572:D642,I572:I642))/($C$1-$A$572)</f>
        <v/>
      </c>
    </row>
    <row r="574" hidden="1" outlineLevel="1">
      <c r="A574" s="508" t="n">
        <v>45008</v>
      </c>
      <c r="B574" s="508" t="n"/>
      <c r="C574" s="123" t="n">
        <v>36091</v>
      </c>
      <c r="D574" s="509" t="n"/>
      <c r="E574" s="510">
        <f>E573+C574-D574</f>
        <v/>
      </c>
      <c r="F574" s="510" t="n"/>
      <c r="G574" s="511">
        <f>G573+F574</f>
        <v/>
      </c>
      <c r="H574" s="511">
        <f>IF(B574="",$C$1-A574,DATEDIF(A574,B574,"d"))</f>
        <v/>
      </c>
      <c r="I574">
        <f>IF(B574="",$C$1-A574,H574)</f>
        <v/>
      </c>
      <c r="J574" s="65" t="inlineStr">
        <is>
          <t>東元(1504)</t>
        </is>
      </c>
      <c r="K574">
        <f>IF(F574&gt;0,(H574*$F574)/365.25,0)</f>
        <v/>
      </c>
      <c r="L574">
        <f>IF(F574&gt;0,(I574*$F574)/365.25,0)</f>
        <v/>
      </c>
      <c r="M574" s="65" t="n"/>
      <c r="N574" s="532" t="n"/>
      <c r="O574" s="66" t="n"/>
      <c r="P574" s="65" t="n"/>
      <c r="Q574" s="132" t="n"/>
    </row>
    <row r="575" hidden="1" outlineLevel="1">
      <c r="A575" s="508" t="n">
        <v>45009</v>
      </c>
      <c r="B575" s="508" t="n"/>
      <c r="C575" s="123" t="n">
        <v>43806</v>
      </c>
      <c r="D575" s="509" t="n"/>
      <c r="E575" s="510">
        <f>E574+C575-D575</f>
        <v/>
      </c>
      <c r="F575" s="510" t="n"/>
      <c r="G575" s="511">
        <f>G574+F575</f>
        <v/>
      </c>
      <c r="H575" s="511">
        <f>IF(B575="",$C$1-A575,DATEDIF(A575,B575,"d"))</f>
        <v/>
      </c>
      <c r="I575">
        <f>IF(B575="",$C$1-A575,H575)</f>
        <v/>
      </c>
      <c r="J575" s="65" t="inlineStr">
        <is>
          <t>東元(1504)</t>
        </is>
      </c>
      <c r="K575">
        <f>IF(F575&gt;0,(H575*$F575)/365.25,0)</f>
        <v/>
      </c>
      <c r="L575">
        <f>IF(F575&gt;0,(I575*$F575)/365.25,0)</f>
        <v/>
      </c>
      <c r="M575" s="65" t="n"/>
      <c r="N575" s="532" t="n"/>
      <c r="O575" s="66" t="n"/>
      <c r="P575" s="65" t="n"/>
      <c r="Q575" s="132" t="n"/>
    </row>
    <row r="576" hidden="1" outlineLevel="1">
      <c r="A576" s="508" t="n">
        <v>45013</v>
      </c>
      <c r="B576" s="508" t="n"/>
      <c r="C576" s="123" t="n"/>
      <c r="D576" s="509" t="n">
        <v>55178</v>
      </c>
      <c r="E576" s="510">
        <f>E575+C576-D576</f>
        <v/>
      </c>
      <c r="F576" s="510" t="n"/>
      <c r="G576" s="511">
        <f>G575+F576</f>
        <v/>
      </c>
      <c r="H576" s="511">
        <f>IF(B576="",$C$1-A576,DATEDIF(A576,B576,"d"))</f>
        <v/>
      </c>
      <c r="I576">
        <f>IF(B576="",$C$1-A576,H576)</f>
        <v/>
      </c>
      <c r="J576" s="65" t="inlineStr">
        <is>
          <t>晶達(4995)</t>
        </is>
      </c>
      <c r="K576">
        <f>IF(F576&gt;0,(H576*$F576)/365.25,0)</f>
        <v/>
      </c>
      <c r="L576">
        <f>IF(F576&gt;0,(I576*$F576)/365.25,0)</f>
        <v/>
      </c>
      <c r="M576" s="65" t="n"/>
      <c r="N576" s="532" t="n"/>
      <c r="O576" s="66" t="n"/>
      <c r="P576" s="65" t="n"/>
      <c r="Q576" s="132" t="n"/>
    </row>
    <row r="577" hidden="1" outlineLevel="1">
      <c r="A577" s="508" t="n">
        <v>45016</v>
      </c>
      <c r="B577" s="508" t="n"/>
      <c r="C577" s="123" t="n"/>
      <c r="D577" s="509" t="n">
        <v>40</v>
      </c>
      <c r="E577" s="510">
        <f>E576+C577-D577</f>
        <v/>
      </c>
      <c r="F577" s="510">
        <f>C577-D577</f>
        <v/>
      </c>
      <c r="G577" s="511">
        <f>G576+F577</f>
        <v/>
      </c>
      <c r="H577" s="511">
        <f>IF(B577="",$C$1-A577,DATEDIF(A577,B577,"d"))</f>
        <v/>
      </c>
      <c r="I577">
        <f>IF(B577="",$C$1-A577,H577)</f>
        <v/>
      </c>
      <c r="J577" s="65" t="n"/>
      <c r="K577">
        <f>IF(F577&gt;0,(H577*$F577)/365.25,0)</f>
        <v/>
      </c>
      <c r="L577">
        <f>IF(F577&gt;0,(I577*$F577)/365.25,0)</f>
        <v/>
      </c>
      <c r="M577" s="65" t="n"/>
      <c r="N577" s="65" t="inlineStr">
        <is>
          <t>股票申購</t>
        </is>
      </c>
    </row>
    <row r="578" collapsed="1">
      <c r="A578" s="518" t="n">
        <v>45026</v>
      </c>
      <c r="B578" s="518" t="n"/>
      <c r="C578" s="148" t="n">
        <v>75</v>
      </c>
      <c r="D578" s="519" t="n"/>
      <c r="E578" s="520">
        <f>E577+C578-D578</f>
        <v/>
      </c>
      <c r="F578" s="520">
        <f>C578-D578</f>
        <v/>
      </c>
      <c r="G578" s="521">
        <f>G577+F578</f>
        <v/>
      </c>
      <c r="H578" s="521">
        <f>IF(B578="",DATEDIF(A578,$D$1,"d"),DATEDIF(A578,B578,"d"))</f>
        <v/>
      </c>
      <c r="I578" s="152">
        <f>IF(B578="",$C$1-A578,H578)</f>
        <v/>
      </c>
      <c r="J578" s="152" t="inlineStr">
        <is>
          <t>折讓入帳</t>
        </is>
      </c>
      <c r="K578" s="152">
        <f>IF(F578&gt;0,(H578*$F578)/365.25,0)</f>
        <v/>
      </c>
      <c r="L578" s="152">
        <f>IF(F578&gt;0,(I578*$F578)/365.25,0)</f>
        <v/>
      </c>
      <c r="M578" s="152" t="n"/>
      <c r="N578" s="532" t="n"/>
    </row>
    <row r="579" hidden="1" outlineLevel="1">
      <c r="A579" s="508" t="n">
        <v>45030</v>
      </c>
      <c r="B579" s="508" t="n"/>
      <c r="C579" s="123" t="n">
        <v>51870</v>
      </c>
      <c r="D579" s="509" t="n"/>
      <c r="E579" s="510">
        <f>E578+C579-D579</f>
        <v/>
      </c>
      <c r="F579" s="510" t="n"/>
      <c r="G579" s="511">
        <f>G578+F579</f>
        <v/>
      </c>
      <c r="H579" s="511">
        <f>IF(B579="",$C$1-A579,DATEDIF(A579,B579,"d"))</f>
        <v/>
      </c>
      <c r="I579">
        <f>IF(B579="",$C$1-A579,H579)</f>
        <v/>
      </c>
      <c r="J579" s="65" t="inlineStr">
        <is>
          <t>晶達(4995)</t>
        </is>
      </c>
      <c r="K579">
        <f>IF(F579&gt;0,(H579*$F579)/365.25,0)</f>
        <v/>
      </c>
      <c r="L579">
        <f>IF(F579&gt;0,(I579*$F579)/365.25,0)</f>
        <v/>
      </c>
      <c r="M579" s="65" t="n"/>
      <c r="N579" s="65" t="n"/>
      <c r="O579" s="66" t="n"/>
      <c r="P579" s="65" t="n"/>
      <c r="Q579" s="132" t="n"/>
    </row>
    <row r="580" hidden="1" outlineLevel="1">
      <c r="A580" s="522" t="n">
        <v>45030</v>
      </c>
      <c r="B580" s="522" t="n">
        <v>45030</v>
      </c>
      <c r="C580" s="196" t="n">
        <v>641</v>
      </c>
      <c r="D580" s="523" t="n"/>
      <c r="E580" s="524">
        <f>E579+C580-D580</f>
        <v/>
      </c>
      <c r="F580" s="524">
        <f>C580</f>
        <v/>
      </c>
      <c r="G580" s="525">
        <f>G579+C580-D580</f>
        <v/>
      </c>
      <c r="H580" s="525">
        <f>IF(B580="",DATEDIF(A580,$G$1,"d"),DATEDIF(A580,B580,"d"))</f>
        <v/>
      </c>
      <c r="I580" s="200">
        <f>IF(B580="",$C$1-A580,H580)</f>
        <v/>
      </c>
      <c r="J580" s="200" t="inlineStr">
        <is>
          <t>力積電現金股</t>
        </is>
      </c>
      <c r="K580" s="200">
        <f>(H580*$C580)/365.25</f>
        <v/>
      </c>
      <c r="L580" s="200">
        <f>(I580*$C580)/365.25</f>
        <v/>
      </c>
      <c r="M580" s="200" t="inlineStr">
        <is>
          <t>現金股利</t>
        </is>
      </c>
      <c r="N580" s="532" t="n"/>
    </row>
    <row r="581" hidden="1" outlineLevel="1">
      <c r="A581" s="508" t="n">
        <v>45041</v>
      </c>
      <c r="B581" s="508" t="n"/>
      <c r="C581" s="123" t="n"/>
      <c r="D581" s="509" t="n">
        <v>20</v>
      </c>
      <c r="E581" s="510">
        <f>E580+C581-D581</f>
        <v/>
      </c>
      <c r="F581" s="510">
        <f>C581-D581</f>
        <v/>
      </c>
      <c r="G581" s="511">
        <f>G580+F581</f>
        <v/>
      </c>
      <c r="H581" s="511">
        <f>IF(B581="",$C$1-A581,DATEDIF(A581,B581,"d"))</f>
        <v/>
      </c>
      <c r="I581">
        <f>IF(B581="",$C$1-A581,H581)</f>
        <v/>
      </c>
      <c r="J581" s="65" t="n"/>
      <c r="K581">
        <f>IF(F581&gt;0,(H581*$F581)/365.25,0)</f>
        <v/>
      </c>
      <c r="L581">
        <f>IF(F581&gt;0,(I581*$F581)/365.25,0)</f>
        <v/>
      </c>
      <c r="M581" s="65" t="n"/>
      <c r="N581" s="532" t="n"/>
    </row>
    <row r="582" hidden="1" outlineLevel="1">
      <c r="A582" s="522" t="n">
        <v>45042</v>
      </c>
      <c r="B582" s="522" t="n">
        <v>45042</v>
      </c>
      <c r="C582" s="196" t="n">
        <v>3059</v>
      </c>
      <c r="D582" s="523" t="n"/>
      <c r="E582" s="524">
        <f>E581+C582-D582</f>
        <v/>
      </c>
      <c r="F582" s="524">
        <f>C582</f>
        <v/>
      </c>
      <c r="G582" s="525">
        <f>G581+C582-D582</f>
        <v/>
      </c>
      <c r="H582" s="525">
        <f>IF(B582="",DATEDIF(A582,$G$1,"d"),DATEDIF(A582,B582,"d"))</f>
        <v/>
      </c>
      <c r="I582" s="200">
        <f>IF(B582="",$C$1-A582,H582)</f>
        <v/>
      </c>
      <c r="J582" s="200" t="inlineStr">
        <is>
          <t>義隆電子現金股</t>
        </is>
      </c>
      <c r="K582" s="200">
        <f>(H582*$C582)/365.25</f>
        <v/>
      </c>
      <c r="L582" s="200">
        <f>(I582*$C582)/365.25</f>
        <v/>
      </c>
      <c r="M582" s="200" t="inlineStr">
        <is>
          <t>現金股利</t>
        </is>
      </c>
      <c r="N582" s="532" t="n"/>
    </row>
    <row r="583" hidden="1" outlineLevel="1">
      <c r="A583" s="522" t="n">
        <v>45042</v>
      </c>
      <c r="B583" s="522" t="n">
        <v>45042</v>
      </c>
      <c r="C583" s="196" t="n">
        <v>1180</v>
      </c>
      <c r="D583" s="523" t="n"/>
      <c r="E583" s="524">
        <f>E582+C583-D583</f>
        <v/>
      </c>
      <c r="F583" s="524">
        <f>C583</f>
        <v/>
      </c>
      <c r="G583" s="525">
        <f>G582+C583-D583</f>
        <v/>
      </c>
      <c r="H583" s="525">
        <f>IF(B583="",DATEDIF(A583,$G$1,"d"),DATEDIF(A583,B583,"d"))</f>
        <v/>
      </c>
      <c r="I583" s="200">
        <f>IF(B583="",$C$1-A583,H583)</f>
        <v/>
      </c>
      <c r="J583" s="200" t="inlineStr">
        <is>
          <t>燦星現金股</t>
        </is>
      </c>
      <c r="K583" s="200">
        <f>(H583*$C583)/365.25</f>
        <v/>
      </c>
      <c r="L583" s="200">
        <f>(I583*$C583)/365.25</f>
        <v/>
      </c>
      <c r="M583" s="200" t="inlineStr">
        <is>
          <t>現金股利</t>
        </is>
      </c>
      <c r="N583" s="532" t="n"/>
    </row>
    <row r="584" hidden="1" outlineLevel="1">
      <c r="A584" s="522" t="n">
        <v>45043</v>
      </c>
      <c r="B584" s="522" t="n">
        <v>45043</v>
      </c>
      <c r="C584" s="196" t="n">
        <v>3990</v>
      </c>
      <c r="D584" s="523" t="n"/>
      <c r="E584" s="524">
        <f>E583+C584-D584</f>
        <v/>
      </c>
      <c r="F584" s="524">
        <f>C584</f>
        <v/>
      </c>
      <c r="G584" s="525">
        <f>G583+C584-D584</f>
        <v/>
      </c>
      <c r="H584" s="525">
        <f>IF(B584="",DATEDIF(A584,$G$1,"d"),DATEDIF(A584,B584,"d"))</f>
        <v/>
      </c>
      <c r="I584" s="200">
        <f>IF(B584="",$C$1-A584,H584)</f>
        <v/>
      </c>
      <c r="J584" s="200" t="inlineStr">
        <is>
          <t>豐興鋼鐵現金股</t>
        </is>
      </c>
      <c r="K584" s="200">
        <f>(H584*$C584)/365.25</f>
        <v/>
      </c>
      <c r="L584" s="200">
        <f>(I584*$C584)/365.25</f>
        <v/>
      </c>
      <c r="M584" s="200" t="inlineStr">
        <is>
          <t>現金股利</t>
        </is>
      </c>
      <c r="N584" s="532" t="n"/>
    </row>
    <row r="585" hidden="1" outlineLevel="1">
      <c r="A585" s="518" t="n">
        <v>45051</v>
      </c>
      <c r="B585" s="518" t="n"/>
      <c r="C585" s="148" t="n">
        <v>29</v>
      </c>
      <c r="D585" s="519" t="n"/>
      <c r="E585" s="520">
        <f>E584+C585-D585</f>
        <v/>
      </c>
      <c r="F585" s="520">
        <f>C585-D585</f>
        <v/>
      </c>
      <c r="G585" s="521">
        <f>G584+F585</f>
        <v/>
      </c>
      <c r="H585" s="521">
        <f>IF(B585="",DATEDIF(A585,$D$1,"d"),DATEDIF(A585,B585,"d"))</f>
        <v/>
      </c>
      <c r="I585" s="152">
        <f>IF(B585="",$C$1-A585,H585)</f>
        <v/>
      </c>
      <c r="J585" s="152" t="inlineStr">
        <is>
          <t>折讓入帳</t>
        </is>
      </c>
      <c r="K585" s="152">
        <f>IF(F585&gt;0,(H585*$F585)/365.25,0)</f>
        <v/>
      </c>
      <c r="L585" s="152">
        <f>IF(F585&gt;0,(I585*$F585)/365.25,0)</f>
        <v/>
      </c>
      <c r="M585" s="152" t="n"/>
      <c r="N585" s="532" t="n"/>
    </row>
    <row r="586" hidden="1" outlineLevel="1">
      <c r="A586" s="508" t="n">
        <v>45097</v>
      </c>
      <c r="B586" s="508" t="n"/>
      <c r="C586" s="123" t="n"/>
      <c r="D586" s="509" t="n">
        <v>220</v>
      </c>
      <c r="E586" s="510">
        <f>E585+C586-D586</f>
        <v/>
      </c>
      <c r="F586" s="510">
        <f>C586-D586</f>
        <v/>
      </c>
      <c r="G586" s="511">
        <f>G585+F586</f>
        <v/>
      </c>
      <c r="H586" s="511">
        <f>IF(B586="",$C$1-A586,DATEDIF(A586,B586,"d"))</f>
        <v/>
      </c>
      <c r="I586">
        <f>IF(B586="",$C$1-A586,H586)</f>
        <v/>
      </c>
      <c r="J586" s="65" t="n"/>
      <c r="K586">
        <f>IF(F586&gt;0,(H586*$F586)/365.25,0)</f>
        <v/>
      </c>
      <c r="L586">
        <f>IF(F586&gt;0,(I586*$F586)/365.25,0)</f>
        <v/>
      </c>
      <c r="M586" s="65" t="n"/>
      <c r="N586" s="65" t="inlineStr">
        <is>
          <t>股票申購</t>
        </is>
      </c>
    </row>
    <row r="587" hidden="1" outlineLevel="1">
      <c r="A587" s="513" t="n">
        <v>45098</v>
      </c>
      <c r="B587" s="513" t="n"/>
      <c r="C587" s="154" t="n">
        <v>3915</v>
      </c>
      <c r="D587" s="514" t="n"/>
      <c r="E587" s="515">
        <f>E586+C587-D587</f>
        <v/>
      </c>
      <c r="F587" s="515">
        <f>C587-D587</f>
        <v/>
      </c>
      <c r="G587" s="516">
        <f>IF(B587="",G586,G586+C587-D587)</f>
        <v/>
      </c>
      <c r="H587" s="516">
        <f>IF(B587="",$C$1-A587,DATEDIF(A587,B587,"d"))</f>
        <v/>
      </c>
      <c r="I587" s="158">
        <f>IF(B587="",$C$1-A587,H587)</f>
        <v/>
      </c>
      <c r="J587" s="158" t="inlineStr">
        <is>
          <t>利息</t>
        </is>
      </c>
      <c r="K587" s="158">
        <f>(H587*$C587)/365.25</f>
        <v/>
      </c>
      <c r="L587" s="158">
        <f>(I587*$C587)/365.25</f>
        <v/>
      </c>
      <c r="M587" s="159" t="n"/>
      <c r="N587" s="532" t="n"/>
    </row>
    <row r="588" hidden="1" outlineLevel="1">
      <c r="A588" s="508" t="n">
        <v>45105</v>
      </c>
      <c r="B588" s="508" t="n"/>
      <c r="C588" s="123" t="n"/>
      <c r="D588" s="509" t="n">
        <v>74105</v>
      </c>
      <c r="E588" s="510">
        <f>E587+C588-D588</f>
        <v/>
      </c>
      <c r="F588" s="510" t="n"/>
      <c r="G588" s="511">
        <f>G587+F588</f>
        <v/>
      </c>
      <c r="H588" s="511">
        <f>IF(B588="",$C$1-A588,DATEDIF(A588,B588,"d"))</f>
        <v/>
      </c>
      <c r="I588">
        <f>IF(B588="",$C$1-A588,H588)</f>
        <v/>
      </c>
      <c r="J588" s="65" t="inlineStr">
        <is>
          <t>力山(1515)</t>
        </is>
      </c>
      <c r="K588">
        <f>IF(F588&gt;0,(H588*$F588)/365.25,0)</f>
        <v/>
      </c>
      <c r="L588">
        <f>IF(F588&gt;0,(I588*$F588)/365.25,0)</f>
        <v/>
      </c>
      <c r="M588" s="65" t="n"/>
      <c r="N588" s="532" t="n"/>
      <c r="O588" s="66" t="n"/>
      <c r="P588" s="65" t="n"/>
      <c r="Q588" s="132" t="n"/>
    </row>
    <row r="589" hidden="1" outlineLevel="1">
      <c r="A589" s="508" t="n">
        <v>45105</v>
      </c>
      <c r="B589" s="508" t="n"/>
      <c r="C589" s="123" t="n"/>
      <c r="D589" s="509" t="n">
        <v>47167</v>
      </c>
      <c r="E589" s="510">
        <f>E588+C589-D589</f>
        <v/>
      </c>
      <c r="F589" s="510" t="n"/>
      <c r="G589" s="511">
        <f>G588+F589</f>
        <v/>
      </c>
      <c r="H589" s="511">
        <f>IF(B589="",$C$1-A589,DATEDIF(A589,B589,"d"))</f>
        <v/>
      </c>
      <c r="I589">
        <f>IF(B589="",$C$1-A589,H589)</f>
        <v/>
      </c>
      <c r="J589" s="65" t="inlineStr">
        <is>
          <t>振發(5426)</t>
        </is>
      </c>
      <c r="K589">
        <f>IF(F589&gt;0,(H589*$F589)/365.25,0)</f>
        <v/>
      </c>
      <c r="L589">
        <f>IF(F589&gt;0,(I589*$F589)/365.25,0)</f>
        <v/>
      </c>
      <c r="M589" s="65" t="n"/>
      <c r="N589" s="532" t="n"/>
      <c r="O589" s="66" t="n"/>
      <c r="P589" s="65" t="n"/>
      <c r="Q589" s="132" t="n"/>
    </row>
    <row r="590" hidden="1" outlineLevel="1">
      <c r="A590" s="508" t="n">
        <v>45105</v>
      </c>
      <c r="B590" s="508" t="n"/>
      <c r="C590" s="123" t="n"/>
      <c r="D590" s="509" t="n">
        <v>46866</v>
      </c>
      <c r="E590" s="510">
        <f>E589+C590-D590</f>
        <v/>
      </c>
      <c r="F590" s="510" t="n"/>
      <c r="G590" s="511">
        <f>G589+F590</f>
        <v/>
      </c>
      <c r="H590" s="511">
        <f>IF(B590="",$C$1-A590,DATEDIF(A590,B590,"d"))</f>
        <v/>
      </c>
      <c r="I590">
        <f>IF(B590="",$C$1-A590,H590)</f>
        <v/>
      </c>
      <c r="J590" s="65" t="inlineStr">
        <is>
          <t>芯鼎(6695)</t>
        </is>
      </c>
      <c r="K590">
        <f>IF(F590&gt;0,(H590*$F590)/365.25,0)</f>
        <v/>
      </c>
      <c r="L590">
        <f>IF(F590&gt;0,(I590*$F590)/365.25,0)</f>
        <v/>
      </c>
      <c r="M590" s="65" t="n"/>
      <c r="N590" s="532" t="n"/>
      <c r="O590" s="66" t="n"/>
      <c r="P590" s="65" t="n"/>
      <c r="Q590" s="132" t="n"/>
    </row>
    <row r="591" hidden="1" outlineLevel="1">
      <c r="A591" s="508" t="n">
        <v>45106</v>
      </c>
      <c r="B591" s="508" t="n"/>
      <c r="C591" s="123" t="n"/>
      <c r="D591" s="509" t="n">
        <v>42810</v>
      </c>
      <c r="E591" s="510">
        <f>E590+C591-D591</f>
        <v/>
      </c>
      <c r="F591" s="510" t="n"/>
      <c r="G591" s="511">
        <f>G590+F591</f>
        <v/>
      </c>
      <c r="H591" s="511">
        <f>IF(B591="",$C$1-A591,DATEDIF(A591,B591,"d"))</f>
        <v/>
      </c>
      <c r="I591">
        <f>IF(B591="",$C$1-A591,H591)</f>
        <v/>
      </c>
      <c r="J591" s="65" t="inlineStr">
        <is>
          <t>全台(3038)</t>
        </is>
      </c>
      <c r="K591">
        <f>IF(F591&gt;0,(H591*$F591)/365.25,0)</f>
        <v/>
      </c>
      <c r="L591">
        <f>IF(F591&gt;0,(I591*$F591)/365.25,0)</f>
        <v/>
      </c>
      <c r="M591" s="65" t="n"/>
      <c r="N591" s="532" t="n"/>
      <c r="O591" s="66" t="n"/>
      <c r="P591" s="65" t="n"/>
      <c r="Q591" s="132" t="n"/>
    </row>
    <row r="592" hidden="1" outlineLevel="1">
      <c r="A592" s="508" t="n">
        <v>45106</v>
      </c>
      <c r="B592" s="508" t="n"/>
      <c r="C592" s="123" t="n">
        <v>57944</v>
      </c>
      <c r="D592" s="509" t="n"/>
      <c r="E592" s="510">
        <f>E591+C592-D592</f>
        <v/>
      </c>
      <c r="F592" s="510" t="n"/>
      <c r="G592" s="511">
        <f>G591+F592</f>
        <v/>
      </c>
      <c r="H592" s="511">
        <f>IF(B592="",$C$1-A592,DATEDIF(A592,B592,"d"))</f>
        <v/>
      </c>
      <c r="I592">
        <f>IF(B592="",$C$1-A592,H592)</f>
        <v/>
      </c>
      <c r="J592" s="65" t="inlineStr">
        <is>
          <t>日電貿(3090)</t>
        </is>
      </c>
      <c r="K592">
        <f>IF(F592&gt;0,(H592*$F592)/365.25,0)</f>
        <v/>
      </c>
      <c r="L592">
        <f>IF(F592&gt;0,(I592*$F592)/365.25,0)</f>
        <v/>
      </c>
      <c r="M592" s="65" t="n"/>
      <c r="N592" s="532" t="n"/>
      <c r="O592" s="66" t="n"/>
      <c r="P592" s="65" t="n"/>
      <c r="Q592" s="132" t="n"/>
    </row>
    <row r="593" collapsed="1">
      <c r="A593" s="518" t="n">
        <v>45112</v>
      </c>
      <c r="B593" s="518" t="n"/>
      <c r="C593" s="148" t="n">
        <v>150</v>
      </c>
      <c r="D593" s="519" t="n"/>
      <c r="E593" s="520">
        <f>E592+C593-D593</f>
        <v/>
      </c>
      <c r="F593" s="520">
        <f>C593-D593</f>
        <v/>
      </c>
      <c r="G593" s="521">
        <f>G592+F593</f>
        <v/>
      </c>
      <c r="H593" s="521">
        <f>IF(B593="",DATEDIF(A593,$D$1,"d"),DATEDIF(A593,B593,"d"))</f>
        <v/>
      </c>
      <c r="I593" s="152">
        <f>IF(B593="",$C$1-A593,H593)</f>
        <v/>
      </c>
      <c r="J593" s="152" t="inlineStr">
        <is>
          <t>折讓入帳</t>
        </is>
      </c>
      <c r="K593" s="152">
        <f>IF(F593&gt;0,(H593*$F593)/365.25,0)</f>
        <v/>
      </c>
      <c r="L593" s="152">
        <f>IF(F593&gt;0,(I593*$F593)/365.25,0)</f>
        <v/>
      </c>
      <c r="M593" s="152" t="n"/>
      <c r="N593" s="532" t="n"/>
    </row>
    <row r="594" hidden="1" outlineLevel="1">
      <c r="A594" s="508" t="n">
        <v>45117</v>
      </c>
      <c r="B594" s="508" t="n"/>
      <c r="C594" s="123" t="n">
        <v>44553</v>
      </c>
      <c r="D594" s="509" t="n"/>
      <c r="E594" s="510">
        <f>E593+C594-D594</f>
        <v/>
      </c>
      <c r="F594" s="510" t="n"/>
      <c r="G594" s="511">
        <f>G593+F594</f>
        <v/>
      </c>
      <c r="H594" s="511">
        <f>IF(B594="",$C$1-A594,DATEDIF(A594,B594,"d"))</f>
        <v/>
      </c>
      <c r="I594">
        <f>IF(B594="",$C$1-A594,H594)</f>
        <v/>
      </c>
      <c r="J594" s="65" t="inlineStr">
        <is>
          <t>芯鼎(6695)</t>
        </is>
      </c>
      <c r="K594">
        <f>IF(F594&gt;0,(H594*$F594)/365.25,0)</f>
        <v/>
      </c>
      <c r="L594">
        <f>IF(F594&gt;0,(I594*$F594)/365.25,0)</f>
        <v/>
      </c>
      <c r="M594" s="65" t="n"/>
      <c r="N594" s="532" t="n"/>
      <c r="O594" s="66" t="n"/>
      <c r="P594" s="65" t="n"/>
      <c r="Q594" s="132" t="n"/>
    </row>
    <row r="595" hidden="1" outlineLevel="1">
      <c r="A595" s="508" t="n">
        <v>45119</v>
      </c>
      <c r="B595" s="508" t="n"/>
      <c r="C595" s="123" t="n">
        <v>16428</v>
      </c>
      <c r="D595" s="509" t="n"/>
      <c r="E595" s="510">
        <f>E594+C595-D595</f>
        <v/>
      </c>
      <c r="F595" s="510" t="n"/>
      <c r="G595" s="511">
        <f>G594+F595</f>
        <v/>
      </c>
      <c r="H595" s="511">
        <f>IF(B595="",$C$1-A595,DATEDIF(A595,B595,"d"))</f>
        <v/>
      </c>
      <c r="I595">
        <f>IF(B595="",$C$1-A595,H595)</f>
        <v/>
      </c>
      <c r="J595" s="65" t="inlineStr">
        <is>
          <t>振發(5426)</t>
        </is>
      </c>
      <c r="K595">
        <f>IF(F595&gt;0,(H595*$F595)/365.25,0)</f>
        <v/>
      </c>
      <c r="L595">
        <f>IF(F595&gt;0,(I595*$F595)/365.25,0)</f>
        <v/>
      </c>
      <c r="M595" s="65" t="n"/>
      <c r="N595" s="532" t="n"/>
      <c r="O595" s="66" t="n"/>
      <c r="P595" s="65" t="n"/>
      <c r="Q595" s="132" t="n"/>
    </row>
    <row r="596" hidden="1" outlineLevel="1">
      <c r="A596" s="508" t="n">
        <v>45119</v>
      </c>
      <c r="B596" s="508" t="n"/>
      <c r="C596" s="123" t="n">
        <v>16578</v>
      </c>
      <c r="D596" s="509" t="n"/>
      <c r="E596" s="510">
        <f>E595+C596-D596</f>
        <v/>
      </c>
      <c r="F596" s="510" t="n"/>
      <c r="G596" s="511">
        <f>G595+F596</f>
        <v/>
      </c>
      <c r="H596" s="511">
        <f>IF(B596="",$C$1-A596,DATEDIF(A596,B596,"d"))</f>
        <v/>
      </c>
      <c r="I596">
        <f>IF(B596="",$C$1-A596,H596)</f>
        <v/>
      </c>
      <c r="J596" s="65" t="inlineStr">
        <is>
          <t>振發(5426)</t>
        </is>
      </c>
      <c r="K596">
        <f>IF(F596&gt;0,(H596*$F596)/365.25,0)</f>
        <v/>
      </c>
      <c r="L596">
        <f>IF(F596&gt;0,(I596*$F596)/365.25,0)</f>
        <v/>
      </c>
      <c r="M596" s="65" t="n"/>
      <c r="N596" s="532" t="n"/>
      <c r="O596" s="66" t="n"/>
      <c r="P596" s="65" t="n"/>
      <c r="Q596" s="132" t="n"/>
    </row>
    <row r="597" hidden="1" outlineLevel="1">
      <c r="A597" s="508" t="n">
        <v>45120</v>
      </c>
      <c r="B597" s="508" t="n"/>
      <c r="C597" s="123" t="n">
        <v>16079</v>
      </c>
      <c r="D597" s="509" t="n"/>
      <c r="E597" s="510">
        <f>E596+C597-D597</f>
        <v/>
      </c>
      <c r="F597" s="510" t="n"/>
      <c r="G597" s="511">
        <f>G596+F597</f>
        <v/>
      </c>
      <c r="H597" s="511">
        <f>IF(B597="",$C$1-A597,DATEDIF(A597,B597,"d"))</f>
        <v/>
      </c>
      <c r="I597">
        <f>IF(B597="",$C$1-A597,H597)</f>
        <v/>
      </c>
      <c r="J597" s="65" t="inlineStr">
        <is>
          <t>合庫金(5904)</t>
        </is>
      </c>
      <c r="K597">
        <f>IF(F597&gt;0,(H597*$F597)/365.25,0)</f>
        <v/>
      </c>
      <c r="L597">
        <f>IF(F597&gt;0,(I597*$F597)/365.25,0)</f>
        <v/>
      </c>
      <c r="M597" s="65" t="n"/>
      <c r="N597" s="532" t="n"/>
      <c r="O597" s="66" t="n"/>
      <c r="P597" s="65" t="n"/>
      <c r="Q597" s="132" t="n"/>
    </row>
    <row r="598" hidden="1" outlineLevel="1">
      <c r="A598" s="508" t="n">
        <v>45121</v>
      </c>
      <c r="B598" s="508" t="n"/>
      <c r="C598" s="123" t="n"/>
      <c r="D598" s="509" t="n">
        <v>120</v>
      </c>
      <c r="E598" s="510">
        <f>E597+C598-D598</f>
        <v/>
      </c>
      <c r="F598" s="510">
        <f>C598-D598</f>
        <v/>
      </c>
      <c r="G598" s="511">
        <f>G597+F598</f>
        <v/>
      </c>
      <c r="H598" s="511">
        <f>IF(B598="",$C$1-A598,DATEDIF(A598,B598,"d"))</f>
        <v/>
      </c>
      <c r="I598">
        <f>IF(B598="",$C$1-A598,H598)</f>
        <v/>
      </c>
      <c r="J598" s="65" t="n"/>
      <c r="K598">
        <f>IF(F598&gt;0,(H598*$F598)/365.25,0)</f>
        <v/>
      </c>
      <c r="L598">
        <f>IF(F598&gt;0,(I598*$F598)/365.25,0)</f>
        <v/>
      </c>
      <c r="M598" s="65" t="n"/>
      <c r="N598" s="65" t="inlineStr">
        <is>
          <t>股票申購</t>
        </is>
      </c>
    </row>
    <row r="599" hidden="1" outlineLevel="1">
      <c r="A599" s="508" t="n">
        <v>45122</v>
      </c>
      <c r="B599" s="508" t="n"/>
      <c r="C599" s="123" t="n"/>
      <c r="D599" s="509" t="n">
        <v>24985</v>
      </c>
      <c r="E599" s="510">
        <f>E598+C599-D599</f>
        <v/>
      </c>
      <c r="F599" s="510" t="n"/>
      <c r="G599" s="511">
        <f>G598+F599</f>
        <v/>
      </c>
      <c r="H599" s="511">
        <f>IF(B599="",$C$1-A599,DATEDIF(A599,B599,"d"))</f>
        <v/>
      </c>
      <c r="I599">
        <f>IF(B599="",$C$1-A599,H599)</f>
        <v/>
      </c>
      <c r="J599" s="65" t="inlineStr">
        <is>
          <t>華航(2610)</t>
        </is>
      </c>
      <c r="K599">
        <f>IF(F599&gt;0,(H599*$F599)/365.25,0)</f>
        <v/>
      </c>
      <c r="L599">
        <f>IF(F599&gt;0,(I599*$F599)/365.25,0)</f>
        <v/>
      </c>
      <c r="M599" s="65" t="n"/>
      <c r="N599" s="532" t="n"/>
      <c r="O599" s="66" t="n"/>
      <c r="P599" s="65" t="n"/>
      <c r="Q599" s="132" t="n"/>
    </row>
    <row r="600" hidden="1" outlineLevel="1">
      <c r="A600" s="508" t="n">
        <v>45123</v>
      </c>
      <c r="B600" s="508" t="n"/>
      <c r="C600" s="123" t="n"/>
      <c r="D600" s="509" t="n">
        <v>37152</v>
      </c>
      <c r="E600" s="510">
        <f>E599+C600-D600</f>
        <v/>
      </c>
      <c r="F600" s="510" t="n"/>
      <c r="G600" s="511">
        <f>G599+F600</f>
        <v/>
      </c>
      <c r="H600" s="511">
        <f>IF(B600="",$C$1-A600,DATEDIF(A600,B600,"d"))</f>
        <v/>
      </c>
      <c r="I600">
        <f>IF(B600="",$C$1-A600,H600)</f>
        <v/>
      </c>
      <c r="J600" s="65" t="inlineStr">
        <is>
          <t>長榮航(2618)</t>
        </is>
      </c>
      <c r="K600">
        <f>IF(F600&gt;0,(H600*$F600)/365.25,0)</f>
        <v/>
      </c>
      <c r="L600">
        <f>IF(F600&gt;0,(I600*$F600)/365.25,0)</f>
        <v/>
      </c>
      <c r="M600" s="65" t="n"/>
      <c r="N600" s="532" t="n"/>
      <c r="O600" s="66" t="n"/>
      <c r="P600" s="65" t="n"/>
      <c r="Q600" s="132" t="n"/>
    </row>
    <row r="601" hidden="1" outlineLevel="1">
      <c r="A601" s="508" t="n">
        <v>45135</v>
      </c>
      <c r="B601" s="508" t="n"/>
      <c r="C601" s="123" t="n"/>
      <c r="D601" s="509" t="n">
        <v>100</v>
      </c>
      <c r="E601" s="510">
        <f>E600+C601-D601</f>
        <v/>
      </c>
      <c r="F601" s="510">
        <f>C601-D601</f>
        <v/>
      </c>
      <c r="G601" s="511">
        <f>G600+F601</f>
        <v/>
      </c>
      <c r="H601" s="511">
        <f>IF(B601="",$C$1-A601,DATEDIF(A601,B601,"d"))</f>
        <v/>
      </c>
      <c r="I601">
        <f>IF(B601="",$C$1-A601,H601)</f>
        <v/>
      </c>
      <c r="J601" s="65" t="n"/>
      <c r="K601">
        <f>IF(F601&gt;0,(H601*$F601)/365.25,0)</f>
        <v/>
      </c>
      <c r="L601">
        <f>IF(F601&gt;0,(I601*$F601)/365.25,0)</f>
        <v/>
      </c>
      <c r="M601" s="65" t="n"/>
      <c r="N601" s="65" t="inlineStr">
        <is>
          <t>股票申購</t>
        </is>
      </c>
    </row>
    <row r="602" hidden="1" outlineLevel="1">
      <c r="A602" s="522" t="n">
        <v>45135</v>
      </c>
      <c r="B602" s="522" t="n">
        <v>45135</v>
      </c>
      <c r="C602" s="196" t="n">
        <v>493</v>
      </c>
      <c r="D602" s="523" t="n"/>
      <c r="E602" s="524">
        <f>E601+C602-D602</f>
        <v/>
      </c>
      <c r="F602" s="524">
        <f>C602</f>
        <v/>
      </c>
      <c r="G602" s="525">
        <f>G601+C602-D602</f>
        <v/>
      </c>
      <c r="H602" s="525">
        <f>IF(B602="",DATEDIF(A602,$G$1,"d"),DATEDIF(A602,B602,"d"))</f>
        <v/>
      </c>
      <c r="I602" s="200">
        <f>IF(B602="",$C$1-A602,H602)</f>
        <v/>
      </c>
      <c r="J602" s="200" t="inlineStr">
        <is>
          <t>敦泰現金股</t>
        </is>
      </c>
      <c r="K602" s="200">
        <f>(H602*$C602)/365.25</f>
        <v/>
      </c>
      <c r="L602" s="200">
        <f>(I602*$C602)/365.25</f>
        <v/>
      </c>
      <c r="M602" s="200" t="inlineStr">
        <is>
          <t>現金股利</t>
        </is>
      </c>
      <c r="N602" s="532" t="n"/>
    </row>
    <row r="603" hidden="1" outlineLevel="1">
      <c r="A603" s="522" t="n">
        <v>45135</v>
      </c>
      <c r="B603" s="522" t="n">
        <v>45135</v>
      </c>
      <c r="C603" s="196" t="n">
        <v>1590</v>
      </c>
      <c r="D603" s="523" t="n"/>
      <c r="E603" s="524">
        <f>E602+C603-D603</f>
        <v/>
      </c>
      <c r="F603" s="524">
        <f>C603</f>
        <v/>
      </c>
      <c r="G603" s="525">
        <f>G602+C603-D603</f>
        <v/>
      </c>
      <c r="H603" s="525">
        <f>IF(B603="",DATEDIF(A603,$G$1,"d"),DATEDIF(A603,B603,"d"))</f>
        <v/>
      </c>
      <c r="I603" s="200">
        <f>IF(B603="",$C$1-A603,H603)</f>
        <v/>
      </c>
      <c r="J603" s="200" t="inlineStr">
        <is>
          <t>全台晶現金股</t>
        </is>
      </c>
      <c r="K603" s="200">
        <f>(H603*$C603)/365.25</f>
        <v/>
      </c>
      <c r="L603" s="200">
        <f>(I603*$C603)/365.25</f>
        <v/>
      </c>
      <c r="M603" s="200" t="inlineStr">
        <is>
          <t>現金股利</t>
        </is>
      </c>
      <c r="N603" s="532" t="n"/>
    </row>
    <row r="604" hidden="1" outlineLevel="1">
      <c r="A604" s="522" t="n">
        <v>45138</v>
      </c>
      <c r="B604" s="522" t="n">
        <v>45138</v>
      </c>
      <c r="C604" s="196" t="n">
        <v>4440</v>
      </c>
      <c r="D604" s="523" t="n"/>
      <c r="E604" s="524">
        <f>E603+C604-D604</f>
        <v/>
      </c>
      <c r="F604" s="524">
        <f>C604</f>
        <v/>
      </c>
      <c r="G604" s="525">
        <f>G603+C604-D604</f>
        <v/>
      </c>
      <c r="H604" s="525">
        <f>IF(B604="",DATEDIF(A604,$G$1,"d"),DATEDIF(A604,B604,"d"))</f>
        <v/>
      </c>
      <c r="I604" s="200">
        <f>IF(B604="",$C$1-A604,H604)</f>
        <v/>
      </c>
      <c r="J604" s="200" t="inlineStr">
        <is>
          <t>群聯電子現金股</t>
        </is>
      </c>
      <c r="K604" s="200">
        <f>(H604*$C604)/365.25</f>
        <v/>
      </c>
      <c r="L604" s="200">
        <f>(I604*$C604)/365.25</f>
        <v/>
      </c>
      <c r="M604" s="200" t="inlineStr">
        <is>
          <t>現金股利</t>
        </is>
      </c>
      <c r="N604" s="65" t="n"/>
    </row>
    <row r="605" hidden="1" outlineLevel="1">
      <c r="A605" s="508" t="n">
        <v>45140</v>
      </c>
      <c r="B605" s="508" t="n"/>
      <c r="C605" s="123" t="n"/>
      <c r="D605" s="509" t="n">
        <v>54076</v>
      </c>
      <c r="E605" s="510">
        <f>E604+C605-D605</f>
        <v/>
      </c>
      <c r="F605" s="510" t="n"/>
      <c r="G605" s="511">
        <f>G604+F605</f>
        <v/>
      </c>
      <c r="H605" s="511">
        <f>IF(B605="",$C$1-A605,DATEDIF(A605,B605,"d"))</f>
        <v/>
      </c>
      <c r="I605">
        <f>IF(B605="",$C$1-A605,H605)</f>
        <v/>
      </c>
      <c r="J605" s="65" t="inlineStr">
        <is>
          <t>泰銘(9927)</t>
        </is>
      </c>
      <c r="K605">
        <f>IF(F605&gt;0,(H605*$F605)/365.25,0)</f>
        <v/>
      </c>
      <c r="L605">
        <f>IF(F605&gt;0,(I605*$F605)/365.25,0)</f>
        <v/>
      </c>
      <c r="M605" s="65" t="n"/>
      <c r="N605" s="532" t="n"/>
      <c r="O605" s="66" t="n"/>
      <c r="P605" s="65" t="n"/>
      <c r="Q605" s="132" t="n"/>
    </row>
    <row r="606" hidden="1" outlineLevel="1">
      <c r="A606" s="518" t="n">
        <v>45142</v>
      </c>
      <c r="B606" s="518" t="n"/>
      <c r="C606" s="148" t="n">
        <v>116</v>
      </c>
      <c r="D606" s="519" t="n"/>
      <c r="E606" s="520">
        <f>E605+C606-D606</f>
        <v/>
      </c>
      <c r="F606" s="520">
        <f>C606-D606</f>
        <v/>
      </c>
      <c r="G606" s="521">
        <f>G605+F606</f>
        <v/>
      </c>
      <c r="H606" s="521">
        <f>IF(B606="",DATEDIF(A606,$D$1,"d"),DATEDIF(A606,B606,"d"))</f>
        <v/>
      </c>
      <c r="I606" s="152">
        <f>IF(B606="",$C$1-A606,H606)</f>
        <v/>
      </c>
      <c r="J606" s="152" t="inlineStr">
        <is>
          <t>折讓入帳</t>
        </is>
      </c>
      <c r="K606" s="152">
        <f>IF(F606&gt;0,(H606*$F606)/365.25,0)</f>
        <v/>
      </c>
      <c r="L606" s="152">
        <f>IF(F606&gt;0,(I606*$F606)/365.25,0)</f>
        <v/>
      </c>
      <c r="M606" s="152" t="n"/>
      <c r="N606" s="532" t="n"/>
    </row>
    <row r="607" hidden="1" outlineLevel="1">
      <c r="A607" s="508" t="n">
        <v>45145</v>
      </c>
      <c r="B607" s="508" t="n"/>
      <c r="C607" s="123" t="n"/>
      <c r="D607" s="509" t="n">
        <v>49510</v>
      </c>
      <c r="E607" s="510">
        <f>E606+C607-D607</f>
        <v/>
      </c>
      <c r="F607" s="510" t="n"/>
      <c r="G607" s="511">
        <f>G606+F607</f>
        <v/>
      </c>
      <c r="H607" s="511">
        <f>IF(B607="",$C$1-A607,DATEDIF(A607,B607,"d"))</f>
        <v/>
      </c>
      <c r="I607">
        <f>IF(B607="",$C$1-A607,H607)</f>
        <v/>
      </c>
      <c r="J607" s="65" t="inlineStr">
        <is>
          <t>復華台灣科技優息(00929)</t>
        </is>
      </c>
      <c r="K607">
        <f>IF(F607&gt;0,(H607*$F607)/365.25,0)</f>
        <v/>
      </c>
      <c r="L607">
        <f>IF(F607&gt;0,(I607*$F607)/365.25,0)</f>
        <v/>
      </c>
      <c r="M607" s="65" t="n"/>
      <c r="N607" s="532" t="n"/>
      <c r="O607" s="66" t="n"/>
      <c r="P607" s="65" t="n"/>
      <c r="Q607" s="132" t="n"/>
    </row>
    <row r="608" hidden="1" outlineLevel="1">
      <c r="A608" s="508" t="n">
        <v>45145</v>
      </c>
      <c r="B608" s="508" t="n"/>
      <c r="C608" s="123" t="n">
        <v>37036</v>
      </c>
      <c r="D608" s="509" t="n"/>
      <c r="E608" s="510">
        <f>E607+C608-D608</f>
        <v/>
      </c>
      <c r="F608" s="510" t="n"/>
      <c r="G608" s="511">
        <f>G607+F608</f>
        <v/>
      </c>
      <c r="H608" s="511">
        <f>IF(B608="",$C$1-A608,DATEDIF(A608,B608,"d"))</f>
        <v/>
      </c>
      <c r="I608">
        <f>IF(B608="",$C$1-A608,H608)</f>
        <v/>
      </c>
      <c r="J608" s="65" t="inlineStr">
        <is>
          <t>力山(1515)</t>
        </is>
      </c>
      <c r="K608">
        <f>IF(F608&gt;0,(H608*$F608)/365.25,0)</f>
        <v/>
      </c>
      <c r="L608">
        <f>IF(F608&gt;0,(I608*$F608)/365.25,0)</f>
        <v/>
      </c>
      <c r="M608" s="65" t="n"/>
      <c r="N608" s="532" t="n"/>
      <c r="O608" s="66" t="n"/>
      <c r="P608" s="65" t="n"/>
      <c r="Q608" s="132" t="n"/>
    </row>
    <row r="609" hidden="1" outlineLevel="1">
      <c r="A609" s="508" t="n">
        <v>45146</v>
      </c>
      <c r="B609" s="508" t="n"/>
      <c r="C609" s="123" t="n">
        <v>55753</v>
      </c>
      <c r="D609" s="509" t="n"/>
      <c r="E609" s="510">
        <f>E608+C609-D609</f>
        <v/>
      </c>
      <c r="F609" s="510" t="n"/>
      <c r="G609" s="511">
        <f>G608+F609</f>
        <v/>
      </c>
      <c r="H609" s="511">
        <f>IF(B609="",$C$1-A609,DATEDIF(A609,B609,"d"))</f>
        <v/>
      </c>
      <c r="I609">
        <f>IF(B609="",$C$1-A609,H609)</f>
        <v/>
      </c>
      <c r="J609" s="65" t="inlineStr">
        <is>
          <t>泰銘(9927)</t>
        </is>
      </c>
      <c r="K609">
        <f>IF(F609&gt;0,(H609*$F609)/365.25,0)</f>
        <v/>
      </c>
      <c r="L609">
        <f>IF(F609&gt;0,(I609*$F609)/365.25,0)</f>
        <v/>
      </c>
      <c r="M609" s="65" t="n"/>
      <c r="N609" s="532" t="n"/>
      <c r="O609" s="66" t="n"/>
      <c r="P609" s="65" t="n"/>
      <c r="Q609" s="132" t="n"/>
    </row>
    <row r="610" hidden="1" outlineLevel="1">
      <c r="A610" s="522" t="n">
        <v>45149</v>
      </c>
      <c r="B610" s="522" t="n">
        <v>45149</v>
      </c>
      <c r="C610" s="196" t="n">
        <v>36209</v>
      </c>
      <c r="D610" s="523" t="n">
        <v>0</v>
      </c>
      <c r="E610" s="524">
        <f>E609+C610-D610</f>
        <v/>
      </c>
      <c r="F610" s="524">
        <f>C610</f>
        <v/>
      </c>
      <c r="G610" s="525">
        <f>G609+C610-D610</f>
        <v/>
      </c>
      <c r="H610" s="525">
        <f>IF(B610="",DATEDIF(A610,$G$1,"d"),DATEDIF(A610,B610,"d"))</f>
        <v/>
      </c>
      <c r="I610" s="200">
        <f>IF(B610="",$C$1-A610,H610)</f>
        <v/>
      </c>
      <c r="J610" s="200" t="inlineStr">
        <is>
          <t>聯詠科技現金股</t>
        </is>
      </c>
      <c r="K610" s="200">
        <f>(H610*$C610)/365.25</f>
        <v/>
      </c>
      <c r="L610" s="200">
        <f>(I610*$C610)/365.25</f>
        <v/>
      </c>
      <c r="M610" s="200" t="inlineStr">
        <is>
          <t>現金股利</t>
        </is>
      </c>
      <c r="N610" s="65" t="n"/>
    </row>
    <row r="611" hidden="1" outlineLevel="1">
      <c r="A611" s="508" t="n">
        <v>45149</v>
      </c>
      <c r="B611" s="508" t="n"/>
      <c r="C611" s="123" t="n"/>
      <c r="D611" s="509" t="n">
        <v>40</v>
      </c>
      <c r="E611" s="510">
        <f>E610+C611-D611</f>
        <v/>
      </c>
      <c r="F611" s="510">
        <f>C611-D611</f>
        <v/>
      </c>
      <c r="G611" s="511">
        <f>G610+F611</f>
        <v/>
      </c>
      <c r="H611" s="511">
        <f>IF(B611="",$C$1-A611,DATEDIF(A611,B611,"d"))</f>
        <v/>
      </c>
      <c r="I611">
        <f>IF(B611="",$C$1-A611,H611)</f>
        <v/>
      </c>
      <c r="J611" s="65" t="n"/>
      <c r="K611">
        <f>IF(F611&gt;0,(H611*$F611)/365.25,0)</f>
        <v/>
      </c>
      <c r="L611">
        <f>IF(F611&gt;0,(I611*$F611)/365.25,0)</f>
        <v/>
      </c>
      <c r="M611" s="65" t="n"/>
      <c r="N611" s="65" t="inlineStr">
        <is>
          <t>股票申購</t>
        </is>
      </c>
    </row>
    <row r="612" hidden="1" outlineLevel="1">
      <c r="A612" s="508" t="n">
        <v>45154</v>
      </c>
      <c r="B612" s="508" t="n"/>
      <c r="C612" s="123" t="n">
        <v>37136</v>
      </c>
      <c r="D612" s="509" t="n"/>
      <c r="E612" s="510">
        <f>E611+C612-D612</f>
        <v/>
      </c>
      <c r="F612" s="510" t="n"/>
      <c r="G612" s="511">
        <f>G611+F612</f>
        <v/>
      </c>
      <c r="H612" s="511">
        <f>IF(B612="",$C$1-A612,DATEDIF(A612,B612,"d"))</f>
        <v/>
      </c>
      <c r="I612">
        <f>IF(B612="",$C$1-A612,H612)</f>
        <v/>
      </c>
      <c r="J612" s="65" t="inlineStr">
        <is>
          <t>力山(1515)</t>
        </is>
      </c>
      <c r="K612">
        <f>IF(F612&gt;0,(H612*$F612)/365.25,0)</f>
        <v/>
      </c>
      <c r="L612">
        <f>IF(F612&gt;0,(I612*$F612)/365.25,0)</f>
        <v/>
      </c>
      <c r="M612" s="65" t="n"/>
      <c r="N612" s="532" t="n"/>
      <c r="O612" s="66" t="n"/>
      <c r="P612" s="65" t="n"/>
      <c r="Q612" s="132" t="n"/>
    </row>
    <row r="613" hidden="1" outlineLevel="1">
      <c r="A613" s="508" t="n">
        <v>45161</v>
      </c>
      <c r="B613" s="508" t="n"/>
      <c r="C613" s="123" t="n"/>
      <c r="D613" s="509" t="n">
        <v>100</v>
      </c>
      <c r="E613" s="510">
        <f>E612+C613-D613</f>
        <v/>
      </c>
      <c r="F613" s="510">
        <f>C613-D613</f>
        <v/>
      </c>
      <c r="G613" s="511">
        <f>G612+F613</f>
        <v/>
      </c>
      <c r="H613" s="511">
        <f>IF(B613="",$C$1-A613,DATEDIF(A613,B613,"d"))</f>
        <v/>
      </c>
      <c r="I613">
        <f>IF(B613="",$C$1-A613,H613)</f>
        <v/>
      </c>
      <c r="J613" s="65" t="n"/>
      <c r="K613">
        <f>IF(F613&gt;0,(H613*$F613)/365.25,0)</f>
        <v/>
      </c>
      <c r="L613">
        <f>IF(F613&gt;0,(I613*$F613)/365.25,0)</f>
        <v/>
      </c>
      <c r="M613" s="65" t="n"/>
      <c r="N613" s="65" t="inlineStr">
        <is>
          <t>股票申購</t>
        </is>
      </c>
    </row>
    <row r="614" hidden="1" outlineLevel="1">
      <c r="A614" s="522" t="n">
        <v>45163</v>
      </c>
      <c r="B614" s="522" t="n">
        <v>45163</v>
      </c>
      <c r="C614" s="196" t="n">
        <v>2993</v>
      </c>
      <c r="D614" s="523" t="n"/>
      <c r="E614" s="524">
        <f>E613+C614-D614</f>
        <v/>
      </c>
      <c r="F614" s="524">
        <f>C614</f>
        <v/>
      </c>
      <c r="G614" s="525">
        <f>G613+C614-D614</f>
        <v/>
      </c>
      <c r="H614" s="525">
        <f>IF(B614="",DATEDIF(A614,$G$1,"d"),DATEDIF(A614,B614,"d"))</f>
        <v/>
      </c>
      <c r="I614" s="200">
        <f>IF(B614="",$C$1-A614,H614)</f>
        <v/>
      </c>
      <c r="J614" s="200" t="inlineStr">
        <is>
          <t>中鋼現金股</t>
        </is>
      </c>
      <c r="K614" s="200">
        <f>(H614*$C614)/365.25</f>
        <v/>
      </c>
      <c r="L614" s="200">
        <f>(I614*$C614)/365.25</f>
        <v/>
      </c>
      <c r="M614" s="200" t="inlineStr">
        <is>
          <t>現金股利</t>
        </is>
      </c>
      <c r="N614" s="532" t="n"/>
    </row>
    <row r="615" hidden="1" outlineLevel="1">
      <c r="A615" s="522" t="n">
        <v>45167</v>
      </c>
      <c r="B615" s="522" t="n">
        <v>45167</v>
      </c>
      <c r="C615" s="196" t="n">
        <v>3059</v>
      </c>
      <c r="D615" s="523" t="n"/>
      <c r="E615" s="524">
        <f>E614+C615-D615</f>
        <v/>
      </c>
      <c r="F615" s="524">
        <f>C615</f>
        <v/>
      </c>
      <c r="G615" s="525">
        <f>G614+C615-D615</f>
        <v/>
      </c>
      <c r="H615" s="525">
        <f>IF(B615="",DATEDIF(A615,$G$1,"d"),DATEDIF(A615,B615,"d"))</f>
        <v/>
      </c>
      <c r="I615" s="200">
        <f>IF(B615="",$C$1-A615,H615)</f>
        <v/>
      </c>
      <c r="J615" s="200" t="inlineStr">
        <is>
          <t>義隆電子現金股</t>
        </is>
      </c>
      <c r="K615" s="200">
        <f>(H615*$C615)/365.25</f>
        <v/>
      </c>
      <c r="L615" s="200">
        <f>(I615*$C615)/365.25</f>
        <v/>
      </c>
      <c r="M615" s="200" t="inlineStr">
        <is>
          <t>現金股利</t>
        </is>
      </c>
      <c r="N615" s="532" t="n"/>
    </row>
    <row r="616" hidden="1" outlineLevel="1">
      <c r="A616" s="522" t="n">
        <v>45169</v>
      </c>
      <c r="B616" s="522" t="n">
        <v>45169</v>
      </c>
      <c r="C616" s="196" t="n">
        <v>806</v>
      </c>
      <c r="D616" s="523" t="n"/>
      <c r="E616" s="524">
        <f>E615+C616-D616</f>
        <v/>
      </c>
      <c r="F616" s="524">
        <f>C616</f>
        <v/>
      </c>
      <c r="G616" s="525">
        <f>G615+C616-D616</f>
        <v/>
      </c>
      <c r="H616" s="525">
        <f>IF(B616="",DATEDIF(A616,$G$1,"d"),DATEDIF(A616,B616,"d"))</f>
        <v/>
      </c>
      <c r="I616" s="200">
        <f>IF(B616="",$C$1-A616,H616)</f>
        <v/>
      </c>
      <c r="J616" s="200" t="inlineStr">
        <is>
          <t>第一金現金股</t>
        </is>
      </c>
      <c r="K616" s="200">
        <f>(H616*$C616)/365.25</f>
        <v/>
      </c>
      <c r="L616" s="200">
        <f>(I616*$C616)/365.25</f>
        <v/>
      </c>
      <c r="M616" s="200" t="inlineStr">
        <is>
          <t>現金股利</t>
        </is>
      </c>
      <c r="N616" s="532" t="n"/>
    </row>
    <row r="617" hidden="1" outlineLevel="1">
      <c r="A617" s="522" t="n">
        <v>45169</v>
      </c>
      <c r="B617" s="522" t="n">
        <v>45169</v>
      </c>
      <c r="C617" s="196" t="n">
        <v>640</v>
      </c>
      <c r="D617" s="523" t="n"/>
      <c r="E617" s="524">
        <f>E616+C617-D617</f>
        <v/>
      </c>
      <c r="F617" s="524">
        <f>C617</f>
        <v/>
      </c>
      <c r="G617" s="525">
        <f>G616+C617-D617</f>
        <v/>
      </c>
      <c r="H617" s="525">
        <f>IF(B617="",DATEDIF(A617,$G$1,"d"),DATEDIF(A617,B617,"d"))</f>
        <v/>
      </c>
      <c r="I617" s="200">
        <f>IF(B617="",$C$1-A617,H617)</f>
        <v/>
      </c>
      <c r="J617" s="200" t="inlineStr">
        <is>
          <t>友達現金股</t>
        </is>
      </c>
      <c r="K617" s="200">
        <f>(H617*$C617)/365.25</f>
        <v/>
      </c>
      <c r="L617" s="200">
        <f>(I617*$C617)/365.25</f>
        <v/>
      </c>
      <c r="M617" s="200" t="inlineStr">
        <is>
          <t>現金股利</t>
        </is>
      </c>
      <c r="N617" s="532" t="n"/>
    </row>
    <row r="618" hidden="1" outlineLevel="1">
      <c r="A618" s="522" t="n">
        <v>45169</v>
      </c>
      <c r="B618" s="522" t="n">
        <v>45169</v>
      </c>
      <c r="C618" s="196" t="n">
        <v>5990</v>
      </c>
      <c r="D618" s="523" t="n"/>
      <c r="E618" s="524">
        <f>E617+C618-D618</f>
        <v/>
      </c>
      <c r="F618" s="524">
        <f>C618</f>
        <v/>
      </c>
      <c r="G618" s="525">
        <f>G617+C618-D618</f>
        <v/>
      </c>
      <c r="H618" s="525">
        <f>IF(B618="",DATEDIF(A618,$G$1,"d"),DATEDIF(A618,B618,"d"))</f>
        <v/>
      </c>
      <c r="I618" s="200">
        <f>IF(B618="",$C$1-A618,H618)</f>
        <v/>
      </c>
      <c r="J618" s="200" t="inlineStr">
        <is>
          <t>宇隆科現金股</t>
        </is>
      </c>
      <c r="K618" s="200">
        <f>(H618*$C618)/365.25</f>
        <v/>
      </c>
      <c r="L618" s="200">
        <f>(I618*$C618)/365.25</f>
        <v/>
      </c>
      <c r="M618" s="200" t="inlineStr">
        <is>
          <t>現金股利</t>
        </is>
      </c>
      <c r="N618" s="532" t="n"/>
    </row>
    <row r="619" hidden="1" outlineLevel="1">
      <c r="A619" s="522" t="n">
        <v>45170</v>
      </c>
      <c r="B619" s="522" t="n">
        <v>45170</v>
      </c>
      <c r="C619" s="196" t="n">
        <v>452</v>
      </c>
      <c r="D619" s="523" t="n"/>
      <c r="E619" s="524">
        <f>E618+C619-D619</f>
        <v/>
      </c>
      <c r="F619" s="524">
        <f>C619</f>
        <v/>
      </c>
      <c r="G619" s="525">
        <f>G618+C619-D619</f>
        <v/>
      </c>
      <c r="H619" s="525">
        <f>IF(B619="",DATEDIF(A619,$G$1,"d"),DATEDIF(A619,B619,"d"))</f>
        <v/>
      </c>
      <c r="I619" s="200">
        <f>IF(B619="",$C$1-A619,H619)</f>
        <v/>
      </c>
      <c r="J619" s="200" t="inlineStr">
        <is>
          <t>群創光減資</t>
        </is>
      </c>
      <c r="K619" s="200">
        <f>(H619*$C619)/365.25</f>
        <v/>
      </c>
      <c r="L619" s="200">
        <f>(I619*$C619)/365.25</f>
        <v/>
      </c>
      <c r="M619" s="200" t="inlineStr">
        <is>
          <t>減資</t>
        </is>
      </c>
      <c r="N619" s="532" t="n"/>
    </row>
    <row r="620" hidden="1" outlineLevel="1">
      <c r="A620" s="518" t="n">
        <v>45174</v>
      </c>
      <c r="B620" s="518" t="n"/>
      <c r="C620" s="148" t="n">
        <v>101</v>
      </c>
      <c r="D620" s="519" t="n"/>
      <c r="E620" s="520">
        <f>E619+C620-D620</f>
        <v/>
      </c>
      <c r="F620" s="520">
        <f>C620-D620</f>
        <v/>
      </c>
      <c r="G620" s="521">
        <f>G619+F620</f>
        <v/>
      </c>
      <c r="H620" s="521">
        <f>IF(B620="",DATEDIF(A620,$D$1,"d"),DATEDIF(A620,B620,"d"))</f>
        <v/>
      </c>
      <c r="I620" s="152">
        <f>IF(B620="",$C$1-A620,H620)</f>
        <v/>
      </c>
      <c r="J620" s="152" t="inlineStr">
        <is>
          <t>折讓入帳</t>
        </is>
      </c>
      <c r="K620" s="152">
        <f>IF(F620&gt;0,(H620*$F620)/365.25,0)</f>
        <v/>
      </c>
      <c r="L620" s="152">
        <f>IF(F620&gt;0,(I620*$F620)/365.25,0)</f>
        <v/>
      </c>
      <c r="M620" s="152" t="n"/>
      <c r="N620" s="532" t="n"/>
    </row>
    <row r="621" hidden="1" outlineLevel="1">
      <c r="A621" s="508" t="n">
        <v>45180</v>
      </c>
      <c r="B621" s="508" t="n"/>
      <c r="C621" s="123" t="n"/>
      <c r="D621" s="509" t="n">
        <v>100</v>
      </c>
      <c r="E621" s="510">
        <f>E620+C621-D621</f>
        <v/>
      </c>
      <c r="F621" s="510">
        <f>C621-D621</f>
        <v/>
      </c>
      <c r="G621" s="511">
        <f>G620+F621</f>
        <v/>
      </c>
      <c r="H621" s="511">
        <f>IF(B621="",$C$1-A621,DATEDIF(A621,B621,"d"))</f>
        <v/>
      </c>
      <c r="I621">
        <f>IF(B621="",$C$1-A621,H621)</f>
        <v/>
      </c>
      <c r="J621" s="65" t="n"/>
      <c r="K621">
        <f>IF(F621&gt;0,(H621*$F621)/365.25,0)</f>
        <v/>
      </c>
      <c r="L621">
        <f>IF(F621&gt;0,(I621*$F621)/365.25,0)</f>
        <v/>
      </c>
      <c r="M621" s="65" t="n"/>
      <c r="N621" s="65" t="inlineStr">
        <is>
          <t>股票申購</t>
        </is>
      </c>
    </row>
    <row r="622" hidden="1" outlineLevel="1">
      <c r="A622" s="508" t="n">
        <v>45180</v>
      </c>
      <c r="B622" s="508" t="n"/>
      <c r="C622" s="123" t="n"/>
      <c r="D622" s="509" t="n">
        <v>17775</v>
      </c>
      <c r="E622" s="510">
        <f>E621+C622-D622</f>
        <v/>
      </c>
      <c r="F622" s="510" t="n"/>
      <c r="G622" s="511">
        <f>G621+F622</f>
        <v/>
      </c>
      <c r="H622" s="511">
        <f>IF(B622="",$C$1-A622,DATEDIF(A622,B622,"d"))</f>
        <v/>
      </c>
      <c r="I622">
        <f>IF(B622="",$C$1-A622,H622)</f>
        <v/>
      </c>
      <c r="J622" s="65" t="inlineStr">
        <is>
          <t>復華台灣科技優息(00929)</t>
        </is>
      </c>
      <c r="K622">
        <f>IF(F622&gt;0,(H622*$F622)/365.25,0)</f>
        <v/>
      </c>
      <c r="L622">
        <f>IF(F622&gt;0,(I622*$F622)/365.25,0)</f>
        <v/>
      </c>
      <c r="M622" s="65" t="n"/>
      <c r="N622" s="532" t="n"/>
      <c r="O622" s="66" t="n"/>
      <c r="P622" s="65" t="n"/>
      <c r="Q622" s="132" t="n"/>
    </row>
    <row r="623" hidden="1" outlineLevel="1">
      <c r="A623" s="522" t="n">
        <v>45181</v>
      </c>
      <c r="B623" s="522" t="n">
        <v>45181</v>
      </c>
      <c r="C623" s="196" t="n">
        <v>505</v>
      </c>
      <c r="D623" s="523" t="n"/>
      <c r="E623" s="524">
        <f>E622+C623-D623</f>
        <v/>
      </c>
      <c r="F623" s="524">
        <f>C623</f>
        <v/>
      </c>
      <c r="G623" s="525">
        <f>G622+C623-D623</f>
        <v/>
      </c>
      <c r="H623" s="525">
        <f>IF(B623="",DATEDIF(A623,$G$1,"d"),DATEDIF(A623,B623,"d"))</f>
        <v/>
      </c>
      <c r="I623" s="200">
        <f>IF(B623="",$C$1-A623,H623)</f>
        <v/>
      </c>
      <c r="J623" s="200" t="inlineStr">
        <is>
          <t>合庫金現金股</t>
        </is>
      </c>
      <c r="K623" s="200">
        <f>(H623*$C623)/365.25</f>
        <v/>
      </c>
      <c r="L623" s="200">
        <f>(I623*$C623)/365.25</f>
        <v/>
      </c>
      <c r="M623" s="200" t="inlineStr">
        <is>
          <t>現金股利</t>
        </is>
      </c>
      <c r="N623" s="532" t="n"/>
    </row>
    <row r="624" hidden="1" outlineLevel="1">
      <c r="A624" s="522" t="n">
        <v>45181</v>
      </c>
      <c r="B624" s="522" t="n">
        <v>45181</v>
      </c>
      <c r="C624" s="196" t="n">
        <v>330</v>
      </c>
      <c r="D624" s="523" t="n"/>
      <c r="E624" s="524">
        <f>E623+C624-D624</f>
        <v/>
      </c>
      <c r="F624" s="524">
        <f>C624</f>
        <v/>
      </c>
      <c r="G624" s="525">
        <f>G623+C624-D624</f>
        <v/>
      </c>
      <c r="H624" s="525">
        <f>IF(B624="",DATEDIF(A624,$G$1,"d"),DATEDIF(A624,B624,"d"))</f>
        <v/>
      </c>
      <c r="I624" s="200">
        <f>IF(B624="",$C$1-A624,H624)</f>
        <v/>
      </c>
      <c r="J624" s="200" t="inlineStr">
        <is>
          <t>復華台灣科技優息</t>
        </is>
      </c>
      <c r="K624" s="200">
        <f>(H624*$C624)/365.25</f>
        <v/>
      </c>
      <c r="L624" s="200">
        <f>(I624*$C624)/365.25</f>
        <v/>
      </c>
      <c r="M624" s="200" t="inlineStr">
        <is>
          <t>現金股利</t>
        </is>
      </c>
      <c r="N624" s="532" t="n"/>
    </row>
    <row r="625" hidden="1" outlineLevel="1">
      <c r="A625" s="508" t="n">
        <v>45190</v>
      </c>
      <c r="B625" s="508" t="n"/>
      <c r="C625" s="123" t="n"/>
      <c r="D625" s="509" t="n">
        <v>60</v>
      </c>
      <c r="E625" s="510">
        <f>E624+C625-D625</f>
        <v/>
      </c>
      <c r="F625" s="510">
        <f>C625-D625</f>
        <v/>
      </c>
      <c r="G625" s="511">
        <f>G624+F625</f>
        <v/>
      </c>
      <c r="H625" s="511">
        <f>IF(B625="",$C$1-A625,DATEDIF(A625,B625,"d"))</f>
        <v/>
      </c>
      <c r="I625">
        <f>IF(B625="",$C$1-A625,H625)</f>
        <v/>
      </c>
      <c r="J625" s="65" t="n"/>
      <c r="K625">
        <f>IF(F625&gt;0,(H625*$F625)/365.25,0)</f>
        <v/>
      </c>
      <c r="L625">
        <f>IF(F625&gt;0,(I625*$F625)/365.25,0)</f>
        <v/>
      </c>
      <c r="M625" s="65" t="n"/>
      <c r="N625" s="65" t="inlineStr">
        <is>
          <t>股票申購</t>
        </is>
      </c>
    </row>
    <row r="626" hidden="1" outlineLevel="1">
      <c r="A626" s="522" t="n">
        <v>45190</v>
      </c>
      <c r="B626" s="522" t="n">
        <v>45190</v>
      </c>
      <c r="C626" s="196" t="n">
        <v>712</v>
      </c>
      <c r="D626" s="523" t="n"/>
      <c r="E626" s="524">
        <f>E625+C626-D626</f>
        <v/>
      </c>
      <c r="F626" s="524">
        <f>C626</f>
        <v/>
      </c>
      <c r="G626" s="525">
        <f>G625+C626-D626</f>
        <v/>
      </c>
      <c r="H626" s="525">
        <f>IF(B626="",DATEDIF(A626,$G$1,"d"),DATEDIF(A626,B626,"d"))</f>
        <v/>
      </c>
      <c r="I626" s="200">
        <f>IF(B626="",$C$1-A626,H626)</f>
        <v/>
      </c>
      <c r="J626" s="200" t="inlineStr">
        <is>
          <t>嘉聯益現金股</t>
        </is>
      </c>
      <c r="K626" s="200">
        <f>(H626*$C626)/365.25</f>
        <v/>
      </c>
      <c r="L626" s="200">
        <f>(I626*$C626)/365.25</f>
        <v/>
      </c>
      <c r="M626" s="200" t="inlineStr">
        <is>
          <t>現金股利</t>
        </is>
      </c>
      <c r="N626" s="532" t="n"/>
    </row>
    <row r="627" hidden="1" outlineLevel="1">
      <c r="A627" s="508" t="n">
        <v>45197</v>
      </c>
      <c r="B627" s="508" t="n"/>
      <c r="C627" s="123" t="n"/>
      <c r="D627" s="509" t="n">
        <v>40</v>
      </c>
      <c r="E627" s="510">
        <f>E626+C627-D627</f>
        <v/>
      </c>
      <c r="F627" s="510">
        <f>C627-D627</f>
        <v/>
      </c>
      <c r="G627" s="511">
        <f>G626+F627</f>
        <v/>
      </c>
      <c r="H627" s="511">
        <f>IF(B627="",$C$1-A627,DATEDIF(A627,B627,"d"))</f>
        <v/>
      </c>
      <c r="I627">
        <f>IF(B627="",$C$1-A627,H627)</f>
        <v/>
      </c>
      <c r="J627" s="65" t="n"/>
      <c r="K627">
        <f>IF(F627&gt;0,(H627*$F627)/365.25,0)</f>
        <v/>
      </c>
      <c r="L627">
        <f>IF(F627&gt;0,(I627*$F627)/365.25,0)</f>
        <v/>
      </c>
      <c r="M627" s="65" t="n"/>
      <c r="N627" s="65" t="inlineStr">
        <is>
          <t>股票申購</t>
        </is>
      </c>
    </row>
    <row r="628" collapsed="1" ht="17.25" customHeight="1" thickBot="1">
      <c r="A628" s="518" t="n">
        <v>45204</v>
      </c>
      <c r="B628" s="518" t="n"/>
      <c r="C628" s="148" t="n">
        <v>10</v>
      </c>
      <c r="D628" s="519" t="n"/>
      <c r="E628" s="520">
        <f>E627+C628-D628</f>
        <v/>
      </c>
      <c r="F628" s="520">
        <f>C628-D628</f>
        <v/>
      </c>
      <c r="G628" s="521">
        <f>G627+F628</f>
        <v/>
      </c>
      <c r="H628" s="521">
        <f>IF(B628="",DATEDIF(A628,$D$1,"d"),DATEDIF(A628,B628,"d"))</f>
        <v/>
      </c>
      <c r="I628" s="152">
        <f>IF(B628="",$C$1-A628,H628)</f>
        <v/>
      </c>
      <c r="J628" s="152" t="inlineStr">
        <is>
          <t>折讓入帳</t>
        </is>
      </c>
      <c r="K628" s="152">
        <f>IF(F628&gt;0,(H628*$F628)/365.25,0)</f>
        <v/>
      </c>
      <c r="L628" s="152">
        <f>IF(F628&gt;0,(I628*$F628)/365.25,0)</f>
        <v/>
      </c>
      <c r="M628" s="152" t="n"/>
      <c r="N628" s="532" t="n"/>
    </row>
    <row r="629" hidden="1" outlineLevel="1">
      <c r="A629" s="508" t="n">
        <v>45211</v>
      </c>
      <c r="B629" s="508" t="n"/>
      <c r="C629" s="123" t="n"/>
      <c r="D629" s="509" t="n">
        <v>17544</v>
      </c>
      <c r="E629" s="510">
        <f>E628+C629-D629</f>
        <v/>
      </c>
      <c r="F629" s="510" t="n"/>
      <c r="G629" s="511">
        <f>G628+F629</f>
        <v/>
      </c>
      <c r="H629" s="511">
        <f>IF(B629="",$C$1-A629,DATEDIF(A629,B629,"d"))</f>
        <v/>
      </c>
      <c r="I629">
        <f>IF(B629="",$C$1-A629,H629)</f>
        <v/>
      </c>
      <c r="J629" s="65" t="inlineStr">
        <is>
          <t>復華台灣科技優息(00929)</t>
        </is>
      </c>
      <c r="K629">
        <f>IF(F629&gt;0,(H629*$F629)/365.25,0)</f>
        <v/>
      </c>
      <c r="L629">
        <f>IF(F629&gt;0,(I629*$F629)/365.25,0)</f>
        <v/>
      </c>
      <c r="M629" s="65" t="n"/>
      <c r="N629" s="532" t="n"/>
      <c r="O629" s="66" t="n"/>
      <c r="P629" s="65" t="n"/>
      <c r="Q629" s="132" t="n"/>
    </row>
    <row r="630" hidden="1" outlineLevel="1">
      <c r="A630" s="522" t="n">
        <v>45217</v>
      </c>
      <c r="B630" s="522" t="n">
        <v>45217</v>
      </c>
      <c r="C630" s="196" t="n">
        <v>440</v>
      </c>
      <c r="D630" s="523" t="n"/>
      <c r="E630" s="524">
        <f>E629+C630-D630</f>
        <v/>
      </c>
      <c r="F630" s="524">
        <f>C630</f>
        <v/>
      </c>
      <c r="G630" s="525">
        <f>G629+C630-D630</f>
        <v/>
      </c>
      <c r="H630" s="525">
        <f>IF(B630="",DATEDIF(A630,$G$1,"d"),DATEDIF(A630,B630,"d"))</f>
        <v/>
      </c>
      <c r="I630" s="200">
        <f>IF(B630="",$C$1-A630,H630)</f>
        <v/>
      </c>
      <c r="J630" s="200" t="inlineStr">
        <is>
          <t>復華台灣科技優息</t>
        </is>
      </c>
      <c r="K630" s="200">
        <f>(H630*$C630)/365.25</f>
        <v/>
      </c>
      <c r="L630" s="200">
        <f>(I630*$C630)/365.25</f>
        <v/>
      </c>
      <c r="M630" s="200" t="inlineStr">
        <is>
          <t>現金股利</t>
        </is>
      </c>
      <c r="N630" s="532" t="n"/>
    </row>
    <row r="631" hidden="1" outlineLevel="1">
      <c r="A631" s="508" t="n">
        <v>45230</v>
      </c>
      <c r="B631" s="508" t="n"/>
      <c r="C631" s="123" t="n"/>
      <c r="D631" s="509" t="n">
        <v>40</v>
      </c>
      <c r="E631" s="510">
        <f>E630+C631-D631</f>
        <v/>
      </c>
      <c r="F631" s="510">
        <f>C631-D631</f>
        <v/>
      </c>
      <c r="G631" s="511">
        <f>G630+F631</f>
        <v/>
      </c>
      <c r="H631" s="511">
        <f>IF(B631="",$C$1-A631,DATEDIF(A631,B631,"d"))</f>
        <v/>
      </c>
      <c r="I631">
        <f>IF(B631="",$C$1-A631,H631)</f>
        <v/>
      </c>
      <c r="J631" s="65" t="n"/>
      <c r="K631">
        <f>IF(F631&gt;0,(H631*$F631)/365.25,0)</f>
        <v/>
      </c>
      <c r="L631">
        <f>IF(F631&gt;0,(I631*$F631)/365.25,0)</f>
        <v/>
      </c>
      <c r="M631" s="65" t="n"/>
      <c r="N631" s="532" t="n"/>
    </row>
    <row r="632" hidden="1" outlineLevel="1">
      <c r="A632" s="522" t="n">
        <v>45230</v>
      </c>
      <c r="B632" s="522" t="n">
        <v>45230</v>
      </c>
      <c r="C632" s="196" t="n">
        <v>2036</v>
      </c>
      <c r="D632" s="523" t="n"/>
      <c r="E632" s="524">
        <f>E631+C632-D632</f>
        <v/>
      </c>
      <c r="F632" s="524">
        <f>C632</f>
        <v/>
      </c>
      <c r="G632" s="525">
        <f>G631+C632-D632</f>
        <v/>
      </c>
      <c r="H632" s="525">
        <f>IF(B632="",DATEDIF(A632,$G$1,"d"),DATEDIF(A632,B632,"d"))</f>
        <v/>
      </c>
      <c r="I632" s="200">
        <f>IF(B632="",$C$1-A632,H632)</f>
        <v/>
      </c>
      <c r="J632" s="200" t="inlineStr">
        <is>
          <t>義隆電子現金股</t>
        </is>
      </c>
      <c r="K632" s="200">
        <f>(H632*$C632)/365.25</f>
        <v/>
      </c>
      <c r="L632" s="200">
        <f>(I632*$C632)/365.25</f>
        <v/>
      </c>
      <c r="M632" s="200" t="inlineStr">
        <is>
          <t>現金股利</t>
        </is>
      </c>
      <c r="N632" s="532" t="n"/>
    </row>
    <row r="633" hidden="1" outlineLevel="1">
      <c r="A633" s="518" t="n">
        <v>45233</v>
      </c>
      <c r="B633" s="518" t="n"/>
      <c r="C633" s="148" t="n">
        <v>9</v>
      </c>
      <c r="D633" s="519" t="n"/>
      <c r="E633" s="520">
        <f>E632+C633-D633</f>
        <v/>
      </c>
      <c r="F633" s="520">
        <f>C633-D633</f>
        <v/>
      </c>
      <c r="G633" s="521">
        <f>G632+F633</f>
        <v/>
      </c>
      <c r="H633" s="521">
        <f>IF(B633="",DATEDIF(A633,$D$1,"d"),DATEDIF(A633,B633,"d"))</f>
        <v/>
      </c>
      <c r="I633" s="152">
        <f>IF(B633="",$C$1-A633,H633)</f>
        <v/>
      </c>
      <c r="J633" s="152" t="inlineStr">
        <is>
          <t>折讓入帳</t>
        </is>
      </c>
      <c r="K633" s="152">
        <f>IF(F633&gt;0,(H633*$F633)/365.25,0)</f>
        <v/>
      </c>
      <c r="L633" s="152">
        <f>IF(F633&gt;0,(I633*$F633)/365.25,0)</f>
        <v/>
      </c>
      <c r="M633" s="152" t="n"/>
      <c r="N633" s="532" t="n"/>
    </row>
    <row r="634" hidden="1" outlineLevel="1">
      <c r="A634" s="508" t="n">
        <v>45238</v>
      </c>
      <c r="B634" s="508" t="n"/>
      <c r="C634" s="123" t="n"/>
      <c r="D634" s="509" t="n">
        <v>140</v>
      </c>
      <c r="E634" s="510">
        <f>E633+C634-D634</f>
        <v/>
      </c>
      <c r="F634" s="510">
        <f>C634-D634</f>
        <v/>
      </c>
      <c r="G634" s="511">
        <f>G633+F634</f>
        <v/>
      </c>
      <c r="H634" s="511">
        <f>IF(B634="",$C$1-A634,DATEDIF(A634,B634,"d"))</f>
        <v/>
      </c>
      <c r="I634">
        <f>IF(B634="",$C$1-A634,H634)</f>
        <v/>
      </c>
      <c r="J634" s="65" t="n"/>
      <c r="K634">
        <f>IF(F634&gt;0,(H634*$F634)/365.25,0)</f>
        <v/>
      </c>
      <c r="L634">
        <f>IF(F634&gt;0,(I634*$F634)/365.25,0)</f>
        <v/>
      </c>
      <c r="M634" s="65" t="n"/>
      <c r="N634" s="532" t="n"/>
    </row>
    <row r="635" hidden="1" outlineLevel="1">
      <c r="A635" s="522" t="n">
        <v>45247</v>
      </c>
      <c r="B635" s="522" t="n">
        <v>45247</v>
      </c>
      <c r="C635" s="196" t="n">
        <v>550</v>
      </c>
      <c r="D635" s="523" t="n"/>
      <c r="E635" s="524">
        <f>E634+C635-D635</f>
        <v/>
      </c>
      <c r="F635" s="524">
        <f>C635</f>
        <v/>
      </c>
      <c r="G635" s="525">
        <f>G634+C635-D635</f>
        <v/>
      </c>
      <c r="H635" s="525">
        <f>IF(B635="",DATEDIF(A635,$G$1,"d"),DATEDIF(A635,B635,"d"))</f>
        <v/>
      </c>
      <c r="I635" s="200">
        <f>IF(B635="",$C$1-A635,H635)</f>
        <v/>
      </c>
      <c r="J635" s="200" t="inlineStr">
        <is>
          <t>復華台灣科技優息</t>
        </is>
      </c>
      <c r="K635" s="200">
        <f>(H635*$C635)/365.25</f>
        <v/>
      </c>
      <c r="L635" s="200">
        <f>(I635*$C635)/365.25</f>
        <v/>
      </c>
      <c r="M635" s="200" t="inlineStr">
        <is>
          <t>現金股利</t>
        </is>
      </c>
      <c r="N635" s="532" t="n"/>
    </row>
    <row r="636" hidden="1" outlineLevel="1">
      <c r="A636" s="508" t="n">
        <v>45264</v>
      </c>
      <c r="B636" s="508" t="n"/>
      <c r="C636" s="123" t="n"/>
      <c r="D636" s="509" t="n">
        <v>20</v>
      </c>
      <c r="E636" s="510">
        <f>E635+C636-D636</f>
        <v/>
      </c>
      <c r="F636" s="510">
        <f>C636-D636</f>
        <v/>
      </c>
      <c r="G636" s="511">
        <f>G635+F636</f>
        <v/>
      </c>
      <c r="H636" s="511">
        <f>IF(B636="",$C$1-A636,DATEDIF(A636,B636,"d"))</f>
        <v/>
      </c>
      <c r="I636">
        <f>IF(B636="",$C$1-A636,H636)</f>
        <v/>
      </c>
      <c r="J636" s="65" t="n"/>
      <c r="K636">
        <f>IF(F636&gt;0,(H636*$F636)/365.25,0)</f>
        <v/>
      </c>
      <c r="L636">
        <f>IF(F636&gt;0,(I636*$F636)/365.25,0)</f>
        <v/>
      </c>
      <c r="M636" s="65" t="n"/>
      <c r="N636" s="532" t="n"/>
    </row>
    <row r="637" hidden="1" outlineLevel="1">
      <c r="A637" s="508" t="n">
        <v>45275</v>
      </c>
      <c r="B637" s="508" t="n"/>
      <c r="C637" s="123" t="n"/>
      <c r="D637" s="509" t="n">
        <v>362515</v>
      </c>
      <c r="E637" s="510">
        <f>E636+C637-D637</f>
        <v/>
      </c>
      <c r="F637" s="510" t="n"/>
      <c r="G637" s="511">
        <f>G636+F637</f>
        <v/>
      </c>
      <c r="H637" s="511">
        <f>IF(B637="",$C$1-A637,DATEDIF(A637,B637,"d"))</f>
        <v/>
      </c>
      <c r="I637">
        <f>IF(B637="",$C$1-A637,H637)</f>
        <v/>
      </c>
      <c r="J637" s="65" t="inlineStr">
        <is>
          <t>華城(1519)</t>
        </is>
      </c>
      <c r="K637">
        <f>IF(F637&gt;0,(H637*$F637)/365.25,0)</f>
        <v/>
      </c>
      <c r="L637">
        <f>IF(F637&gt;0,(I637*$F637)/365.25,0)</f>
        <v/>
      </c>
      <c r="M637" s="65" t="n"/>
      <c r="N637" s="532" t="n"/>
      <c r="O637" s="66" t="n"/>
      <c r="P637" s="65" t="n"/>
      <c r="Q637" s="132" t="n"/>
    </row>
    <row r="638" hidden="1" outlineLevel="1">
      <c r="A638" s="508" t="n">
        <v>45275</v>
      </c>
      <c r="B638" s="508" t="n"/>
      <c r="C638" s="123" t="n">
        <v>137390</v>
      </c>
      <c r="D638" s="509" t="n"/>
      <c r="E638" s="510">
        <f>E637+C638-D638</f>
        <v/>
      </c>
      <c r="F638" s="510" t="n"/>
      <c r="G638" s="511">
        <f>G637+F638</f>
        <v/>
      </c>
      <c r="H638" s="511">
        <f>IF(B638="",$C$1-A638,DATEDIF(A638,B638,"d"))</f>
        <v/>
      </c>
      <c r="I638">
        <f>IF(B638="",$C$1-A638,H638)</f>
        <v/>
      </c>
      <c r="J638" s="65" t="inlineStr">
        <is>
          <t>宇隆(2233)</t>
        </is>
      </c>
      <c r="K638">
        <f>IF(F638&gt;0,(H638*$F638)/365.25,0)</f>
        <v/>
      </c>
      <c r="L638">
        <f>IF(F638&gt;0,(I638*$F638)/365.25,0)</f>
        <v/>
      </c>
      <c r="M638" s="65" t="n"/>
      <c r="N638" s="532" t="n"/>
      <c r="O638" s="66" t="n"/>
      <c r="P638" s="65" t="n"/>
      <c r="Q638" s="132" t="n"/>
    </row>
    <row r="639" hidden="1" outlineLevel="1">
      <c r="A639" s="522" t="n">
        <v>45275</v>
      </c>
      <c r="B639" s="522" t="n">
        <v>45275</v>
      </c>
      <c r="C639" s="196" t="n">
        <v>550</v>
      </c>
      <c r="D639" s="523" t="n"/>
      <c r="E639" s="524">
        <f>E638+C639-D639</f>
        <v/>
      </c>
      <c r="F639" s="524">
        <f>C639</f>
        <v/>
      </c>
      <c r="G639" s="525">
        <f>G638+C639-D639</f>
        <v/>
      </c>
      <c r="H639" s="525">
        <f>IF(B639="",DATEDIF(A639,$G$1,"d"),DATEDIF(A639,B639,"d"))</f>
        <v/>
      </c>
      <c r="I639" s="200">
        <f>IF(B639="",$C$1-A639,H639)</f>
        <v/>
      </c>
      <c r="J639" s="200" t="inlineStr">
        <is>
          <t>復華台灣科技優息</t>
        </is>
      </c>
      <c r="K639" s="200">
        <f>(H639*$C639)/365.25</f>
        <v/>
      </c>
      <c r="L639" s="200">
        <f>(I639*$C639)/365.25</f>
        <v/>
      </c>
      <c r="M639" s="200" t="inlineStr">
        <is>
          <t>現金股利</t>
        </is>
      </c>
      <c r="N639" s="532" t="n"/>
    </row>
    <row r="640" hidden="1" outlineLevel="1">
      <c r="A640" s="513" t="n">
        <v>45281</v>
      </c>
      <c r="B640" s="513" t="n"/>
      <c r="C640" s="154" t="n">
        <v>4274</v>
      </c>
      <c r="D640" s="514" t="n"/>
      <c r="E640" s="515">
        <f>E639+C640-D640</f>
        <v/>
      </c>
      <c r="F640" s="515">
        <f>C640-D640</f>
        <v/>
      </c>
      <c r="G640" s="516">
        <f>IF(B640="",G639,G639+C640-D640)</f>
        <v/>
      </c>
      <c r="H640" s="516">
        <f>IF(B640="",$C$1-A640,DATEDIF(A640,B640,"d"))</f>
        <v/>
      </c>
      <c r="I640" s="158">
        <f>IF(B640="",$C$1-A640,H640)</f>
        <v/>
      </c>
      <c r="J640" s="158" t="inlineStr">
        <is>
          <t>利息</t>
        </is>
      </c>
      <c r="K640" s="158">
        <f>(H640*$C640)/365.25</f>
        <v/>
      </c>
      <c r="L640" s="158">
        <f>(I640*$C640)/365.25</f>
        <v/>
      </c>
      <c r="M640" s="159" t="n"/>
      <c r="N640" s="532" t="n"/>
      <c r="O640" s="66" t="n"/>
      <c r="P640" s="65" t="n"/>
      <c r="Q640" s="132" t="n"/>
    </row>
    <row r="641" hidden="1" outlineLevel="1">
      <c r="A641" s="508" t="n">
        <v>45289</v>
      </c>
      <c r="B641" s="508" t="n"/>
      <c r="C641" s="123" t="n"/>
      <c r="D641" s="509" t="n">
        <v>38534</v>
      </c>
      <c r="E641" s="510">
        <f>E640+C641-D641</f>
        <v/>
      </c>
      <c r="F641" s="510" t="n"/>
      <c r="G641" s="511">
        <f>G640+F641</f>
        <v/>
      </c>
      <c r="H641" s="511">
        <f>IF(B641="",$C$1-A641,DATEDIF(A641,B641,"d"))</f>
        <v/>
      </c>
      <c r="I641">
        <f>IF(B641="",$C$1-A641,H641)</f>
        <v/>
      </c>
      <c r="J641" s="65" t="inlineStr">
        <is>
          <t>復華台灣科技優息(00929)</t>
        </is>
      </c>
      <c r="K641">
        <f>IF(F641&gt;0,(H641*$F641)/365.25,0)</f>
        <v/>
      </c>
      <c r="L641">
        <f>IF(F641&gt;0,(I641*$F641)/365.25,0)</f>
        <v/>
      </c>
      <c r="M641" s="65" t="n"/>
      <c r="N641" s="532" t="n"/>
      <c r="O641" s="66" t="n"/>
      <c r="P641" s="65" t="n"/>
      <c r="Q641" s="132" t="n"/>
    </row>
    <row r="642" hidden="1" outlineLevel="1" ht="17.25" customHeight="1" thickBot="1">
      <c r="A642" s="508" t="n">
        <v>45289</v>
      </c>
      <c r="B642" s="508" t="n"/>
      <c r="C642" s="123" t="n"/>
      <c r="D642" s="509" t="n">
        <v>53776</v>
      </c>
      <c r="E642" s="510">
        <f>E641+C642-D642</f>
        <v/>
      </c>
      <c r="F642" s="510" t="n"/>
      <c r="G642" s="511">
        <f>G641+F642</f>
        <v/>
      </c>
      <c r="H642" s="511">
        <f>IF(B642="",$C$1-A642,DATEDIF(A642,B642,"d"))</f>
        <v/>
      </c>
      <c r="I642">
        <f>IF(B642="",$C$1-A642,H642)</f>
        <v/>
      </c>
      <c r="J642" s="65" t="inlineStr">
        <is>
          <t>台產(2832)</t>
        </is>
      </c>
      <c r="K642">
        <f>IF(F642&gt;0,(H642*$F642)/365.25,0)</f>
        <v/>
      </c>
      <c r="L642">
        <f>IF(F642&gt;0,(I642*$F642)/365.25,0)</f>
        <v/>
      </c>
      <c r="M642" s="65" t="n"/>
      <c r="N642" s="532" t="n"/>
      <c r="O642" s="66" t="n"/>
      <c r="P642" s="65" t="n"/>
      <c r="Q642" s="132" t="n"/>
    </row>
    <row r="643">
      <c r="A643" s="518" t="n">
        <v>45296</v>
      </c>
      <c r="B643" s="518" t="n"/>
      <c r="C643" s="148" t="n">
        <v>335</v>
      </c>
      <c r="D643" s="519" t="n"/>
      <c r="E643" s="520">
        <f>E642+C643-D643</f>
        <v/>
      </c>
      <c r="F643" s="520">
        <f>C643-D643</f>
        <v/>
      </c>
      <c r="G643" s="521">
        <f>G642+F643</f>
        <v/>
      </c>
      <c r="H643" s="521">
        <f>IF(B643="",DATEDIF(A643,$C$1,"d"),DATEDIF(A643,B643,"d"))</f>
        <v/>
      </c>
      <c r="I643" s="152">
        <f>IF(B643="",$C$1-A643,H643)</f>
        <v/>
      </c>
      <c r="J643" s="152" t="inlineStr">
        <is>
          <t>折讓入帳</t>
        </is>
      </c>
      <c r="K643" s="152">
        <f>IF(F643&gt;0,(H643*$F643)/365.25,0)</f>
        <v/>
      </c>
      <c r="L643" s="152">
        <f>IF(F643&gt;0,(I643*$F643)/365.25,0)</f>
        <v/>
      </c>
      <c r="M643" s="152" t="n"/>
      <c r="N643" s="217" t="inlineStr">
        <is>
          <t>2024 Total</t>
        </is>
      </c>
      <c r="O643" s="512">
        <f>SUM(D643:D694)</f>
        <v/>
      </c>
    </row>
    <row r="644" ht="17.25" customHeight="1" thickBot="1">
      <c r="A644" s="508" t="n">
        <v>45301</v>
      </c>
      <c r="B644" s="508" t="n"/>
      <c r="C644" s="123" t="n"/>
      <c r="D644" s="509" t="n">
        <v>20</v>
      </c>
      <c r="E644" s="510">
        <f>E643+C644-D644</f>
        <v/>
      </c>
      <c r="F644" s="510">
        <f>C644-D644</f>
        <v/>
      </c>
      <c r="G644" s="511">
        <f>G643+F644</f>
        <v/>
      </c>
      <c r="H644" s="511">
        <f>IF(B644="",$C$1-A644,DATEDIF(A644,B644,"d"))</f>
        <v/>
      </c>
      <c r="I644">
        <f>IF(B644="",$C$1-A644,H644)</f>
        <v/>
      </c>
      <c r="J644" s="65" t="n"/>
      <c r="K644">
        <f>IF(F644&gt;0,(H644*$F644)/365.25,0)</f>
        <v/>
      </c>
      <c r="L644">
        <f>IF(F644&gt;0,(I644*$F644)/365.25,0)</f>
        <v/>
      </c>
      <c r="M644" s="65" t="n"/>
      <c r="N644" s="215" t="inlineStr">
        <is>
          <t>2024 Total Avg</t>
        </is>
      </c>
      <c r="O644" s="517">
        <f>(SUMPRODUCT(C643:C694,I643:I694)+SUMPRODUCT(D643:D694,I643:I694))/($C$1-$A$643)</f>
        <v/>
      </c>
    </row>
    <row r="645">
      <c r="A645" s="522" t="n">
        <v>45306</v>
      </c>
      <c r="B645" s="522" t="n">
        <v>45306</v>
      </c>
      <c r="C645" s="196" t="n">
        <v>550</v>
      </c>
      <c r="D645" s="523" t="n"/>
      <c r="E645" s="524">
        <f>E644+C645-D645</f>
        <v/>
      </c>
      <c r="F645" s="524">
        <f>C645</f>
        <v/>
      </c>
      <c r="G645" s="525">
        <f>G644+C645-D645</f>
        <v/>
      </c>
      <c r="H645" s="525">
        <f>IF(B645="",DATEDIF(A645,$G$1,"d"),DATEDIF(A645,B645,"d"))</f>
        <v/>
      </c>
      <c r="I645" s="200">
        <f>IF(B645="",$C$1-A645,H645)</f>
        <v/>
      </c>
      <c r="J645" s="200" t="inlineStr">
        <is>
          <t>復華台灣科技優息</t>
        </is>
      </c>
      <c r="K645" s="200">
        <f>(H645*$C645)/365.25</f>
        <v/>
      </c>
      <c r="L645" s="200">
        <f>(I645*$C645)/365.25</f>
        <v/>
      </c>
      <c r="M645" s="200" t="inlineStr">
        <is>
          <t>現金股利</t>
        </is>
      </c>
      <c r="N645" s="532" t="n"/>
      <c r="O645" s="66" t="n"/>
      <c r="P645" s="65" t="n"/>
      <c r="Q645" s="132" t="n"/>
    </row>
    <row r="646">
      <c r="A646" s="522" t="n">
        <v>45310</v>
      </c>
      <c r="B646" s="522" t="n">
        <v>45310</v>
      </c>
      <c r="C646" s="196" t="n">
        <v>4414</v>
      </c>
      <c r="D646" s="523" t="n"/>
      <c r="E646" s="524">
        <f>E645+C646-D646</f>
        <v/>
      </c>
      <c r="F646" s="524">
        <f>C646</f>
        <v/>
      </c>
      <c r="G646" s="525">
        <f>G645+C646-D646</f>
        <v/>
      </c>
      <c r="H646" s="525">
        <f>IF(B646="",DATEDIF(A646,$G$1,"d"),DATEDIF(A646,B646,"d"))</f>
        <v/>
      </c>
      <c r="I646" s="200">
        <f>IF(B646="",$C$1-A646,H646)</f>
        <v/>
      </c>
      <c r="J646" s="200" t="inlineStr">
        <is>
          <t>群聯電子現金股</t>
        </is>
      </c>
      <c r="K646" s="200">
        <f>(H646*$C646)/365.25</f>
        <v/>
      </c>
      <c r="L646" s="200">
        <f>(I646*$C646)/365.25</f>
        <v/>
      </c>
      <c r="M646" s="200" t="inlineStr">
        <is>
          <t>現金股利</t>
        </is>
      </c>
      <c r="N646" s="532" t="n"/>
    </row>
    <row r="647">
      <c r="A647" s="508" t="n">
        <v>45315</v>
      </c>
      <c r="B647" s="508" t="n"/>
      <c r="C647" s="123" t="n">
        <v>50377</v>
      </c>
      <c r="D647" s="509" t="n"/>
      <c r="E647" s="510">
        <f>E646+C647-D647</f>
        <v/>
      </c>
      <c r="F647" s="510" t="n"/>
      <c r="G647" s="511">
        <f>G646+F647</f>
        <v/>
      </c>
      <c r="H647" s="511">
        <f>IF(B647="",$C$1-A647,DATEDIF(A647,B647,"d"))</f>
        <v/>
      </c>
      <c r="I647">
        <f>IF(B647="",$C$1-A647,H647)</f>
        <v/>
      </c>
      <c r="J647" s="65" t="inlineStr">
        <is>
          <t>台產(2832)</t>
        </is>
      </c>
      <c r="K647">
        <f>IF(F647&gt;0,(H647*$F647)/365.25,0)</f>
        <v/>
      </c>
      <c r="L647">
        <f>IF(F647&gt;0,(I647*$F647)/365.25,0)</f>
        <v/>
      </c>
      <c r="M647" s="65" t="n"/>
      <c r="O647" s="66" t="n"/>
      <c r="P647" s="65" t="n"/>
      <c r="Q647" s="132" t="n"/>
    </row>
    <row r="648">
      <c r="A648" s="508" t="n">
        <v>45322</v>
      </c>
      <c r="B648" s="508" t="n"/>
      <c r="C648" s="123" t="n">
        <v>392257</v>
      </c>
      <c r="D648" s="509" t="n"/>
      <c r="E648" s="510">
        <f>E647+C648-D648</f>
        <v/>
      </c>
      <c r="F648" s="510" t="n"/>
      <c r="G648" s="511">
        <f>G647+F648</f>
        <v/>
      </c>
      <c r="H648" s="511">
        <f>IF(B648="",$C$1-A648,DATEDIF(A648,B648,"d"))</f>
        <v/>
      </c>
      <c r="I648">
        <f>IF(B648="",$C$1-A648,H648)</f>
        <v/>
      </c>
      <c r="J648" s="65" t="inlineStr">
        <is>
          <t>華城(1519)</t>
        </is>
      </c>
      <c r="K648">
        <f>IF(F648&gt;0,(H648*$F648)/365.25,0)</f>
        <v/>
      </c>
      <c r="L648">
        <f>IF(F648&gt;0,(I648*$F648)/365.25,0)</f>
        <v/>
      </c>
      <c r="M648" s="65" t="n"/>
      <c r="O648" s="66" t="n"/>
      <c r="P648" s="65" t="n"/>
      <c r="Q648" s="132" t="n"/>
    </row>
    <row r="649">
      <c r="A649" s="518" t="n">
        <v>45296</v>
      </c>
      <c r="B649" s="518" t="n"/>
      <c r="C649" s="148" t="n">
        <v>252</v>
      </c>
      <c r="D649" s="519" t="n"/>
      <c r="E649" s="520">
        <f>E648+C649-D649</f>
        <v/>
      </c>
      <c r="F649" s="520">
        <f>C649-D649</f>
        <v/>
      </c>
      <c r="G649" s="521">
        <f>G648+F649</f>
        <v/>
      </c>
      <c r="H649" s="521">
        <f>IF(B649="",DATEDIF(A649,$C$1,"d"),DATEDIF(A649,B649,"d"))</f>
        <v/>
      </c>
      <c r="I649" s="152">
        <f>IF(B649="",$C$1-A649,H649)</f>
        <v/>
      </c>
      <c r="J649" s="152" t="inlineStr">
        <is>
          <t>折讓入帳</t>
        </is>
      </c>
      <c r="K649" s="152">
        <f>IF(F649&gt;0,(H649*$F649)/365.25,0)</f>
        <v/>
      </c>
      <c r="L649" s="152">
        <f>IF(F649&gt;0,(I649*$F649)/365.25,0)</f>
        <v/>
      </c>
      <c r="M649" s="152" t="n"/>
      <c r="O649" s="532" t="n"/>
    </row>
    <row r="650">
      <c r="A650" s="508" t="n">
        <v>45342</v>
      </c>
      <c r="B650" s="508" t="n"/>
      <c r="C650" s="123" t="n"/>
      <c r="D650" s="509" t="n">
        <v>18977</v>
      </c>
      <c r="E650" s="510">
        <f>E649+C650-D650</f>
        <v/>
      </c>
      <c r="F650" s="510" t="n"/>
      <c r="G650" s="511">
        <f>G649+F650</f>
        <v/>
      </c>
      <c r="H650" s="511">
        <f>IF(B650="",$C$1-A650,DATEDIF(A650,B650,"d"))</f>
        <v/>
      </c>
      <c r="I650">
        <f>IF(B650="",$C$1-A650,H650)</f>
        <v/>
      </c>
      <c r="J650" s="65" t="inlineStr">
        <is>
          <t>合庫金(5949)</t>
        </is>
      </c>
      <c r="K650">
        <f>IF(F650&gt;0,(H650*$F650)/365.25,0)</f>
        <v/>
      </c>
      <c r="L650">
        <f>IF(F650&gt;0,(I650*$F650)/365.25,0)</f>
        <v/>
      </c>
      <c r="M650" s="65" t="n"/>
      <c r="O650" s="66" t="n"/>
      <c r="P650" s="65" t="n"/>
      <c r="Q650" s="132" t="n"/>
    </row>
    <row r="651">
      <c r="A651" s="508" t="n">
        <v>45342</v>
      </c>
      <c r="B651" s="508" t="n"/>
      <c r="C651" s="123" t="n"/>
      <c r="D651" s="509" t="n">
        <v>162230</v>
      </c>
      <c r="E651" s="510">
        <f>E650+C651-D651</f>
        <v/>
      </c>
      <c r="F651" s="510" t="n"/>
      <c r="G651" s="511">
        <f>G650+F651</f>
        <v/>
      </c>
      <c r="H651" s="511">
        <f>IF(B651="",$C$1-A651,DATEDIF(A651,B651,"d"))</f>
        <v/>
      </c>
      <c r="I651">
        <f>IF(B651="",$C$1-A651,H651)</f>
        <v/>
      </c>
      <c r="J651" s="65" t="inlineStr">
        <is>
          <t>合庫金(5950)</t>
        </is>
      </c>
      <c r="K651">
        <f>IF(F651&gt;0,(H651*$F651)/365.25,0)</f>
        <v/>
      </c>
      <c r="L651">
        <f>IF(F651&gt;0,(I651*$F651)/365.25,0)</f>
        <v/>
      </c>
      <c r="M651" s="65" t="n"/>
      <c r="O651" s="66" t="n"/>
      <c r="P651" s="65" t="n"/>
      <c r="Q651" s="132" t="n"/>
    </row>
    <row r="652">
      <c r="A652" s="508" t="n">
        <v>45342</v>
      </c>
      <c r="B652" s="508" t="n"/>
      <c r="C652" s="123" t="n"/>
      <c r="D652" s="509" t="n">
        <v>60</v>
      </c>
      <c r="E652" s="510">
        <f>E651+C652-D652</f>
        <v/>
      </c>
      <c r="F652" s="510">
        <f>C652-D652</f>
        <v/>
      </c>
      <c r="G652" s="511">
        <f>G651+F652</f>
        <v/>
      </c>
      <c r="H652" s="511">
        <f>IF(B652="",$C$1-A652,DATEDIF(A652,B652,"d"))</f>
        <v/>
      </c>
      <c r="I652">
        <f>IF(B652="",$C$1-A652,H652)</f>
        <v/>
      </c>
      <c r="J652" s="65" t="n"/>
      <c r="K652">
        <f>IF(F652&gt;0,(H652*$F652)/365.25,0)</f>
        <v/>
      </c>
      <c r="L652">
        <f>IF(F652&gt;0,(I652*$F652)/365.25,0)</f>
        <v/>
      </c>
      <c r="M652" s="65" t="n"/>
      <c r="N652" s="65" t="inlineStr">
        <is>
          <t>股票申購</t>
        </is>
      </c>
      <c r="O652" s="532" t="n"/>
    </row>
    <row r="653">
      <c r="A653" s="508" t="n">
        <v>45342</v>
      </c>
      <c r="B653" s="508" t="n"/>
      <c r="C653" s="123" t="n"/>
      <c r="D653" s="509" t="n">
        <v>52274</v>
      </c>
      <c r="E653" s="510">
        <f>E652+C653-D653</f>
        <v/>
      </c>
      <c r="F653" s="510" t="n"/>
      <c r="G653" s="511">
        <f>G652+F653</f>
        <v/>
      </c>
      <c r="H653" s="511">
        <f>IF(B653="",$C$1-A653,DATEDIF(A653,B653,"d"))</f>
        <v/>
      </c>
      <c r="I653">
        <f>IF(B653="",$C$1-A653,H653)</f>
        <v/>
      </c>
      <c r="J653" s="65" t="inlineStr">
        <is>
          <t>合庫金(5952)</t>
        </is>
      </c>
      <c r="K653">
        <f>IF(F653&gt;0,(H653*$F653)/365.25,0)</f>
        <v/>
      </c>
      <c r="L653">
        <f>IF(F653&gt;0,(I653*$F653)/365.25,0)</f>
        <v/>
      </c>
      <c r="M653" s="65" t="n"/>
      <c r="O653" s="66" t="n"/>
      <c r="P653" s="65" t="n"/>
      <c r="Q653" s="132" t="n"/>
    </row>
    <row r="654">
      <c r="A654" s="508" t="n">
        <v>45342</v>
      </c>
      <c r="B654" s="508" t="n"/>
      <c r="C654" s="123" t="n"/>
      <c r="D654" s="509" t="n">
        <v>20</v>
      </c>
      <c r="E654" s="510">
        <f>E653+C654-D654</f>
        <v/>
      </c>
      <c r="F654" s="510">
        <f>C654-D654</f>
        <v/>
      </c>
      <c r="G654" s="511">
        <f>G653+F654</f>
        <v/>
      </c>
      <c r="H654" s="511">
        <f>IF(B654="",$C$1-A654,DATEDIF(A654,B654,"d"))</f>
        <v/>
      </c>
      <c r="I654">
        <f>IF(B654="",$C$1-A654,H654)</f>
        <v/>
      </c>
      <c r="J654" s="65" t="n"/>
      <c r="K654">
        <f>IF(F654&gt;0,(H654*$F654)/365.25,0)</f>
        <v/>
      </c>
      <c r="L654">
        <f>IF(F654&gt;0,(I654*$F654)/365.25,0)</f>
        <v/>
      </c>
      <c r="M654" s="65" t="n"/>
      <c r="N654" s="65" t="inlineStr">
        <is>
          <t>股票申購</t>
        </is>
      </c>
      <c r="O654" s="532" t="n"/>
    </row>
    <row r="655">
      <c r="A655" s="522" t="n">
        <v>45344</v>
      </c>
      <c r="B655" s="522" t="n">
        <v>45344</v>
      </c>
      <c r="C655" s="196" t="n">
        <v>910</v>
      </c>
      <c r="D655" s="523" t="n"/>
      <c r="E655" s="524">
        <f>E654+C655-D655</f>
        <v/>
      </c>
      <c r="F655" s="524">
        <f>C655</f>
        <v/>
      </c>
      <c r="G655" s="525">
        <f>G654+C655-D655</f>
        <v/>
      </c>
      <c r="H655" s="525">
        <f>IF(B655="",DATEDIF(A655,$G$1,"d"),DATEDIF(A655,B655,"d"))</f>
        <v/>
      </c>
      <c r="I655" s="200">
        <f>IF(B655="",$C$1-A655,H655)</f>
        <v/>
      </c>
      <c r="J655" s="200" t="inlineStr">
        <is>
          <t>復華台灣科技優息</t>
        </is>
      </c>
      <c r="K655" s="200">
        <f>(H655*$C655)/365.25</f>
        <v/>
      </c>
      <c r="L655" s="200">
        <f>(I655*$C655)/365.25</f>
        <v/>
      </c>
      <c r="M655" s="200" t="inlineStr">
        <is>
          <t>現金股利</t>
        </is>
      </c>
      <c r="O655" s="532" t="n"/>
    </row>
    <row r="656">
      <c r="A656" s="508" t="n">
        <v>45352</v>
      </c>
      <c r="B656" s="508" t="n"/>
      <c r="C656" s="123" t="n"/>
      <c r="D656" s="509" t="n">
        <v>80</v>
      </c>
      <c r="E656" s="510">
        <f>E655+C656-D656</f>
        <v/>
      </c>
      <c r="F656" s="510">
        <f>C656-D656</f>
        <v/>
      </c>
      <c r="G656" s="511">
        <f>G655+F656</f>
        <v/>
      </c>
      <c r="H656" s="511">
        <f>IF(B656="",$C$1-A656,DATEDIF(A656,B656,"d"))</f>
        <v/>
      </c>
      <c r="I656">
        <f>IF(B656="",$C$1-A656,H656)</f>
        <v/>
      </c>
      <c r="J656" s="65" t="n"/>
      <c r="K656">
        <f>IF(F656&gt;0,(H656*$F656)/365.25,0)</f>
        <v/>
      </c>
      <c r="L656">
        <f>IF(F656&gt;0,(I656*$F656)/365.25,0)</f>
        <v/>
      </c>
      <c r="M656" s="65" t="n"/>
      <c r="N656" s="65" t="inlineStr">
        <is>
          <t>股票申購</t>
        </is>
      </c>
      <c r="O656" s="532" t="n"/>
    </row>
    <row r="657">
      <c r="A657" s="508" t="n">
        <v>45352</v>
      </c>
      <c r="B657" s="508" t="n"/>
      <c r="C657" s="123" t="n"/>
      <c r="D657" s="509" t="n">
        <v>105650</v>
      </c>
      <c r="E657" s="510">
        <f>E656+C657-D657</f>
        <v/>
      </c>
      <c r="F657" s="510" t="n"/>
      <c r="G657" s="511">
        <f>G656+F657</f>
        <v/>
      </c>
      <c r="H657" s="511">
        <f>IF(B657="",$C$1-A657,DATEDIF(A657,B657,"d"))</f>
        <v/>
      </c>
      <c r="I657">
        <f>IF(B657="",$C$1-A657,H657)</f>
        <v/>
      </c>
      <c r="J657" s="65" t="inlineStr">
        <is>
          <t>波若威(3163)</t>
        </is>
      </c>
      <c r="K657">
        <f>IF(F657&gt;0,(H657*$F657)/365.25,0)</f>
        <v/>
      </c>
      <c r="L657">
        <f>IF(F657&gt;0,(I657*$F657)/365.25,0)</f>
        <v/>
      </c>
      <c r="M657" s="65" t="n"/>
      <c r="O657" s="66" t="n"/>
      <c r="P657" s="65" t="n"/>
      <c r="Q657" s="132" t="n"/>
    </row>
    <row r="658">
      <c r="A658" s="518" t="n">
        <v>45356</v>
      </c>
      <c r="B658" s="518" t="n"/>
      <c r="C658" s="148" t="n">
        <v>191</v>
      </c>
      <c r="D658" s="519" t="n"/>
      <c r="E658" s="520">
        <f>E657+C658-D658</f>
        <v/>
      </c>
      <c r="F658" s="520">
        <f>C658-D658</f>
        <v/>
      </c>
      <c r="G658" s="521">
        <f>G657+F658</f>
        <v/>
      </c>
      <c r="H658" s="521">
        <f>IF(B658="",DATEDIF(A658,$C$1,"d"),DATEDIF(A658,B658,"d"))</f>
        <v/>
      </c>
      <c r="I658" s="152">
        <f>IF(B658="",$C$1-A658,H658)</f>
        <v/>
      </c>
      <c r="J658" s="152" t="inlineStr">
        <is>
          <t>折讓入帳</t>
        </is>
      </c>
      <c r="K658" s="152">
        <f>IF(F658&gt;0,(H658*$F658)/365.25,0)</f>
        <v/>
      </c>
      <c r="L658" s="152">
        <f>IF(F658&gt;0,(I658*$F658)/365.25,0)</f>
        <v/>
      </c>
      <c r="M658" s="152" t="n"/>
      <c r="O658" s="532" t="n"/>
    </row>
    <row r="659">
      <c r="A659" s="508" t="n">
        <v>45363</v>
      </c>
      <c r="B659" s="508" t="n"/>
      <c r="C659" s="123" t="n"/>
      <c r="D659" s="509" t="n">
        <v>168740</v>
      </c>
      <c r="E659" s="510">
        <f>E658+C659-D659</f>
        <v/>
      </c>
      <c r="F659" s="510" t="n"/>
      <c r="G659" s="511">
        <f>G658+F659</f>
        <v/>
      </c>
      <c r="H659" s="511">
        <f>IF(B659="",$C$1-A659,DATEDIF(A659,B659,"d"))</f>
        <v/>
      </c>
      <c r="I659">
        <f>IF(B659="",$C$1-A659,H659)</f>
        <v/>
      </c>
      <c r="J659" s="65" t="inlineStr">
        <is>
          <t>瑞儀(6176)</t>
        </is>
      </c>
      <c r="K659">
        <f>IF(F659&gt;0,(H659*$F659)/365.25,0)</f>
        <v/>
      </c>
      <c r="L659">
        <f>IF(F659&gt;0,(I659*$F659)/365.25,0)</f>
        <v/>
      </c>
      <c r="M659" s="65" t="n"/>
      <c r="O659" s="66" t="n"/>
      <c r="P659" s="65" t="n"/>
      <c r="Q659" s="132" t="n"/>
    </row>
    <row r="660">
      <c r="A660" s="508" t="n">
        <v>45363</v>
      </c>
      <c r="B660" s="508" t="n"/>
      <c r="C660" s="123" t="n"/>
      <c r="D660" s="509" t="n">
        <v>60085</v>
      </c>
      <c r="E660" s="510">
        <f>E659+C660-D660</f>
        <v/>
      </c>
      <c r="F660" s="510" t="n"/>
      <c r="G660" s="511">
        <f>G659+F660</f>
        <v/>
      </c>
      <c r="H660" s="511">
        <f>IF(B660="",$C$1-A660,DATEDIF(A660,B660,"d"))</f>
        <v/>
      </c>
      <c r="I660">
        <f>IF(B660="",$C$1-A660,H660)</f>
        <v/>
      </c>
      <c r="J660" s="65" t="inlineStr">
        <is>
          <t>寬宏藝術(6596)</t>
        </is>
      </c>
      <c r="K660">
        <f>IF(F660&gt;0,(H660*$F660)/365.25,0)</f>
        <v/>
      </c>
      <c r="L660">
        <f>IF(F660&gt;0,(I660*$F660)/365.25,0)</f>
        <v/>
      </c>
      <c r="M660" s="65" t="n"/>
      <c r="O660" s="66" t="n"/>
      <c r="P660" s="65" t="n"/>
      <c r="Q660" s="132" t="n"/>
    </row>
    <row r="661">
      <c r="A661" s="508" t="n">
        <v>45364</v>
      </c>
      <c r="B661" s="508" t="n"/>
      <c r="C661" s="123" t="n"/>
      <c r="D661" s="509" t="n">
        <v>31995</v>
      </c>
      <c r="E661" s="510">
        <f>E660+C661-D661</f>
        <v/>
      </c>
      <c r="F661" s="510" t="n"/>
      <c r="G661" s="511">
        <f>G660+F661</f>
        <v/>
      </c>
      <c r="H661" s="511">
        <f>IF(B661="",$C$1-A661,DATEDIF(A661,B661,"d"))</f>
        <v/>
      </c>
      <c r="I661">
        <f>IF(B661="",$C$1-A661,H661)</f>
        <v/>
      </c>
      <c r="J661" s="65" t="inlineStr">
        <is>
          <t>新洲(3171)</t>
        </is>
      </c>
      <c r="K661">
        <f>IF(F661&gt;0,(H661*$F661)/365.25,0)</f>
        <v/>
      </c>
      <c r="L661">
        <f>IF(F661&gt;0,(I661*$F661)/365.25,0)</f>
        <v/>
      </c>
      <c r="M661" s="65" t="n"/>
      <c r="O661" s="66" t="n"/>
      <c r="P661" s="65" t="n"/>
      <c r="Q661" s="132" t="n"/>
    </row>
    <row r="662">
      <c r="A662" s="508" t="n">
        <v>45369</v>
      </c>
      <c r="B662" s="508" t="n"/>
      <c r="C662" s="123" t="n"/>
      <c r="D662" s="509" t="n">
        <v>20</v>
      </c>
      <c r="E662" s="510">
        <f>E661+C662-D662</f>
        <v/>
      </c>
      <c r="F662" s="510">
        <f>C662-D662</f>
        <v/>
      </c>
      <c r="G662" s="511">
        <f>G661+F662</f>
        <v/>
      </c>
      <c r="H662" s="511">
        <f>IF(B662="",$C$1-A662,DATEDIF(A662,B662,"d"))</f>
        <v/>
      </c>
      <c r="I662">
        <f>IF(B662="",$C$1-A662,H662)</f>
        <v/>
      </c>
      <c r="J662" s="65" t="n"/>
      <c r="K662">
        <f>IF(F662&gt;0,(H662*$F662)/365.25,0)</f>
        <v/>
      </c>
      <c r="L662">
        <f>IF(F662&gt;0,(I662*$F662)/365.25,0)</f>
        <v/>
      </c>
      <c r="M662" s="65" t="n"/>
      <c r="N662" s="65" t="inlineStr">
        <is>
          <t>股票申購</t>
        </is>
      </c>
    </row>
    <row r="663">
      <c r="A663" s="508" t="n">
        <v>45370</v>
      </c>
      <c r="B663" s="508" t="n"/>
      <c r="C663" s="123" t="n">
        <v>105531</v>
      </c>
      <c r="D663" s="509" t="n"/>
      <c r="E663" s="510">
        <f>E662+C663-D663</f>
        <v/>
      </c>
      <c r="F663" s="510" t="n"/>
      <c r="G663" s="511">
        <f>G662+F663</f>
        <v/>
      </c>
      <c r="H663" s="511">
        <f>IF(B663="",$C$1-A663,DATEDIF(A663,B663,"d"))</f>
        <v/>
      </c>
      <c r="I663">
        <f>IF(B663="",$C$1-A663,H663)</f>
        <v/>
      </c>
      <c r="J663" s="65" t="inlineStr">
        <is>
          <t>波若威(3163)</t>
        </is>
      </c>
      <c r="K663">
        <f>IF(F663&gt;0,(H663*$F663)/365.25,0)</f>
        <v/>
      </c>
      <c r="L663">
        <f>IF(F663&gt;0,(I663*$F663)/365.25,0)</f>
        <v/>
      </c>
      <c r="M663" s="65" t="n"/>
      <c r="O663" s="66" t="n"/>
      <c r="P663" s="65" t="n"/>
      <c r="Q663" s="132" t="n"/>
    </row>
    <row r="664">
      <c r="A664" s="508" t="n">
        <v>45371</v>
      </c>
      <c r="B664" s="508" t="n"/>
      <c r="C664" s="123" t="n">
        <v>172235</v>
      </c>
      <c r="D664" s="509" t="n"/>
      <c r="E664" s="510">
        <f>E663+C664-D664</f>
        <v/>
      </c>
      <c r="F664" s="510" t="n"/>
      <c r="G664" s="511">
        <f>G663+F664</f>
        <v/>
      </c>
      <c r="H664" s="511">
        <f>IF(B664="",$C$1-A664,DATEDIF(A664,B664,"d"))</f>
        <v/>
      </c>
      <c r="I664">
        <f>IF(B664="",$C$1-A664,H664)</f>
        <v/>
      </c>
      <c r="J664" s="65" t="inlineStr">
        <is>
          <t>瑞儀(6176)</t>
        </is>
      </c>
      <c r="K664">
        <f>IF(F664&gt;0,(H664*$F664)/365.25,0)</f>
        <v/>
      </c>
      <c r="L664">
        <f>IF(F664&gt;0,(I664*$F664)/365.25,0)</f>
        <v/>
      </c>
      <c r="M664" s="65" t="n"/>
      <c r="O664" s="66" t="n"/>
      <c r="P664" s="65" t="n"/>
      <c r="Q664" s="132" t="n"/>
    </row>
    <row r="665">
      <c r="A665" s="508" t="n">
        <v>45372</v>
      </c>
      <c r="B665" s="508" t="n"/>
      <c r="C665" s="123" t="n"/>
      <c r="D665" s="509" t="n">
        <v>40</v>
      </c>
      <c r="E665" s="510">
        <f>E664+C665-D665</f>
        <v/>
      </c>
      <c r="F665" s="510" t="n"/>
      <c r="G665" s="511">
        <f>G664+F665</f>
        <v/>
      </c>
      <c r="H665" s="511">
        <f>IF(B665="",$C$1-A665,DATEDIF(A665,B665,"d"))</f>
        <v/>
      </c>
      <c r="I665">
        <f>IF(B665="",$C$1-A665,H665)</f>
        <v/>
      </c>
      <c r="J665" s="65" t="n"/>
      <c r="K665">
        <f>IF(F665&gt;0,(H665*$F665)/365.25,0)</f>
        <v/>
      </c>
      <c r="L665">
        <f>IF(F665&gt;0,(I665*$F665)/365.25,0)</f>
        <v/>
      </c>
      <c r="M665" s="65" t="n"/>
      <c r="N665" s="65" t="inlineStr">
        <is>
          <t>股票申購</t>
        </is>
      </c>
      <c r="O665" s="66" t="n"/>
      <c r="P665" s="65" t="n"/>
      <c r="Q665" s="132" t="n"/>
    </row>
    <row r="666">
      <c r="A666" s="522" t="n">
        <v>45377</v>
      </c>
      <c r="B666" s="522" t="n">
        <v>45377</v>
      </c>
      <c r="C666" s="196" t="n">
        <v>1040</v>
      </c>
      <c r="D666" s="523" t="n"/>
      <c r="E666" s="524">
        <f>E665+C666-D666</f>
        <v/>
      </c>
      <c r="F666" s="524">
        <f>C666</f>
        <v/>
      </c>
      <c r="G666" s="525">
        <f>G665+C666-D666</f>
        <v/>
      </c>
      <c r="H666" s="525">
        <f>IF(B666="",DATEDIF(A666,$G$1,"d"),DATEDIF(A666,B666,"d"))</f>
        <v/>
      </c>
      <c r="I666" s="200">
        <f>IF(B666="",$C$1-A666,H666)</f>
        <v/>
      </c>
      <c r="J666" s="200" t="inlineStr">
        <is>
          <t>復華台灣科技優息</t>
        </is>
      </c>
      <c r="K666" s="200">
        <f>(H666*$C666)/365.25</f>
        <v/>
      </c>
      <c r="L666" s="200">
        <f>(I666*$C666)/365.25</f>
        <v/>
      </c>
      <c r="M666" s="200" t="inlineStr">
        <is>
          <t>現金股利</t>
        </is>
      </c>
      <c r="O666" s="532" t="n"/>
    </row>
    <row r="667">
      <c r="A667" s="508" t="n">
        <v>45379</v>
      </c>
      <c r="B667" s="508" t="n"/>
      <c r="C667" s="123" t="n"/>
      <c r="D667" s="509" t="n">
        <v>120</v>
      </c>
      <c r="E667" s="510">
        <f>E666+C667-D667</f>
        <v/>
      </c>
      <c r="F667" s="510" t="n"/>
      <c r="G667" s="511">
        <f>G666+F667</f>
        <v/>
      </c>
      <c r="H667" s="511">
        <f>IF(B667="",$C$1-A667,DATEDIF(A667,B667,"d"))</f>
        <v/>
      </c>
      <c r="I667">
        <f>IF(B667="",$C$1-A667,H667)</f>
        <v/>
      </c>
      <c r="J667" s="65" t="n"/>
      <c r="K667">
        <f>IF(F667&gt;0,(H667*$F667)/365.25,0)</f>
        <v/>
      </c>
      <c r="L667">
        <f>IF(F667&gt;0,(I667*$F667)/365.25,0)</f>
        <v/>
      </c>
      <c r="M667" s="65" t="n"/>
      <c r="N667" s="65" t="inlineStr">
        <is>
          <t>股票申購</t>
        </is>
      </c>
      <c r="O667" s="66" t="n"/>
      <c r="P667" s="65" t="n"/>
      <c r="Q667" s="132" t="n"/>
    </row>
    <row r="668">
      <c r="A668" s="508" t="n">
        <v>45379</v>
      </c>
      <c r="B668" s="508" t="n"/>
      <c r="C668" s="123" t="n"/>
      <c r="D668" s="509" t="n">
        <v>50070</v>
      </c>
      <c r="E668" s="510">
        <f>E667+C668-D668</f>
        <v/>
      </c>
      <c r="F668" s="510" t="n"/>
      <c r="G668" s="511">
        <f>G667+F668</f>
        <v/>
      </c>
      <c r="H668" s="511">
        <f>IF(B668="",$C$1-A668,DATEDIF(A668,B668,"d"))</f>
        <v/>
      </c>
      <c r="I668">
        <f>IF(B668="",$C$1-A668,H668)</f>
        <v/>
      </c>
      <c r="J668" s="65" t="inlineStr">
        <is>
          <t>創為精密(6899)</t>
        </is>
      </c>
      <c r="K668">
        <f>IF(F668&gt;0,(H668*$F668)/365.25,0)</f>
        <v/>
      </c>
      <c r="L668">
        <f>IF(F668&gt;0,(I668*$F668)/365.25,0)</f>
        <v/>
      </c>
      <c r="M668" s="65" t="n"/>
      <c r="N668" s="65" t="inlineStr">
        <is>
          <t>股票申購，中簽</t>
        </is>
      </c>
      <c r="Q668" s="132" t="n"/>
    </row>
    <row r="669">
      <c r="A669" s="508" t="n">
        <v>45384</v>
      </c>
      <c r="B669" s="508" t="n"/>
      <c r="C669" s="123" t="n">
        <v>30266</v>
      </c>
      <c r="D669" s="509" t="n"/>
      <c r="E669" s="510">
        <f>E668+C669-D669</f>
        <v/>
      </c>
      <c r="F669" s="510" t="n"/>
      <c r="G669" s="511">
        <f>G668+F669</f>
        <v/>
      </c>
      <c r="H669" s="511">
        <f>IF(B669="",$C$1-A669,DATEDIF(A669,B669,"d"))</f>
        <v/>
      </c>
      <c r="I669">
        <f>IF(B669="",$C$1-A669,H669)</f>
        <v/>
      </c>
      <c r="J669" s="65" t="inlineStr">
        <is>
          <t>新洲(3171)</t>
        </is>
      </c>
      <c r="K669">
        <f>IF(F669&gt;0,(H669*$F669)/365.25,0)</f>
        <v/>
      </c>
      <c r="L669">
        <f>IF(F669&gt;0,(I669*$F669)/365.25,0)</f>
        <v/>
      </c>
      <c r="M669" s="65" t="n"/>
      <c r="O669" s="66" t="n"/>
      <c r="P669" s="65" t="n"/>
      <c r="Q669" s="132" t="n"/>
    </row>
    <row r="670">
      <c r="A670" s="518" t="n">
        <v>45385</v>
      </c>
      <c r="B670" s="518" t="n"/>
      <c r="C670" s="148" t="n">
        <v>323</v>
      </c>
      <c r="D670" s="519" t="n"/>
      <c r="E670" s="520">
        <f>E669+C670-D670</f>
        <v/>
      </c>
      <c r="F670" s="520">
        <f>C670-D670</f>
        <v/>
      </c>
      <c r="G670" s="521">
        <f>G669+F670</f>
        <v/>
      </c>
      <c r="H670" s="521">
        <f>IF(B670="",DATEDIF(A670,$C$1,"d"),DATEDIF(A670,B670,"d"))</f>
        <v/>
      </c>
      <c r="I670" s="152">
        <f>IF(B670="",$C$1-A670,H670)</f>
        <v/>
      </c>
      <c r="J670" s="152" t="inlineStr">
        <is>
          <t>折讓入帳</t>
        </is>
      </c>
      <c r="K670" s="152">
        <f>IF(F670&gt;0,(H670*$F670)/365.25,0)</f>
        <v/>
      </c>
      <c r="L670" s="152">
        <f>IF(F670&gt;0,(I670*$F670)/365.25,0)</f>
        <v/>
      </c>
      <c r="M670" s="152" t="n"/>
      <c r="O670" s="66" t="n"/>
      <c r="P670" s="65" t="n"/>
      <c r="Q670" s="132" t="n"/>
    </row>
    <row r="671">
      <c r="A671" s="508" t="n">
        <v>45385</v>
      </c>
      <c r="B671" s="508" t="n"/>
      <c r="C671" s="123" t="n"/>
      <c r="D671" s="509" t="n">
        <v>62889</v>
      </c>
      <c r="E671" s="510">
        <f>E670+C671-D671</f>
        <v/>
      </c>
      <c r="F671" s="510" t="n"/>
      <c r="G671" s="511">
        <f>G670+F671</f>
        <v/>
      </c>
      <c r="H671" s="511">
        <f>IF(B671="",$C$1-A671,DATEDIF(A671,B671,"d"))</f>
        <v/>
      </c>
      <c r="I671">
        <f>IF(B671="",$C$1-A671,H671)</f>
        <v/>
      </c>
      <c r="J671" s="65" t="inlineStr">
        <is>
          <t>訊聯(1784)</t>
        </is>
      </c>
      <c r="K671">
        <f>IF(F671&gt;0,(H671*$F671)/365.25,0)</f>
        <v/>
      </c>
      <c r="L671">
        <f>IF(F671&gt;0,(I671*$F671)/365.25,0)</f>
        <v/>
      </c>
      <c r="M671" s="65" t="n"/>
      <c r="N671" s="66" t="n"/>
      <c r="O671" s="66" t="n"/>
      <c r="P671" s="65" t="n"/>
      <c r="Q671" s="132" t="n"/>
      <c r="R671" s="533" t="n"/>
    </row>
    <row r="672">
      <c r="A672" s="508" t="n">
        <v>45385</v>
      </c>
      <c r="B672" s="508" t="n"/>
      <c r="C672" s="123" t="n"/>
      <c r="D672" s="509" t="n">
        <v>79513</v>
      </c>
      <c r="E672" s="510">
        <f>E671+C672-D672</f>
        <v/>
      </c>
      <c r="F672" s="510" t="n"/>
      <c r="G672" s="511">
        <f>G671+F672</f>
        <v/>
      </c>
      <c r="H672" s="511">
        <f>IF(B672="",$C$1-A672,DATEDIF(A672,B672,"d"))</f>
        <v/>
      </c>
      <c r="I672">
        <f>IF(B672="",$C$1-A672,H672)</f>
        <v/>
      </c>
      <c r="J672" s="65" t="inlineStr">
        <is>
          <t>杏一(4175)</t>
        </is>
      </c>
      <c r="K672">
        <f>IF(F672&gt;0,(H672*$F672)/365.25,0)</f>
        <v/>
      </c>
      <c r="L672">
        <f>IF(F672&gt;0,(I672*$F672)/365.25,0)</f>
        <v/>
      </c>
      <c r="M672" s="65" t="n"/>
      <c r="N672" s="532" t="n"/>
    </row>
    <row r="673">
      <c r="A673" s="508" t="n">
        <v>45385</v>
      </c>
      <c r="B673" s="508" t="n"/>
      <c r="C673" s="123" t="n"/>
      <c r="D673" s="509" t="n">
        <v>157223</v>
      </c>
      <c r="E673" s="510">
        <f>E672+C673-D673</f>
        <v/>
      </c>
      <c r="F673" s="510" t="n"/>
      <c r="G673" s="511">
        <f>G672+F673</f>
        <v/>
      </c>
      <c r="H673" s="511">
        <f>IF(B673="",$C$1-A673,DATEDIF(A673,B673,"d"))</f>
        <v/>
      </c>
      <c r="I673">
        <f>IF(B673="",$C$1-A673,H673)</f>
        <v/>
      </c>
      <c r="J673" s="65" t="inlineStr">
        <is>
          <t>普萊德(6263)</t>
        </is>
      </c>
      <c r="K673">
        <f>IF(F673&gt;0,(H673*$F673)/365.25,0)</f>
        <v/>
      </c>
      <c r="L673">
        <f>IF(F673&gt;0,(I673*$F673)/365.25,0)</f>
        <v/>
      </c>
      <c r="M673" s="65" t="n"/>
      <c r="N673" s="532" t="n"/>
    </row>
    <row r="674">
      <c r="A674" s="508" t="n">
        <v>45390</v>
      </c>
      <c r="B674" s="508" t="n"/>
      <c r="C674" s="123" t="n"/>
      <c r="D674" s="509" t="n">
        <v>59985</v>
      </c>
      <c r="E674" s="510">
        <f>E673+C674-D674</f>
        <v/>
      </c>
      <c r="F674" s="510" t="n"/>
      <c r="G674" s="511">
        <f>G673+F674</f>
        <v/>
      </c>
      <c r="H674" s="511">
        <f>IF(B674="",$C$1-A674,DATEDIF(A674,B674,"d"))</f>
        <v/>
      </c>
      <c r="I674">
        <f>IF(B674="",$C$1-A674,H674)</f>
        <v/>
      </c>
      <c r="J674" s="65" t="inlineStr">
        <is>
          <t>堤維西(1522)</t>
        </is>
      </c>
      <c r="K674">
        <f>IF(F674&gt;0,(H674*$F674)/365.25,0)</f>
        <v/>
      </c>
      <c r="L674">
        <f>IF(F674&gt;0,(I674*$F674)/365.25,0)</f>
        <v/>
      </c>
      <c r="M674" s="65" t="n"/>
      <c r="O674" s="66" t="n"/>
      <c r="P674" s="65" t="n"/>
      <c r="Q674" s="132" t="n"/>
    </row>
    <row r="675">
      <c r="A675" s="508" t="n">
        <v>45390</v>
      </c>
      <c r="B675" s="508" t="n"/>
      <c r="C675" s="123" t="n">
        <v>716814</v>
      </c>
      <c r="D675" s="509" t="n"/>
      <c r="E675" s="510">
        <f>E674+C675-D675</f>
        <v/>
      </c>
      <c r="F675" s="510" t="n"/>
      <c r="G675" s="511">
        <f>G674+F675</f>
        <v/>
      </c>
      <c r="H675" s="511">
        <f>IF(B675="",$C$1-A675,DATEDIF(A675,B675,"d"))</f>
        <v/>
      </c>
      <c r="I675">
        <f>IF(B675="",$C$1-A675,H675)</f>
        <v/>
      </c>
      <c r="J675" s="65" t="inlineStr">
        <is>
          <t>群聯(8299)</t>
        </is>
      </c>
      <c r="K675">
        <f>IF(F675&gt;0,(H675*$F675)/365.25,0)</f>
        <v/>
      </c>
      <c r="L675">
        <f>IF(F675&gt;0,(I675*$F675)/365.25,0)</f>
        <v/>
      </c>
      <c r="M675" s="65" t="n"/>
      <c r="O675" s="66" t="n"/>
      <c r="P675" s="65" t="n"/>
      <c r="Q675" s="132" t="n"/>
      <c r="R675" s="223" t="n"/>
    </row>
    <row r="676">
      <c r="A676" s="508" t="n">
        <v>45397</v>
      </c>
      <c r="B676" s="508" t="n"/>
      <c r="C676" s="123" t="n">
        <v>70686</v>
      </c>
      <c r="D676" s="509" t="n"/>
      <c r="E676" s="510">
        <f>E675+C676-D676</f>
        <v/>
      </c>
      <c r="F676" s="510" t="n"/>
      <c r="G676" s="511">
        <f>G675+F676</f>
        <v/>
      </c>
      <c r="H676" s="511">
        <f>IF(B676="",$C$1-A676,DATEDIF(A676,B676,"d"))</f>
        <v/>
      </c>
      <c r="I676">
        <f>IF(B676="",$C$1-A676,H676)</f>
        <v/>
      </c>
      <c r="J676" s="65" t="inlineStr">
        <is>
          <t>寬宏藝術(6596)</t>
        </is>
      </c>
      <c r="K676">
        <f>IF(F676&gt;0,(H676*$F676)/365.25,0)</f>
        <v/>
      </c>
      <c r="L676">
        <f>IF(F676&gt;0,(I676*$F676)/365.25,0)</f>
        <v/>
      </c>
      <c r="M676" s="65" t="n"/>
      <c r="O676" s="66" t="n"/>
      <c r="P676" s="65" t="n"/>
      <c r="Q676" s="132" t="n"/>
    </row>
    <row r="677">
      <c r="A677" s="508" t="n">
        <v>45397</v>
      </c>
      <c r="B677" s="508" t="n"/>
      <c r="C677" s="123" t="n">
        <v>67004</v>
      </c>
      <c r="D677" s="509" t="n"/>
      <c r="E677" s="510">
        <f>E676+C677-D677</f>
        <v/>
      </c>
      <c r="F677" s="510" t="n"/>
      <c r="G677" s="511">
        <f>G676+F677</f>
        <v/>
      </c>
      <c r="H677" s="511">
        <f>IF(B677="",$C$1-A677,DATEDIF(A677,B677,"d"))</f>
        <v/>
      </c>
      <c r="I677">
        <f>IF(B677="",$C$1-A677,H677)</f>
        <v/>
      </c>
      <c r="J677" s="65" t="inlineStr">
        <is>
          <t>創為精密(6899)</t>
        </is>
      </c>
      <c r="K677">
        <f>IF(F677&gt;0,(H677*$F677)/365.25,0)</f>
        <v/>
      </c>
      <c r="L677">
        <f>IF(F677&gt;0,(I677*$F677)/365.25,0)</f>
        <v/>
      </c>
      <c r="M677" s="65" t="n"/>
      <c r="N677" s="66" t="n"/>
      <c r="O677" s="66" t="n"/>
      <c r="P677" s="65" t="n"/>
      <c r="Q677" s="132" t="n"/>
    </row>
    <row r="678">
      <c r="A678" s="522" t="n">
        <v>45398</v>
      </c>
      <c r="B678" s="522" t="n">
        <v>45398</v>
      </c>
      <c r="C678" s="196" t="n">
        <v>1040</v>
      </c>
      <c r="D678" s="523" t="n"/>
      <c r="E678" s="524">
        <f>E677+C678-D678</f>
        <v/>
      </c>
      <c r="F678" s="524">
        <f>C678</f>
        <v/>
      </c>
      <c r="G678" s="525">
        <f>G677+C678-D678</f>
        <v/>
      </c>
      <c r="H678" s="525">
        <f>IF(B678="",DATEDIF(A678,$G$1,"d"),DATEDIF(A678,B678,"d"))</f>
        <v/>
      </c>
      <c r="I678" s="200">
        <f>IF(B678="",$C$1-A678,H678)</f>
        <v/>
      </c>
      <c r="J678" s="200" t="inlineStr">
        <is>
          <t>復華台灣科技優息</t>
        </is>
      </c>
      <c r="K678" s="200">
        <f>(H678*$C678)/365.25</f>
        <v/>
      </c>
      <c r="L678" s="200">
        <f>(I678*$C678)/365.25</f>
        <v/>
      </c>
      <c r="M678" s="200" t="inlineStr">
        <is>
          <t>現金股利</t>
        </is>
      </c>
      <c r="O678" s="508" t="n"/>
    </row>
    <row r="679">
      <c r="A679" s="522" t="n">
        <v>45406</v>
      </c>
      <c r="B679" s="522" t="n">
        <v>45406</v>
      </c>
      <c r="C679" s="196" t="n">
        <v>1358</v>
      </c>
      <c r="D679" s="523" t="n"/>
      <c r="E679" s="524">
        <f>E678+C679-D679</f>
        <v/>
      </c>
      <c r="F679" s="524">
        <f>C679</f>
        <v/>
      </c>
      <c r="G679" s="525">
        <f>G678+C679-D679</f>
        <v/>
      </c>
      <c r="H679" s="525">
        <f>IF(B679="",DATEDIF(A679,$G$1,"d"),DATEDIF(A679,B679,"d"))</f>
        <v/>
      </c>
      <c r="I679" s="200">
        <f>IF(B679="",$C$1-A679,H679)</f>
        <v/>
      </c>
      <c r="J679" s="200" t="inlineStr">
        <is>
          <t>燦星網現金股</t>
        </is>
      </c>
      <c r="K679" s="200">
        <f>(H679*$C679)/365.25</f>
        <v/>
      </c>
      <c r="L679" s="200">
        <f>(I679*$C679)/365.25</f>
        <v/>
      </c>
      <c r="M679" s="200" t="inlineStr">
        <is>
          <t>現金股利</t>
        </is>
      </c>
      <c r="O679" s="508" t="n"/>
    </row>
    <row r="680">
      <c r="A680" s="522" t="n">
        <v>45407</v>
      </c>
      <c r="B680" s="522" t="n">
        <v>45407</v>
      </c>
      <c r="C680" s="196" t="n">
        <v>5290</v>
      </c>
      <c r="D680" s="523" t="n"/>
      <c r="E680" s="524">
        <f>E679+C680-D680</f>
        <v/>
      </c>
      <c r="F680" s="524">
        <f>C680</f>
        <v/>
      </c>
      <c r="G680" s="525">
        <f>G679+C680-D680</f>
        <v/>
      </c>
      <c r="H680" s="525">
        <f>IF(B680="",DATEDIF(A680,$G$1,"d"),DATEDIF(A680,B680,"d"))</f>
        <v/>
      </c>
      <c r="I680" s="200">
        <f>IF(B680="",$C$1-A680,H680)</f>
        <v/>
      </c>
      <c r="J680" s="200" t="inlineStr">
        <is>
          <t>寬宏藝術現金股</t>
        </is>
      </c>
      <c r="K680" s="200">
        <f>(H680*$C680)/365.25</f>
        <v/>
      </c>
      <c r="L680" s="200">
        <f>(I680*$C680)/365.25</f>
        <v/>
      </c>
      <c r="M680" s="200" t="inlineStr">
        <is>
          <t>現金股利</t>
        </is>
      </c>
      <c r="O680" s="508" t="n"/>
      <c r="Q680" s="132" t="n"/>
    </row>
    <row r="681">
      <c r="A681" s="522" t="n">
        <v>45408</v>
      </c>
      <c r="B681" s="522" t="n">
        <v>45408</v>
      </c>
      <c r="C681" s="196" t="n">
        <v>3042</v>
      </c>
      <c r="D681" s="523" t="n"/>
      <c r="E681" s="524">
        <f>E680+C681-D681</f>
        <v/>
      </c>
      <c r="F681" s="524">
        <f>C681</f>
        <v/>
      </c>
      <c r="G681" s="525">
        <f>G680+C681-D681</f>
        <v/>
      </c>
      <c r="H681" s="525">
        <f>IF(B681="",DATEDIF(A681,$G$1,"d"),DATEDIF(A681,B681,"d"))</f>
        <v/>
      </c>
      <c r="I681" s="200">
        <f>IF(B681="",$C$1-A681,H681)</f>
        <v/>
      </c>
      <c r="J681" s="200" t="inlineStr">
        <is>
          <t>義隆電子現金股</t>
        </is>
      </c>
      <c r="K681" s="200">
        <f>(H681*$C681)/365.25</f>
        <v/>
      </c>
      <c r="L681" s="200">
        <f>(I681*$C681)/365.25</f>
        <v/>
      </c>
      <c r="M681" s="200" t="inlineStr">
        <is>
          <t>現金股利</t>
        </is>
      </c>
      <c r="O681" s="508" t="n"/>
      <c r="Q681" s="132" t="n"/>
    </row>
    <row r="682">
      <c r="A682" s="518" t="n">
        <v>45415</v>
      </c>
      <c r="B682" s="518" t="n"/>
      <c r="C682" s="148" t="n">
        <v>691</v>
      </c>
      <c r="D682" s="519" t="n"/>
      <c r="E682" s="520">
        <f>E681+C682-D682</f>
        <v/>
      </c>
      <c r="F682" s="520">
        <f>C682-D682</f>
        <v/>
      </c>
      <c r="G682" s="521">
        <f>G681+F682</f>
        <v/>
      </c>
      <c r="H682" s="521">
        <f>IF(B682="",DATEDIF(A682,$C$1,"d"),DATEDIF(A682,B682,"d"))</f>
        <v/>
      </c>
      <c r="I682" s="152">
        <f>IF(B682="",$C$1-A682,H682)</f>
        <v/>
      </c>
      <c r="J682" s="152" t="inlineStr">
        <is>
          <t>折讓入帳</t>
        </is>
      </c>
      <c r="K682" s="152">
        <f>IF(F682&gt;0,(H682*$F682)/365.25,0)</f>
        <v/>
      </c>
      <c r="L682" s="152">
        <f>IF(F682&gt;0,(I682*$F682)/365.25,0)</f>
        <v/>
      </c>
      <c r="M682" s="152" t="n"/>
    </row>
    <row r="683">
      <c r="A683" s="508" t="n">
        <v>45417</v>
      </c>
      <c r="B683" s="508" t="n"/>
      <c r="C683" s="123" t="n"/>
      <c r="D683" s="509" t="n">
        <v>40</v>
      </c>
      <c r="E683" s="510">
        <f>E682+C683-D683</f>
        <v/>
      </c>
      <c r="F683" s="510">
        <f>C683-D683</f>
        <v/>
      </c>
      <c r="G683" s="511">
        <f>G682+F683</f>
        <v/>
      </c>
      <c r="H683" s="511">
        <f>IF(B683="",$C$1-A683,DATEDIF(A683,B683,"d"))</f>
        <v/>
      </c>
      <c r="I683">
        <f>IF(B683="",$C$1-A683,H683)</f>
        <v/>
      </c>
      <c r="J683" s="65" t="n"/>
      <c r="K683">
        <f>IF(F683&gt;0,(H683*$F683)/365.25,0)</f>
        <v/>
      </c>
      <c r="L683">
        <f>IF(F683&gt;0,(I683*$F683)/365.25,0)</f>
        <v/>
      </c>
      <c r="M683" s="65" t="n"/>
      <c r="N683" s="65" t="inlineStr">
        <is>
          <t>股票申購</t>
        </is>
      </c>
    </row>
    <row r="684">
      <c r="A684" s="508" t="n">
        <v>45417</v>
      </c>
      <c r="B684" s="508" t="n"/>
      <c r="C684" s="123" t="n">
        <v>66704</v>
      </c>
      <c r="D684" s="509" t="n"/>
      <c r="E684" s="510">
        <f>E683+C684-D684</f>
        <v/>
      </c>
      <c r="F684" s="510" t="n"/>
      <c r="G684" s="511">
        <f>G683+F684</f>
        <v/>
      </c>
      <c r="H684" s="511">
        <f>IF(B684="",$C$1-A684,DATEDIF(A684,B684,"d"))</f>
        <v/>
      </c>
      <c r="I684">
        <f>IF(B684="",$C$1-A684,H684)</f>
        <v/>
      </c>
      <c r="J684" s="65" t="inlineStr">
        <is>
          <t>訊聯(1784)</t>
        </is>
      </c>
      <c r="K684">
        <f>IF(F684&gt;0,(H684*$F684)/365.25,0)</f>
        <v/>
      </c>
      <c r="L684">
        <f>IF(F684&gt;0,(I684*$F684)/365.25,0)</f>
        <v/>
      </c>
      <c r="M684" s="65" t="n"/>
      <c r="O684" s="66" t="n"/>
      <c r="P684" s="65" t="n"/>
      <c r="Q684" s="132" t="n"/>
    </row>
    <row r="685">
      <c r="A685" s="508" t="n">
        <v>45418</v>
      </c>
      <c r="B685" s="508" t="n"/>
      <c r="C685" s="123" t="n">
        <v>76461</v>
      </c>
      <c r="D685" s="509" t="n"/>
      <c r="E685" s="510">
        <f>E684+C685-D685</f>
        <v/>
      </c>
      <c r="F685" s="510" t="n"/>
      <c r="G685" s="511">
        <f>G684+F685</f>
        <v/>
      </c>
      <c r="H685" s="511">
        <f>IF(B685="",$C$1-A685,DATEDIF(A685,B685,"d"))</f>
        <v/>
      </c>
      <c r="I685">
        <f>IF(B685="",$C$1-A685,H685)</f>
        <v/>
      </c>
      <c r="J685" s="65" t="inlineStr">
        <is>
          <t>杏一(4175)</t>
        </is>
      </c>
      <c r="K685">
        <f>IF(F685&gt;0,(H685*$F685)/365.25,0)</f>
        <v/>
      </c>
      <c r="L685">
        <f>IF(F685&gt;0,(I685*$F685)/365.25,0)</f>
        <v/>
      </c>
      <c r="M685" s="65" t="n"/>
      <c r="O685" s="66" t="n"/>
      <c r="P685" s="65" t="n"/>
      <c r="Q685" s="132" t="n"/>
    </row>
    <row r="686">
      <c r="A686" s="508" t="n">
        <v>45422</v>
      </c>
      <c r="B686" s="508" t="n"/>
      <c r="C686" s="123" t="n">
        <v>158297</v>
      </c>
      <c r="D686" s="509" t="n"/>
      <c r="E686" s="510">
        <f>E685+C686-D686</f>
        <v/>
      </c>
      <c r="F686" s="510" t="n"/>
      <c r="G686" s="511">
        <f>G685+F686</f>
        <v/>
      </c>
      <c r="H686" s="511">
        <f>IF(B686="",$C$1-A686,DATEDIF(A686,B686,"d"))</f>
        <v/>
      </c>
      <c r="I686">
        <f>IF(B686="",$C$1-A686,H686)</f>
        <v/>
      </c>
      <c r="J686" s="65" t="inlineStr">
        <is>
          <t>普萊德(6263)</t>
        </is>
      </c>
      <c r="K686">
        <f>IF(F686&gt;0,(H686*$F686)/365.25,0)</f>
        <v/>
      </c>
      <c r="L686">
        <f>IF(F686&gt;0,(I686*$F686)/365.25,0)</f>
        <v/>
      </c>
      <c r="M686" s="65" t="n"/>
      <c r="O686" s="66" t="n"/>
      <c r="P686" s="65" t="n"/>
      <c r="Q686" s="132" t="n"/>
    </row>
    <row r="687">
      <c r="A687" s="522" t="n">
        <v>45422</v>
      </c>
      <c r="B687" s="522" t="n">
        <v>45422</v>
      </c>
      <c r="C687" s="196" t="n">
        <v>3490</v>
      </c>
      <c r="D687" s="523" t="n"/>
      <c r="E687" s="524">
        <f>E686+C687-D687</f>
        <v/>
      </c>
      <c r="F687" s="524">
        <f>C687</f>
        <v/>
      </c>
      <c r="G687" s="525">
        <f>G686+C687-D687</f>
        <v/>
      </c>
      <c r="H687" s="525">
        <f>IF(B687="",DATEDIF(A687,$G$1,"d"),DATEDIF(A687,B687,"d"))</f>
        <v/>
      </c>
      <c r="I687" s="200">
        <f>IF(B687="",$C$1-A687,H687)</f>
        <v/>
      </c>
      <c r="J687" s="200" t="inlineStr">
        <is>
          <t>豐興鋼鐵現金股</t>
        </is>
      </c>
      <c r="K687" s="200">
        <f>(H687*$C687)/365.25</f>
        <v/>
      </c>
      <c r="L687" s="200">
        <f>(I687*$C687)/365.25</f>
        <v/>
      </c>
      <c r="M687" s="200" t="inlineStr">
        <is>
          <t>現金股利</t>
        </is>
      </c>
    </row>
    <row r="688">
      <c r="A688" s="522" t="n">
        <v>45422</v>
      </c>
      <c r="B688" s="522" t="n">
        <v>45422</v>
      </c>
      <c r="C688" s="196" t="n">
        <v>889</v>
      </c>
      <c r="D688" s="523" t="n"/>
      <c r="E688" s="524">
        <f>E687+C688-D688</f>
        <v/>
      </c>
      <c r="F688" s="524">
        <f>C688</f>
        <v/>
      </c>
      <c r="G688" s="525">
        <f>G687+C688-D688</f>
        <v/>
      </c>
      <c r="H688" s="525">
        <f>IF(B688="",DATEDIF(A688,$G$1,"d"),DATEDIF(A688,B688,"d"))</f>
        <v/>
      </c>
      <c r="I688" s="200">
        <f>IF(B688="",$C$1-A688,H688)</f>
        <v/>
      </c>
      <c r="J688" s="200" t="inlineStr">
        <is>
          <t>大展證現金股</t>
        </is>
      </c>
      <c r="K688" s="200">
        <f>(H688*$C688)/365.25</f>
        <v/>
      </c>
      <c r="L688" s="200">
        <f>(I688*$C688)/365.25</f>
        <v/>
      </c>
      <c r="M688" s="200" t="inlineStr">
        <is>
          <t>現金股利</t>
        </is>
      </c>
    </row>
    <row r="689">
      <c r="A689" s="508" t="n">
        <v>45417</v>
      </c>
      <c r="B689" s="508" t="n"/>
      <c r="C689" s="123" t="n"/>
      <c r="D689" s="509" t="n">
        <v>20</v>
      </c>
      <c r="E689" s="510">
        <f>E688+C689-D689</f>
        <v/>
      </c>
      <c r="F689" s="510">
        <f>C689-D689</f>
        <v/>
      </c>
      <c r="G689" s="511">
        <f>G688+F689</f>
        <v/>
      </c>
      <c r="H689" s="511">
        <f>IF(B689="",$C$1-A689,DATEDIF(A689,B689,"d"))</f>
        <v/>
      </c>
      <c r="I689">
        <f>IF(B689="",$C$1-A689,H689)</f>
        <v/>
      </c>
      <c r="J689" s="65" t="n"/>
      <c r="K689">
        <f>IF(F689&gt;0,(H689*$F689)/365.25,0)</f>
        <v/>
      </c>
      <c r="L689">
        <f>IF(F689&gt;0,(I689*$F689)/365.25,0)</f>
        <v/>
      </c>
      <c r="M689" s="65" t="n"/>
      <c r="N689" s="65" t="inlineStr">
        <is>
          <t>股票申購</t>
        </is>
      </c>
    </row>
    <row r="690">
      <c r="A690" s="522" t="n">
        <v>45432</v>
      </c>
      <c r="B690" s="522" t="n">
        <v>45432</v>
      </c>
      <c r="C690" s="196" t="n">
        <v>1600</v>
      </c>
      <c r="D690" s="523" t="n"/>
      <c r="E690" s="524">
        <f>E689+C690-D690</f>
        <v/>
      </c>
      <c r="F690" s="524">
        <f>C690</f>
        <v/>
      </c>
      <c r="G690" s="525">
        <f>G689+C690-D690</f>
        <v/>
      </c>
      <c r="H690" s="525">
        <f>IF(B690="",DATEDIF(A690,$G$1,"d"),DATEDIF(A690,B690,"d"))</f>
        <v/>
      </c>
      <c r="I690" s="200">
        <f>IF(B690="",$C$1-A690,H690)</f>
        <v/>
      </c>
      <c r="J690" s="200" t="inlineStr">
        <is>
          <t>復華台灣科技優息</t>
        </is>
      </c>
      <c r="K690" s="200">
        <f>(H690*$C690)/365.25</f>
        <v/>
      </c>
      <c r="L690" s="200">
        <f>(I690*$C690)/365.25</f>
        <v/>
      </c>
      <c r="M690" s="200" t="inlineStr">
        <is>
          <t>現金股利</t>
        </is>
      </c>
    </row>
    <row r="691">
      <c r="A691" s="508" t="n">
        <v>45440</v>
      </c>
      <c r="B691" s="508" t="n"/>
      <c r="C691" s="123" t="n">
        <v>28126</v>
      </c>
      <c r="D691" s="509" t="n"/>
      <c r="E691" s="510">
        <f>E690+C691-D691</f>
        <v/>
      </c>
      <c r="F691" s="510" t="n"/>
      <c r="G691" s="511">
        <f>G690+F691</f>
        <v/>
      </c>
      <c r="H691" s="511">
        <f>IF(B691="",$C$1-A691,DATEDIF(A691,B691,"d"))</f>
        <v/>
      </c>
      <c r="I691">
        <f>IF(B691="",$C$1-A691,H691)</f>
        <v/>
      </c>
      <c r="J691" s="65" t="inlineStr">
        <is>
          <t>第一金(2892)</t>
        </is>
      </c>
      <c r="K691">
        <f>IF(F691&gt;0,(H691*$F691)/365.25,0)</f>
        <v/>
      </c>
      <c r="L691">
        <f>IF(F691&gt;0,(I691*$F691)/365.25,0)</f>
        <v/>
      </c>
      <c r="M691" s="65" t="n"/>
      <c r="O691" s="66" t="n"/>
      <c r="P691" s="65" t="n"/>
      <c r="Q691" s="132" t="n"/>
    </row>
    <row r="692">
      <c r="A692" s="508" t="n">
        <v>45440</v>
      </c>
      <c r="B692" s="508" t="n"/>
      <c r="C692" s="123" t="n">
        <v>1411</v>
      </c>
      <c r="D692" s="509" t="n"/>
      <c r="E692" s="510">
        <f>E691+C692-D692</f>
        <v/>
      </c>
      <c r="F692" s="510" t="n"/>
      <c r="G692" s="511">
        <f>G691+F692</f>
        <v/>
      </c>
      <c r="H692" s="511">
        <f>IF(B692="",$C$1-A692,DATEDIF(A692,B692,"d"))</f>
        <v/>
      </c>
      <c r="I692">
        <f>IF(B692="",$C$1-A692,H692)</f>
        <v/>
      </c>
      <c r="J692" s="65" t="inlineStr">
        <is>
          <t>第一金(2892)</t>
        </is>
      </c>
      <c r="K692">
        <f>IF(F692&gt;0,(H692*$F692)/365.25,0)</f>
        <v/>
      </c>
      <c r="L692">
        <f>IF(F692&gt;0,(I692*$F692)/365.25,0)</f>
        <v/>
      </c>
      <c r="M692" s="65" t="n"/>
      <c r="O692" s="66" t="n"/>
      <c r="P692" s="65" t="n"/>
      <c r="Q692" s="132" t="n"/>
      <c r="R692" s="223" t="n"/>
    </row>
    <row r="693">
      <c r="A693" s="508" t="n">
        <v>45441</v>
      </c>
      <c r="B693" s="508" t="n"/>
      <c r="C693" s="123" t="n"/>
      <c r="D693" s="509" t="n">
        <v>1550</v>
      </c>
      <c r="E693" s="510">
        <f>E692+C693-D693</f>
        <v/>
      </c>
      <c r="F693" s="510" t="n"/>
      <c r="G693" s="511">
        <f>G692+F693</f>
        <v/>
      </c>
      <c r="H693" s="511">
        <f>IF(B693="",$C$1-A693,DATEDIF(A693,B693,"d"))</f>
        <v/>
      </c>
      <c r="I693">
        <f>IF(B693="",$C$1-A693,H693)</f>
        <v/>
      </c>
      <c r="J693" s="65" t="n"/>
      <c r="K693">
        <f>IF(F693&gt;0,(H693*$F693)/365.25,0)</f>
        <v/>
      </c>
      <c r="L693">
        <f>IF(F693&gt;0,(I693*$F693)/365.25,0)</f>
        <v/>
      </c>
      <c r="M693" s="65" t="n"/>
      <c r="N693" s="227" t="inlineStr">
        <is>
          <t>美金存現手續費</t>
        </is>
      </c>
    </row>
    <row r="694">
      <c r="A694" s="508" t="n">
        <v>45441</v>
      </c>
      <c r="B694" s="508" t="n"/>
      <c r="C694" s="123" t="n"/>
      <c r="D694" s="509" t="n"/>
      <c r="E694" s="510">
        <f>E693+C694-D694</f>
        <v/>
      </c>
      <c r="F694" s="510" t="n"/>
      <c r="G694" s="511">
        <f>G693+F694</f>
        <v/>
      </c>
      <c r="H694" s="511">
        <f>IF(B694="",$C$1-A694,DATEDIF(A694,B694,"d"))</f>
        <v/>
      </c>
      <c r="I694">
        <f>IF(B694="",$C$1-A694,H694)</f>
        <v/>
      </c>
      <c r="J694" s="65" t="n"/>
      <c r="K694">
        <f>IF(F694&gt;0,(H694*$F694)/365.25,0)</f>
        <v/>
      </c>
      <c r="L694">
        <f>IF(F694&gt;0,(I694*$F694)/365.25,0)</f>
        <v/>
      </c>
      <c r="M694" s="65" t="n"/>
    </row>
    <row r="695">
      <c r="A695" s="508" t="n"/>
      <c r="B695" s="508" t="n"/>
      <c r="C695" s="123" t="n"/>
      <c r="D695" s="509" t="n"/>
      <c r="E695" s="510" t="n"/>
      <c r="F695" s="510" t="n"/>
      <c r="G695" s="511" t="n"/>
      <c r="H695" s="511" t="n"/>
      <c r="J695" s="65" t="n"/>
      <c r="M695" s="65" t="n"/>
    </row>
    <row r="696">
      <c r="A696" s="508" t="n"/>
      <c r="B696" s="138" t="n"/>
      <c r="C696" s="123" t="n"/>
      <c r="D696" s="509" t="n"/>
      <c r="E696" s="510" t="n"/>
      <c r="F696" s="510" t="n"/>
      <c r="G696" s="511" t="n"/>
      <c r="H696" s="511" t="n"/>
      <c r="J696" s="65" t="n"/>
      <c r="M696" s="65" t="n"/>
    </row>
    <row r="697" ht="17.25" customHeight="1" thickBot="1">
      <c r="D697" s="511" t="n"/>
      <c r="E697" s="510" t="n"/>
      <c r="F697" s="510" t="n"/>
      <c r="G697" s="511" t="n"/>
      <c r="H697" s="511" t="n"/>
      <c r="M697" s="65" t="n"/>
    </row>
    <row r="698">
      <c r="A698" s="217" t="inlineStr">
        <is>
          <t>2024 Total</t>
        </is>
      </c>
      <c r="B698" s="512">
        <f>SUM(D643:D694)</f>
        <v/>
      </c>
      <c r="D698" s="511" t="n"/>
      <c r="E698" s="510" t="n"/>
      <c r="F698" s="510" t="n"/>
      <c r="G698" s="511" t="n"/>
      <c r="H698" s="511" t="n"/>
      <c r="M698" s="65" t="n"/>
    </row>
    <row r="699" ht="17.25" customHeight="1" thickBot="1">
      <c r="A699" s="215" t="inlineStr">
        <is>
          <t>2024 Total Avg</t>
        </is>
      </c>
      <c r="B699" s="517">
        <f>(SUMPRODUCT(C643:C694,I643:I694)+SUMPRODUCT(D643:D694,I643:I694))/($C$1-$A$643)</f>
        <v/>
      </c>
      <c r="M699" s="65" t="n"/>
    </row>
    <row r="700">
      <c r="D700" s="511" t="n"/>
      <c r="E700" s="510" t="n"/>
      <c r="F700" s="510" t="n"/>
      <c r="G700" s="511" t="n"/>
      <c r="H700" s="511" t="n"/>
      <c r="M700" s="65" t="n"/>
    </row>
    <row r="701">
      <c r="M701" s="65" t="n"/>
    </row>
    <row r="702">
      <c r="M702" s="65" t="n"/>
    </row>
    <row r="703">
      <c r="M703" s="65" t="n"/>
    </row>
    <row r="704">
      <c r="M704" s="65" t="n"/>
    </row>
    <row r="705">
      <c r="M705" s="65" t="n"/>
    </row>
    <row r="706">
      <c r="M706" s="65" t="n"/>
    </row>
    <row r="707">
      <c r="M707" s="65" t="n"/>
    </row>
  </sheetData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 codeName="Sheet4">
    <outlinePr summaryBelow="0" summaryRight="0"/>
    <pageSetUpPr/>
  </sheetPr>
  <dimension ref="A1:L655"/>
  <sheetViews>
    <sheetView zoomScale="80" zoomScaleNormal="80" workbookViewId="0">
      <pane ySplit="1" topLeftCell="A621" activePane="bottomLeft" state="frozen"/>
      <selection pane="bottomLeft" activeCell="O637" sqref="O637"/>
    </sheetView>
  </sheetViews>
  <sheetFormatPr baseColWidth="8" defaultRowHeight="16.5" outlineLevelRow="1"/>
  <cols>
    <col width="15" bestFit="1" customWidth="1" min="1" max="1"/>
    <col width="10.75" bestFit="1" customWidth="1" min="2" max="2"/>
    <col width="11.125" bestFit="1" customWidth="1" min="3" max="3"/>
    <col width="11.125" bestFit="1" customWidth="1" style="81" min="4" max="4"/>
    <col width="10.75" bestFit="1" customWidth="1" min="5" max="5"/>
    <col width="11.125" bestFit="1" customWidth="1" min="6" max="6"/>
    <col width="11.125" bestFit="1" customWidth="1" style="81" min="7" max="7"/>
    <col width="26.125" bestFit="1" customWidth="1" min="8" max="8"/>
    <col width="17" bestFit="1" customWidth="1" min="9" max="9"/>
    <col width="11.5" bestFit="1" customWidth="1" min="10" max="10"/>
    <col width="13.875" customWidth="1" min="11" max="11"/>
    <col width="11.625" customWidth="1" min="12" max="12"/>
  </cols>
  <sheetData>
    <row r="1" ht="17.25" customHeight="1">
      <c r="A1" s="359" t="inlineStr">
        <is>
          <t>日期</t>
        </is>
      </c>
      <c r="B1" s="360" t="inlineStr">
        <is>
          <t>提出</t>
        </is>
      </c>
      <c r="C1" s="361" t="inlineStr">
        <is>
          <t>存入</t>
        </is>
      </c>
      <c r="D1" s="360" t="inlineStr">
        <is>
          <t>結餘</t>
        </is>
      </c>
      <c r="E1" s="534" t="inlineStr">
        <is>
          <t>提出</t>
        </is>
      </c>
      <c r="F1" s="361" t="inlineStr">
        <is>
          <t>存入</t>
        </is>
      </c>
      <c r="G1" s="360" t="inlineStr">
        <is>
          <t>結餘</t>
        </is>
      </c>
      <c r="H1" s="363" t="n"/>
      <c r="I1" s="363" t="n"/>
      <c r="J1" s="363" t="inlineStr">
        <is>
          <t>類別</t>
        </is>
      </c>
      <c r="K1" s="363" t="inlineStr">
        <is>
          <t>台幣本金</t>
        </is>
      </c>
      <c r="L1" s="363" t="inlineStr">
        <is>
          <t>美金本金</t>
        </is>
      </c>
    </row>
    <row r="2">
      <c r="A2" s="508" t="n">
        <v>43403</v>
      </c>
      <c r="B2" s="509" t="n"/>
      <c r="C2" s="122" t="n">
        <v>750000</v>
      </c>
      <c r="D2" s="510">
        <f>C2-B2</f>
        <v/>
      </c>
      <c r="E2" s="535" t="n"/>
      <c r="F2" s="536" t="n"/>
      <c r="G2" s="537">
        <f>F2-E2</f>
        <v/>
      </c>
      <c r="I2" s="65" t="n"/>
      <c r="J2" t="inlineStr">
        <is>
          <t>本金</t>
        </is>
      </c>
      <c r="K2">
        <f>C2</f>
        <v/>
      </c>
      <c r="L2" s="511">
        <f>G2</f>
        <v/>
      </c>
    </row>
    <row r="3" outlineLevel="1">
      <c r="A3" s="513" t="n">
        <v>43455</v>
      </c>
      <c r="B3" s="514" t="n"/>
      <c r="C3" s="154" t="n">
        <v>106</v>
      </c>
      <c r="D3" s="515">
        <f>D2+C3-B3</f>
        <v/>
      </c>
      <c r="E3" s="538" t="n"/>
      <c r="F3" s="539" t="n"/>
      <c r="G3" s="540">
        <f>G2+F3-E3</f>
        <v/>
      </c>
      <c r="H3" s="158" t="inlineStr">
        <is>
          <t>利息</t>
        </is>
      </c>
      <c r="I3" s="159" t="n"/>
      <c r="J3" t="inlineStr">
        <is>
          <t>投資</t>
        </is>
      </c>
      <c r="K3">
        <f>IF(J3="本金",C3+K2,K2)</f>
        <v/>
      </c>
      <c r="L3">
        <f>IF(J3="本金",F3+L2,L2)</f>
        <v/>
      </c>
    </row>
    <row r="4" collapsed="1">
      <c r="A4" s="508" t="n">
        <v>43511</v>
      </c>
      <c r="B4" s="509" t="n">
        <v>20278</v>
      </c>
      <c r="C4" s="123" t="n"/>
      <c r="D4" s="510">
        <f>D3+C4-B4</f>
        <v/>
      </c>
      <c r="E4" s="535" t="n"/>
      <c r="F4" s="541" t="n"/>
      <c r="G4" s="537">
        <f>G3+F4-E4</f>
        <v/>
      </c>
      <c r="H4" t="inlineStr">
        <is>
          <t>台紙</t>
        </is>
      </c>
      <c r="J4" t="inlineStr">
        <is>
          <t>投資</t>
        </is>
      </c>
      <c r="K4">
        <f>IF(J4="本金",C4+K3,K3)</f>
        <v/>
      </c>
      <c r="L4">
        <f>IF(J4="本金",F4+L3,L3)</f>
        <v/>
      </c>
    </row>
    <row r="5" hidden="1" outlineLevel="1">
      <c r="A5" s="508" t="n">
        <v>43511</v>
      </c>
      <c r="B5" s="509" t="n">
        <v>42059</v>
      </c>
      <c r="C5" s="123" t="n"/>
      <c r="D5" s="510">
        <f>D4+C5-B5</f>
        <v/>
      </c>
      <c r="E5" s="535" t="n"/>
      <c r="F5" s="541" t="n"/>
      <c r="G5" s="537">
        <f>G4+F5-E5</f>
        <v/>
      </c>
      <c r="H5" t="inlineStr">
        <is>
          <t>敬鵬</t>
        </is>
      </c>
      <c r="J5" t="inlineStr">
        <is>
          <t>投資</t>
        </is>
      </c>
      <c r="K5">
        <f>IF(J5="本金",C5+K4,K4)</f>
        <v/>
      </c>
      <c r="L5">
        <f>IF(J5="本金",F5+L4,L4)</f>
        <v/>
      </c>
    </row>
    <row r="6" hidden="1" outlineLevel="1">
      <c r="A6" s="508" t="n">
        <v>43511</v>
      </c>
      <c r="B6" s="509" t="n">
        <v>95636</v>
      </c>
      <c r="C6" s="123" t="n"/>
      <c r="D6" s="510">
        <f>D5+C6-B6</f>
        <v/>
      </c>
      <c r="E6" s="535" t="n"/>
      <c r="F6" s="541" t="n"/>
      <c r="G6" s="537">
        <f>G5+F6-E6</f>
        <v/>
      </c>
      <c r="H6" t="inlineStr">
        <is>
          <t>新日興</t>
        </is>
      </c>
      <c r="J6" t="inlineStr">
        <is>
          <t>投資</t>
        </is>
      </c>
      <c r="K6">
        <f>IF(J6="本金",C6+K5,K5)</f>
        <v/>
      </c>
      <c r="L6">
        <f>IF(J6="本金",F6+L5,L5)</f>
        <v/>
      </c>
    </row>
    <row r="7" hidden="1" outlineLevel="1">
      <c r="A7" s="508" t="n">
        <v>43511</v>
      </c>
      <c r="B7" s="509" t="n">
        <v>188267</v>
      </c>
      <c r="C7" s="123" t="n"/>
      <c r="D7" s="510">
        <f>D6+C7-B7</f>
        <v/>
      </c>
      <c r="E7" s="535" t="n"/>
      <c r="F7" s="541" t="n"/>
      <c r="G7" s="537">
        <f>G6+F7-E7</f>
        <v/>
      </c>
      <c r="H7" t="inlineStr">
        <is>
          <t>昂寶-KY</t>
        </is>
      </c>
      <c r="J7" t="inlineStr">
        <is>
          <t>投資</t>
        </is>
      </c>
      <c r="K7">
        <f>IF(J7="本金",C7+K6,K6)</f>
        <v/>
      </c>
      <c r="L7">
        <f>IF(J7="本金",F7+L6,L6)</f>
        <v/>
      </c>
    </row>
    <row r="8" hidden="1" outlineLevel="1">
      <c r="A8" s="508" t="n">
        <v>43511</v>
      </c>
      <c r="B8" s="509" t="n"/>
      <c r="C8" s="123" t="n">
        <v>19912</v>
      </c>
      <c r="D8" s="510">
        <f>D7+C8-B8</f>
        <v/>
      </c>
      <c r="E8" s="535" t="n"/>
      <c r="F8" s="541" t="n"/>
      <c r="G8" s="537">
        <f>G7+F8-E8</f>
        <v/>
      </c>
      <c r="H8" t="inlineStr">
        <is>
          <t>台紙</t>
        </is>
      </c>
      <c r="J8" t="inlineStr">
        <is>
          <t>投資</t>
        </is>
      </c>
      <c r="K8">
        <f>IF(J8="本金",C8+K7,K7)</f>
        <v/>
      </c>
      <c r="L8">
        <f>IF(J8="本金",F8+L7,L7)</f>
        <v/>
      </c>
    </row>
    <row r="9" hidden="1" outlineLevel="1">
      <c r="A9" s="508" t="n">
        <v>43511</v>
      </c>
      <c r="B9" s="509" t="n"/>
      <c r="C9" s="123" t="n">
        <v>42014</v>
      </c>
      <c r="D9" s="510">
        <f>D8+C9-B9</f>
        <v/>
      </c>
      <c r="E9" s="535" t="n"/>
      <c r="F9" s="541" t="n"/>
      <c r="G9" s="537">
        <f>G8+F9-E9</f>
        <v/>
      </c>
      <c r="H9" t="inlineStr">
        <is>
          <t>敬鵬</t>
        </is>
      </c>
      <c r="J9" t="inlineStr">
        <is>
          <t>投資</t>
        </is>
      </c>
      <c r="K9">
        <f>IF(J9="本金",C9+K8,K8)</f>
        <v/>
      </c>
      <c r="L9">
        <f>IF(J9="本金",F9+L8,L8)</f>
        <v/>
      </c>
    </row>
    <row r="10" hidden="1" outlineLevel="1">
      <c r="A10" s="508" t="n">
        <v>43511</v>
      </c>
      <c r="B10" s="509" t="n"/>
      <c r="C10" s="123" t="n">
        <v>190155</v>
      </c>
      <c r="D10" s="510">
        <f>D9+C10-B10</f>
        <v/>
      </c>
      <c r="E10" s="535" t="n"/>
      <c r="F10" s="541" t="n"/>
      <c r="G10" s="537">
        <f>G9+F10-E10</f>
        <v/>
      </c>
      <c r="H10" t="inlineStr">
        <is>
          <t>昂寶-KY</t>
        </is>
      </c>
      <c r="J10" t="inlineStr">
        <is>
          <t>投資</t>
        </is>
      </c>
      <c r="K10">
        <f>IF(J10="本金",C10+K9,K9)</f>
        <v/>
      </c>
      <c r="L10">
        <f>IF(J10="本金",F10+L9,L9)</f>
        <v/>
      </c>
    </row>
    <row r="11" hidden="1" outlineLevel="1">
      <c r="A11" s="518" t="n">
        <v>43532</v>
      </c>
      <c r="B11" s="519" t="n"/>
      <c r="C11" s="148" t="n">
        <v>337</v>
      </c>
      <c r="D11" s="520">
        <f>D10+C11-B11</f>
        <v/>
      </c>
      <c r="E11" s="542" t="n"/>
      <c r="F11" s="543" t="n"/>
      <c r="G11" s="544">
        <f>G10+F11-E11</f>
        <v/>
      </c>
      <c r="H11" s="152" t="inlineStr">
        <is>
          <t>折讓入帳</t>
        </is>
      </c>
      <c r="I11" s="152" t="n"/>
      <c r="J11" t="inlineStr">
        <is>
          <t>投資</t>
        </is>
      </c>
      <c r="K11">
        <f>IF(J11="本金",C11+K10,K10)</f>
        <v/>
      </c>
      <c r="L11">
        <f>IF(J11="本金",F11+L10,L10)</f>
        <v/>
      </c>
    </row>
    <row r="12" hidden="1" outlineLevel="1">
      <c r="A12" s="508" t="n">
        <v>43511</v>
      </c>
      <c r="B12" s="509" t="n"/>
      <c r="C12" s="123" t="n">
        <v>102047</v>
      </c>
      <c r="D12" s="510">
        <f>D11+C12-B12</f>
        <v/>
      </c>
      <c r="E12" s="535" t="n"/>
      <c r="F12" s="541" t="n"/>
      <c r="G12" s="537">
        <f>G11+F12-E12</f>
        <v/>
      </c>
      <c r="H12" t="inlineStr">
        <is>
          <t>新日興</t>
        </is>
      </c>
      <c r="J12" t="inlineStr">
        <is>
          <t>投資</t>
        </is>
      </c>
      <c r="K12">
        <f>IF(J12="本金",C12+K11,K11)</f>
        <v/>
      </c>
      <c r="L12">
        <f>IF(J12="本金",F12+L11,L11)</f>
        <v/>
      </c>
    </row>
    <row r="13" hidden="1" outlineLevel="1">
      <c r="A13" s="508" t="n">
        <v>43557</v>
      </c>
      <c r="B13" s="509" t="n">
        <v>69999</v>
      </c>
      <c r="C13" s="123" t="n"/>
      <c r="D13" s="510">
        <f>D12+C13-B13</f>
        <v/>
      </c>
      <c r="E13" s="535" t="n"/>
      <c r="F13" s="541" t="n"/>
      <c r="G13" s="537">
        <f>G12+F13-E13</f>
        <v/>
      </c>
      <c r="H13" t="inlineStr">
        <is>
          <t>創見</t>
        </is>
      </c>
      <c r="I13" s="65" t="n"/>
      <c r="J13" t="inlineStr">
        <is>
          <t>投資</t>
        </is>
      </c>
      <c r="K13">
        <f>IF(J13="本金",C13+K12,K12)</f>
        <v/>
      </c>
      <c r="L13">
        <f>IF(J13="本金",F13+L12,L12)</f>
        <v/>
      </c>
    </row>
    <row r="14" hidden="1" outlineLevel="1">
      <c r="A14" s="508" t="n">
        <v>43557</v>
      </c>
      <c r="B14" s="509" t="n">
        <v>43912</v>
      </c>
      <c r="C14" s="123" t="n"/>
      <c r="D14" s="510">
        <f>D13+C14-B14</f>
        <v/>
      </c>
      <c r="E14" s="535" t="n"/>
      <c r="F14" s="541" t="n"/>
      <c r="G14" s="537">
        <f>G13+F14-E14</f>
        <v/>
      </c>
      <c r="H14" t="inlineStr">
        <is>
          <t>茂訊</t>
        </is>
      </c>
      <c r="I14" s="65" t="n"/>
      <c r="J14" t="inlineStr">
        <is>
          <t>投資</t>
        </is>
      </c>
      <c r="K14">
        <f>IF(J14="本金",C14+K13,K13)</f>
        <v/>
      </c>
      <c r="L14">
        <f>IF(J14="本金",F14+L13,L13)</f>
        <v/>
      </c>
    </row>
    <row r="15" hidden="1" outlineLevel="1">
      <c r="A15" s="508" t="n">
        <v>43557</v>
      </c>
      <c r="B15" s="509" t="n">
        <v>27288</v>
      </c>
      <c r="C15" s="123" t="n"/>
      <c r="D15" s="510">
        <f>D14+C15-B15</f>
        <v/>
      </c>
      <c r="E15" s="535" t="n"/>
      <c r="F15" s="541" t="n"/>
      <c r="G15" s="537">
        <f>G14+F15-E15</f>
        <v/>
      </c>
      <c r="H15" t="inlineStr">
        <is>
          <t>建榮</t>
        </is>
      </c>
      <c r="I15" s="65" t="n"/>
      <c r="J15" t="inlineStr">
        <is>
          <t>投資</t>
        </is>
      </c>
      <c r="K15">
        <f>IF(J15="本金",C15+K14,K14)</f>
        <v/>
      </c>
      <c r="L15">
        <f>IF(J15="本金",F15+L14,L14)</f>
        <v/>
      </c>
    </row>
    <row r="16" hidden="1" outlineLevel="1">
      <c r="A16" s="508" t="n">
        <v>43564</v>
      </c>
      <c r="B16" s="509" t="n">
        <v>30593</v>
      </c>
      <c r="C16" s="123" t="n"/>
      <c r="D16" s="510">
        <f>D15+C16-B16</f>
        <v/>
      </c>
      <c r="E16" s="535" t="n"/>
      <c r="F16" s="541" t="n"/>
      <c r="G16" s="537">
        <f>G15+F16-E16</f>
        <v/>
      </c>
      <c r="H16" t="inlineStr">
        <is>
          <t>競國</t>
        </is>
      </c>
      <c r="I16" s="65" t="n"/>
      <c r="J16" t="inlineStr">
        <is>
          <t>投資</t>
        </is>
      </c>
      <c r="K16">
        <f>IF(J16="本金",C16+K15,K15)</f>
        <v/>
      </c>
      <c r="L16">
        <f>IF(J16="本金",F16+L15,L15)</f>
        <v/>
      </c>
    </row>
    <row r="17" hidden="1" outlineLevel="1">
      <c r="A17" s="518" t="n">
        <v>43565</v>
      </c>
      <c r="B17" s="519" t="n"/>
      <c r="C17" s="148" t="n">
        <v>136</v>
      </c>
      <c r="D17" s="520">
        <f>D16+C17-B17</f>
        <v/>
      </c>
      <c r="E17" s="542" t="n"/>
      <c r="F17" s="543" t="n"/>
      <c r="G17" s="544">
        <f>G16+F17-E17</f>
        <v/>
      </c>
      <c r="H17" s="152" t="inlineStr">
        <is>
          <t>折讓入帳</t>
        </is>
      </c>
      <c r="I17" s="152" t="n"/>
      <c r="J17" t="inlineStr">
        <is>
          <t>投資</t>
        </is>
      </c>
      <c r="K17">
        <f>IF(J17="本金",C17+K16,K16)</f>
        <v/>
      </c>
      <c r="L17">
        <f>IF(J17="本金",F17+L16,L16)</f>
        <v/>
      </c>
    </row>
    <row r="18" hidden="1" outlineLevel="1">
      <c r="A18" s="508" t="n">
        <v>43567</v>
      </c>
      <c r="B18" s="509" t="n"/>
      <c r="C18" s="123" t="n">
        <v>29370</v>
      </c>
      <c r="D18" s="510">
        <f>D17+C18-B18</f>
        <v/>
      </c>
      <c r="E18" s="535" t="n"/>
      <c r="F18" s="541" t="n"/>
      <c r="G18" s="537">
        <f>G17+F18-E18</f>
        <v/>
      </c>
      <c r="H18" t="inlineStr">
        <is>
          <t>競國</t>
        </is>
      </c>
      <c r="I18" s="65" t="n"/>
      <c r="J18" t="inlineStr">
        <is>
          <t>投資</t>
        </is>
      </c>
      <c r="K18">
        <f>IF(J18="本金",C18+K17,K17)</f>
        <v/>
      </c>
      <c r="L18">
        <f>IF(J18="本金",F18+L17,L17)</f>
        <v/>
      </c>
    </row>
    <row r="19" hidden="1" outlineLevel="1">
      <c r="A19" s="508" t="n">
        <v>43572</v>
      </c>
      <c r="B19" s="509" t="n"/>
      <c r="C19" s="123" t="n">
        <v>69293</v>
      </c>
      <c r="D19" s="510">
        <f>D18+C19-B19</f>
        <v/>
      </c>
      <c r="E19" s="535" t="n"/>
      <c r="F19" s="541" t="n"/>
      <c r="G19" s="537">
        <f>G18+F19-E19</f>
        <v/>
      </c>
      <c r="H19" t="inlineStr">
        <is>
          <t>創見</t>
        </is>
      </c>
      <c r="I19" s="65" t="n"/>
      <c r="J19" t="inlineStr">
        <is>
          <t>投資</t>
        </is>
      </c>
      <c r="K19">
        <f>IF(J19="本金",C19+K18,K18)</f>
        <v/>
      </c>
      <c r="L19">
        <f>IF(J19="本金",F19+L18,L18)</f>
        <v/>
      </c>
    </row>
    <row r="20" hidden="1" outlineLevel="1">
      <c r="A20" s="508" t="n">
        <v>43579</v>
      </c>
      <c r="B20" s="509" t="n"/>
      <c r="C20" s="123" t="n">
        <v>44454</v>
      </c>
      <c r="D20" s="510">
        <f>D19+C20-B20</f>
        <v/>
      </c>
      <c r="E20" s="535" t="n"/>
      <c r="F20" s="541" t="n"/>
      <c r="G20" s="537">
        <f>G19+F20-E20</f>
        <v/>
      </c>
      <c r="H20" t="inlineStr">
        <is>
          <t>茂訊</t>
        </is>
      </c>
      <c r="I20" s="65" t="n"/>
      <c r="J20" t="inlineStr">
        <is>
          <t>投資</t>
        </is>
      </c>
      <c r="K20">
        <f>IF(J20="本金",C20+K19,K19)</f>
        <v/>
      </c>
      <c r="L20">
        <f>IF(J20="本金",F20+L19,L19)</f>
        <v/>
      </c>
    </row>
    <row r="21" hidden="1" outlineLevel="1">
      <c r="A21" s="508" t="n">
        <v>43580</v>
      </c>
      <c r="B21" s="509" t="n"/>
      <c r="C21" s="123" t="n">
        <v>45598</v>
      </c>
      <c r="D21" s="510">
        <f>D20+C21-B21</f>
        <v/>
      </c>
      <c r="E21" s="535" t="n"/>
      <c r="F21" s="541" t="n"/>
      <c r="G21" s="537">
        <f>G20+F21-E21</f>
        <v/>
      </c>
      <c r="H21" t="inlineStr">
        <is>
          <t>建榮</t>
        </is>
      </c>
      <c r="I21" s="65" t="n"/>
      <c r="J21" t="inlineStr">
        <is>
          <t>投資</t>
        </is>
      </c>
      <c r="K21">
        <f>IF(J21="本金",C21+K20,K20)</f>
        <v/>
      </c>
      <c r="L21">
        <f>IF(J21="本金",F21+L20,L20)</f>
        <v/>
      </c>
    </row>
    <row r="22" hidden="1" outlineLevel="1">
      <c r="A22" s="518" t="n">
        <v>43595</v>
      </c>
      <c r="B22" s="519" t="n"/>
      <c r="C22" s="148" t="n">
        <v>123</v>
      </c>
      <c r="D22" s="520">
        <f>D21+C22-B22</f>
        <v/>
      </c>
      <c r="E22" s="542" t="n"/>
      <c r="F22" s="543" t="n"/>
      <c r="G22" s="544">
        <f>G21+F22-E22</f>
        <v/>
      </c>
      <c r="H22" s="152" t="inlineStr">
        <is>
          <t>折讓入帳</t>
        </is>
      </c>
      <c r="I22" s="152" t="n"/>
      <c r="J22" t="inlineStr">
        <is>
          <t>投資</t>
        </is>
      </c>
      <c r="K22">
        <f>IF(J22="本金",C22+K21,K21)</f>
        <v/>
      </c>
      <c r="L22">
        <f>IF(J22="本金",F22+L21,L21)</f>
        <v/>
      </c>
    </row>
    <row r="23" hidden="1" outlineLevel="1">
      <c r="A23" s="513" t="n">
        <v>43637</v>
      </c>
      <c r="B23" s="514" t="n"/>
      <c r="C23" s="154" t="n">
        <v>352</v>
      </c>
      <c r="D23" s="515">
        <f>D22+C23-B23</f>
        <v/>
      </c>
      <c r="E23" s="538" t="n"/>
      <c r="F23" s="539" t="n"/>
      <c r="G23" s="540">
        <f>G22+F23-E23</f>
        <v/>
      </c>
      <c r="H23" s="158" t="inlineStr">
        <is>
          <t>利息</t>
        </is>
      </c>
      <c r="I23" s="159" t="n"/>
      <c r="J23" t="inlineStr">
        <is>
          <t>投資</t>
        </is>
      </c>
      <c r="K23">
        <f>IF(J23="本金",C23+K22,K22)</f>
        <v/>
      </c>
      <c r="L23">
        <f>IF(J23="本金",F23+L22,L22)</f>
        <v/>
      </c>
    </row>
    <row r="24" hidden="1" outlineLevel="1">
      <c r="A24" s="508" t="n">
        <v>43641</v>
      </c>
      <c r="B24" s="509" t="n">
        <v>78611</v>
      </c>
      <c r="C24" s="123" t="n"/>
      <c r="D24" s="510">
        <f>D23+C24-B24</f>
        <v/>
      </c>
      <c r="E24" s="535" t="n"/>
      <c r="F24" s="541" t="n"/>
      <c r="G24" s="537">
        <f>G23+F24-E24</f>
        <v/>
      </c>
      <c r="H24" s="129" t="inlineStr">
        <is>
          <t>群光</t>
        </is>
      </c>
      <c r="I24" s="66" t="n"/>
      <c r="J24" t="inlineStr">
        <is>
          <t>投資</t>
        </is>
      </c>
      <c r="K24">
        <f>IF(J24="本金",C24+K23,K23)</f>
        <v/>
      </c>
      <c r="L24">
        <f>IF(J24="本金",F24+L23,L23)</f>
        <v/>
      </c>
    </row>
    <row r="25" hidden="1" outlineLevel="1">
      <c r="A25" s="508" t="n">
        <v>43641</v>
      </c>
      <c r="B25" s="509" t="n">
        <v>73003</v>
      </c>
      <c r="C25" s="123" t="n"/>
      <c r="D25" s="510">
        <f>D24+C25-B25</f>
        <v/>
      </c>
      <c r="E25" s="535" t="n"/>
      <c r="F25" s="541" t="n"/>
      <c r="G25" s="537">
        <f>G24+F25-E25</f>
        <v/>
      </c>
      <c r="H25" t="inlineStr">
        <is>
          <t>鈺緯</t>
        </is>
      </c>
      <c r="I25" s="66" t="n">
        <v>43672</v>
      </c>
      <c r="J25" t="inlineStr">
        <is>
          <t>投資</t>
        </is>
      </c>
      <c r="K25">
        <f>IF(J25="本金",C25+K24,K24)</f>
        <v/>
      </c>
      <c r="L25">
        <f>IF(J25="本金",F25+L24,L24)</f>
        <v/>
      </c>
    </row>
    <row r="26" hidden="1" outlineLevel="1">
      <c r="A26" s="508" t="n">
        <v>43641</v>
      </c>
      <c r="B26" s="509" t="n">
        <v>74105</v>
      </c>
      <c r="C26" s="123" t="n"/>
      <c r="D26" s="510">
        <f>D25+C26-B26</f>
        <v/>
      </c>
      <c r="E26" s="535" t="n"/>
      <c r="F26" s="541" t="n"/>
      <c r="G26" s="537">
        <f>G25+F26-E26</f>
        <v/>
      </c>
      <c r="H26" t="inlineStr">
        <is>
          <t>橘子</t>
        </is>
      </c>
      <c r="I26" s="66" t="n"/>
      <c r="J26" t="inlineStr">
        <is>
          <t>投資</t>
        </is>
      </c>
      <c r="K26">
        <f>IF(J26="本金",C26+K25,K25)</f>
        <v/>
      </c>
      <c r="L26">
        <f>IF(J26="本金",F26+L25,L25)</f>
        <v/>
      </c>
    </row>
    <row r="27" hidden="1" outlineLevel="1">
      <c r="A27" s="508" t="n">
        <v>43641</v>
      </c>
      <c r="B27" s="509" t="n">
        <v>175249</v>
      </c>
      <c r="C27" s="123" t="n"/>
      <c r="D27" s="510">
        <f>D26+C27-B27</f>
        <v/>
      </c>
      <c r="E27" s="535" t="n"/>
      <c r="F27" s="541" t="n"/>
      <c r="G27" s="537">
        <f>G26+F27-E27</f>
        <v/>
      </c>
      <c r="H27" t="inlineStr">
        <is>
          <t>朋億</t>
        </is>
      </c>
      <c r="I27" s="66" t="n"/>
      <c r="J27" t="inlineStr">
        <is>
          <t>投資</t>
        </is>
      </c>
      <c r="K27">
        <f>IF(J27="本金",C27+K26,K26)</f>
        <v/>
      </c>
      <c r="L27">
        <f>IF(J27="本金",F27+L26,L26)</f>
        <v/>
      </c>
    </row>
    <row r="28" hidden="1" outlineLevel="1">
      <c r="A28" s="508" t="n">
        <v>43643</v>
      </c>
      <c r="B28" s="509" t="n">
        <v>49220</v>
      </c>
      <c r="C28" s="123" t="n"/>
      <c r="D28" s="510">
        <f>D27+C28-B28</f>
        <v/>
      </c>
      <c r="E28" s="535" t="n"/>
      <c r="F28" s="541" t="n"/>
      <c r="G28" s="537">
        <f>G27+F28-E28</f>
        <v/>
      </c>
      <c r="H28" t="inlineStr">
        <is>
          <t>光隆</t>
        </is>
      </c>
      <c r="I28" s="66" t="n"/>
      <c r="J28" t="inlineStr">
        <is>
          <t>投資</t>
        </is>
      </c>
      <c r="K28">
        <f>IF(J28="本金",C28+K27,K27)</f>
        <v/>
      </c>
      <c r="L28">
        <f>IF(J28="本金",F28+L27,L27)</f>
        <v/>
      </c>
    </row>
    <row r="29" hidden="1" outlineLevel="1">
      <c r="A29" s="508" t="n">
        <v>43648</v>
      </c>
      <c r="B29" s="509" t="n"/>
      <c r="C29" s="123" t="n">
        <v>66008</v>
      </c>
      <c r="D29" s="510">
        <f>D28+C29-B29</f>
        <v/>
      </c>
      <c r="E29" s="535" t="n"/>
      <c r="F29" s="541" t="n"/>
      <c r="G29" s="537">
        <f>G28+F29-E29</f>
        <v/>
      </c>
      <c r="H29" t="inlineStr">
        <is>
          <t>橘子</t>
        </is>
      </c>
      <c r="I29" s="66" t="n">
        <v>43658</v>
      </c>
      <c r="J29" t="inlineStr">
        <is>
          <t>投資</t>
        </is>
      </c>
      <c r="K29">
        <f>IF(J29="本金",C29+K28,K28)</f>
        <v/>
      </c>
      <c r="L29">
        <f>IF(J29="本金",F29+L28,L28)</f>
        <v/>
      </c>
    </row>
    <row r="30" hidden="1" outlineLevel="1">
      <c r="A30" s="508" t="n">
        <v>43648</v>
      </c>
      <c r="B30" s="509" t="n"/>
      <c r="C30" s="123" t="n">
        <v>158795</v>
      </c>
      <c r="D30" s="510">
        <f>D29+C30-B30</f>
        <v/>
      </c>
      <c r="E30" s="535" t="n"/>
      <c r="F30" s="541" t="n"/>
      <c r="G30" s="537">
        <f>G29+F30-E30</f>
        <v/>
      </c>
      <c r="H30" t="inlineStr">
        <is>
          <t>朋億</t>
        </is>
      </c>
      <c r="I30" s="66" t="n">
        <v>43658</v>
      </c>
      <c r="J30" t="inlineStr">
        <is>
          <t>投資</t>
        </is>
      </c>
      <c r="K30">
        <f>IF(J30="本金",C30+K29,K29)</f>
        <v/>
      </c>
      <c r="L30">
        <f>IF(J30="本金",F30+L29,L29)</f>
        <v/>
      </c>
    </row>
    <row r="31" hidden="1" outlineLevel="1">
      <c r="A31" s="508" t="n">
        <v>43648</v>
      </c>
      <c r="B31" s="509" t="n">
        <v>31344</v>
      </c>
      <c r="C31" s="123" t="n"/>
      <c r="D31" s="510">
        <f>D30+C31-B31</f>
        <v/>
      </c>
      <c r="E31" s="535" t="n"/>
      <c r="F31" s="541" t="n"/>
      <c r="G31" s="537">
        <f>G30+F31-E31</f>
        <v/>
      </c>
      <c r="H31" t="inlineStr">
        <is>
          <t>承啟</t>
        </is>
      </c>
      <c r="I31" s="66" t="n"/>
      <c r="J31" t="inlineStr">
        <is>
          <t>投資</t>
        </is>
      </c>
      <c r="K31">
        <f>IF(J31="本金",C31+K30,K30)</f>
        <v/>
      </c>
      <c r="L31">
        <f>IF(J31="本金",F31+L30,L30)</f>
        <v/>
      </c>
    </row>
    <row r="32" hidden="1" outlineLevel="1">
      <c r="A32" s="508" t="n">
        <v>43648</v>
      </c>
      <c r="B32" s="509" t="n">
        <v>45414</v>
      </c>
      <c r="C32" s="123" t="n"/>
      <c r="D32" s="510">
        <f>D31+C32-B32</f>
        <v/>
      </c>
      <c r="E32" s="535" t="n"/>
      <c r="F32" s="541" t="n"/>
      <c r="G32" s="537">
        <f>G31+F32-E32</f>
        <v/>
      </c>
      <c r="H32" t="inlineStr">
        <is>
          <t>亞泰</t>
        </is>
      </c>
      <c r="I32" s="66" t="n"/>
      <c r="J32" t="inlineStr">
        <is>
          <t>投資</t>
        </is>
      </c>
      <c r="K32">
        <f>IF(J32="本金",C32+K31,K31)</f>
        <v/>
      </c>
      <c r="L32">
        <f>IF(J32="本金",F32+L31,L31)</f>
        <v/>
      </c>
    </row>
    <row r="33" hidden="1" outlineLevel="1">
      <c r="A33" s="508" t="n">
        <v>43648</v>
      </c>
      <c r="B33" s="509" t="n">
        <v>104148</v>
      </c>
      <c r="C33" s="123" t="n"/>
      <c r="D33" s="510">
        <f>D32+C33-B33</f>
        <v/>
      </c>
      <c r="E33" s="535" t="n"/>
      <c r="F33" s="541" t="n"/>
      <c r="G33" s="537">
        <f>G32+F33-E33</f>
        <v/>
      </c>
      <c r="H33" t="inlineStr">
        <is>
          <t>瑞儀</t>
        </is>
      </c>
      <c r="I33" s="66" t="n"/>
      <c r="J33" t="inlineStr">
        <is>
          <t>投資</t>
        </is>
      </c>
      <c r="K33">
        <f>IF(J33="本金",C33+K32,K32)</f>
        <v/>
      </c>
      <c r="L33">
        <f>IF(J33="本金",F33+L32,L32)</f>
        <v/>
      </c>
    </row>
    <row r="34" hidden="1" outlineLevel="1">
      <c r="A34" s="508" t="n">
        <v>43648</v>
      </c>
      <c r="B34" s="509" t="n">
        <v>51373</v>
      </c>
      <c r="C34" s="123" t="n"/>
      <c r="D34" s="510">
        <f>D33+C34-B34</f>
        <v/>
      </c>
      <c r="E34" s="535" t="n"/>
      <c r="F34" s="541" t="n"/>
      <c r="G34" s="537">
        <f>G33+F34-E34</f>
        <v/>
      </c>
      <c r="H34" t="inlineStr">
        <is>
          <t>鉅邁</t>
        </is>
      </c>
      <c r="I34" s="66" t="n"/>
      <c r="J34" t="inlineStr">
        <is>
          <t>投資</t>
        </is>
      </c>
      <c r="K34">
        <f>IF(J34="本金",C34+K33,K33)</f>
        <v/>
      </c>
      <c r="L34">
        <f>IF(J34="本金",F34+L33,L33)</f>
        <v/>
      </c>
    </row>
    <row r="35" hidden="1" outlineLevel="1">
      <c r="A35" s="508" t="n">
        <v>43649</v>
      </c>
      <c r="B35" s="509" t="n"/>
      <c r="C35" s="123" t="n">
        <v>71483</v>
      </c>
      <c r="D35" s="510">
        <f>D34+C35-B35</f>
        <v/>
      </c>
      <c r="E35" s="535" t="n"/>
      <c r="F35" s="541" t="n"/>
      <c r="G35" s="537">
        <f>G34+F35-E35</f>
        <v/>
      </c>
      <c r="H35" t="inlineStr">
        <is>
          <t>鈺緯</t>
        </is>
      </c>
      <c r="I35" s="66" t="n"/>
      <c r="J35" t="inlineStr">
        <is>
          <t>投資</t>
        </is>
      </c>
      <c r="K35">
        <f>IF(J35="本金",C35+K34,K34)</f>
        <v/>
      </c>
      <c r="L35">
        <f>IF(J35="本金",F35+L34,L34)</f>
        <v/>
      </c>
    </row>
    <row r="36" hidden="1" outlineLevel="1">
      <c r="A36" s="508" t="n">
        <v>43649</v>
      </c>
      <c r="B36" s="509" t="n"/>
      <c r="C36" s="123" t="n">
        <v>46992</v>
      </c>
      <c r="D36" s="510">
        <f>D35+C36-B36</f>
        <v/>
      </c>
      <c r="E36" s="535" t="n"/>
      <c r="F36" s="541" t="n"/>
      <c r="G36" s="537">
        <f>G35+F36-E36</f>
        <v/>
      </c>
      <c r="H36" t="inlineStr">
        <is>
          <t>光隆</t>
        </is>
      </c>
      <c r="I36" s="66" t="n">
        <v>43679</v>
      </c>
      <c r="J36" t="inlineStr">
        <is>
          <t>投資</t>
        </is>
      </c>
      <c r="K36">
        <f>IF(J36="本金",C36+K35,K35)</f>
        <v/>
      </c>
      <c r="L36">
        <f>IF(J36="本金",F36+L35,L35)</f>
        <v/>
      </c>
    </row>
    <row r="37" hidden="1" outlineLevel="1">
      <c r="A37" s="508" t="n">
        <v>43649</v>
      </c>
      <c r="B37" s="509" t="n"/>
      <c r="C37" s="123" t="n">
        <v>76561</v>
      </c>
      <c r="D37" s="510">
        <f>D36+C37-B37</f>
        <v/>
      </c>
      <c r="E37" s="535" t="n"/>
      <c r="F37" s="541" t="n"/>
      <c r="G37" s="537">
        <f>G36+F37-E37</f>
        <v/>
      </c>
      <c r="H37" s="201" t="inlineStr">
        <is>
          <t>群光</t>
        </is>
      </c>
      <c r="I37" s="66" t="n">
        <v>43665</v>
      </c>
      <c r="J37" t="inlineStr">
        <is>
          <t>投資</t>
        </is>
      </c>
      <c r="K37">
        <f>IF(J37="本金",C37+K36,K36)</f>
        <v/>
      </c>
      <c r="L37">
        <f>IF(J37="本金",F37+L36,L36)</f>
        <v/>
      </c>
    </row>
    <row r="38" hidden="1" outlineLevel="1">
      <c r="A38" s="508" t="n">
        <v>43651</v>
      </c>
      <c r="B38" s="509" t="n">
        <v>65393</v>
      </c>
      <c r="C38" s="123" t="n"/>
      <c r="D38" s="510">
        <f>D37+C38-B38</f>
        <v/>
      </c>
      <c r="E38" s="535" t="n"/>
      <c r="F38" s="541" t="n"/>
      <c r="G38" s="537">
        <f>G37+F38-E38</f>
        <v/>
      </c>
      <c r="H38" t="inlineStr">
        <is>
          <t>南亞科</t>
        </is>
      </c>
      <c r="I38" s="66" t="n"/>
      <c r="J38" t="inlineStr">
        <is>
          <t>投資</t>
        </is>
      </c>
      <c r="K38">
        <f>IF(J38="本金",C38+K37,K37)</f>
        <v/>
      </c>
      <c r="L38">
        <f>IF(J38="本金",F38+L37,L37)</f>
        <v/>
      </c>
    </row>
    <row r="39" hidden="1" outlineLevel="1">
      <c r="A39" s="508" t="n">
        <v>43651</v>
      </c>
      <c r="B39" s="509" t="n">
        <v>93833</v>
      </c>
      <c r="C39" s="123" t="n"/>
      <c r="D39" s="510">
        <f>D38+C39-B39</f>
        <v/>
      </c>
      <c r="E39" s="535" t="n"/>
      <c r="F39" s="541" t="n"/>
      <c r="G39" s="537">
        <f>G38+F39-E39</f>
        <v/>
      </c>
      <c r="H39" t="inlineStr">
        <is>
          <t>奇力新</t>
        </is>
      </c>
      <c r="I39" s="66" t="n">
        <v>43672</v>
      </c>
      <c r="J39" t="inlineStr">
        <is>
          <t>投資</t>
        </is>
      </c>
      <c r="K39">
        <f>IF(J39="本金",C39+K38,K38)</f>
        <v/>
      </c>
      <c r="L39">
        <f>IF(J39="本金",F39+L38,L38)</f>
        <v/>
      </c>
    </row>
    <row r="40" hidden="1" outlineLevel="1">
      <c r="A40" s="508" t="n">
        <v>43651</v>
      </c>
      <c r="B40" s="509" t="n">
        <v>99942</v>
      </c>
      <c r="C40" s="123" t="n"/>
      <c r="D40" s="510">
        <f>D39+C40-B40</f>
        <v/>
      </c>
      <c r="E40" s="535" t="n"/>
      <c r="F40" s="541" t="n"/>
      <c r="G40" s="537">
        <f>G39+F40-E40</f>
        <v/>
      </c>
      <c r="H40" t="inlineStr">
        <is>
          <t>朋程</t>
        </is>
      </c>
      <c r="I40" s="66" t="n"/>
      <c r="J40" t="inlineStr">
        <is>
          <t>投資</t>
        </is>
      </c>
      <c r="K40">
        <f>IF(J40="本金",C40+K39,K39)</f>
        <v/>
      </c>
      <c r="L40">
        <f>IF(J40="本金",F40+L39,L39)</f>
        <v/>
      </c>
    </row>
    <row r="41" hidden="1" outlineLevel="1">
      <c r="A41" s="508" t="n">
        <v>43654</v>
      </c>
      <c r="B41" s="509" t="n"/>
      <c r="C41" s="123" t="n">
        <v>42612</v>
      </c>
      <c r="D41" s="510">
        <f>D40+C41-B41</f>
        <v/>
      </c>
      <c r="E41" s="535" t="n"/>
      <c r="F41" s="541" t="n"/>
      <c r="G41" s="537">
        <f>G40+F41-E41</f>
        <v/>
      </c>
      <c r="H41" t="inlineStr">
        <is>
          <t>亞泰</t>
        </is>
      </c>
      <c r="I41" s="66" t="n">
        <v>43671</v>
      </c>
      <c r="J41" t="inlineStr">
        <is>
          <t>投資</t>
        </is>
      </c>
      <c r="K41">
        <f>IF(J41="本金",C41+K40,K40)</f>
        <v/>
      </c>
      <c r="L41">
        <f>IF(J41="本金",F41+L40,L40)</f>
        <v/>
      </c>
    </row>
    <row r="42" hidden="1" outlineLevel="1">
      <c r="A42" s="508" t="n">
        <v>43655</v>
      </c>
      <c r="B42" s="509" t="n"/>
      <c r="C42" s="123" t="n">
        <v>49132</v>
      </c>
      <c r="D42" s="510">
        <f>D41+C42-B42</f>
        <v/>
      </c>
      <c r="E42" s="535" t="n"/>
      <c r="F42" s="541" t="n"/>
      <c r="G42" s="537">
        <f>G41+F42-E42</f>
        <v/>
      </c>
      <c r="H42" t="inlineStr">
        <is>
          <t>鉅邁</t>
        </is>
      </c>
      <c r="I42" s="66" t="n">
        <v>43669</v>
      </c>
      <c r="J42" t="inlineStr">
        <is>
          <t>投資</t>
        </is>
      </c>
      <c r="K42">
        <f>IF(J42="本金",C42+K41,K41)</f>
        <v/>
      </c>
      <c r="L42">
        <f>IF(J42="本金",F42+L41,L41)</f>
        <v/>
      </c>
    </row>
    <row r="43" hidden="1" outlineLevel="1">
      <c r="A43" s="518" t="n">
        <v>43656</v>
      </c>
      <c r="B43" s="519" t="n"/>
      <c r="C43" s="148" t="n">
        <v>511</v>
      </c>
      <c r="D43" s="520">
        <f>D42+C43-B43</f>
        <v/>
      </c>
      <c r="E43" s="542" t="n"/>
      <c r="F43" s="543" t="n"/>
      <c r="G43" s="544">
        <f>G42+F43-E43</f>
        <v/>
      </c>
      <c r="H43" s="152" t="inlineStr">
        <is>
          <t>折讓入帳</t>
        </is>
      </c>
      <c r="I43" s="152" t="n"/>
      <c r="J43" t="inlineStr">
        <is>
          <t>投資</t>
        </is>
      </c>
      <c r="K43">
        <f>IF(J43="本金",C43+K42,K42)</f>
        <v/>
      </c>
      <c r="L43">
        <f>IF(J43="本金",F43+L42,L42)</f>
        <v/>
      </c>
    </row>
    <row r="44" hidden="1" outlineLevel="1">
      <c r="A44" s="508" t="n">
        <v>43656</v>
      </c>
      <c r="B44" s="509" t="n"/>
      <c r="C44" s="123" t="n">
        <v>60133</v>
      </c>
      <c r="D44" s="510">
        <f>D43+C44-B44</f>
        <v/>
      </c>
      <c r="E44" s="535" t="n"/>
      <c r="F44" s="541" t="n"/>
      <c r="G44" s="537">
        <f>G43+F44-E44</f>
        <v/>
      </c>
      <c r="H44" t="inlineStr">
        <is>
          <t>南亞科</t>
        </is>
      </c>
      <c r="I44" s="66" t="n">
        <v>43672</v>
      </c>
      <c r="J44" t="inlineStr">
        <is>
          <t>投資</t>
        </is>
      </c>
      <c r="K44">
        <f>IF(J44="本金",C44+K43,K43)</f>
        <v/>
      </c>
      <c r="L44">
        <f>IF(J44="本金",F44+L43,L43)</f>
        <v/>
      </c>
    </row>
    <row r="45" hidden="1" outlineLevel="1">
      <c r="A45" s="508" t="n">
        <v>43656</v>
      </c>
      <c r="B45" s="509" t="n"/>
      <c r="C45" s="123" t="n">
        <v>31859</v>
      </c>
      <c r="D45" s="510">
        <f>D44+C45-B45</f>
        <v/>
      </c>
      <c r="E45" s="535" t="n"/>
      <c r="F45" s="541" t="n"/>
      <c r="G45" s="537">
        <f>G44+F45-E45</f>
        <v/>
      </c>
      <c r="H45" t="inlineStr">
        <is>
          <t>承啟</t>
        </is>
      </c>
      <c r="I45" s="66" t="n">
        <v>43677</v>
      </c>
      <c r="J45" t="inlineStr">
        <is>
          <t>投資</t>
        </is>
      </c>
      <c r="K45">
        <f>IF(J45="本金",C45+K44,K44)</f>
        <v/>
      </c>
      <c r="L45">
        <f>IF(J45="本金",F45+L44,L44)</f>
        <v/>
      </c>
    </row>
    <row r="46" hidden="1" outlineLevel="1">
      <c r="A46" s="522" t="n">
        <v>43658</v>
      </c>
      <c r="B46" s="523" t="n"/>
      <c r="C46" s="196" t="n">
        <v>6190</v>
      </c>
      <c r="D46" s="524">
        <f>D45+C46-B46</f>
        <v/>
      </c>
      <c r="E46" s="545" t="n"/>
      <c r="F46" s="546" t="n"/>
      <c r="G46" s="547">
        <f>G45+F46-E46</f>
        <v/>
      </c>
      <c r="H46" s="200" t="inlineStr">
        <is>
          <t>橘子</t>
        </is>
      </c>
      <c r="I46" s="200" t="inlineStr">
        <is>
          <t>現金股利</t>
        </is>
      </c>
      <c r="J46" t="inlineStr">
        <is>
          <t>投資</t>
        </is>
      </c>
      <c r="K46">
        <f>IF(J46="本金",C46+K45,K45)</f>
        <v/>
      </c>
      <c r="L46">
        <f>IF(J46="本金",F46+L45,L45)</f>
        <v/>
      </c>
    </row>
    <row r="47" hidden="1" outlineLevel="1">
      <c r="A47" s="522" t="n">
        <v>43658</v>
      </c>
      <c r="B47" s="523" t="n"/>
      <c r="C47" s="196" t="n">
        <v>14990</v>
      </c>
      <c r="D47" s="524">
        <f>D46+C47-B47</f>
        <v/>
      </c>
      <c r="E47" s="545" t="n"/>
      <c r="F47" s="546" t="n"/>
      <c r="G47" s="547">
        <f>G46+F47-E47</f>
        <v/>
      </c>
      <c r="H47" s="200" t="inlineStr">
        <is>
          <t>朋億</t>
        </is>
      </c>
      <c r="I47" s="200" t="inlineStr">
        <is>
          <t>現金股利</t>
        </is>
      </c>
      <c r="J47" t="inlineStr">
        <is>
          <t>投資</t>
        </is>
      </c>
      <c r="K47">
        <f>IF(J47="本金",C47+K46,K46)</f>
        <v/>
      </c>
      <c r="L47">
        <f>IF(J47="本金",F47+L46,L46)</f>
        <v/>
      </c>
    </row>
    <row r="48" hidden="1" outlineLevel="1">
      <c r="A48" s="508" t="n">
        <v>43658</v>
      </c>
      <c r="B48" s="509" t="n"/>
      <c r="C48" s="123" t="n">
        <v>104039</v>
      </c>
      <c r="D48" s="510">
        <f>D47+C48-B48</f>
        <v/>
      </c>
      <c r="E48" s="535" t="n"/>
      <c r="F48" s="541" t="n"/>
      <c r="G48" s="537">
        <f>G47+F48-E48</f>
        <v/>
      </c>
      <c r="H48" t="inlineStr">
        <is>
          <t>瑞儀</t>
        </is>
      </c>
      <c r="I48" s="66" t="n">
        <v>43677</v>
      </c>
      <c r="J48" t="inlineStr">
        <is>
          <t>投資</t>
        </is>
      </c>
      <c r="K48">
        <f>IF(J48="本金",C48+K47,K47)</f>
        <v/>
      </c>
      <c r="L48">
        <f>IF(J48="本金",F48+L47,L47)</f>
        <v/>
      </c>
    </row>
    <row r="49" hidden="1" outlineLevel="1">
      <c r="A49" s="508" t="n">
        <v>43658</v>
      </c>
      <c r="B49" s="509" t="n"/>
      <c r="C49" s="123" t="n">
        <v>94680</v>
      </c>
      <c r="D49" s="510">
        <f>D48+C49-B49</f>
        <v/>
      </c>
      <c r="E49" s="535" t="n"/>
      <c r="F49" s="541" t="n"/>
      <c r="G49" s="537">
        <f>G48+F49-E49</f>
        <v/>
      </c>
      <c r="H49" t="inlineStr">
        <is>
          <t>朋程</t>
        </is>
      </c>
      <c r="I49" s="66" t="n">
        <v>43679</v>
      </c>
      <c r="J49" t="inlineStr">
        <is>
          <t>投資</t>
        </is>
      </c>
      <c r="K49">
        <f>IF(J49="本金",C49+K48,K48)</f>
        <v/>
      </c>
      <c r="L49">
        <f>IF(J49="本金",F49+L48,L48)</f>
        <v/>
      </c>
    </row>
    <row r="50" hidden="1" outlineLevel="1">
      <c r="A50" s="508" t="n">
        <v>43663</v>
      </c>
      <c r="B50" s="509" t="n"/>
      <c r="C50" s="123" t="n">
        <v>87214</v>
      </c>
      <c r="D50" s="510">
        <f>D49+C50-B50</f>
        <v/>
      </c>
      <c r="E50" s="535" t="n"/>
      <c r="F50" s="541" t="n"/>
      <c r="G50" s="537">
        <f>G49+F50-E50</f>
        <v/>
      </c>
      <c r="H50" t="inlineStr">
        <is>
          <t>奇力新</t>
        </is>
      </c>
      <c r="I50" s="66" t="n">
        <v>43672</v>
      </c>
      <c r="J50" t="inlineStr">
        <is>
          <t>投資</t>
        </is>
      </c>
      <c r="K50">
        <f>IF(J50="本金",C50+K49,K49)</f>
        <v/>
      </c>
      <c r="L50">
        <f>IF(J50="本金",F50+L49,L49)</f>
        <v/>
      </c>
    </row>
    <row r="51" hidden="1" outlineLevel="1">
      <c r="A51" s="522" t="n">
        <v>43665</v>
      </c>
      <c r="B51" s="523" t="n"/>
      <c r="C51" s="196" t="n">
        <v>3790</v>
      </c>
      <c r="D51" s="524">
        <f>D50+C51-B51</f>
        <v/>
      </c>
      <c r="E51" s="545" t="n"/>
      <c r="F51" s="546" t="n"/>
      <c r="G51" s="547">
        <f>G50+F51-E51</f>
        <v/>
      </c>
      <c r="H51" s="200" t="inlineStr">
        <is>
          <t>群光</t>
        </is>
      </c>
      <c r="I51" s="200" t="inlineStr">
        <is>
          <t>現金股利</t>
        </is>
      </c>
      <c r="J51" t="inlineStr">
        <is>
          <t>投資</t>
        </is>
      </c>
      <c r="K51">
        <f>IF(J51="本金",C51+K50,K50)</f>
        <v/>
      </c>
      <c r="L51">
        <f>IF(J51="本金",F51+L50,L50)</f>
        <v/>
      </c>
    </row>
    <row r="52" hidden="1" outlineLevel="1">
      <c r="A52" s="522" t="n">
        <v>43669</v>
      </c>
      <c r="B52" s="523" t="n"/>
      <c r="C52" s="196" t="n">
        <v>3190</v>
      </c>
      <c r="D52" s="524">
        <f>D51+C52-B52</f>
        <v/>
      </c>
      <c r="E52" s="545" t="n"/>
      <c r="F52" s="546" t="n"/>
      <c r="G52" s="547">
        <f>G51+F52-E52</f>
        <v/>
      </c>
      <c r="H52" s="200" t="inlineStr">
        <is>
          <t>鉅邁</t>
        </is>
      </c>
      <c r="I52" s="200" t="inlineStr">
        <is>
          <t>現金股利</t>
        </is>
      </c>
      <c r="J52" t="inlineStr">
        <is>
          <t>投資</t>
        </is>
      </c>
      <c r="K52">
        <f>IF(J52="本金",C52+K51,K51)</f>
        <v/>
      </c>
      <c r="L52">
        <f>IF(J52="本金",F52+L51,L51)</f>
        <v/>
      </c>
    </row>
    <row r="53" hidden="1" outlineLevel="1">
      <c r="A53" s="522" t="n">
        <v>43671</v>
      </c>
      <c r="B53" s="523" t="n"/>
      <c r="C53" s="196" t="n">
        <v>3090</v>
      </c>
      <c r="D53" s="524">
        <f>D52+C53-B53</f>
        <v/>
      </c>
      <c r="E53" s="545" t="n"/>
      <c r="F53" s="546" t="n"/>
      <c r="G53" s="547">
        <f>G52+F53-E53</f>
        <v/>
      </c>
      <c r="H53" s="200" t="inlineStr">
        <is>
          <t>亞泰</t>
        </is>
      </c>
      <c r="I53" s="200" t="inlineStr">
        <is>
          <t>現金股利</t>
        </is>
      </c>
      <c r="J53" t="inlineStr">
        <is>
          <t>投資</t>
        </is>
      </c>
      <c r="K53">
        <f>IF(J53="本金",C53+K52,K52)</f>
        <v/>
      </c>
      <c r="L53">
        <f>IF(J53="本金",F53+L52,L52)</f>
        <v/>
      </c>
    </row>
    <row r="54" hidden="1" outlineLevel="1">
      <c r="A54" s="522" t="n">
        <v>43672</v>
      </c>
      <c r="B54" s="523" t="n"/>
      <c r="C54" s="196" t="n">
        <v>7975</v>
      </c>
      <c r="D54" s="524">
        <f>D53+C54-B54</f>
        <v/>
      </c>
      <c r="E54" s="545" t="n"/>
      <c r="F54" s="546" t="n"/>
      <c r="G54" s="547">
        <f>G53+F54-E54</f>
        <v/>
      </c>
      <c r="H54" s="200" t="inlineStr">
        <is>
          <t>奇力新</t>
        </is>
      </c>
      <c r="I54" s="200" t="inlineStr">
        <is>
          <t>現金股利</t>
        </is>
      </c>
      <c r="J54" t="inlineStr">
        <is>
          <t>投資</t>
        </is>
      </c>
      <c r="K54">
        <f>IF(J54="本金",C54+K53,K53)</f>
        <v/>
      </c>
      <c r="L54">
        <f>IF(J54="本金",F54+L53,L53)</f>
        <v/>
      </c>
    </row>
    <row r="55" hidden="1" outlineLevel="1">
      <c r="A55" s="522" t="n">
        <v>43672</v>
      </c>
      <c r="B55" s="523" t="n"/>
      <c r="C55" s="196" t="n">
        <v>2950</v>
      </c>
      <c r="D55" s="524">
        <f>D54+C55-B55</f>
        <v/>
      </c>
      <c r="E55" s="545" t="n"/>
      <c r="F55" s="546" t="n"/>
      <c r="G55" s="547">
        <f>G54+F55-E55</f>
        <v/>
      </c>
      <c r="H55" s="200" t="inlineStr">
        <is>
          <t>鈺緯</t>
        </is>
      </c>
      <c r="I55" s="200" t="inlineStr">
        <is>
          <t>現金股利</t>
        </is>
      </c>
      <c r="J55" t="inlineStr">
        <is>
          <t>投資</t>
        </is>
      </c>
      <c r="K55">
        <f>IF(J55="本金",C55+K54,K54)</f>
        <v/>
      </c>
      <c r="L55">
        <f>IF(J55="本金",F55+L54,L54)</f>
        <v/>
      </c>
    </row>
    <row r="56" hidden="1" outlineLevel="1">
      <c r="A56" s="522" t="n">
        <v>43672</v>
      </c>
      <c r="B56" s="523" t="n"/>
      <c r="C56" s="196" t="n">
        <v>7100</v>
      </c>
      <c r="D56" s="524">
        <f>D55+C56-B56</f>
        <v/>
      </c>
      <c r="E56" s="545" t="n"/>
      <c r="F56" s="546" t="n"/>
      <c r="G56" s="547">
        <f>G55+F56-E56</f>
        <v/>
      </c>
      <c r="H56" s="200" t="inlineStr">
        <is>
          <t>南亞科</t>
        </is>
      </c>
      <c r="I56" s="200" t="inlineStr">
        <is>
          <t>現金股利</t>
        </is>
      </c>
      <c r="J56" t="inlineStr">
        <is>
          <t>投資</t>
        </is>
      </c>
      <c r="K56">
        <f>IF(J56="本金",C56+K55,K55)</f>
        <v/>
      </c>
      <c r="L56">
        <f>IF(J56="本金",F56+L55,L55)</f>
        <v/>
      </c>
    </row>
    <row r="57" hidden="1" outlineLevel="1">
      <c r="A57" s="522" t="n">
        <v>43677</v>
      </c>
      <c r="B57" s="523" t="n"/>
      <c r="C57" s="196" t="n">
        <v>1490</v>
      </c>
      <c r="D57" s="524">
        <f>D56+C57-B57</f>
        <v/>
      </c>
      <c r="E57" s="545" t="n"/>
      <c r="F57" s="546" t="n"/>
      <c r="G57" s="547">
        <f>G56+F57-E57</f>
        <v/>
      </c>
      <c r="H57" s="200" t="inlineStr">
        <is>
          <t>承啟</t>
        </is>
      </c>
      <c r="I57" s="200" t="inlineStr">
        <is>
          <t>現金股利</t>
        </is>
      </c>
      <c r="J57" t="inlineStr">
        <is>
          <t>投資</t>
        </is>
      </c>
      <c r="K57">
        <f>IF(J57="本金",C57+K56,K56)</f>
        <v/>
      </c>
      <c r="L57">
        <f>IF(J57="本金",F57+L56,L56)</f>
        <v/>
      </c>
    </row>
    <row r="58" hidden="1" outlineLevel="1">
      <c r="A58" s="522" t="n">
        <v>43677</v>
      </c>
      <c r="B58" s="523" t="n"/>
      <c r="C58" s="196" t="n">
        <v>6990</v>
      </c>
      <c r="D58" s="524">
        <f>D57+C58-B58</f>
        <v/>
      </c>
      <c r="E58" s="545" t="n"/>
      <c r="F58" s="546" t="n"/>
      <c r="G58" s="547">
        <f>G57+F58-E58</f>
        <v/>
      </c>
      <c r="H58" s="200" t="inlineStr">
        <is>
          <t>瑞儀</t>
        </is>
      </c>
      <c r="I58" s="200" t="inlineStr">
        <is>
          <t>現金股利</t>
        </is>
      </c>
      <c r="J58" t="inlineStr">
        <is>
          <t>投資</t>
        </is>
      </c>
      <c r="K58">
        <f>IF(J58="本金",C58+K57,K57)</f>
        <v/>
      </c>
      <c r="L58">
        <f>IF(J58="本金",F58+L57,L57)</f>
        <v/>
      </c>
    </row>
    <row r="59" hidden="1" outlineLevel="1">
      <c r="A59" s="522" t="n">
        <v>43679</v>
      </c>
      <c r="B59" s="523" t="n"/>
      <c r="C59" s="196" t="n">
        <v>4990</v>
      </c>
      <c r="D59" s="524">
        <f>D58+C59-B59</f>
        <v/>
      </c>
      <c r="E59" s="545" t="n"/>
      <c r="F59" s="546" t="n"/>
      <c r="G59" s="547">
        <f>G58+F59-E59</f>
        <v/>
      </c>
      <c r="H59" s="200" t="inlineStr">
        <is>
          <t>朋程</t>
        </is>
      </c>
      <c r="I59" s="200" t="inlineStr">
        <is>
          <t>現金股利</t>
        </is>
      </c>
      <c r="J59" t="inlineStr">
        <is>
          <t>投資</t>
        </is>
      </c>
      <c r="K59">
        <f>IF(J59="本金",C59+K58,K58)</f>
        <v/>
      </c>
      <c r="L59">
        <f>IF(J59="本金",F59+L58,L58)</f>
        <v/>
      </c>
    </row>
    <row r="60" hidden="1" outlineLevel="1">
      <c r="A60" s="522" t="n">
        <v>43679</v>
      </c>
      <c r="B60" s="523" t="n"/>
      <c r="C60" s="196" t="n">
        <v>3360</v>
      </c>
      <c r="D60" s="524">
        <f>D59+C60-B60</f>
        <v/>
      </c>
      <c r="E60" s="545" t="n"/>
      <c r="F60" s="546" t="n"/>
      <c r="G60" s="547">
        <f>G59+F60-E60</f>
        <v/>
      </c>
      <c r="H60" s="200" t="inlineStr">
        <is>
          <t>光隆</t>
        </is>
      </c>
      <c r="I60" s="200" t="inlineStr">
        <is>
          <t>現金股利</t>
        </is>
      </c>
      <c r="J60" t="inlineStr">
        <is>
          <t>投資</t>
        </is>
      </c>
      <c r="K60">
        <f>IF(J60="本金",C60+K59,K59)</f>
        <v/>
      </c>
      <c r="L60">
        <f>IF(J60="本金",F60+L59,L59)</f>
        <v/>
      </c>
    </row>
    <row r="61" hidden="1" outlineLevel="1">
      <c r="A61" s="518" t="n">
        <v>43689</v>
      </c>
      <c r="B61" s="519" t="n"/>
      <c r="C61" s="148" t="n">
        <v>521</v>
      </c>
      <c r="D61" s="520">
        <f>D60+C61-B61</f>
        <v/>
      </c>
      <c r="E61" s="542" t="n"/>
      <c r="F61" s="543" t="n"/>
      <c r="G61" s="544">
        <f>G60+F61-E61</f>
        <v/>
      </c>
      <c r="H61" s="152" t="inlineStr">
        <is>
          <t>折讓入帳</t>
        </is>
      </c>
      <c r="I61" s="152" t="n"/>
      <c r="J61" t="inlineStr">
        <is>
          <t>投資</t>
        </is>
      </c>
      <c r="K61">
        <f>IF(J61="本金",C61+K60,K60)</f>
        <v/>
      </c>
      <c r="L61">
        <f>IF(J61="本金",F61+L60,L60)</f>
        <v/>
      </c>
    </row>
    <row r="62" hidden="1" outlineLevel="1">
      <c r="A62" s="513" t="n">
        <v>43820</v>
      </c>
      <c r="B62" s="514" t="n"/>
      <c r="C62" s="154" t="n">
        <v>366</v>
      </c>
      <c r="D62" s="515">
        <f>D61+C62-B62</f>
        <v/>
      </c>
      <c r="E62" s="538" t="n"/>
      <c r="F62" s="539" t="n"/>
      <c r="G62" s="540">
        <f>G61+F62-E62</f>
        <v/>
      </c>
      <c r="H62" s="158" t="inlineStr">
        <is>
          <t>利息</t>
        </is>
      </c>
      <c r="I62" s="159" t="n"/>
      <c r="J62" t="inlineStr">
        <is>
          <t>投資</t>
        </is>
      </c>
      <c r="K62">
        <f>IF(J62="本金",C62+K61,K61)</f>
        <v/>
      </c>
      <c r="L62">
        <f>IF(J62="本金",F62+L61,L61)</f>
        <v/>
      </c>
    </row>
    <row r="63" hidden="1" outlineLevel="1">
      <c r="A63" s="508" t="n">
        <v>43830</v>
      </c>
      <c r="B63" s="509" t="n">
        <v>460</v>
      </c>
      <c r="C63" s="123" t="n"/>
      <c r="D63" s="510">
        <f>D62+C63-B63</f>
        <v/>
      </c>
      <c r="E63" s="535" t="n"/>
      <c r="F63" s="541" t="n"/>
      <c r="G63" s="537">
        <f>G62+F63-E63</f>
        <v/>
      </c>
      <c r="H63" s="65" t="inlineStr">
        <is>
          <t>承銷申購</t>
        </is>
      </c>
      <c r="I63" s="65" t="n"/>
      <c r="J63" t="inlineStr">
        <is>
          <t>投資</t>
        </is>
      </c>
      <c r="K63">
        <f>IF(J63="本金",C63+K62,K62)</f>
        <v/>
      </c>
      <c r="L63">
        <f>IF(J63="本金",F63+L62,L62)</f>
        <v/>
      </c>
    </row>
    <row r="64" hidden="1" outlineLevel="1" customFormat="1" s="65">
      <c r="A64" s="513" t="n">
        <v>44003</v>
      </c>
      <c r="B64" s="514" t="n"/>
      <c r="C64" s="154" t="n">
        <v>292</v>
      </c>
      <c r="D64" s="515">
        <f>D63+C64-B64</f>
        <v/>
      </c>
      <c r="E64" s="538" t="n"/>
      <c r="F64" s="539" t="n"/>
      <c r="G64" s="540">
        <f>G63+F64-E64</f>
        <v/>
      </c>
      <c r="H64" s="158" t="inlineStr">
        <is>
          <t>利息</t>
        </is>
      </c>
      <c r="I64" s="159" t="n"/>
      <c r="J64" t="inlineStr">
        <is>
          <t>投資</t>
        </is>
      </c>
      <c r="K64">
        <f>IF(J64="本金",C64+K63,K63)</f>
        <v/>
      </c>
      <c r="L64">
        <f>IF(J64="本金",F64+L63,L63)</f>
        <v/>
      </c>
    </row>
    <row r="65" hidden="1" outlineLevel="1" customFormat="1" s="65">
      <c r="A65" s="508" t="n">
        <v>44006</v>
      </c>
      <c r="B65" s="509" t="n">
        <v>39806</v>
      </c>
      <c r="C65" s="123" t="n"/>
      <c r="D65" s="510">
        <f>D64+C65-B65</f>
        <v/>
      </c>
      <c r="E65" s="535" t="n"/>
      <c r="F65" s="541" t="n"/>
      <c r="G65" s="537">
        <f>G64+F65-E65</f>
        <v/>
      </c>
      <c r="H65" s="65" t="inlineStr">
        <is>
          <t>東陽</t>
        </is>
      </c>
      <c r="J65" t="inlineStr">
        <is>
          <t>投資</t>
        </is>
      </c>
      <c r="K65">
        <f>IF(J65="本金",C65+K64,K64)</f>
        <v/>
      </c>
      <c r="L65">
        <f>IF(J65="本金",F65+L64,L64)</f>
        <v/>
      </c>
    </row>
    <row r="66" hidden="1" outlineLevel="1" customFormat="1" s="65">
      <c r="A66" s="508" t="n">
        <v>44007</v>
      </c>
      <c r="B66" s="509" t="n">
        <v>246851</v>
      </c>
      <c r="C66" s="123" t="n"/>
      <c r="D66" s="510">
        <f>D65+C66-B66</f>
        <v/>
      </c>
      <c r="E66" s="535" t="n"/>
      <c r="F66" s="541" t="n"/>
      <c r="G66" s="537">
        <f>G65+F66-E66</f>
        <v/>
      </c>
      <c r="H66" s="65" t="inlineStr">
        <is>
          <t>華碩</t>
        </is>
      </c>
      <c r="J66" t="inlineStr">
        <is>
          <t>投資</t>
        </is>
      </c>
      <c r="K66">
        <f>IF(J66="本金",C66+K65,K65)</f>
        <v/>
      </c>
      <c r="L66">
        <f>IF(J66="本金",F66+L65,L65)</f>
        <v/>
      </c>
    </row>
    <row r="67" hidden="1" outlineLevel="1" customFormat="1" s="65">
      <c r="A67" s="508" t="n">
        <v>44017</v>
      </c>
      <c r="B67" s="509" t="n">
        <v>49118</v>
      </c>
      <c r="C67" s="123" t="n"/>
      <c r="D67" s="510">
        <f>D66+C67-B67</f>
        <v/>
      </c>
      <c r="E67" s="535" t="n"/>
      <c r="F67" s="541" t="n"/>
      <c r="G67" s="537">
        <f>G66+F67-E67</f>
        <v/>
      </c>
      <c r="H67" s="65" t="inlineStr">
        <is>
          <t>全台</t>
        </is>
      </c>
      <c r="J67" t="inlineStr">
        <is>
          <t>投資</t>
        </is>
      </c>
      <c r="K67">
        <f>IF(J67="本金",C67+K66,K66)</f>
        <v/>
      </c>
      <c r="L67">
        <f>IF(J67="本金",F67+L66,L66)</f>
        <v/>
      </c>
    </row>
    <row r="68" hidden="1" outlineLevel="1" customFormat="1" s="65">
      <c r="A68" s="518" t="n">
        <v>44022</v>
      </c>
      <c r="B68" s="519" t="n"/>
      <c r="C68" s="148" t="n">
        <v>162</v>
      </c>
      <c r="D68" s="520">
        <f>D67+C68-B68</f>
        <v/>
      </c>
      <c r="E68" s="542" t="n"/>
      <c r="F68" s="543" t="n"/>
      <c r="G68" s="544">
        <f>G67+F68-E68</f>
        <v/>
      </c>
      <c r="H68" s="152" t="inlineStr">
        <is>
          <t>折讓入帳</t>
        </is>
      </c>
      <c r="I68" s="152" t="n"/>
      <c r="J68" t="inlineStr">
        <is>
          <t>投資</t>
        </is>
      </c>
      <c r="K68">
        <f>IF(J68="本金",C68+K67,K67)</f>
        <v/>
      </c>
      <c r="L68">
        <f>IF(J68="本金",F68+L67,L67)</f>
        <v/>
      </c>
    </row>
    <row r="69" hidden="1" outlineLevel="1" customFormat="1" s="65">
      <c r="A69" s="508" t="n">
        <v>44027</v>
      </c>
      <c r="B69" s="509" t="n"/>
      <c r="C69" s="123" t="n">
        <v>39127</v>
      </c>
      <c r="D69" s="510">
        <f>D68+C69-B69</f>
        <v/>
      </c>
      <c r="E69" s="535" t="n"/>
      <c r="F69" s="541" t="n"/>
      <c r="G69" s="537">
        <f>G68+F69-E69</f>
        <v/>
      </c>
      <c r="H69" s="65" t="inlineStr">
        <is>
          <t>全台</t>
        </is>
      </c>
      <c r="J69" t="inlineStr">
        <is>
          <t>投資</t>
        </is>
      </c>
      <c r="K69">
        <f>IF(J69="本金",C69+K68,K68)</f>
        <v/>
      </c>
      <c r="L69">
        <f>IF(J69="本金",F69+L68,L68)</f>
        <v/>
      </c>
    </row>
    <row r="70" hidden="1" outlineLevel="1" customFormat="1" s="65">
      <c r="A70" s="522" t="n">
        <v>44029</v>
      </c>
      <c r="B70" s="523" t="n"/>
      <c r="C70" s="196" t="n">
        <v>1790</v>
      </c>
      <c r="D70" s="524">
        <f>D69+C70-B70</f>
        <v/>
      </c>
      <c r="E70" s="545" t="n"/>
      <c r="F70" s="546" t="n"/>
      <c r="G70" s="547">
        <f>G69+F70-E70</f>
        <v/>
      </c>
      <c r="H70" s="200" t="inlineStr">
        <is>
          <t>東陽現金股</t>
        </is>
      </c>
      <c r="I70" s="200" t="inlineStr">
        <is>
          <t>現金股利</t>
        </is>
      </c>
      <c r="J70" t="inlineStr">
        <is>
          <t>投資</t>
        </is>
      </c>
      <c r="K70">
        <f>IF(J70="本金",C70+K69,K69)</f>
        <v/>
      </c>
      <c r="L70">
        <f>IF(J70="本金",F70+L69,L69)</f>
        <v/>
      </c>
    </row>
    <row r="71" hidden="1" outlineLevel="1" customFormat="1" s="65">
      <c r="A71" s="522" t="n">
        <v>44035</v>
      </c>
      <c r="B71" s="523" t="n"/>
      <c r="C71" s="196" t="n">
        <v>13990</v>
      </c>
      <c r="D71" s="524">
        <f>D70+C71-B71</f>
        <v/>
      </c>
      <c r="E71" s="545" t="n"/>
      <c r="F71" s="546" t="n"/>
      <c r="G71" s="547">
        <f>G70+F71-E71</f>
        <v/>
      </c>
      <c r="H71" s="200" t="inlineStr">
        <is>
          <t>華碩電腦現金股</t>
        </is>
      </c>
      <c r="I71" s="200" t="inlineStr">
        <is>
          <t>現金股利</t>
        </is>
      </c>
      <c r="J71" t="inlineStr">
        <is>
          <t>投資</t>
        </is>
      </c>
      <c r="K71">
        <f>IF(J71="本金",C71+K70,K70)</f>
        <v/>
      </c>
      <c r="L71">
        <f>IF(J71="本金",F71+L70,L70)</f>
        <v/>
      </c>
    </row>
    <row r="72" hidden="1" outlineLevel="1" customFormat="1" s="65">
      <c r="A72" s="508" t="n">
        <v>44042</v>
      </c>
      <c r="B72" s="509" t="n"/>
      <c r="C72" s="123" t="n">
        <v>34050</v>
      </c>
      <c r="D72" s="510">
        <f>D71+C72-B72</f>
        <v/>
      </c>
      <c r="E72" s="535" t="n"/>
      <c r="F72" s="541" t="n"/>
      <c r="G72" s="537">
        <f>G71+F72-E72</f>
        <v/>
      </c>
      <c r="H72" s="65" t="inlineStr">
        <is>
          <t>東陽</t>
        </is>
      </c>
      <c r="J72" t="inlineStr">
        <is>
          <t>投資</t>
        </is>
      </c>
      <c r="K72">
        <f>IF(J72="本金",C72+K71,K71)</f>
        <v/>
      </c>
      <c r="L72">
        <f>IF(J72="本金",F72+L71,L71)</f>
        <v/>
      </c>
    </row>
    <row r="73" hidden="1" outlineLevel="1" customFormat="1" s="65">
      <c r="A73" s="518" t="n">
        <v>44053</v>
      </c>
      <c r="B73" s="519" t="n"/>
      <c r="C73" s="148" t="n">
        <v>67</v>
      </c>
      <c r="D73" s="520">
        <f>D72+C73-B73</f>
        <v/>
      </c>
      <c r="E73" s="542" t="n"/>
      <c r="F73" s="543" t="n"/>
      <c r="G73" s="544">
        <f>G72+F73-E73</f>
        <v/>
      </c>
      <c r="H73" s="152" t="inlineStr">
        <is>
          <t>折讓入帳</t>
        </is>
      </c>
      <c r="I73" s="152" t="n"/>
      <c r="J73" t="inlineStr">
        <is>
          <t>投資</t>
        </is>
      </c>
      <c r="K73">
        <f>IF(J73="本金",C73+K72,K72)</f>
        <v/>
      </c>
      <c r="L73">
        <f>IF(J73="本金",F73+L72,L72)</f>
        <v/>
      </c>
    </row>
    <row r="74" hidden="1" outlineLevel="1" customFormat="1" s="65">
      <c r="A74" s="508" t="n">
        <v>44063</v>
      </c>
      <c r="B74" s="509" t="n">
        <v>265878</v>
      </c>
      <c r="C74" s="123" t="n"/>
      <c r="D74" s="510">
        <f>D73+C74-B74</f>
        <v/>
      </c>
      <c r="E74" s="535" t="n"/>
      <c r="F74" s="541" t="n"/>
      <c r="G74" s="537">
        <f>G73+F74-E74</f>
        <v/>
      </c>
      <c r="H74" s="65" t="inlineStr">
        <is>
          <t>聯詠</t>
        </is>
      </c>
      <c r="J74" t="inlineStr">
        <is>
          <t>投資</t>
        </is>
      </c>
      <c r="K74">
        <f>IF(J74="本金",C74+K73,K73)</f>
        <v/>
      </c>
      <c r="L74">
        <f>IF(J74="本金",F74+L73,L73)</f>
        <v/>
      </c>
    </row>
    <row r="75" hidden="1" outlineLevel="1" customFormat="1" s="65">
      <c r="A75" s="508" t="n">
        <v>44071</v>
      </c>
      <c r="B75" s="509" t="n"/>
      <c r="C75" s="123" t="n">
        <v>251881</v>
      </c>
      <c r="D75" s="510">
        <f>D74+C75-B75</f>
        <v/>
      </c>
      <c r="E75" s="535" t="n"/>
      <c r="F75" s="541" t="n"/>
      <c r="G75" s="537">
        <f>G74+F75-E75</f>
        <v/>
      </c>
      <c r="H75" s="65" t="inlineStr">
        <is>
          <t>華碩</t>
        </is>
      </c>
      <c r="J75" t="inlineStr">
        <is>
          <t>投資</t>
        </is>
      </c>
      <c r="K75">
        <f>IF(J75="本金",C75+K74,K74)</f>
        <v/>
      </c>
      <c r="L75">
        <f>IF(J75="本金",F75+L74,L74)</f>
        <v/>
      </c>
    </row>
    <row r="76" hidden="1" outlineLevel="1" customFormat="1" s="65">
      <c r="A76" s="508" t="n">
        <v>44071</v>
      </c>
      <c r="B76" s="509" t="n">
        <v>68797</v>
      </c>
      <c r="C76" s="123" t="n"/>
      <c r="D76" s="510">
        <f>D75+C76-B76</f>
        <v/>
      </c>
      <c r="E76" s="535" t="n"/>
      <c r="F76" s="541" t="n"/>
      <c r="G76" s="537">
        <f>G75+F76-E76</f>
        <v/>
      </c>
      <c r="H76" s="65" t="inlineStr">
        <is>
          <t>新晶投控</t>
        </is>
      </c>
      <c r="J76" t="inlineStr">
        <is>
          <t>投資</t>
        </is>
      </c>
      <c r="K76">
        <f>IF(J76="本金",C76+K75,K75)</f>
        <v/>
      </c>
      <c r="L76">
        <f>IF(J76="本金",F76+L75,L75)</f>
        <v/>
      </c>
    </row>
    <row r="77" hidden="1" outlineLevel="1" customFormat="1" s="65">
      <c r="A77" s="508" t="n">
        <v>44072</v>
      </c>
      <c r="B77" s="509" t="n">
        <v>17424</v>
      </c>
      <c r="C77" s="123" t="n"/>
      <c r="D77" s="510">
        <f>D76+C77-B77</f>
        <v/>
      </c>
      <c r="E77" s="535" t="n"/>
      <c r="F77" s="541" t="n"/>
      <c r="G77" s="537">
        <f>G76+F77-E77</f>
        <v/>
      </c>
      <c r="H77" s="65" t="inlineStr">
        <is>
          <t>亞元</t>
        </is>
      </c>
      <c r="J77" t="inlineStr">
        <is>
          <t>投資</t>
        </is>
      </c>
      <c r="K77">
        <f>IF(J77="本金",C77+K76,K76)</f>
        <v/>
      </c>
      <c r="L77">
        <f>IF(J77="本金",F77+L76,L76)</f>
        <v/>
      </c>
    </row>
    <row r="78" hidden="1" outlineLevel="1" customFormat="1" s="65">
      <c r="A78" s="508" t="n">
        <v>44072</v>
      </c>
      <c r="B78" s="509" t="n">
        <v>47517</v>
      </c>
      <c r="C78" s="123" t="n"/>
      <c r="D78" s="510">
        <f>D77+C78-B78</f>
        <v/>
      </c>
      <c r="E78" s="535" t="n"/>
      <c r="F78" s="541" t="n"/>
      <c r="G78" s="537">
        <f>G77+F78-E78</f>
        <v/>
      </c>
      <c r="H78" s="65" t="inlineStr">
        <is>
          <t>維熹</t>
        </is>
      </c>
      <c r="J78" t="inlineStr">
        <is>
          <t>投資</t>
        </is>
      </c>
      <c r="K78">
        <f>IF(J78="本金",C78+K77,K77)</f>
        <v/>
      </c>
      <c r="L78">
        <f>IF(J78="本金",F78+L77,L77)</f>
        <v/>
      </c>
    </row>
    <row r="79" hidden="1" outlineLevel="1" customFormat="1" s="65">
      <c r="A79" s="508" t="n">
        <v>44078</v>
      </c>
      <c r="B79" s="509" t="n"/>
      <c r="C79" s="123" t="n">
        <v>16278</v>
      </c>
      <c r="D79" s="510">
        <f>D78+C79-B79</f>
        <v/>
      </c>
      <c r="E79" s="535" t="n"/>
      <c r="F79" s="541" t="n"/>
      <c r="G79" s="537">
        <f>G78+F79-E79</f>
        <v/>
      </c>
      <c r="H79" s="65" t="inlineStr">
        <is>
          <t>亞元</t>
        </is>
      </c>
      <c r="J79" t="inlineStr">
        <is>
          <t>投資</t>
        </is>
      </c>
      <c r="K79">
        <f>IF(J79="本金",C79+K78,K78)</f>
        <v/>
      </c>
      <c r="L79">
        <f>IF(J79="本金",F79+L78,L78)</f>
        <v/>
      </c>
    </row>
    <row r="80" hidden="1" outlineLevel="1" customFormat="1" s="65">
      <c r="A80" s="508" t="n">
        <v>44079</v>
      </c>
      <c r="B80" s="509" t="n">
        <v>36552</v>
      </c>
      <c r="C80" s="123" t="n"/>
      <c r="D80" s="510">
        <f>D79+C80-B80</f>
        <v/>
      </c>
      <c r="E80" s="535" t="n"/>
      <c r="F80" s="541" t="n"/>
      <c r="G80" s="537">
        <f>G79+F80-E80</f>
        <v/>
      </c>
      <c r="H80" s="65" t="inlineStr">
        <is>
          <t>全漢</t>
        </is>
      </c>
      <c r="J80" t="inlineStr">
        <is>
          <t>投資</t>
        </is>
      </c>
      <c r="K80">
        <f>IF(J80="本金",C80+K79,K79)</f>
        <v/>
      </c>
      <c r="L80">
        <f>IF(J80="本金",F80+L79,L79)</f>
        <v/>
      </c>
    </row>
    <row r="81" hidden="1" outlineLevel="1" customFormat="1" s="65">
      <c r="A81" s="508" t="n">
        <v>44083</v>
      </c>
      <c r="B81" s="509" t="n"/>
      <c r="C81" s="123" t="n">
        <v>34398</v>
      </c>
      <c r="D81" s="510">
        <f>D80+C81-B81</f>
        <v/>
      </c>
      <c r="E81" s="535" t="n"/>
      <c r="F81" s="541" t="n"/>
      <c r="G81" s="537">
        <f>G80+F81-E81</f>
        <v/>
      </c>
      <c r="H81" s="65" t="inlineStr">
        <is>
          <t>全漢</t>
        </is>
      </c>
      <c r="J81" t="inlineStr">
        <is>
          <t>投資</t>
        </is>
      </c>
      <c r="K81">
        <f>IF(J81="本金",C81+K80,K80)</f>
        <v/>
      </c>
      <c r="L81">
        <f>IF(J81="本金",F81+L80,L80)</f>
        <v/>
      </c>
    </row>
    <row r="82" hidden="1" outlineLevel="1" customFormat="1" s="65">
      <c r="A82" s="518" t="n">
        <v>44084</v>
      </c>
      <c r="B82" s="519" t="n"/>
      <c r="C82" s="148" t="n">
        <v>368</v>
      </c>
      <c r="D82" s="520">
        <f>D81+C82-B82</f>
        <v/>
      </c>
      <c r="E82" s="542" t="n"/>
      <c r="F82" s="543" t="n"/>
      <c r="G82" s="544">
        <f>G81+F82-E82</f>
        <v/>
      </c>
      <c r="H82" s="152" t="inlineStr">
        <is>
          <t>折讓入帳</t>
        </is>
      </c>
      <c r="I82" s="152" t="n"/>
      <c r="J82" t="inlineStr">
        <is>
          <t>投資</t>
        </is>
      </c>
      <c r="K82">
        <f>IF(J82="本金",C82+K81,K81)</f>
        <v/>
      </c>
      <c r="L82">
        <f>IF(J82="本金",F82+L81,L81)</f>
        <v/>
      </c>
    </row>
    <row r="83" hidden="1" outlineLevel="1" customFormat="1" s="65">
      <c r="A83" s="508" t="n">
        <v>44089</v>
      </c>
      <c r="B83" s="509" t="n"/>
      <c r="C83" s="123" t="n">
        <v>46345</v>
      </c>
      <c r="D83" s="510">
        <f>D82+C83-B83</f>
        <v/>
      </c>
      <c r="E83" s="535" t="n"/>
      <c r="F83" s="541" t="n"/>
      <c r="G83" s="537">
        <f>G82+F83-E83</f>
        <v/>
      </c>
      <c r="H83" s="65" t="inlineStr">
        <is>
          <t>維熹</t>
        </is>
      </c>
      <c r="J83" t="inlineStr">
        <is>
          <t>投資</t>
        </is>
      </c>
      <c r="K83">
        <f>IF(J83="本金",C83+K82,K82)</f>
        <v/>
      </c>
      <c r="L83">
        <f>IF(J83="本金",F83+L82,L82)</f>
        <v/>
      </c>
    </row>
    <row r="84" hidden="1" outlineLevel="1" customFormat="1" s="65">
      <c r="A84" s="508" t="n">
        <v>44091</v>
      </c>
      <c r="B84" s="509" t="n"/>
      <c r="C84" s="123" t="n">
        <v>68995</v>
      </c>
      <c r="D84" s="510">
        <f>D83+C84-B84</f>
        <v/>
      </c>
      <c r="E84" s="535" t="n"/>
      <c r="F84" s="541" t="n"/>
      <c r="G84" s="537">
        <f>G83+F84-E84</f>
        <v/>
      </c>
      <c r="H84" s="65" t="inlineStr">
        <is>
          <t>新晶投控</t>
        </is>
      </c>
      <c r="J84" t="inlineStr">
        <is>
          <t>投資</t>
        </is>
      </c>
      <c r="K84">
        <f>IF(J84="本金",C84+K83,K83)</f>
        <v/>
      </c>
      <c r="L84">
        <f>IF(J84="本金",F84+L83,L83)</f>
        <v/>
      </c>
    </row>
    <row r="85" hidden="1" outlineLevel="1" customFormat="1" s="65">
      <c r="A85" s="518" t="n">
        <v>44112</v>
      </c>
      <c r="B85" s="519" t="n"/>
      <c r="C85" s="148" t="n">
        <v>113</v>
      </c>
      <c r="D85" s="520">
        <f>D84+C85-B85</f>
        <v/>
      </c>
      <c r="E85" s="542" t="n"/>
      <c r="F85" s="543" t="n"/>
      <c r="G85" s="544">
        <f>G84+F85-E85</f>
        <v/>
      </c>
      <c r="H85" s="152" t="inlineStr">
        <is>
          <t>折讓入帳</t>
        </is>
      </c>
      <c r="I85" s="152" t="n"/>
      <c r="J85" t="inlineStr">
        <is>
          <t>投資</t>
        </is>
      </c>
      <c r="K85">
        <f>IF(J85="本金",C85+K84,K84)</f>
        <v/>
      </c>
      <c r="L85">
        <f>IF(J85="本金",F85+L84,L84)</f>
        <v/>
      </c>
    </row>
    <row r="86" hidden="1" outlineLevel="1" customFormat="1" s="65">
      <c r="A86" s="508" t="n">
        <v>44136</v>
      </c>
      <c r="B86" s="509" t="n">
        <v>39055</v>
      </c>
      <c r="C86" s="123" t="n"/>
      <c r="D86" s="510">
        <f>D85+C86-B86</f>
        <v/>
      </c>
      <c r="E86" s="535" t="n"/>
      <c r="F86" s="541" t="n"/>
      <c r="G86" s="537">
        <f>G85+F86-E86</f>
        <v/>
      </c>
      <c r="H86" s="65" t="inlineStr">
        <is>
          <t>天宇</t>
        </is>
      </c>
      <c r="J86" t="inlineStr">
        <is>
          <t>投資</t>
        </is>
      </c>
      <c r="K86">
        <f>IF(J86="本金",C86+K85,K85)</f>
        <v/>
      </c>
      <c r="L86">
        <f>IF(J86="本金",F86+L85,L85)</f>
        <v/>
      </c>
    </row>
    <row r="87" hidden="1" outlineLevel="1" customFormat="1" s="65">
      <c r="A87" s="518" t="n">
        <v>44145</v>
      </c>
      <c r="B87" s="519" t="n"/>
      <c r="C87" s="148" t="n">
        <v>22</v>
      </c>
      <c r="D87" s="520">
        <f>D86+C87-B87</f>
        <v/>
      </c>
      <c r="E87" s="542" t="n"/>
      <c r="F87" s="543" t="n"/>
      <c r="G87" s="544">
        <f>G86+F87-E87</f>
        <v/>
      </c>
      <c r="H87" s="152" t="inlineStr">
        <is>
          <t>折讓入帳</t>
        </is>
      </c>
      <c r="I87" s="152" t="n"/>
      <c r="J87" t="inlineStr">
        <is>
          <t>投資</t>
        </is>
      </c>
      <c r="K87">
        <f>IF(J87="本金",C87+K86,K86)</f>
        <v/>
      </c>
      <c r="L87">
        <f>IF(J87="本金",F87+L86,L86)</f>
        <v/>
      </c>
    </row>
    <row r="88" hidden="1" outlineLevel="1" customFormat="1" s="65">
      <c r="A88" s="508" t="n">
        <v>44146</v>
      </c>
      <c r="B88" s="509" t="n"/>
      <c r="C88" s="123" t="n">
        <v>295686</v>
      </c>
      <c r="D88" s="510">
        <f>D87+C88-B88</f>
        <v/>
      </c>
      <c r="E88" s="535" t="n"/>
      <c r="F88" s="541" t="n"/>
      <c r="G88" s="537">
        <f>G87+F88-E88</f>
        <v/>
      </c>
      <c r="H88" s="65" t="inlineStr">
        <is>
          <t>聯詠</t>
        </is>
      </c>
      <c r="J88" t="inlineStr">
        <is>
          <t>投資</t>
        </is>
      </c>
      <c r="K88">
        <f>IF(J88="本金",C88+K87,K87)</f>
        <v/>
      </c>
      <c r="L88">
        <f>IF(J88="本金",F88+L87,L87)</f>
        <v/>
      </c>
    </row>
    <row r="89" hidden="1" outlineLevel="1" customFormat="1" s="65">
      <c r="A89" s="508" t="n">
        <v>44136</v>
      </c>
      <c r="B89" s="509" t="n"/>
      <c r="C89" s="123" t="n">
        <v>38679</v>
      </c>
      <c r="D89" s="510">
        <f>D88+C89-B89</f>
        <v/>
      </c>
      <c r="E89" s="535" t="n"/>
      <c r="F89" s="541" t="n"/>
      <c r="G89" s="537">
        <f>G88+F89-E89</f>
        <v/>
      </c>
      <c r="H89" s="65" t="inlineStr">
        <is>
          <t>天宇</t>
        </is>
      </c>
      <c r="J89" t="inlineStr">
        <is>
          <t>投資</t>
        </is>
      </c>
      <c r="K89">
        <f>IF(J89="本金",C89+K88,K88)</f>
        <v/>
      </c>
      <c r="L89">
        <f>IF(J89="本金",F89+L88,L88)</f>
        <v/>
      </c>
    </row>
    <row r="90" hidden="1" outlineLevel="1" customFormat="1" s="65">
      <c r="A90" s="508" t="n">
        <v>44159</v>
      </c>
      <c r="B90" s="509" t="n">
        <v>34749</v>
      </c>
      <c r="C90" s="123" t="n"/>
      <c r="D90" s="510">
        <f>D89+C90-B90</f>
        <v/>
      </c>
      <c r="E90" s="535" t="n"/>
      <c r="F90" s="541" t="n"/>
      <c r="G90" s="537">
        <f>G89+F90-E90</f>
        <v/>
      </c>
      <c r="H90" s="65" t="inlineStr">
        <is>
          <t>大立光</t>
        </is>
      </c>
      <c r="J90" t="inlineStr">
        <is>
          <t>投資</t>
        </is>
      </c>
      <c r="K90">
        <f>IF(J90="本金",C90+K89,K89)</f>
        <v/>
      </c>
      <c r="L90">
        <f>IF(J90="本金",F90+L89,L89)</f>
        <v/>
      </c>
    </row>
    <row r="91" hidden="1" outlineLevel="1" customFormat="1" s="65">
      <c r="A91" s="527" t="n">
        <v>44159</v>
      </c>
      <c r="B91" s="528" t="n"/>
      <c r="C91" s="163" t="n">
        <v>1000000</v>
      </c>
      <c r="D91" s="529">
        <f>D90+C91-B91</f>
        <v/>
      </c>
      <c r="E91" s="548" t="n"/>
      <c r="F91" s="549" t="n"/>
      <c r="G91" s="550">
        <f>G90+F91-E91</f>
        <v/>
      </c>
      <c r="H91" s="168" t="inlineStr">
        <is>
          <t>曾儀婷</t>
        </is>
      </c>
      <c r="I91" s="168" t="inlineStr">
        <is>
          <t>網路自轉</t>
        </is>
      </c>
      <c r="J91" t="inlineStr">
        <is>
          <t>本金</t>
        </is>
      </c>
      <c r="K91">
        <f>IF(J91="本金",C91+K90,K90)</f>
        <v/>
      </c>
      <c r="L91">
        <f>IF(J91="本金",F91+L90,L90)</f>
        <v/>
      </c>
    </row>
    <row r="92" hidden="1" outlineLevel="1" customFormat="1" s="65">
      <c r="A92" s="508" t="n">
        <v>44160</v>
      </c>
      <c r="B92" s="509" t="n">
        <v>75307</v>
      </c>
      <c r="C92" s="123" t="n"/>
      <c r="D92" s="510">
        <f>D91+C92-B92</f>
        <v/>
      </c>
      <c r="E92" s="535" t="n"/>
      <c r="F92" s="541" t="n"/>
      <c r="G92" s="537">
        <f>G91+F92-E92</f>
        <v/>
      </c>
      <c r="H92" s="65" t="inlineStr">
        <is>
          <t>聯發科</t>
        </is>
      </c>
      <c r="J92" t="inlineStr">
        <is>
          <t>投資</t>
        </is>
      </c>
      <c r="K92">
        <f>IF(J92="本金",C92+K91,K91)</f>
        <v/>
      </c>
      <c r="L92">
        <f>IF(J92="本金",F92+L91,L91)</f>
        <v/>
      </c>
    </row>
    <row r="93" hidden="1" outlineLevel="1" customFormat="1" s="65">
      <c r="A93" s="508" t="n">
        <v>44160</v>
      </c>
      <c r="B93" s="509" t="n">
        <v>38204</v>
      </c>
      <c r="C93" s="123" t="n"/>
      <c r="D93" s="510">
        <f>D92+C93-B93</f>
        <v/>
      </c>
      <c r="E93" s="535" t="n"/>
      <c r="F93" s="541" t="n"/>
      <c r="G93" s="537">
        <f>G92+F93-E93</f>
        <v/>
      </c>
      <c r="H93" s="65" t="inlineStr">
        <is>
          <t>萬海</t>
        </is>
      </c>
      <c r="J93" t="inlineStr">
        <is>
          <t>投資</t>
        </is>
      </c>
      <c r="K93">
        <f>IF(J93="本金",C93+K92,K92)</f>
        <v/>
      </c>
      <c r="L93">
        <f>IF(J93="本金",F93+L92,L92)</f>
        <v/>
      </c>
    </row>
    <row r="94" hidden="1" outlineLevel="1" customFormat="1" s="65">
      <c r="A94" s="508" t="n">
        <v>44160</v>
      </c>
      <c r="B94" s="509" t="n">
        <v>29141</v>
      </c>
      <c r="C94" s="123" t="n"/>
      <c r="D94" s="510">
        <f>D93+C94-B94</f>
        <v/>
      </c>
      <c r="E94" s="535" t="n"/>
      <c r="F94" s="541" t="n"/>
      <c r="G94" s="537">
        <f>G93+F94-E94</f>
        <v/>
      </c>
      <c r="H94" s="65" t="inlineStr">
        <is>
          <t>漢翔</t>
        </is>
      </c>
      <c r="J94" t="inlineStr">
        <is>
          <t>投資</t>
        </is>
      </c>
      <c r="K94">
        <f>IF(J94="本金",C94+K93,K93)</f>
        <v/>
      </c>
      <c r="L94">
        <f>IF(J94="本金",F94+L93,L93)</f>
        <v/>
      </c>
    </row>
    <row r="95" hidden="1" outlineLevel="1" customFormat="1" s="65">
      <c r="A95" s="508" t="n">
        <v>44160</v>
      </c>
      <c r="B95" s="509" t="n">
        <v>41709</v>
      </c>
      <c r="C95" s="123" t="n"/>
      <c r="D95" s="510">
        <f>D94+C95-B95</f>
        <v/>
      </c>
      <c r="E95" s="535" t="n"/>
      <c r="F95" s="541" t="n"/>
      <c r="G95" s="537">
        <f>G94+F95-E95</f>
        <v/>
      </c>
      <c r="H95" s="65" t="inlineStr">
        <is>
          <t>國泰金</t>
        </is>
      </c>
      <c r="J95" t="inlineStr">
        <is>
          <t>投資</t>
        </is>
      </c>
      <c r="K95">
        <f>IF(J95="本金",C95+K94,K94)</f>
        <v/>
      </c>
      <c r="L95">
        <f>IF(J95="本金",F95+L94,L94)</f>
        <v/>
      </c>
    </row>
    <row r="96" hidden="1" outlineLevel="1" customFormat="1" s="65">
      <c r="A96" s="508" t="n">
        <v>44160</v>
      </c>
      <c r="B96" s="509" t="n">
        <v>25636</v>
      </c>
      <c r="C96" s="123" t="n"/>
      <c r="D96" s="510">
        <f>D95+C96-B96</f>
        <v/>
      </c>
      <c r="E96" s="535" t="n"/>
      <c r="F96" s="541" t="n"/>
      <c r="G96" s="537">
        <f>G95+F96-E96</f>
        <v/>
      </c>
      <c r="H96" s="65" t="inlineStr">
        <is>
          <t>玉山金(2884)</t>
        </is>
      </c>
      <c r="J96" t="inlineStr">
        <is>
          <t>投資</t>
        </is>
      </c>
      <c r="K96">
        <f>IF(J96="本金",C96+K95,K95)</f>
        <v/>
      </c>
      <c r="L96">
        <f>IF(J96="本金",F96+L95,L95)</f>
        <v/>
      </c>
    </row>
    <row r="97" hidden="1" outlineLevel="1" customFormat="1" s="65">
      <c r="A97" s="508" t="n">
        <v>44160</v>
      </c>
      <c r="B97" s="509" t="n">
        <v>35400</v>
      </c>
      <c r="C97" s="123" t="n"/>
      <c r="D97" s="510">
        <f>D96+C97-B97</f>
        <v/>
      </c>
      <c r="E97" s="535" t="n"/>
      <c r="F97" s="541" t="n"/>
      <c r="G97" s="537">
        <f>G96+F97-E97</f>
        <v/>
      </c>
      <c r="H97" s="65" t="inlineStr">
        <is>
          <t>聯電</t>
        </is>
      </c>
      <c r="J97" t="inlineStr">
        <is>
          <t>投資</t>
        </is>
      </c>
      <c r="K97">
        <f>IF(J97="本金",C97+K96,K96)</f>
        <v/>
      </c>
      <c r="L97">
        <f>IF(J97="本金",F97+L96,L96)</f>
        <v/>
      </c>
    </row>
    <row r="98" hidden="1" outlineLevel="1" customFormat="1" s="65">
      <c r="A98" s="508" t="n">
        <v>44160</v>
      </c>
      <c r="B98" s="509" t="n">
        <v>110156</v>
      </c>
      <c r="C98" s="123" t="n"/>
      <c r="D98" s="510">
        <f>D97+C98-B98</f>
        <v/>
      </c>
      <c r="E98" s="535" t="n"/>
      <c r="F98" s="541" t="n"/>
      <c r="G98" s="537">
        <f>G97+F98-E98</f>
        <v/>
      </c>
      <c r="H98" s="65" t="inlineStr">
        <is>
          <t>世界</t>
        </is>
      </c>
      <c r="J98" t="inlineStr">
        <is>
          <t>投資</t>
        </is>
      </c>
      <c r="K98">
        <f>IF(J98="本金",C98+K97,K97)</f>
        <v/>
      </c>
      <c r="L98">
        <f>IF(J98="本金",F98+L97,L97)</f>
        <v/>
      </c>
    </row>
    <row r="99" hidden="1" outlineLevel="1" customFormat="1" s="65">
      <c r="A99" s="508" t="n">
        <v>44160</v>
      </c>
      <c r="B99" s="509" t="n">
        <v>9160</v>
      </c>
      <c r="C99" s="123" t="n"/>
      <c r="D99" s="510">
        <f>D98+C99-B99</f>
        <v/>
      </c>
      <c r="E99" s="535" t="n"/>
      <c r="F99" s="541" t="n"/>
      <c r="G99" s="537">
        <f>G98+F99-E99</f>
        <v/>
      </c>
      <c r="H99" s="65" t="inlineStr">
        <is>
          <t>華航</t>
        </is>
      </c>
      <c r="J99" t="inlineStr">
        <is>
          <t>投資</t>
        </is>
      </c>
      <c r="K99">
        <f>IF(J99="本金",C99+K98,K98)</f>
        <v/>
      </c>
      <c r="L99">
        <f>IF(J99="本金",F99+L98,L98)</f>
        <v/>
      </c>
    </row>
    <row r="100" hidden="1" outlineLevel="1" customFormat="1" s="65">
      <c r="A100" s="508" t="n">
        <v>44161</v>
      </c>
      <c r="B100" s="509" t="n">
        <v>40858</v>
      </c>
      <c r="C100" s="123" t="n"/>
      <c r="D100" s="510">
        <f>D99+C100-B100</f>
        <v/>
      </c>
      <c r="E100" s="535" t="n"/>
      <c r="F100" s="541" t="n"/>
      <c r="G100" s="537">
        <f>G99+F100-E100</f>
        <v/>
      </c>
      <c r="H100" s="65" t="inlineStr">
        <is>
          <t>台聚</t>
        </is>
      </c>
      <c r="J100" t="inlineStr">
        <is>
          <t>投資</t>
        </is>
      </c>
      <c r="K100">
        <f>IF(J100="本金",C100+K99,K99)</f>
        <v/>
      </c>
      <c r="L100">
        <f>IF(J100="本金",F100+L99,L99)</f>
        <v/>
      </c>
    </row>
    <row r="101" hidden="1" outlineLevel="1" customFormat="1" s="65">
      <c r="A101" s="508" t="n">
        <v>44161</v>
      </c>
      <c r="B101" s="509" t="n">
        <v>604860</v>
      </c>
      <c r="C101" s="123" t="n"/>
      <c r="D101" s="510">
        <f>D100+C101-B101</f>
        <v/>
      </c>
      <c r="E101" s="535" t="n"/>
      <c r="F101" s="541" t="n"/>
      <c r="G101" s="537">
        <f>G100+F101-E101</f>
        <v/>
      </c>
      <c r="H101" s="65" t="inlineStr">
        <is>
          <t>玉晶光</t>
        </is>
      </c>
      <c r="J101" t="inlineStr">
        <is>
          <t>投資</t>
        </is>
      </c>
      <c r="K101">
        <f>IF(J101="本金",C101+K100,K100)</f>
        <v/>
      </c>
      <c r="L101">
        <f>IF(J101="本金",F101+L100,L100)</f>
        <v/>
      </c>
    </row>
    <row r="102" hidden="1" outlineLevel="1" customFormat="1" s="65">
      <c r="A102" s="508" t="n">
        <v>44163</v>
      </c>
      <c r="B102" s="509" t="n">
        <v>36451</v>
      </c>
      <c r="C102" s="123" t="n"/>
      <c r="D102" s="510">
        <f>D101+C102-B102</f>
        <v/>
      </c>
      <c r="E102" s="535" t="n"/>
      <c r="F102" s="541" t="n"/>
      <c r="G102" s="537">
        <f>G101+F102-E102</f>
        <v/>
      </c>
      <c r="H102" s="65" t="inlineStr">
        <is>
          <t>亞昕</t>
        </is>
      </c>
      <c r="J102" t="inlineStr">
        <is>
          <t>投資</t>
        </is>
      </c>
      <c r="K102">
        <f>IF(J102="本金",C102+K101,K101)</f>
        <v/>
      </c>
      <c r="L102">
        <f>IF(J102="本金",F102+L101,L101)</f>
        <v/>
      </c>
    </row>
    <row r="103" hidden="1" outlineLevel="1" customFormat="1" s="65">
      <c r="A103" s="508" t="n">
        <v>44166</v>
      </c>
      <c r="B103" s="509" t="n">
        <v>72703</v>
      </c>
      <c r="C103" s="123" t="n"/>
      <c r="D103" s="510">
        <f>D102+C103-B103</f>
        <v/>
      </c>
      <c r="E103" s="535" t="n"/>
      <c r="F103" s="541" t="n"/>
      <c r="G103" s="537">
        <f>G102+F103-E103</f>
        <v/>
      </c>
      <c r="H103" s="65" t="inlineStr">
        <is>
          <t>聯發科</t>
        </is>
      </c>
      <c r="J103" t="inlineStr">
        <is>
          <t>投資</t>
        </is>
      </c>
      <c r="K103">
        <f>IF(J103="本金",C103+K102,K102)</f>
        <v/>
      </c>
      <c r="L103">
        <f>IF(J103="本金",F103+L102,L102)</f>
        <v/>
      </c>
    </row>
    <row r="104" hidden="1" outlineLevel="1" customFormat="1" s="65">
      <c r="A104" s="508" t="n">
        <v>44167</v>
      </c>
      <c r="B104" s="509" t="n">
        <v>35049</v>
      </c>
      <c r="C104" s="123" t="n"/>
      <c r="D104" s="510">
        <f>D103+C104-B104</f>
        <v/>
      </c>
      <c r="E104" s="535" t="n"/>
      <c r="F104" s="541" t="n"/>
      <c r="G104" s="537">
        <f>G103+F104-E104</f>
        <v/>
      </c>
      <c r="H104" s="65" t="inlineStr">
        <is>
          <t>東和鋼鐵</t>
        </is>
      </c>
      <c r="J104" t="inlineStr">
        <is>
          <t>投資</t>
        </is>
      </c>
      <c r="K104">
        <f>IF(J104="本金",C104+K103,K103)</f>
        <v/>
      </c>
      <c r="L104">
        <f>IF(J104="本金",F104+L103,L103)</f>
        <v/>
      </c>
    </row>
    <row r="105" hidden="1" outlineLevel="1" customFormat="1" s="65">
      <c r="A105" s="508" t="n">
        <v>44168</v>
      </c>
      <c r="B105" s="509" t="n">
        <v>76809</v>
      </c>
      <c r="C105" s="123" t="n"/>
      <c r="D105" s="510">
        <f>D104+C105-B105</f>
        <v/>
      </c>
      <c r="E105" s="535" t="n"/>
      <c r="F105" s="541" t="n"/>
      <c r="G105" s="537">
        <f>G104+F105-E105</f>
        <v/>
      </c>
      <c r="H105" s="65" t="inlineStr">
        <is>
          <t>日月光投控</t>
        </is>
      </c>
      <c r="J105" t="inlineStr">
        <is>
          <t>投資</t>
        </is>
      </c>
      <c r="K105">
        <f>IF(J105="本金",C105+K104,K104)</f>
        <v/>
      </c>
      <c r="L105">
        <f>IF(J105="本金",F105+L104,L104)</f>
        <v/>
      </c>
    </row>
    <row r="106" hidden="1" outlineLevel="1" customFormat="1" s="65">
      <c r="A106" s="508" t="n">
        <v>44168</v>
      </c>
      <c r="B106" s="509" t="n"/>
      <c r="C106" s="123" t="n">
        <v>634182</v>
      </c>
      <c r="D106" s="510">
        <f>D105+C106-B106</f>
        <v/>
      </c>
      <c r="E106" s="535" t="n"/>
      <c r="F106" s="541" t="n"/>
      <c r="G106" s="537">
        <f>G105+F106-E106</f>
        <v/>
      </c>
      <c r="H106" s="65" t="inlineStr">
        <is>
          <t>玉晶光</t>
        </is>
      </c>
      <c r="J106" t="inlineStr">
        <is>
          <t>投資</t>
        </is>
      </c>
      <c r="K106">
        <f>IF(J106="本金",C106+K105,K105)</f>
        <v/>
      </c>
      <c r="L106">
        <f>IF(J106="本金",F106+L105,L105)</f>
        <v/>
      </c>
    </row>
    <row r="107" hidden="1" outlineLevel="1" customFormat="1" s="65">
      <c r="A107" s="508" t="n">
        <v>44172</v>
      </c>
      <c r="B107" s="509" t="n">
        <v>117166</v>
      </c>
      <c r="C107" s="123" t="n"/>
      <c r="D107" s="510">
        <f>D106+C107-B107</f>
        <v/>
      </c>
      <c r="E107" s="535" t="n"/>
      <c r="F107" s="541" t="n"/>
      <c r="G107" s="537">
        <f>G106+F107-E107</f>
        <v/>
      </c>
      <c r="H107" s="65" t="inlineStr">
        <is>
          <t>禾伸堂</t>
        </is>
      </c>
      <c r="J107" t="inlineStr">
        <is>
          <t>投資</t>
        </is>
      </c>
      <c r="K107">
        <f>IF(J107="本金",C107+K106,K106)</f>
        <v/>
      </c>
      <c r="L107">
        <f>IF(J107="本金",F107+L106,L106)</f>
        <v/>
      </c>
    </row>
    <row r="108" hidden="1" outlineLevel="1" customFormat="1" s="65">
      <c r="A108" s="508" t="n">
        <v>44174</v>
      </c>
      <c r="B108" s="509" t="n">
        <v>45815</v>
      </c>
      <c r="C108" s="123" t="n"/>
      <c r="D108" s="510">
        <f>D107+C108-B108</f>
        <v/>
      </c>
      <c r="E108" s="535" t="n"/>
      <c r="F108" s="541" t="n"/>
      <c r="G108" s="537">
        <f>G107+F108-E108</f>
        <v/>
      </c>
      <c r="H108" s="65" t="inlineStr">
        <is>
          <t>達方</t>
        </is>
      </c>
      <c r="J108" t="inlineStr">
        <is>
          <t>投資</t>
        </is>
      </c>
      <c r="K108">
        <f>IF(J108="本金",C108+K107,K107)</f>
        <v/>
      </c>
      <c r="L108">
        <f>IF(J108="本金",F108+L107,L107)</f>
        <v/>
      </c>
    </row>
    <row r="109" hidden="1" outlineLevel="1" customFormat="1" s="65">
      <c r="A109" s="508" t="n">
        <v>44174</v>
      </c>
      <c r="B109" s="509" t="n">
        <v>46265</v>
      </c>
      <c r="C109" s="123" t="n"/>
      <c r="D109" s="510">
        <f>D108+C109-B109</f>
        <v/>
      </c>
      <c r="E109" s="535" t="n"/>
      <c r="F109" s="541" t="n"/>
      <c r="G109" s="537">
        <f>G108+F109-E109</f>
        <v/>
      </c>
      <c r="H109" s="65" t="inlineStr">
        <is>
          <t>大洋-KY</t>
        </is>
      </c>
      <c r="J109" t="inlineStr">
        <is>
          <t>投資</t>
        </is>
      </c>
      <c r="K109">
        <f>IF(J109="本金",C109+K108,K108)</f>
        <v/>
      </c>
      <c r="L109">
        <f>IF(J109="本金",F109+L108,L108)</f>
        <v/>
      </c>
    </row>
    <row r="110" hidden="1" outlineLevel="1" customFormat="1" s="65">
      <c r="A110" s="518" t="n">
        <v>44175</v>
      </c>
      <c r="B110" s="519" t="n"/>
      <c r="C110" s="148" t="n">
        <v>863</v>
      </c>
      <c r="D110" s="520">
        <f>D109+C110-B110</f>
        <v/>
      </c>
      <c r="E110" s="542" t="n"/>
      <c r="F110" s="543" t="n"/>
      <c r="G110" s="544">
        <f>G109+F110-E110</f>
        <v/>
      </c>
      <c r="H110" s="152" t="inlineStr">
        <is>
          <t>折讓入帳</t>
        </is>
      </c>
      <c r="I110" s="152" t="n"/>
      <c r="J110" t="inlineStr">
        <is>
          <t>投資</t>
        </is>
      </c>
      <c r="K110">
        <f>IF(J110="本金",C110+K109,K109)</f>
        <v/>
      </c>
      <c r="L110">
        <f>IF(J110="本金",F110+L109,L109)</f>
        <v/>
      </c>
    </row>
    <row r="111" hidden="1" outlineLevel="1" customFormat="1" s="65">
      <c r="A111" s="508" t="n">
        <v>44175</v>
      </c>
      <c r="B111" s="509" t="n">
        <v>32596</v>
      </c>
      <c r="C111" s="123" t="n"/>
      <c r="D111" s="510">
        <f>D110+C111-B111</f>
        <v/>
      </c>
      <c r="E111" s="535" t="n"/>
      <c r="F111" s="541" t="n"/>
      <c r="G111" s="537">
        <f>G110+F111-E111</f>
        <v/>
      </c>
      <c r="H111" s="65" t="inlineStr">
        <is>
          <t>神達</t>
        </is>
      </c>
      <c r="J111" t="inlineStr">
        <is>
          <t>投資</t>
        </is>
      </c>
      <c r="K111">
        <f>IF(J111="本金",C111+K110,K110)</f>
        <v/>
      </c>
      <c r="L111">
        <f>IF(J111="本金",F111+L110,L110)</f>
        <v/>
      </c>
    </row>
    <row r="112" hidden="1" outlineLevel="1" customFormat="1" s="65">
      <c r="A112" s="508" t="n">
        <v>44175</v>
      </c>
      <c r="B112" s="509" t="n">
        <v>89126</v>
      </c>
      <c r="C112" s="123" t="n"/>
      <c r="D112" s="510">
        <f>D111+C112-B112</f>
        <v/>
      </c>
      <c r="E112" s="535" t="n"/>
      <c r="F112" s="541" t="n"/>
      <c r="G112" s="537">
        <f>G111+F112-E112</f>
        <v/>
      </c>
      <c r="H112" s="65" t="inlineStr">
        <is>
          <t>鴻海</t>
        </is>
      </c>
      <c r="J112" t="inlineStr">
        <is>
          <t>投資</t>
        </is>
      </c>
      <c r="K112">
        <f>IF(J112="本金",C112+K111,K111)</f>
        <v/>
      </c>
      <c r="L112">
        <f>IF(J112="本金",F112+L111,L111)</f>
        <v/>
      </c>
    </row>
    <row r="113" hidden="1" outlineLevel="1" customFormat="1" s="65">
      <c r="A113" s="508" t="n">
        <v>44175</v>
      </c>
      <c r="B113" s="509" t="n"/>
      <c r="C113" s="123" t="n">
        <v>50576</v>
      </c>
      <c r="D113" s="510">
        <f>D112+C113-B113</f>
        <v/>
      </c>
      <c r="E113" s="535" t="n"/>
      <c r="F113" s="541" t="n"/>
      <c r="G113" s="537">
        <f>G112+F113-E113</f>
        <v/>
      </c>
      <c r="H113" s="65" t="inlineStr">
        <is>
          <t>聯電</t>
        </is>
      </c>
      <c r="J113" t="inlineStr">
        <is>
          <t>投資</t>
        </is>
      </c>
      <c r="K113">
        <f>IF(J113="本金",C113+K112,K112)</f>
        <v/>
      </c>
      <c r="L113">
        <f>IF(J113="本金",F113+L112,L112)</f>
        <v/>
      </c>
    </row>
    <row r="114" hidden="1" outlineLevel="1" customFormat="1" s="65">
      <c r="A114" s="508" t="n">
        <v>44175</v>
      </c>
      <c r="B114" s="509" t="n"/>
      <c r="C114" s="123" t="n">
        <v>10499</v>
      </c>
      <c r="D114" s="510">
        <f>D113+C114-B114</f>
        <v/>
      </c>
      <c r="E114" s="535" t="n"/>
      <c r="F114" s="541" t="n"/>
      <c r="G114" s="537">
        <f>G113+F114-E114</f>
        <v/>
      </c>
      <c r="H114" s="65" t="inlineStr">
        <is>
          <t>華航</t>
        </is>
      </c>
      <c r="J114" t="inlineStr">
        <is>
          <t>投資</t>
        </is>
      </c>
      <c r="K114">
        <f>IF(J114="本金",C114+K113,K113)</f>
        <v/>
      </c>
      <c r="L114">
        <f>IF(J114="本金",F114+L113,L113)</f>
        <v/>
      </c>
    </row>
    <row r="115" hidden="1" outlineLevel="1" customFormat="1" s="65">
      <c r="A115" s="508" t="n">
        <v>44175</v>
      </c>
      <c r="B115" s="509" t="n"/>
      <c r="C115" s="123" t="n">
        <v>33850</v>
      </c>
      <c r="D115" s="510">
        <f>D114+C115-B115</f>
        <v/>
      </c>
      <c r="E115" s="535" t="n"/>
      <c r="F115" s="541" t="n"/>
      <c r="G115" s="537">
        <f>G114+F115-E115</f>
        <v/>
      </c>
      <c r="H115" s="65" t="inlineStr">
        <is>
          <t>亞昕</t>
        </is>
      </c>
      <c r="J115" t="inlineStr">
        <is>
          <t>投資</t>
        </is>
      </c>
      <c r="K115">
        <f>IF(J115="本金",C115+K114,K114)</f>
        <v/>
      </c>
      <c r="L115">
        <f>IF(J115="本金",F115+L114,L114)</f>
        <v/>
      </c>
    </row>
    <row r="116" hidden="1" outlineLevel="1" customFormat="1" s="65">
      <c r="A116" s="508" t="n">
        <v>44176</v>
      </c>
      <c r="B116" s="509" t="n"/>
      <c r="C116" s="123" t="n">
        <v>125443</v>
      </c>
      <c r="D116" s="510">
        <f>D115+C116-B116</f>
        <v/>
      </c>
      <c r="E116" s="535" t="n"/>
      <c r="F116" s="541" t="n"/>
      <c r="G116" s="537">
        <f>G115+F116-E116</f>
        <v/>
      </c>
      <c r="H116" s="65" t="inlineStr">
        <is>
          <t>世界</t>
        </is>
      </c>
      <c r="J116" t="inlineStr">
        <is>
          <t>投資</t>
        </is>
      </c>
      <c r="K116">
        <f>IF(J116="本金",C116+K115,K115)</f>
        <v/>
      </c>
      <c r="L116">
        <f>IF(J116="本金",F116+L115,L115)</f>
        <v/>
      </c>
    </row>
    <row r="117" hidden="1" outlineLevel="1" customFormat="1" s="65">
      <c r="A117" s="508" t="n">
        <v>44176</v>
      </c>
      <c r="B117" s="509" t="n">
        <v>73805</v>
      </c>
      <c r="C117" s="123" t="n"/>
      <c r="D117" s="510">
        <f>D116+C117-B117</f>
        <v/>
      </c>
      <c r="E117" s="535" t="n"/>
      <c r="F117" s="541" t="n"/>
      <c r="G117" s="537">
        <f>G116+F117-E117</f>
        <v/>
      </c>
      <c r="H117" s="65" t="inlineStr">
        <is>
          <t>聯發科</t>
        </is>
      </c>
      <c r="J117" t="inlineStr">
        <is>
          <t>投資</t>
        </is>
      </c>
      <c r="K117">
        <f>IF(J117="本金",C117+K116,K116)</f>
        <v/>
      </c>
      <c r="L117">
        <f>IF(J117="本金",F117+L116,L116)</f>
        <v/>
      </c>
    </row>
    <row r="118" hidden="1" outlineLevel="1" customFormat="1" s="65">
      <c r="A118" s="508" t="n">
        <v>44179</v>
      </c>
      <c r="B118" s="509" t="n">
        <v>29191</v>
      </c>
      <c r="C118" s="123" t="n"/>
      <c r="D118" s="510">
        <f>D117+C118-B118</f>
        <v/>
      </c>
      <c r="E118" s="535" t="n"/>
      <c r="F118" s="541" t="n"/>
      <c r="G118" s="537">
        <f>G117+F118-E118</f>
        <v/>
      </c>
      <c r="H118" s="65" t="inlineStr">
        <is>
          <t>長榮</t>
        </is>
      </c>
      <c r="J118" t="inlineStr">
        <is>
          <t>投資</t>
        </is>
      </c>
      <c r="K118">
        <f>IF(J118="本金",C118+K117,K117)</f>
        <v/>
      </c>
      <c r="L118">
        <f>IF(J118="本金",F118+L117,L117)</f>
        <v/>
      </c>
    </row>
    <row r="119" hidden="1" outlineLevel="1" customFormat="1" s="65">
      <c r="A119" s="508" t="n">
        <v>44179</v>
      </c>
      <c r="B119" s="509" t="n">
        <v>41358</v>
      </c>
      <c r="C119" s="123" t="n"/>
      <c r="D119" s="510">
        <f>D118+C119-B119</f>
        <v/>
      </c>
      <c r="E119" s="535" t="n"/>
      <c r="F119" s="541" t="n"/>
      <c r="G119" s="537">
        <f>G118+F119-E119</f>
        <v/>
      </c>
      <c r="H119" s="65" t="inlineStr">
        <is>
          <t>漢磊</t>
        </is>
      </c>
      <c r="J119" t="inlineStr">
        <is>
          <t>投資</t>
        </is>
      </c>
      <c r="K119">
        <f>IF(J119="本金",C119+K118,K118)</f>
        <v/>
      </c>
      <c r="L119">
        <f>IF(J119="本金",F119+L118,L118)</f>
        <v/>
      </c>
    </row>
    <row r="120" hidden="1" outlineLevel="1" customFormat="1" s="65">
      <c r="A120" s="508" t="n">
        <v>44180</v>
      </c>
      <c r="B120" s="509" t="n">
        <v>138697</v>
      </c>
      <c r="C120" s="123" t="n"/>
      <c r="D120" s="510">
        <f>D119+C120-B120</f>
        <v/>
      </c>
      <c r="E120" s="535" t="n"/>
      <c r="F120" s="541" t="n"/>
      <c r="G120" s="537">
        <f>G119+F120-E120</f>
        <v/>
      </c>
      <c r="H120" s="65" t="inlineStr">
        <is>
          <t>群創</t>
        </is>
      </c>
      <c r="J120" t="inlineStr">
        <is>
          <t>投資</t>
        </is>
      </c>
      <c r="K120">
        <f>IF(J120="本金",C120+K119,K119)</f>
        <v/>
      </c>
      <c r="L120">
        <f>IF(J120="本金",F120+L119,L119)</f>
        <v/>
      </c>
    </row>
    <row r="121" hidden="1" outlineLevel="1" customFormat="1" s="65">
      <c r="A121" s="508" t="n">
        <v>44180</v>
      </c>
      <c r="B121" s="509" t="n"/>
      <c r="C121" s="123" t="n">
        <v>42014</v>
      </c>
      <c r="D121" s="510">
        <f>D120+C121-B121</f>
        <v/>
      </c>
      <c r="E121" s="535" t="n"/>
      <c r="F121" s="541" t="n"/>
      <c r="G121" s="537">
        <f>G120+F121-E121</f>
        <v/>
      </c>
      <c r="H121" s="65" t="inlineStr">
        <is>
          <t>大洋-KY</t>
        </is>
      </c>
      <c r="J121" t="inlineStr">
        <is>
          <t>投資</t>
        </is>
      </c>
      <c r="K121">
        <f>IF(J121="本金",C121+K120,K120)</f>
        <v/>
      </c>
      <c r="L121">
        <f>IF(J121="本金",F121+L120,L120)</f>
        <v/>
      </c>
    </row>
    <row r="122" hidden="1" outlineLevel="1" customFormat="1" s="65">
      <c r="A122" s="508" t="n">
        <v>44180</v>
      </c>
      <c r="B122" s="509" t="n"/>
      <c r="C122" s="123" t="n">
        <v>29520</v>
      </c>
      <c r="D122" s="510">
        <f>D121+C122-B122</f>
        <v/>
      </c>
      <c r="E122" s="535" t="n"/>
      <c r="F122" s="541" t="n"/>
      <c r="G122" s="537">
        <f>G121+F122-E122</f>
        <v/>
      </c>
      <c r="H122" s="65" t="inlineStr">
        <is>
          <t>神達</t>
        </is>
      </c>
      <c r="J122" t="inlineStr">
        <is>
          <t>投資</t>
        </is>
      </c>
      <c r="K122">
        <f>IF(J122="本金",C122+K121,K121)</f>
        <v/>
      </c>
      <c r="L122">
        <f>IF(J122="本金",F122+L121,L121)</f>
        <v/>
      </c>
    </row>
    <row r="123" hidden="1" outlineLevel="1" customFormat="1" s="65">
      <c r="A123" s="508" t="n">
        <v>44182</v>
      </c>
      <c r="B123" s="509" t="n">
        <v>24935</v>
      </c>
      <c r="C123" s="123" t="n"/>
      <c r="D123" s="510">
        <f>D122+C123-B123</f>
        <v/>
      </c>
      <c r="E123" s="535" t="n"/>
      <c r="F123" s="541" t="n"/>
      <c r="G123" s="537">
        <f>G122+F123-E123</f>
        <v/>
      </c>
      <c r="H123" s="65" t="inlineStr">
        <is>
          <t>中鋼</t>
        </is>
      </c>
      <c r="J123" t="inlineStr">
        <is>
          <t>投資</t>
        </is>
      </c>
      <c r="K123">
        <f>IF(J123="本金",C123+K122,K122)</f>
        <v/>
      </c>
      <c r="L123">
        <f>IF(J123="本金",F123+L122,L122)</f>
        <v/>
      </c>
    </row>
    <row r="124" hidden="1" outlineLevel="1" customFormat="1" s="65">
      <c r="A124" s="508" t="n">
        <v>44182</v>
      </c>
      <c r="B124" s="509" t="n">
        <v>134691</v>
      </c>
      <c r="C124" s="123" t="n"/>
      <c r="D124" s="510">
        <f>D123+C124-B124</f>
        <v/>
      </c>
      <c r="E124" s="535" t="n"/>
      <c r="F124" s="541" t="n"/>
      <c r="G124" s="537">
        <f>G123+F124-E124</f>
        <v/>
      </c>
      <c r="H124" s="65" t="inlineStr">
        <is>
          <t>艾華</t>
        </is>
      </c>
      <c r="J124" t="inlineStr">
        <is>
          <t>投資</t>
        </is>
      </c>
      <c r="K124">
        <f>IF(J124="本金",C124+K123,K123)</f>
        <v/>
      </c>
      <c r="L124">
        <f>IF(J124="本金",F124+L123,L123)</f>
        <v/>
      </c>
    </row>
    <row r="125" hidden="1" outlineLevel="1" customFormat="1" s="65">
      <c r="A125" s="508" t="n">
        <v>44183</v>
      </c>
      <c r="B125" s="509" t="n">
        <v>86823</v>
      </c>
      <c r="C125" s="123" t="n"/>
      <c r="D125" s="510">
        <f>D124+C125-B125</f>
        <v/>
      </c>
      <c r="E125" s="535" t="n"/>
      <c r="F125" s="541" t="n"/>
      <c r="G125" s="537">
        <f>G124+F125-E125</f>
        <v/>
      </c>
      <c r="H125" s="65" t="inlineStr">
        <is>
          <t>欣興</t>
        </is>
      </c>
      <c r="J125" t="inlineStr">
        <is>
          <t>投資</t>
        </is>
      </c>
      <c r="K125">
        <f>IF(J125="本金",C125+K124,K124)</f>
        <v/>
      </c>
      <c r="L125">
        <f>IF(J125="本金",F125+L124,L124)</f>
        <v/>
      </c>
    </row>
    <row r="126" hidden="1" outlineLevel="1" customFormat="1" s="65">
      <c r="A126" s="508" t="n">
        <v>44174</v>
      </c>
      <c r="B126" s="509" t="n"/>
      <c r="C126" s="123" t="n">
        <v>43159</v>
      </c>
      <c r="D126" s="510">
        <f>D125+C126-B126</f>
        <v/>
      </c>
      <c r="E126" s="535" t="n"/>
      <c r="F126" s="541" t="n"/>
      <c r="G126" s="537">
        <f>G125+F126-E126</f>
        <v/>
      </c>
      <c r="H126" s="65" t="inlineStr">
        <is>
          <t>達方</t>
        </is>
      </c>
      <c r="J126" t="inlineStr">
        <is>
          <t>投資</t>
        </is>
      </c>
      <c r="K126">
        <f>IF(J126="本金",C126+K125,K125)</f>
        <v/>
      </c>
      <c r="L126">
        <f>IF(J126="本金",F126+L125,L125)</f>
        <v/>
      </c>
    </row>
    <row r="127" hidden="1" outlineLevel="1" customFormat="1" s="65">
      <c r="A127" s="508" t="n">
        <v>44179</v>
      </c>
      <c r="B127" s="509" t="n"/>
      <c r="C127" s="123" t="n">
        <v>37932</v>
      </c>
      <c r="D127" s="510">
        <f>D126+C127-B127</f>
        <v/>
      </c>
      <c r="E127" s="535" t="n"/>
      <c r="F127" s="541" t="n"/>
      <c r="G127" s="537">
        <f>G126+F127-E127</f>
        <v/>
      </c>
      <c r="H127" s="65" t="inlineStr">
        <is>
          <t>漢磊</t>
        </is>
      </c>
      <c r="J127" t="inlineStr">
        <is>
          <t>投資</t>
        </is>
      </c>
      <c r="K127">
        <f>IF(J127="本金",C127+K126,K126)</f>
        <v/>
      </c>
      <c r="L127">
        <f>IF(J127="本金",F127+L126,L126)</f>
        <v/>
      </c>
    </row>
    <row r="128" hidden="1" outlineLevel="1" customFormat="1" s="65">
      <c r="A128" s="513" t="n">
        <v>44186</v>
      </c>
      <c r="B128" s="514" t="n"/>
      <c r="C128" s="154" t="n">
        <v>141</v>
      </c>
      <c r="D128" s="515">
        <f>D127+C128-B128</f>
        <v/>
      </c>
      <c r="E128" s="538" t="n"/>
      <c r="F128" s="539" t="n"/>
      <c r="G128" s="540">
        <f>G127+F128-E128</f>
        <v/>
      </c>
      <c r="H128" s="158" t="inlineStr">
        <is>
          <t>利息</t>
        </is>
      </c>
      <c r="I128" s="159" t="n"/>
      <c r="J128" t="inlineStr">
        <is>
          <t>投資</t>
        </is>
      </c>
      <c r="K128">
        <f>IF(J128="本金",C128+K127,K127)</f>
        <v/>
      </c>
      <c r="L128">
        <f>IF(J128="本金",F128+L127,L127)</f>
        <v/>
      </c>
    </row>
    <row r="129" hidden="1" outlineLevel="1" customFormat="1" s="65">
      <c r="A129" s="508" t="n">
        <v>44187</v>
      </c>
      <c r="B129" s="509" t="n">
        <v>43762</v>
      </c>
      <c r="C129" s="123" t="n"/>
      <c r="D129" s="510">
        <f>D128+C129-B129</f>
        <v/>
      </c>
      <c r="E129" s="535" t="n"/>
      <c r="F129" s="541" t="n"/>
      <c r="G129" s="537">
        <f>G128+F129-E129</f>
        <v/>
      </c>
      <c r="H129" s="65" t="inlineStr">
        <is>
          <t>鑫科</t>
        </is>
      </c>
      <c r="J129" t="inlineStr">
        <is>
          <t>投資</t>
        </is>
      </c>
      <c r="K129">
        <f>IF(J129="本金",C129+K128,K128)</f>
        <v/>
      </c>
      <c r="L129">
        <f>IF(J129="本金",F129+L128,L128)</f>
        <v/>
      </c>
    </row>
    <row r="130" hidden="1" outlineLevel="1" customFormat="1" s="65">
      <c r="A130" s="508" t="n">
        <v>44196</v>
      </c>
      <c r="B130" s="509" t="n">
        <v>400</v>
      </c>
      <c r="C130" s="123" t="n"/>
      <c r="D130" s="510">
        <f>D129+C130-B130</f>
        <v/>
      </c>
      <c r="E130" s="535" t="n"/>
      <c r="F130" s="541" t="n"/>
      <c r="G130" s="537">
        <f>G129+F130-E130</f>
        <v/>
      </c>
      <c r="H130" s="65" t="inlineStr">
        <is>
          <t>承銷申購</t>
        </is>
      </c>
      <c r="J130" t="inlineStr">
        <is>
          <t>投資</t>
        </is>
      </c>
      <c r="K130">
        <f>IF(J130="本金",C130+K129,K129)</f>
        <v/>
      </c>
      <c r="L130">
        <f>IF(J130="本金",F130+L129,L129)</f>
        <v/>
      </c>
    </row>
    <row r="131" customFormat="1" s="65">
      <c r="A131" s="518" t="n">
        <v>44204</v>
      </c>
      <c r="B131" s="519" t="n"/>
      <c r="C131" s="148" t="n">
        <v>1124</v>
      </c>
      <c r="D131" s="520">
        <f>D130+C131-B131</f>
        <v/>
      </c>
      <c r="E131" s="542" t="n"/>
      <c r="F131" s="543" t="n"/>
      <c r="G131" s="544">
        <f>G130+F131-E131</f>
        <v/>
      </c>
      <c r="H131" s="152" t="inlineStr">
        <is>
          <t>折讓入帳</t>
        </is>
      </c>
      <c r="I131" s="152" t="n"/>
      <c r="J131" t="inlineStr">
        <is>
          <t>投資</t>
        </is>
      </c>
      <c r="K131">
        <f>IF(J131="本金",C131+K130,K130)</f>
        <v/>
      </c>
      <c r="L131">
        <f>IF(J131="本金",F131+L130,L130)</f>
        <v/>
      </c>
    </row>
    <row r="132" outlineLevel="1" customFormat="1" s="65">
      <c r="A132" s="508" t="n">
        <v>44204</v>
      </c>
      <c r="B132" s="509" t="n"/>
      <c r="C132" s="123" t="n">
        <v>53066</v>
      </c>
      <c r="D132" s="510">
        <f>D131+C132-B132</f>
        <v/>
      </c>
      <c r="E132" s="535" t="n"/>
      <c r="F132" s="541" t="n"/>
      <c r="G132" s="537">
        <f>G131+F132-E132</f>
        <v/>
      </c>
      <c r="H132" s="65" t="inlineStr">
        <is>
          <t>萬海</t>
        </is>
      </c>
      <c r="J132" t="inlineStr">
        <is>
          <t>投資</t>
        </is>
      </c>
      <c r="K132">
        <f>IF(J132="本金",C132+K131,K131)</f>
        <v/>
      </c>
      <c r="L132">
        <f>IF(J132="本金",F132+L131,L131)</f>
        <v/>
      </c>
    </row>
    <row r="133" outlineLevel="1" customFormat="1" s="65">
      <c r="A133" s="508" t="n">
        <v>44204</v>
      </c>
      <c r="B133" s="509" t="n"/>
      <c r="C133" s="123" t="n">
        <v>29022</v>
      </c>
      <c r="D133" s="510">
        <f>D132+C133-B133</f>
        <v/>
      </c>
      <c r="E133" s="535" t="n"/>
      <c r="F133" s="541" t="n"/>
      <c r="G133" s="537">
        <f>G132+F133-E133</f>
        <v/>
      </c>
      <c r="H133" s="65" t="inlineStr">
        <is>
          <t>漢翔</t>
        </is>
      </c>
      <c r="J133" t="inlineStr">
        <is>
          <t>投資</t>
        </is>
      </c>
      <c r="K133">
        <f>IF(J133="本金",C133+K132,K132)</f>
        <v/>
      </c>
      <c r="L133">
        <f>IF(J133="本金",F133+L132,L132)</f>
        <v/>
      </c>
    </row>
    <row r="134" outlineLevel="1" customFormat="1" s="65">
      <c r="A134" s="508" t="n">
        <v>44204</v>
      </c>
      <c r="B134" s="509" t="n"/>
      <c r="C134" s="123" t="n">
        <v>45400</v>
      </c>
      <c r="D134" s="510">
        <f>D133+C134-B134</f>
        <v/>
      </c>
      <c r="E134" s="535" t="n"/>
      <c r="F134" s="541" t="n"/>
      <c r="G134" s="537">
        <f>G133+F134-E134</f>
        <v/>
      </c>
      <c r="H134" s="65" t="inlineStr">
        <is>
          <t>鑫科</t>
        </is>
      </c>
      <c r="J134" t="inlineStr">
        <is>
          <t>投資</t>
        </is>
      </c>
      <c r="K134">
        <f>IF(J134="本金",C134+K133,K133)</f>
        <v/>
      </c>
      <c r="L134">
        <f>IF(J134="本金",F134+L133,L133)</f>
        <v/>
      </c>
    </row>
    <row r="135" outlineLevel="1" customFormat="1" s="65">
      <c r="A135" s="508" t="n">
        <v>44207</v>
      </c>
      <c r="B135" s="509" t="n">
        <v>115163</v>
      </c>
      <c r="C135" s="123" t="n"/>
      <c r="D135" s="510">
        <f>D134+C135-B135</f>
        <v/>
      </c>
      <c r="E135" s="535" t="n"/>
      <c r="F135" s="541" t="n"/>
      <c r="G135" s="537">
        <f>G134+F135-E135</f>
        <v/>
      </c>
      <c r="H135" s="65" t="inlineStr">
        <is>
          <t>全新</t>
        </is>
      </c>
      <c r="J135" t="inlineStr">
        <is>
          <t>投資</t>
        </is>
      </c>
      <c r="K135">
        <f>IF(J135="本金",C135+K134,K134)</f>
        <v/>
      </c>
      <c r="L135">
        <f>IF(J135="本金",F135+L134,L134)</f>
        <v/>
      </c>
    </row>
    <row r="136" outlineLevel="1" customFormat="1" s="65">
      <c r="A136" s="508" t="n">
        <v>44209</v>
      </c>
      <c r="B136" s="509" t="n">
        <v>49320</v>
      </c>
      <c r="C136" s="123" t="n"/>
      <c r="D136" s="510">
        <f>D135+C136-B136</f>
        <v/>
      </c>
      <c r="E136" s="535" t="n"/>
      <c r="F136" s="541" t="n"/>
      <c r="G136" s="537">
        <f>G135+F136-E136</f>
        <v/>
      </c>
      <c r="H136" s="65" t="inlineStr">
        <is>
          <t>聯電</t>
        </is>
      </c>
      <c r="J136" t="inlineStr">
        <is>
          <t>投資</t>
        </is>
      </c>
      <c r="K136">
        <f>IF(J136="本金",C136+K135,K135)</f>
        <v/>
      </c>
      <c r="L136">
        <f>IF(J136="本金",F136+L135,L135)</f>
        <v/>
      </c>
    </row>
    <row r="137" outlineLevel="1" customFormat="1" s="65">
      <c r="A137" s="508" t="n">
        <v>44209</v>
      </c>
      <c r="B137" s="509" t="n">
        <v>34449</v>
      </c>
      <c r="C137" s="123" t="n"/>
      <c r="D137" s="510">
        <f>D136+C137-B137</f>
        <v/>
      </c>
      <c r="E137" s="535" t="n"/>
      <c r="F137" s="541" t="n"/>
      <c r="G137" s="537">
        <f>G136+F137-E137</f>
        <v/>
      </c>
      <c r="H137" s="65" t="inlineStr">
        <is>
          <t>州巧</t>
        </is>
      </c>
      <c r="J137" t="inlineStr">
        <is>
          <t>投資</t>
        </is>
      </c>
      <c r="K137">
        <f>IF(J137="本金",C137+K136,K136)</f>
        <v/>
      </c>
      <c r="L137">
        <f>IF(J137="本金",F137+L136,L136)</f>
        <v/>
      </c>
    </row>
    <row r="138" outlineLevel="1" customFormat="1" s="65">
      <c r="A138" s="508" t="n">
        <v>44209</v>
      </c>
      <c r="B138" s="509" t="n"/>
      <c r="C138" s="123" t="n">
        <v>42064</v>
      </c>
      <c r="D138" s="510">
        <f>D137+C138-B138</f>
        <v/>
      </c>
      <c r="E138" s="535" t="n"/>
      <c r="F138" s="541" t="n"/>
      <c r="G138" s="537">
        <f>G137+F138-E138</f>
        <v/>
      </c>
      <c r="H138" s="65" t="inlineStr">
        <is>
          <t>國泰金</t>
        </is>
      </c>
      <c r="J138" t="inlineStr">
        <is>
          <t>投資</t>
        </is>
      </c>
      <c r="K138">
        <f>IF(J138="本金",C138+K137,K137)</f>
        <v/>
      </c>
      <c r="L138">
        <f>IF(J138="本金",F138+L137,L137)</f>
        <v/>
      </c>
    </row>
    <row r="139" outlineLevel="1" customFormat="1" s="65">
      <c r="A139" s="508" t="n">
        <v>44210</v>
      </c>
      <c r="B139" s="509" t="n"/>
      <c r="C139" s="123" t="n">
        <v>43010</v>
      </c>
      <c r="D139" s="510">
        <f>D138+C139-B139</f>
        <v/>
      </c>
      <c r="E139" s="535" t="n"/>
      <c r="F139" s="541" t="n"/>
      <c r="G139" s="537">
        <f>G138+F139-E139</f>
        <v/>
      </c>
      <c r="H139" s="65" t="inlineStr">
        <is>
          <t>台聚</t>
        </is>
      </c>
      <c r="J139" t="inlineStr">
        <is>
          <t>投資</t>
        </is>
      </c>
      <c r="K139">
        <f>IF(J139="本金",C139+K138,K138)</f>
        <v/>
      </c>
      <c r="L139">
        <f>IF(J139="本金",F139+L138,L138)</f>
        <v/>
      </c>
    </row>
    <row r="140" outlineLevel="1" customFormat="1" s="65">
      <c r="A140" s="508" t="n">
        <v>44210</v>
      </c>
      <c r="B140" s="509" t="n"/>
      <c r="C140" s="123" t="n">
        <v>37783</v>
      </c>
      <c r="D140" s="510">
        <f>D139+C140-B140</f>
        <v/>
      </c>
      <c r="E140" s="535" t="n"/>
      <c r="F140" s="541" t="n"/>
      <c r="G140" s="537">
        <f>G139+F140-E140</f>
        <v/>
      </c>
      <c r="H140" s="65" t="inlineStr">
        <is>
          <t>長榮</t>
        </is>
      </c>
      <c r="J140" t="inlineStr">
        <is>
          <t>投資</t>
        </is>
      </c>
      <c r="K140">
        <f>IF(J140="本金",C140+K139,K139)</f>
        <v/>
      </c>
      <c r="L140">
        <f>IF(J140="本金",F140+L139,L139)</f>
        <v/>
      </c>
    </row>
    <row r="141" outlineLevel="1" customFormat="1" s="65">
      <c r="A141" s="508" t="n">
        <v>44210</v>
      </c>
      <c r="B141" s="509" t="n"/>
      <c r="C141" s="123" t="n">
        <v>25288</v>
      </c>
      <c r="D141" s="510">
        <f>D140+C141-B141</f>
        <v/>
      </c>
      <c r="E141" s="535" t="n"/>
      <c r="F141" s="541" t="n"/>
      <c r="G141" s="537">
        <f>G140+F141-E141</f>
        <v/>
      </c>
      <c r="H141" s="65" t="inlineStr">
        <is>
          <t>中鋼</t>
        </is>
      </c>
      <c r="J141" t="inlineStr">
        <is>
          <t>投資</t>
        </is>
      </c>
      <c r="K141">
        <f>IF(J141="本金",C141+K140,K140)</f>
        <v/>
      </c>
      <c r="L141">
        <f>IF(J141="本金",F141+L140,L140)</f>
        <v/>
      </c>
    </row>
    <row r="142" outlineLevel="1" customFormat="1" s="65">
      <c r="A142" s="508" t="n">
        <v>44210</v>
      </c>
      <c r="B142" s="509" t="n"/>
      <c r="C142" s="123" t="n">
        <v>118474</v>
      </c>
      <c r="D142" s="510">
        <f>D141+C142-B142</f>
        <v/>
      </c>
      <c r="E142" s="535" t="n"/>
      <c r="F142" s="541" t="n"/>
      <c r="G142" s="537">
        <f>G141+F142-E142</f>
        <v/>
      </c>
      <c r="H142" s="65" t="inlineStr">
        <is>
          <t>艾華</t>
        </is>
      </c>
      <c r="J142" t="inlineStr">
        <is>
          <t>投資</t>
        </is>
      </c>
      <c r="K142">
        <f>IF(J142="本金",C142+K141,K141)</f>
        <v/>
      </c>
      <c r="L142">
        <f>IF(J142="本金",F142+L141,L141)</f>
        <v/>
      </c>
    </row>
    <row r="143" outlineLevel="1" customFormat="1" s="65">
      <c r="A143" s="508" t="n">
        <v>44210</v>
      </c>
      <c r="B143" s="509" t="n">
        <v>30543</v>
      </c>
      <c r="C143" s="123" t="n"/>
      <c r="D143" s="510">
        <f>D142+C143-B143</f>
        <v/>
      </c>
      <c r="E143" s="535" t="n"/>
      <c r="F143" s="541" t="n"/>
      <c r="G143" s="537">
        <f>G142+F143-E143</f>
        <v/>
      </c>
      <c r="H143" s="65" t="inlineStr">
        <is>
          <t>友達</t>
        </is>
      </c>
      <c r="J143" t="inlineStr">
        <is>
          <t>投資</t>
        </is>
      </c>
      <c r="K143">
        <f>IF(J143="本金",C143+K142,K142)</f>
        <v/>
      </c>
      <c r="L143">
        <f>IF(J143="本金",F143+L142,L142)</f>
        <v/>
      </c>
    </row>
    <row r="144" outlineLevel="1" customFormat="1" s="65">
      <c r="A144" s="508" t="n">
        <v>44210</v>
      </c>
      <c r="B144" s="509" t="n">
        <v>121673</v>
      </c>
      <c r="C144" s="123" t="n"/>
      <c r="D144" s="510">
        <f>D143+C144-B144</f>
        <v/>
      </c>
      <c r="E144" s="535" t="n"/>
      <c r="F144" s="541" t="n"/>
      <c r="G144" s="537">
        <f>G143+F144-E144</f>
        <v/>
      </c>
      <c r="H144" s="65" t="inlineStr">
        <is>
          <t>世界</t>
        </is>
      </c>
      <c r="J144" t="inlineStr">
        <is>
          <t>投資</t>
        </is>
      </c>
      <c r="K144">
        <f>IF(J144="本金",C144+K143,K143)</f>
        <v/>
      </c>
      <c r="L144">
        <f>IF(J144="本金",F144+L143,L143)</f>
        <v/>
      </c>
    </row>
    <row r="145" outlineLevel="1" customFormat="1" s="65">
      <c r="A145" s="508" t="n">
        <v>44210</v>
      </c>
      <c r="B145" s="509" t="n">
        <v>37052</v>
      </c>
      <c r="C145" s="123" t="n"/>
      <c r="D145" s="510">
        <f>D144+C145-B145</f>
        <v/>
      </c>
      <c r="E145" s="535" t="n"/>
      <c r="F145" s="541" t="n"/>
      <c r="G145" s="537">
        <f>G144+F145-E145</f>
        <v/>
      </c>
      <c r="H145" s="65" t="inlineStr">
        <is>
          <t>旺玖</t>
        </is>
      </c>
      <c r="J145" t="inlineStr">
        <is>
          <t>投資</t>
        </is>
      </c>
      <c r="K145">
        <f>IF(J145="本金",C145+K144,K144)</f>
        <v/>
      </c>
      <c r="L145">
        <f>IF(J145="本金",F145+L144,L144)</f>
        <v/>
      </c>
    </row>
    <row r="146" outlineLevel="1" customFormat="1" s="65">
      <c r="A146" s="508" t="n">
        <v>44216</v>
      </c>
      <c r="B146" s="509" t="n"/>
      <c r="C146" s="123" t="n">
        <v>113994</v>
      </c>
      <c r="D146" s="510">
        <f>D145+C146-B146</f>
        <v/>
      </c>
      <c r="E146" s="535" t="n"/>
      <c r="F146" s="541" t="n"/>
      <c r="G146" s="537">
        <f>G145+F146-E146</f>
        <v/>
      </c>
      <c r="H146" s="65" t="inlineStr">
        <is>
          <t>世界</t>
        </is>
      </c>
      <c r="J146" t="inlineStr">
        <is>
          <t>投資</t>
        </is>
      </c>
      <c r="K146">
        <f>IF(J146="本金",C146+K145,K145)</f>
        <v/>
      </c>
      <c r="L146">
        <f>IF(J146="本金",F146+L145,L145)</f>
        <v/>
      </c>
    </row>
    <row r="147" outlineLevel="1" customFormat="1" s="65">
      <c r="A147" s="508" t="n">
        <v>44218</v>
      </c>
      <c r="B147" s="509" t="n"/>
      <c r="C147" s="123" t="n">
        <v>31063</v>
      </c>
      <c r="D147" s="510">
        <f>D146+C147-B147</f>
        <v/>
      </c>
      <c r="E147" s="535" t="n"/>
      <c r="F147" s="541" t="n"/>
      <c r="G147" s="537">
        <f>G146+F147-E147</f>
        <v/>
      </c>
      <c r="H147" s="65" t="inlineStr">
        <is>
          <t>州巧</t>
        </is>
      </c>
      <c r="J147" t="inlineStr">
        <is>
          <t>投資</t>
        </is>
      </c>
      <c r="K147">
        <f>IF(J147="本金",C147+K146,K146)</f>
        <v/>
      </c>
      <c r="L147">
        <f>IF(J147="本金",F147+L146,L146)</f>
        <v/>
      </c>
    </row>
    <row r="148" outlineLevel="1" customFormat="1" s="65">
      <c r="A148" s="508" t="n">
        <v>44212</v>
      </c>
      <c r="B148" s="509" t="n">
        <v>35800</v>
      </c>
      <c r="C148" s="123" t="n"/>
      <c r="D148" s="510">
        <f>D147+C148-B148</f>
        <v/>
      </c>
      <c r="E148" s="535" t="n"/>
      <c r="F148" s="541" t="n"/>
      <c r="G148" s="537">
        <f>G147+F148-E148</f>
        <v/>
      </c>
      <c r="H148" s="65" t="inlineStr">
        <is>
          <t>長榮</t>
        </is>
      </c>
      <c r="J148" t="inlineStr">
        <is>
          <t>投資</t>
        </is>
      </c>
      <c r="K148">
        <f>IF(J148="本金",C148+K147,K147)</f>
        <v/>
      </c>
      <c r="L148">
        <f>IF(J148="本金",F148+L147,L147)</f>
        <v/>
      </c>
    </row>
    <row r="149" outlineLevel="1" customFormat="1" s="65">
      <c r="A149" s="508" t="n">
        <v>44212</v>
      </c>
      <c r="B149" s="509" t="n">
        <v>35801</v>
      </c>
      <c r="C149" s="123" t="n"/>
      <c r="D149" s="510">
        <f>D148+C149-B149</f>
        <v/>
      </c>
      <c r="E149" s="535" t="n"/>
      <c r="F149" s="541" t="n"/>
      <c r="G149" s="537">
        <f>G148+F149-E149</f>
        <v/>
      </c>
      <c r="H149" s="65" t="inlineStr">
        <is>
          <t>長榮</t>
        </is>
      </c>
      <c r="J149" t="inlineStr">
        <is>
          <t>投資</t>
        </is>
      </c>
      <c r="K149">
        <f>IF(J149="本金",C149+K148,K148)</f>
        <v/>
      </c>
      <c r="L149">
        <f>IF(J149="本金",F149+L148,L148)</f>
        <v/>
      </c>
    </row>
    <row r="150" outlineLevel="1" customFormat="1" s="65">
      <c r="A150" s="508" t="n">
        <v>44230</v>
      </c>
      <c r="B150" s="509" t="n"/>
      <c r="C150" s="123" t="n">
        <v>35593</v>
      </c>
      <c r="D150" s="510">
        <f>D149+C150-B150</f>
        <v/>
      </c>
      <c r="E150" s="535" t="n"/>
      <c r="F150" s="541" t="n"/>
      <c r="G150" s="537">
        <f>G149+F150-E150</f>
        <v/>
      </c>
      <c r="H150" s="65" t="inlineStr">
        <is>
          <t>旺玖</t>
        </is>
      </c>
      <c r="J150" t="inlineStr">
        <is>
          <t>投資</t>
        </is>
      </c>
      <c r="K150">
        <f>IF(J150="本金",C150+K149,K149)</f>
        <v/>
      </c>
      <c r="L150">
        <f>IF(J150="本金",F150+L149,L149)</f>
        <v/>
      </c>
    </row>
    <row r="151" outlineLevel="1" customFormat="1" s="65">
      <c r="A151" s="508" t="n">
        <v>44230</v>
      </c>
      <c r="B151" s="509" t="n"/>
      <c r="C151" s="123" t="n">
        <v>31212</v>
      </c>
      <c r="D151" s="510">
        <f>D150+C151-B151</f>
        <v/>
      </c>
      <c r="E151" s="535" t="n"/>
      <c r="F151" s="541" t="n"/>
      <c r="G151" s="537">
        <f>G150+F151-E151</f>
        <v/>
      </c>
      <c r="H151" s="65" t="inlineStr">
        <is>
          <t>東和鋼鐵</t>
        </is>
      </c>
      <c r="J151" t="inlineStr">
        <is>
          <t>投資</t>
        </is>
      </c>
      <c r="K151">
        <f>IF(J151="本金",C151+K150,K150)</f>
        <v/>
      </c>
      <c r="L151">
        <f>IF(J151="本金",F151+L150,L150)</f>
        <v/>
      </c>
    </row>
    <row r="152" outlineLevel="1" customFormat="1" s="65">
      <c r="A152" s="508" t="n">
        <v>44230</v>
      </c>
      <c r="B152" s="509" t="n"/>
      <c r="C152" s="123" t="n">
        <v>105531</v>
      </c>
      <c r="D152" s="510">
        <f>D151+C152-B152</f>
        <v/>
      </c>
      <c r="E152" s="535" t="n"/>
      <c r="F152" s="541" t="n"/>
      <c r="G152" s="537">
        <f>G151+F152-E152</f>
        <v/>
      </c>
      <c r="H152" s="65" t="inlineStr">
        <is>
          <t>禾伸堂</t>
        </is>
      </c>
      <c r="J152" t="inlineStr">
        <is>
          <t>投資</t>
        </is>
      </c>
      <c r="K152">
        <f>IF(J152="本金",C152+K151,K151)</f>
        <v/>
      </c>
      <c r="L152">
        <f>IF(J152="本金",F152+L151,L151)</f>
        <v/>
      </c>
    </row>
    <row r="153" outlineLevel="1" customFormat="1" s="65">
      <c r="A153" s="508" t="n">
        <v>44232</v>
      </c>
      <c r="B153" s="509" t="n"/>
      <c r="C153" s="123" t="n">
        <v>51970</v>
      </c>
      <c r="D153" s="510">
        <f>D152+C153-B153</f>
        <v/>
      </c>
      <c r="E153" s="535" t="n"/>
      <c r="F153" s="541" t="n"/>
      <c r="G153" s="537">
        <f>G152+F153-E153</f>
        <v/>
      </c>
      <c r="H153" s="65" t="inlineStr">
        <is>
          <t>聯電</t>
        </is>
      </c>
      <c r="J153" t="inlineStr">
        <is>
          <t>投資</t>
        </is>
      </c>
      <c r="K153">
        <f>IF(J153="本金",C153+K152,K152)</f>
        <v/>
      </c>
      <c r="L153">
        <f>IF(J153="本金",F153+L152,L152)</f>
        <v/>
      </c>
    </row>
    <row r="154" outlineLevel="1" customFormat="1" s="65">
      <c r="A154" s="508" t="n">
        <v>44232</v>
      </c>
      <c r="B154" s="509" t="n"/>
      <c r="C154" s="123" t="n">
        <v>94183</v>
      </c>
      <c r="D154" s="510">
        <f>D153+C154-B154</f>
        <v/>
      </c>
      <c r="E154" s="535" t="n"/>
      <c r="F154" s="541" t="n"/>
      <c r="G154" s="537">
        <f>G153+F154-E154</f>
        <v/>
      </c>
      <c r="H154" s="65" t="inlineStr">
        <is>
          <t>聯發科</t>
        </is>
      </c>
      <c r="J154" t="inlineStr">
        <is>
          <t>投資</t>
        </is>
      </c>
      <c r="K154">
        <f>IF(J154="本金",C154+K153,K153)</f>
        <v/>
      </c>
      <c r="L154">
        <f>IF(J154="本金",F154+L153,L153)</f>
        <v/>
      </c>
    </row>
    <row r="155" outlineLevel="1" customFormat="1" s="65">
      <c r="A155" s="508" t="n">
        <v>44232</v>
      </c>
      <c r="B155" s="509" t="n"/>
      <c r="C155" s="123" t="n">
        <v>114990</v>
      </c>
      <c r="D155" s="510">
        <f>D154+C155-B155</f>
        <v/>
      </c>
      <c r="E155" s="535" t="n"/>
      <c r="F155" s="541" t="n"/>
      <c r="G155" s="537">
        <f>G154+F155-E155</f>
        <v/>
      </c>
      <c r="H155" s="65" t="inlineStr">
        <is>
          <t>鴻海</t>
        </is>
      </c>
      <c r="J155" t="inlineStr">
        <is>
          <t>投資</t>
        </is>
      </c>
      <c r="K155">
        <f>IF(J155="本金",C155+K154,K154)</f>
        <v/>
      </c>
      <c r="L155">
        <f>IF(J155="本金",F155+L154,L154)</f>
        <v/>
      </c>
    </row>
    <row r="156" outlineLevel="1" customFormat="1" s="65">
      <c r="A156" s="508" t="n">
        <v>44232</v>
      </c>
      <c r="B156" s="509" t="n"/>
      <c r="C156" s="123" t="n">
        <v>93983</v>
      </c>
      <c r="D156" s="510">
        <f>D155+C156-B156</f>
        <v/>
      </c>
      <c r="E156" s="535" t="n"/>
      <c r="F156" s="541" t="n"/>
      <c r="G156" s="537">
        <f>G155+F156-E156</f>
        <v/>
      </c>
      <c r="H156" s="65" t="inlineStr">
        <is>
          <t>聯發科</t>
        </is>
      </c>
      <c r="J156" t="inlineStr">
        <is>
          <t>投資</t>
        </is>
      </c>
      <c r="K156">
        <f>IF(J156="本金",C156+K155,K155)</f>
        <v/>
      </c>
      <c r="L156">
        <f>IF(J156="本金",F156+L155,L155)</f>
        <v/>
      </c>
    </row>
    <row r="157" outlineLevel="1" customFormat="1" s="65">
      <c r="A157" s="508" t="n">
        <v>44232</v>
      </c>
      <c r="B157" s="509" t="n"/>
      <c r="C157" s="123">
        <f>13938+125891</f>
        <v/>
      </c>
      <c r="D157" s="510">
        <f>D156+C157-B157</f>
        <v/>
      </c>
      <c r="E157" s="535" t="n"/>
      <c r="F157" s="541" t="n"/>
      <c r="G157" s="537">
        <f>G156+F157-E157</f>
        <v/>
      </c>
      <c r="H157" s="65" t="inlineStr">
        <is>
          <t>群創</t>
        </is>
      </c>
      <c r="J157" t="inlineStr">
        <is>
          <t>投資</t>
        </is>
      </c>
      <c r="K157">
        <f>IF(J157="本金",C157+K156,K156)</f>
        <v/>
      </c>
      <c r="L157">
        <f>IF(J157="本金",F157+L156,L156)</f>
        <v/>
      </c>
    </row>
    <row r="158" outlineLevel="1" customFormat="1" s="65">
      <c r="A158" s="508" t="n">
        <v>44232</v>
      </c>
      <c r="B158" s="509" t="n"/>
      <c r="C158" s="123" t="n">
        <v>88308</v>
      </c>
      <c r="D158" s="510">
        <f>D157+C158-B158</f>
        <v/>
      </c>
      <c r="E158" s="535" t="n"/>
      <c r="F158" s="541" t="n"/>
      <c r="G158" s="537">
        <f>G157+F158-E158</f>
        <v/>
      </c>
      <c r="H158" s="65" t="inlineStr">
        <is>
          <t>欣興</t>
        </is>
      </c>
      <c r="J158" t="inlineStr">
        <is>
          <t>投資</t>
        </is>
      </c>
      <c r="K158">
        <f>IF(J158="本金",C158+K157,K157)</f>
        <v/>
      </c>
      <c r="L158">
        <f>IF(J158="本金",F158+L157,L157)</f>
        <v/>
      </c>
    </row>
    <row r="159" outlineLevel="1" customFormat="1" s="65">
      <c r="A159" s="508" t="n">
        <v>44232</v>
      </c>
      <c r="B159" s="509" t="n"/>
      <c r="C159" s="123" t="n">
        <v>94183</v>
      </c>
      <c r="D159" s="510">
        <f>D158+C159-B159</f>
        <v/>
      </c>
      <c r="E159" s="535" t="n"/>
      <c r="F159" s="541" t="n"/>
      <c r="G159" s="537">
        <f>G158+F159-E159</f>
        <v/>
      </c>
      <c r="H159" s="65" t="inlineStr">
        <is>
          <t>聯發科</t>
        </is>
      </c>
      <c r="J159" t="inlineStr">
        <is>
          <t>投資</t>
        </is>
      </c>
      <c r="K159">
        <f>IF(J159="本金",C159+K158,K158)</f>
        <v/>
      </c>
      <c r="L159">
        <f>IF(J159="本金",F159+L158,L158)</f>
        <v/>
      </c>
    </row>
    <row r="160" outlineLevel="1" customFormat="1" s="65">
      <c r="A160" s="518" t="n">
        <v>44236</v>
      </c>
      <c r="B160" s="519" t="n"/>
      <c r="C160" s="148" t="n">
        <v>560</v>
      </c>
      <c r="D160" s="520">
        <f>D159+C160-B160</f>
        <v/>
      </c>
      <c r="E160" s="542" t="n"/>
      <c r="F160" s="543" t="n"/>
      <c r="G160" s="544">
        <f>G159+F160-E160</f>
        <v/>
      </c>
      <c r="H160" s="152" t="inlineStr">
        <is>
          <t>折讓入帳</t>
        </is>
      </c>
      <c r="I160" s="152" t="n"/>
      <c r="J160" t="inlineStr">
        <is>
          <t>投資</t>
        </is>
      </c>
      <c r="K160">
        <f>IF(J160="本金",C160+K159,K159)</f>
        <v/>
      </c>
      <c r="L160">
        <f>IF(J160="本金",F160+L159,L159)</f>
        <v/>
      </c>
    </row>
    <row r="161" outlineLevel="1" customFormat="1" s="65">
      <c r="A161" s="508" t="n">
        <v>44236</v>
      </c>
      <c r="B161" s="509" t="n">
        <v>287408</v>
      </c>
      <c r="C161" s="123" t="n"/>
      <c r="D161" s="510">
        <f>D160+C161-B161</f>
        <v/>
      </c>
      <c r="E161" s="535" t="n"/>
      <c r="F161" s="541" t="n"/>
      <c r="G161" s="537">
        <f>G160+F161-E161</f>
        <v/>
      </c>
      <c r="H161" s="65" t="inlineStr">
        <is>
          <t>華碩</t>
        </is>
      </c>
      <c r="J161" t="inlineStr">
        <is>
          <t>投資</t>
        </is>
      </c>
      <c r="K161">
        <f>IF(J161="本金",C161+K160,K160)</f>
        <v/>
      </c>
      <c r="L161">
        <f>IF(J161="本金",F161+L160,L160)</f>
        <v/>
      </c>
    </row>
    <row r="162" outlineLevel="1" customFormat="1" s="65">
      <c r="A162" s="508" t="n">
        <v>44250</v>
      </c>
      <c r="B162" s="509" t="n">
        <v>88025</v>
      </c>
      <c r="C162" s="123" t="n"/>
      <c r="D162" s="510">
        <f>D161+C162-B162</f>
        <v/>
      </c>
      <c r="E162" s="535" t="n"/>
      <c r="F162" s="541" t="n"/>
      <c r="G162" s="537">
        <f>G161+F162-E162</f>
        <v/>
      </c>
      <c r="H162" s="65" t="inlineStr">
        <is>
          <t>力山</t>
        </is>
      </c>
      <c r="J162" t="inlineStr">
        <is>
          <t>投資</t>
        </is>
      </c>
      <c r="K162">
        <f>IF(J162="本金",C162+K161,K161)</f>
        <v/>
      </c>
      <c r="L162">
        <f>IF(J162="本金",F162+L161,L161)</f>
        <v/>
      </c>
    </row>
    <row r="163" outlineLevel="1" customFormat="1" s="65">
      <c r="A163" s="508" t="n">
        <v>44250</v>
      </c>
      <c r="B163" s="509" t="n">
        <v>29191</v>
      </c>
      <c r="C163" s="123" t="n"/>
      <c r="D163" s="510">
        <f>D162+C163-B163</f>
        <v/>
      </c>
      <c r="E163" s="535" t="n"/>
      <c r="F163" s="541" t="n"/>
      <c r="G163" s="537">
        <f>G162+F163-E163</f>
        <v/>
      </c>
      <c r="H163" s="65" t="inlineStr">
        <is>
          <t>揚智</t>
        </is>
      </c>
      <c r="J163" t="inlineStr">
        <is>
          <t>投資</t>
        </is>
      </c>
      <c r="K163">
        <f>IF(J163="本金",C163+K162,K162)</f>
        <v/>
      </c>
      <c r="L163">
        <f>IF(J163="本金",F163+L162,L162)</f>
        <v/>
      </c>
    </row>
    <row r="164" outlineLevel="1" customFormat="1" s="65">
      <c r="A164" s="508" t="n">
        <v>44251</v>
      </c>
      <c r="B164" s="509" t="n">
        <v>51573</v>
      </c>
      <c r="C164" s="123" t="n"/>
      <c r="D164" s="510">
        <f>D163+C164-B164</f>
        <v/>
      </c>
      <c r="E164" s="535" t="n"/>
      <c r="F164" s="541" t="n"/>
      <c r="G164" s="537">
        <f>G163+F164-E164</f>
        <v/>
      </c>
      <c r="H164" s="65" t="inlineStr">
        <is>
          <t>中興電</t>
        </is>
      </c>
      <c r="J164" t="inlineStr">
        <is>
          <t>投資</t>
        </is>
      </c>
      <c r="K164">
        <f>IF(J164="本金",C164+K163,K163)</f>
        <v/>
      </c>
      <c r="L164">
        <f>IF(J164="本金",F164+L163,L163)</f>
        <v/>
      </c>
    </row>
    <row r="165" outlineLevel="1" customFormat="1" s="65">
      <c r="A165" s="508" t="n">
        <v>44251</v>
      </c>
      <c r="B165" s="509" t="n">
        <v>45815</v>
      </c>
      <c r="C165" s="123" t="n"/>
      <c r="D165" s="510">
        <f>D164+C165-B165</f>
        <v/>
      </c>
      <c r="E165" s="535" t="n"/>
      <c r="F165" s="541" t="n"/>
      <c r="G165" s="537">
        <f>G164+F165-E165</f>
        <v/>
      </c>
      <c r="H165" s="65" t="inlineStr">
        <is>
          <t>億光</t>
        </is>
      </c>
      <c r="J165" t="inlineStr">
        <is>
          <t>投資</t>
        </is>
      </c>
      <c r="K165">
        <f>IF(J165="本金",C165+K164,K164)</f>
        <v/>
      </c>
      <c r="L165">
        <f>IF(J165="本金",F165+L164,L164)</f>
        <v/>
      </c>
    </row>
    <row r="166" outlineLevel="1" customFormat="1" s="65">
      <c r="A166" s="508" t="n">
        <v>44251</v>
      </c>
      <c r="B166" s="509" t="n">
        <v>107152</v>
      </c>
      <c r="C166" s="123" t="n"/>
      <c r="D166" s="510">
        <f>D165+C166-B166</f>
        <v/>
      </c>
      <c r="E166" s="535" t="n"/>
      <c r="F166" s="541" t="n"/>
      <c r="G166" s="537">
        <f>G165+F166-E166</f>
        <v/>
      </c>
      <c r="H166" s="65" t="inlineStr">
        <is>
          <t>奇力新</t>
        </is>
      </c>
      <c r="J166" t="inlineStr">
        <is>
          <t>投資</t>
        </is>
      </c>
      <c r="K166">
        <f>IF(J166="本金",C166+K165,K165)</f>
        <v/>
      </c>
      <c r="L166">
        <f>IF(J166="本金",F166+L165,L165)</f>
        <v/>
      </c>
    </row>
    <row r="167" outlineLevel="1" customFormat="1" s="65">
      <c r="A167" s="508" t="n">
        <v>44252</v>
      </c>
      <c r="B167" s="509" t="n">
        <v>30593</v>
      </c>
      <c r="C167" s="123" t="n"/>
      <c r="D167" s="510">
        <f>D166+C167-B167</f>
        <v/>
      </c>
      <c r="E167" s="535" t="n"/>
      <c r="F167" s="541" t="n"/>
      <c r="G167" s="537">
        <f>G166+F167-E167</f>
        <v/>
      </c>
      <c r="H167" s="65" t="inlineStr">
        <is>
          <t>華邦電</t>
        </is>
      </c>
      <c r="J167" t="inlineStr">
        <is>
          <t>投資</t>
        </is>
      </c>
      <c r="K167">
        <f>IF(J167="本金",C167+K166,K166)</f>
        <v/>
      </c>
      <c r="L167">
        <f>IF(J167="本金",F167+L166,L166)</f>
        <v/>
      </c>
    </row>
    <row r="168" outlineLevel="1" customFormat="1" s="65">
      <c r="A168" s="508" t="n">
        <v>44253</v>
      </c>
      <c r="B168" s="509" t="n">
        <v>100142</v>
      </c>
      <c r="C168" s="123" t="n"/>
      <c r="D168" s="510">
        <f>D167+C168-B168</f>
        <v/>
      </c>
      <c r="E168" s="535" t="n"/>
      <c r="F168" s="541" t="n"/>
      <c r="G168" s="537">
        <f>G167+F168-E168</f>
        <v/>
      </c>
      <c r="H168" s="65" t="inlineStr">
        <is>
          <t>台塑(1301)</t>
        </is>
      </c>
      <c r="J168" t="inlineStr">
        <is>
          <t>投資</t>
        </is>
      </c>
      <c r="K168">
        <f>IF(J168="本金",C168+K167,K167)</f>
        <v/>
      </c>
      <c r="L168">
        <f>IF(J168="本金",F168+L167,L167)</f>
        <v/>
      </c>
    </row>
    <row r="169" outlineLevel="1" customFormat="1" s="65">
      <c r="A169" s="508" t="n">
        <v>44253</v>
      </c>
      <c r="B169" s="509" t="n">
        <v>29892</v>
      </c>
      <c r="C169" s="123" t="n"/>
      <c r="D169" s="510">
        <f>D168+C169-B169</f>
        <v/>
      </c>
      <c r="E169" s="535" t="n"/>
      <c r="F169" s="541" t="n"/>
      <c r="G169" s="537">
        <f>G168+F169-E169</f>
        <v/>
      </c>
      <c r="H169" s="65" t="inlineStr">
        <is>
          <t>華夏(1305)</t>
        </is>
      </c>
      <c r="J169" t="inlineStr">
        <is>
          <t>投資</t>
        </is>
      </c>
      <c r="K169">
        <f>IF(J169="本金",C169+K168,K168)</f>
        <v/>
      </c>
      <c r="L169">
        <f>IF(J169="本金",F169+L168,L168)</f>
        <v/>
      </c>
    </row>
    <row r="170" outlineLevel="1" customFormat="1" s="65">
      <c r="A170" s="508" t="n">
        <v>44253</v>
      </c>
      <c r="B170" s="509" t="n">
        <v>39356</v>
      </c>
      <c r="C170" s="123" t="n"/>
      <c r="D170" s="510">
        <f>D169+C170-B170</f>
        <v/>
      </c>
      <c r="E170" s="535" t="n"/>
      <c r="F170" s="541" t="n"/>
      <c r="G170" s="537">
        <f>G169+F170-E170</f>
        <v/>
      </c>
      <c r="H170" s="65" t="inlineStr">
        <is>
          <t>台玻(1802)</t>
        </is>
      </c>
      <c r="J170" t="inlineStr">
        <is>
          <t>投資</t>
        </is>
      </c>
      <c r="K170">
        <f>IF(J170="本金",C170+K169,K169)</f>
        <v/>
      </c>
      <c r="L170">
        <f>IF(J170="本金",F170+L169,L169)</f>
        <v/>
      </c>
    </row>
    <row r="171" outlineLevel="1" customFormat="1" s="65">
      <c r="A171" s="508" t="n">
        <v>44253</v>
      </c>
      <c r="B171" s="509" t="n">
        <v>25486</v>
      </c>
      <c r="C171" s="123" t="n"/>
      <c r="D171" s="510">
        <f>D170+C171-B171</f>
        <v/>
      </c>
      <c r="E171" s="535" t="n"/>
      <c r="F171" s="541" t="n"/>
      <c r="G171" s="537">
        <f>G170+F171-E171</f>
        <v/>
      </c>
      <c r="H171" s="65" t="inlineStr">
        <is>
          <t>中鋼(2002)</t>
        </is>
      </c>
      <c r="J171" t="inlineStr">
        <is>
          <t>投資</t>
        </is>
      </c>
      <c r="K171">
        <f>IF(J171="本金",C171+K170,K170)</f>
        <v/>
      </c>
      <c r="L171">
        <f>IF(J171="本金",F171+L170,L170)</f>
        <v/>
      </c>
    </row>
    <row r="172" outlineLevel="1" customFormat="1" s="65">
      <c r="A172" s="508" t="n">
        <v>44253</v>
      </c>
      <c r="B172" s="509" t="n">
        <v>34749</v>
      </c>
      <c r="C172" s="123" t="n"/>
      <c r="D172" s="510">
        <f>D171+C172-B172</f>
        <v/>
      </c>
      <c r="E172" s="535" t="n"/>
      <c r="F172" s="541" t="n"/>
      <c r="G172" s="537">
        <f>G171+F172-E172</f>
        <v/>
      </c>
      <c r="H172" s="65" t="inlineStr">
        <is>
          <t>第一銅</t>
        </is>
      </c>
      <c r="J172" t="inlineStr">
        <is>
          <t>投資</t>
        </is>
      </c>
      <c r="K172">
        <f>IF(J172="本金",C172+K171,K171)</f>
        <v/>
      </c>
      <c r="L172">
        <f>IF(J172="本金",F172+L171,L171)</f>
        <v/>
      </c>
    </row>
    <row r="173" outlineLevel="1" customFormat="1" s="65">
      <c r="A173" s="508" t="n">
        <v>44253</v>
      </c>
      <c r="B173" s="509" t="n">
        <v>11820</v>
      </c>
      <c r="C173" s="123" t="n"/>
      <c r="D173" s="510">
        <f>D172+C173-B173</f>
        <v/>
      </c>
      <c r="E173" s="535" t="n"/>
      <c r="F173" s="541" t="n"/>
      <c r="G173" s="537">
        <f>G172+F173-E173</f>
        <v/>
      </c>
      <c r="H173" s="65" t="inlineStr">
        <is>
          <t>永豐金</t>
        </is>
      </c>
      <c r="J173" t="inlineStr">
        <is>
          <t>投資</t>
        </is>
      </c>
      <c r="K173">
        <f>IF(J173="本金",C173+K172,K172)</f>
        <v/>
      </c>
      <c r="L173">
        <f>IF(J173="本金",F173+L172,L172)</f>
        <v/>
      </c>
    </row>
    <row r="174" outlineLevel="1" customFormat="1" s="65">
      <c r="A174" s="508" t="n">
        <v>44253</v>
      </c>
      <c r="B174" s="509" t="n">
        <v>20829</v>
      </c>
      <c r="C174" s="123" t="n"/>
      <c r="D174" s="510">
        <f>D173+C174-B174</f>
        <v/>
      </c>
      <c r="E174" s="535" t="n"/>
      <c r="F174" s="541" t="n"/>
      <c r="G174" s="537">
        <f>G173+F174-E174</f>
        <v/>
      </c>
      <c r="H174" s="65" t="inlineStr">
        <is>
          <t>中信金</t>
        </is>
      </c>
      <c r="J174" t="inlineStr">
        <is>
          <t>投資</t>
        </is>
      </c>
      <c r="K174">
        <f>IF(J174="本金",C174+K173,K173)</f>
        <v/>
      </c>
      <c r="L174">
        <f>IF(J174="本金",F174+L173,L173)</f>
        <v/>
      </c>
    </row>
    <row r="175" outlineLevel="1" customFormat="1" s="65">
      <c r="A175" s="508" t="n">
        <v>44253</v>
      </c>
      <c r="B175" s="509" t="n"/>
      <c r="C175" s="123" t="n">
        <v>37634</v>
      </c>
      <c r="D175" s="510">
        <f>D174+C175-B175</f>
        <v/>
      </c>
      <c r="E175" s="535" t="n"/>
      <c r="F175" s="541" t="n"/>
      <c r="G175" s="537">
        <f>G174+F175-E175</f>
        <v/>
      </c>
      <c r="H175" s="65" t="inlineStr">
        <is>
          <t>長榮</t>
        </is>
      </c>
      <c r="J175" t="inlineStr">
        <is>
          <t>投資</t>
        </is>
      </c>
      <c r="K175">
        <f>IF(J175="本金",C175+K174,K174)</f>
        <v/>
      </c>
      <c r="L175">
        <f>IF(J175="本金",F175+L174,L174)</f>
        <v/>
      </c>
    </row>
    <row r="176" outlineLevel="1" customFormat="1" s="65">
      <c r="A176" s="508" t="n">
        <v>44260</v>
      </c>
      <c r="B176" s="509" t="n"/>
      <c r="C176" s="123" t="n">
        <v>81937</v>
      </c>
      <c r="D176" s="510">
        <f>D175+C176-B176</f>
        <v/>
      </c>
      <c r="E176" s="535" t="n"/>
      <c r="F176" s="541" t="n"/>
      <c r="G176" s="537">
        <f>G175+F176-E176</f>
        <v/>
      </c>
      <c r="H176" s="65" t="inlineStr">
        <is>
          <t>力山</t>
        </is>
      </c>
      <c r="J176" t="inlineStr">
        <is>
          <t>投資</t>
        </is>
      </c>
      <c r="K176">
        <f>IF(J176="本金",C176+K175,K175)</f>
        <v/>
      </c>
      <c r="L176">
        <f>IF(J176="本金",F176+L175,L175)</f>
        <v/>
      </c>
    </row>
    <row r="177" outlineLevel="1" customFormat="1" s="65">
      <c r="A177" s="508" t="n">
        <v>44260</v>
      </c>
      <c r="B177" s="509" t="n"/>
      <c r="C177" s="123" t="n">
        <v>27678</v>
      </c>
      <c r="D177" s="510">
        <f>D176+C177-B177</f>
        <v/>
      </c>
      <c r="E177" s="535" t="n"/>
      <c r="F177" s="541" t="n"/>
      <c r="G177" s="537">
        <f>G176+F177-E177</f>
        <v/>
      </c>
      <c r="H177" s="65" t="inlineStr">
        <is>
          <t>揚智</t>
        </is>
      </c>
      <c r="J177" t="inlineStr">
        <is>
          <t>投資</t>
        </is>
      </c>
      <c r="K177">
        <f>IF(J177="本金",C177+K176,K176)</f>
        <v/>
      </c>
      <c r="L177">
        <f>IF(J177="本金",F177+L176,L176)</f>
        <v/>
      </c>
    </row>
    <row r="178" outlineLevel="1" customFormat="1" s="65">
      <c r="A178" s="508" t="n">
        <v>44260</v>
      </c>
      <c r="B178" s="509" t="n"/>
      <c r="C178" s="123" t="n">
        <v>29669</v>
      </c>
      <c r="D178" s="510">
        <f>D177+C178-B178</f>
        <v/>
      </c>
      <c r="E178" s="535" t="n"/>
      <c r="F178" s="541" t="n"/>
      <c r="G178" s="537">
        <f>G177+F178-E178</f>
        <v/>
      </c>
      <c r="H178" s="65" t="inlineStr">
        <is>
          <t>第一銅</t>
        </is>
      </c>
      <c r="J178" t="inlineStr">
        <is>
          <t>投資</t>
        </is>
      </c>
      <c r="K178">
        <f>IF(J178="本金",C178+K177,K177)</f>
        <v/>
      </c>
      <c r="L178">
        <f>IF(J178="本金",F178+L177,L177)</f>
        <v/>
      </c>
    </row>
    <row r="179" outlineLevel="1" customFormat="1" s="65">
      <c r="A179" s="508" t="n">
        <v>44260</v>
      </c>
      <c r="B179" s="509" t="n">
        <v>79112</v>
      </c>
      <c r="C179" s="123" t="n"/>
      <c r="D179" s="510">
        <f>D178+C179-B179</f>
        <v/>
      </c>
      <c r="E179" s="535" t="n"/>
      <c r="F179" s="541" t="n"/>
      <c r="G179" s="537">
        <f>G178+F179-E179</f>
        <v/>
      </c>
      <c r="H179" s="65" t="inlineStr">
        <is>
          <t>均華</t>
        </is>
      </c>
      <c r="J179" t="inlineStr">
        <is>
          <t>投資</t>
        </is>
      </c>
      <c r="K179">
        <f>IF(J179="本金",C179+K178,K178)</f>
        <v/>
      </c>
      <c r="L179">
        <f>IF(J179="本金",F179+L178,L178)</f>
        <v/>
      </c>
    </row>
    <row r="180" outlineLevel="1" customFormat="1" s="65">
      <c r="A180" s="508" t="n">
        <v>44263</v>
      </c>
      <c r="B180" s="509" t="n"/>
      <c r="C180" s="123" t="n">
        <v>71583</v>
      </c>
      <c r="D180" s="510">
        <f>D179+C180-B180</f>
        <v/>
      </c>
      <c r="E180" s="535" t="n"/>
      <c r="F180" s="541" t="n"/>
      <c r="G180" s="537">
        <f>G179+F180-E180</f>
        <v/>
      </c>
      <c r="H180" s="65" t="inlineStr">
        <is>
          <t>均華</t>
        </is>
      </c>
      <c r="J180" t="inlineStr">
        <is>
          <t>投資</t>
        </is>
      </c>
      <c r="K180">
        <f>IF(J180="本金",C180+K179,K179)</f>
        <v/>
      </c>
      <c r="L180">
        <f>IF(J180="本金",F180+L179,L179)</f>
        <v/>
      </c>
    </row>
    <row r="181" outlineLevel="1" customFormat="1" s="65">
      <c r="A181" s="508" t="n">
        <v>44264</v>
      </c>
      <c r="B181" s="509" t="n"/>
      <c r="C181" s="123" t="n">
        <v>105034</v>
      </c>
      <c r="D181" s="510">
        <f>D180+C181-B181</f>
        <v/>
      </c>
      <c r="E181" s="535" t="n"/>
      <c r="F181" s="541" t="n"/>
      <c r="G181" s="537">
        <f>G180+F181-E181</f>
        <v/>
      </c>
      <c r="H181" s="65" t="inlineStr">
        <is>
          <t>全新</t>
        </is>
      </c>
      <c r="J181" t="inlineStr">
        <is>
          <t>投資</t>
        </is>
      </c>
      <c r="K181">
        <f>IF(J181="本金",C181+K180,K180)</f>
        <v/>
      </c>
      <c r="L181">
        <f>IF(J181="本金",F181+L180,L180)</f>
        <v/>
      </c>
    </row>
    <row r="182" outlineLevel="1" customFormat="1" s="65">
      <c r="A182" s="508" t="n">
        <v>44264</v>
      </c>
      <c r="B182" s="509" t="n"/>
      <c r="C182" s="123" t="n">
        <v>36638</v>
      </c>
      <c r="D182" s="510">
        <f>D181+C182-B182</f>
        <v/>
      </c>
      <c r="E182" s="535" t="n"/>
      <c r="F182" s="541" t="n"/>
      <c r="G182" s="537">
        <f>G181+F182-E182</f>
        <v/>
      </c>
      <c r="H182" s="65" t="inlineStr">
        <is>
          <t>友達</t>
        </is>
      </c>
      <c r="J182" t="inlineStr">
        <is>
          <t>投資</t>
        </is>
      </c>
      <c r="K182">
        <f>IF(J182="本金",C182+K181,K181)</f>
        <v/>
      </c>
      <c r="L182">
        <f>IF(J182="本金",F182+L181,L181)</f>
        <v/>
      </c>
    </row>
    <row r="183" outlineLevel="1" customFormat="1" s="65">
      <c r="A183" s="508" t="n">
        <v>44264</v>
      </c>
      <c r="B183" s="509" t="n"/>
      <c r="C183" s="123" t="n">
        <v>11596</v>
      </c>
      <c r="D183" s="510">
        <f>D182+C183-B183</f>
        <v/>
      </c>
      <c r="E183" s="535" t="n"/>
      <c r="F183" s="541" t="n"/>
      <c r="G183" s="537">
        <f>G182+F183-E183</f>
        <v/>
      </c>
      <c r="H183" s="65" t="inlineStr">
        <is>
          <t>永豐金</t>
        </is>
      </c>
      <c r="J183" t="inlineStr">
        <is>
          <t>投資</t>
        </is>
      </c>
      <c r="K183">
        <f>IF(J183="本金",C183+K182,K182)</f>
        <v/>
      </c>
      <c r="L183">
        <f>IF(J183="本金",F183+L182,L182)</f>
        <v/>
      </c>
    </row>
    <row r="184" outlineLevel="1" customFormat="1" s="65">
      <c r="A184" s="508" t="n">
        <v>44264</v>
      </c>
      <c r="B184" s="509" t="n"/>
      <c r="C184" s="123" t="n">
        <v>20062</v>
      </c>
      <c r="D184" s="510">
        <f>D183+C184-B184</f>
        <v/>
      </c>
      <c r="E184" s="535" t="n"/>
      <c r="F184" s="541" t="n"/>
      <c r="G184" s="537">
        <f>G183+F184-E184</f>
        <v/>
      </c>
      <c r="H184" s="65" t="inlineStr">
        <is>
          <t>中信金</t>
        </is>
      </c>
      <c r="J184" t="inlineStr">
        <is>
          <t>投資</t>
        </is>
      </c>
      <c r="K184">
        <f>IF(J184="本金",C184+K183,K183)</f>
        <v/>
      </c>
      <c r="L184">
        <f>IF(J184="本金",F184+L183,L183)</f>
        <v/>
      </c>
    </row>
    <row r="185" outlineLevel="1" customFormat="1" s="65">
      <c r="A185" s="508" t="n">
        <v>44264</v>
      </c>
      <c r="B185" s="509" t="n"/>
      <c r="C185" s="123" t="n">
        <v>102047</v>
      </c>
      <c r="D185" s="510">
        <f>D184+C185-B185</f>
        <v/>
      </c>
      <c r="E185" s="535" t="n"/>
      <c r="F185" s="541" t="n"/>
      <c r="G185" s="537">
        <f>G184+F185-E185</f>
        <v/>
      </c>
      <c r="H185" s="65" t="inlineStr">
        <is>
          <t>日月光投控</t>
        </is>
      </c>
      <c r="J185" t="inlineStr">
        <is>
          <t>投資</t>
        </is>
      </c>
      <c r="K185">
        <f>IF(J185="本金",C185+K184,K184)</f>
        <v/>
      </c>
      <c r="L185">
        <f>IF(J185="本金",F185+L184,L184)</f>
        <v/>
      </c>
    </row>
    <row r="186" outlineLevel="1" customFormat="1" s="65">
      <c r="A186" s="508" t="n">
        <v>44264</v>
      </c>
      <c r="B186" s="509" t="n"/>
      <c r="C186" s="123" t="n">
        <v>33353</v>
      </c>
      <c r="D186" s="510">
        <f>D185+C186-B186</f>
        <v/>
      </c>
      <c r="E186" s="535" t="n"/>
      <c r="F186" s="541" t="n"/>
      <c r="G186" s="537">
        <f>G185+F186-E186</f>
        <v/>
      </c>
      <c r="H186" s="65" t="inlineStr">
        <is>
          <t>大立光</t>
        </is>
      </c>
      <c r="J186" t="inlineStr">
        <is>
          <t>投資</t>
        </is>
      </c>
      <c r="K186">
        <f>IF(J186="本金",C186+K185,K185)</f>
        <v/>
      </c>
      <c r="L186">
        <f>IF(J186="本金",F186+L185,L185)</f>
        <v/>
      </c>
    </row>
    <row r="187" outlineLevel="1" customFormat="1" s="65">
      <c r="A187" s="508" t="n">
        <v>44264</v>
      </c>
      <c r="B187" s="509" t="n"/>
      <c r="C187" s="123" t="n">
        <v>309624</v>
      </c>
      <c r="D187" s="510">
        <f>D186+C187-B187</f>
        <v/>
      </c>
      <c r="E187" s="535" t="n"/>
      <c r="F187" s="541" t="n"/>
      <c r="G187" s="537">
        <f>G186+F187-E187</f>
        <v/>
      </c>
      <c r="H187" s="65" t="inlineStr">
        <is>
          <t>華碩</t>
        </is>
      </c>
      <c r="J187" t="inlineStr">
        <is>
          <t>投資</t>
        </is>
      </c>
      <c r="K187">
        <f>IF(J187="本金",C187+K186,K186)</f>
        <v/>
      </c>
      <c r="L187">
        <f>IF(J187="本金",F187+L186,L186)</f>
        <v/>
      </c>
    </row>
    <row r="188" outlineLevel="1" customFormat="1" s="65">
      <c r="A188" s="508" t="n">
        <v>44264</v>
      </c>
      <c r="B188" s="509" t="n"/>
      <c r="C188" s="123" t="n">
        <v>50875</v>
      </c>
      <c r="D188" s="510">
        <f>D187+C188-B188</f>
        <v/>
      </c>
      <c r="E188" s="535" t="n"/>
      <c r="F188" s="541" t="n"/>
      <c r="G188" s="537">
        <f>G187+F188-E188</f>
        <v/>
      </c>
      <c r="H188" s="65" t="inlineStr">
        <is>
          <t>中興電</t>
        </is>
      </c>
      <c r="J188" t="inlineStr">
        <is>
          <t>投資</t>
        </is>
      </c>
      <c r="K188">
        <f>IF(J188="本金",C188+K187,K187)</f>
        <v/>
      </c>
      <c r="L188">
        <f>IF(J188="本金",F188+L187,L187)</f>
        <v/>
      </c>
    </row>
    <row r="189" outlineLevel="1" customFormat="1" s="65">
      <c r="A189" s="508" t="n">
        <v>44264</v>
      </c>
      <c r="B189" s="509" t="n"/>
      <c r="C189" s="123" t="n">
        <v>43906</v>
      </c>
      <c r="D189" s="510">
        <f>D188+C189-B189</f>
        <v/>
      </c>
      <c r="E189" s="535" t="n"/>
      <c r="F189" s="541" t="n"/>
      <c r="G189" s="537">
        <f>G188+F189-E189</f>
        <v/>
      </c>
      <c r="H189" s="65" t="inlineStr">
        <is>
          <t>億光</t>
        </is>
      </c>
      <c r="J189" t="inlineStr">
        <is>
          <t>投資</t>
        </is>
      </c>
      <c r="K189">
        <f>IF(J189="本金",C189+K188,K188)</f>
        <v/>
      </c>
      <c r="L189">
        <f>IF(J189="本金",F189+L188,L188)</f>
        <v/>
      </c>
    </row>
    <row r="190" outlineLevel="1" customFormat="1" s="65">
      <c r="A190" s="508" t="n">
        <v>44264</v>
      </c>
      <c r="B190" s="509" t="n"/>
      <c r="C190" s="123" t="n">
        <v>108518</v>
      </c>
      <c r="D190" s="510">
        <f>D189+C190-B190</f>
        <v/>
      </c>
      <c r="E190" s="535" t="n"/>
      <c r="F190" s="541" t="n"/>
      <c r="G190" s="537">
        <f>G189+F190-E190</f>
        <v/>
      </c>
      <c r="H190" s="65" t="inlineStr">
        <is>
          <t>奇力新</t>
        </is>
      </c>
      <c r="J190" t="inlineStr">
        <is>
          <t>投資</t>
        </is>
      </c>
      <c r="K190">
        <f>IF(J190="本金",C190+K189,K189)</f>
        <v/>
      </c>
      <c r="L190">
        <f>IF(J190="本金",F190+L189,L189)</f>
        <v/>
      </c>
    </row>
    <row r="191" outlineLevel="1" customFormat="1" s="65">
      <c r="A191" s="508" t="n">
        <v>44264</v>
      </c>
      <c r="B191" s="509" t="n"/>
      <c r="C191" s="123" t="n">
        <v>27628</v>
      </c>
      <c r="D191" s="510">
        <f>D190+C191-B191</f>
        <v/>
      </c>
      <c r="E191" s="535" t="n"/>
      <c r="F191" s="541" t="n"/>
      <c r="G191" s="537">
        <f>G190+F191-E191</f>
        <v/>
      </c>
      <c r="H191" s="65" t="inlineStr">
        <is>
          <t>華邦電</t>
        </is>
      </c>
      <c r="J191" t="inlineStr">
        <is>
          <t>投資</t>
        </is>
      </c>
      <c r="K191">
        <f>IF(J191="本金",C191+K190,K190)</f>
        <v/>
      </c>
      <c r="L191">
        <f>IF(J191="本金",F191+L190,L190)</f>
        <v/>
      </c>
    </row>
    <row r="192" outlineLevel="1" customFormat="1" s="65">
      <c r="A192" s="508" t="n">
        <v>44264</v>
      </c>
      <c r="B192" s="509" t="n"/>
      <c r="C192" s="123" t="n">
        <v>37136</v>
      </c>
      <c r="D192" s="510">
        <f>D191+C192-B192</f>
        <v/>
      </c>
      <c r="E192" s="535" t="n"/>
      <c r="F192" s="541" t="n"/>
      <c r="G192" s="537">
        <f>G191+F192-E192</f>
        <v/>
      </c>
      <c r="H192" s="65" t="inlineStr">
        <is>
          <t>長榮</t>
        </is>
      </c>
      <c r="J192" t="inlineStr">
        <is>
          <t>投資</t>
        </is>
      </c>
      <c r="K192">
        <f>IF(J192="本金",C192+K191,K191)</f>
        <v/>
      </c>
      <c r="L192">
        <f>IF(J192="本金",F192+L191,L191)</f>
        <v/>
      </c>
    </row>
    <row r="193" outlineLevel="1" customFormat="1" s="65">
      <c r="A193" s="518" t="n">
        <v>44265</v>
      </c>
      <c r="B193" s="519" t="n"/>
      <c r="C193" s="148" t="n">
        <v>1008</v>
      </c>
      <c r="D193" s="520">
        <f>D192+C193-B193</f>
        <v/>
      </c>
      <c r="E193" s="542" t="n"/>
      <c r="F193" s="543" t="n"/>
      <c r="G193" s="544">
        <f>G192+F193-E193</f>
        <v/>
      </c>
      <c r="H193" s="152" t="inlineStr">
        <is>
          <t>折讓入帳</t>
        </is>
      </c>
      <c r="I193" s="152" t="n"/>
      <c r="J193" t="inlineStr">
        <is>
          <t>投資</t>
        </is>
      </c>
      <c r="K193">
        <f>IF(J193="本金",C193+K192,K192)</f>
        <v/>
      </c>
      <c r="L193">
        <f>IF(J193="本金",F193+L192,L192)</f>
        <v/>
      </c>
    </row>
    <row r="194" outlineLevel="1" customFormat="1" s="65">
      <c r="A194" s="66" t="n">
        <v>44266</v>
      </c>
      <c r="B194" s="509" t="n"/>
      <c r="C194" s="123" t="n">
        <v>25288</v>
      </c>
      <c r="D194" s="510">
        <f>D193+C194-B194</f>
        <v/>
      </c>
      <c r="E194" s="535" t="n"/>
      <c r="F194" s="541" t="n"/>
      <c r="G194" s="537">
        <f>G193+F194-E194</f>
        <v/>
      </c>
      <c r="H194" s="65" t="inlineStr">
        <is>
          <t>玉山金(2884)</t>
        </is>
      </c>
      <c r="J194" t="inlineStr">
        <is>
          <t>投資</t>
        </is>
      </c>
      <c r="K194">
        <f>IF(J194="本金",C194+K193,K193)</f>
        <v/>
      </c>
      <c r="L194">
        <f>IF(J194="本金",F194+L193,L193)</f>
        <v/>
      </c>
    </row>
    <row r="195" outlineLevel="1" customFormat="1" s="65">
      <c r="A195" s="508" t="n">
        <v>44271</v>
      </c>
      <c r="B195" s="509" t="n"/>
      <c r="C195" s="123" t="n">
        <v>104039</v>
      </c>
      <c r="D195" s="510">
        <f>D194+C195-B195</f>
        <v/>
      </c>
      <c r="E195" s="535" t="n"/>
      <c r="F195" s="541" t="n"/>
      <c r="G195" s="537">
        <f>G194+F195-E195</f>
        <v/>
      </c>
      <c r="H195" s="65" t="inlineStr">
        <is>
          <t>台塑(1301)</t>
        </is>
      </c>
      <c r="J195" t="inlineStr">
        <is>
          <t>投資</t>
        </is>
      </c>
      <c r="K195">
        <f>IF(J195="本金",C195+K194,K194)</f>
        <v/>
      </c>
      <c r="L195">
        <f>IF(J195="本金",F195+L194,L194)</f>
        <v/>
      </c>
    </row>
    <row r="196" outlineLevel="1" customFormat="1" s="65">
      <c r="A196" s="508" t="n">
        <v>44271</v>
      </c>
      <c r="B196" s="509" t="n"/>
      <c r="C196" s="123" t="n">
        <v>32904</v>
      </c>
      <c r="D196" s="510">
        <f>D195+C196-B196</f>
        <v/>
      </c>
      <c r="E196" s="535" t="n"/>
      <c r="F196" s="541" t="n"/>
      <c r="G196" s="537">
        <f>G195+F196-E196</f>
        <v/>
      </c>
      <c r="H196" s="65" t="inlineStr">
        <is>
          <t>華夏(1305)</t>
        </is>
      </c>
      <c r="J196" t="inlineStr">
        <is>
          <t>投資</t>
        </is>
      </c>
      <c r="K196">
        <f>IF(J196="本金",C196+K195,K195)</f>
        <v/>
      </c>
      <c r="L196">
        <f>IF(J196="本金",F196+L195,L195)</f>
        <v/>
      </c>
    </row>
    <row r="197" outlineLevel="1" customFormat="1" s="65">
      <c r="A197" s="508" t="n">
        <v>44271</v>
      </c>
      <c r="B197" s="509" t="n"/>
      <c r="C197" s="123" t="n">
        <v>39923</v>
      </c>
      <c r="D197" s="510">
        <f>D196+C197-B197</f>
        <v/>
      </c>
      <c r="E197" s="535" t="n"/>
      <c r="F197" s="541" t="n"/>
      <c r="G197" s="537">
        <f>G196+F197-E197</f>
        <v/>
      </c>
      <c r="H197" s="65" t="inlineStr">
        <is>
          <t>台玻(1802)</t>
        </is>
      </c>
      <c r="J197" t="inlineStr">
        <is>
          <t>投資</t>
        </is>
      </c>
      <c r="K197">
        <f>IF(J197="本金",C197+K196,K196)</f>
        <v/>
      </c>
      <c r="L197">
        <f>IF(J197="本金",F197+L196,L196)</f>
        <v/>
      </c>
    </row>
    <row r="198" outlineLevel="1" customFormat="1" s="65">
      <c r="A198" s="508" t="n">
        <v>44271</v>
      </c>
      <c r="B198" s="509" t="n"/>
      <c r="C198" s="123" t="n">
        <v>25687</v>
      </c>
      <c r="D198" s="510">
        <f>D197+C198-B198</f>
        <v/>
      </c>
      <c r="E198" s="535" t="n"/>
      <c r="F198" s="541" t="n"/>
      <c r="G198" s="537">
        <f>G197+F198-E198</f>
        <v/>
      </c>
      <c r="H198" s="65" t="inlineStr">
        <is>
          <t>中鋼(2002)</t>
        </is>
      </c>
      <c r="J198" t="inlineStr">
        <is>
          <t>投資</t>
        </is>
      </c>
      <c r="K198">
        <f>IF(J198="本金",C198+K197,K197)</f>
        <v/>
      </c>
      <c r="L198">
        <f>IF(J198="本金",F198+L197,L197)</f>
        <v/>
      </c>
    </row>
    <row r="199" outlineLevel="1" customFormat="1" s="65">
      <c r="A199" s="508" t="n">
        <v>44271</v>
      </c>
      <c r="B199" s="509" t="n">
        <v>51473</v>
      </c>
      <c r="C199" s="123" t="n">
        <v>53544</v>
      </c>
      <c r="D199" s="510">
        <f>D198+C199-B199</f>
        <v/>
      </c>
      <c r="E199" s="535" t="n"/>
      <c r="F199" s="541" t="n"/>
      <c r="G199" s="537">
        <f>G198+F199-E199</f>
        <v/>
      </c>
      <c r="H199" s="65" t="inlineStr">
        <is>
          <t>光罩(2338)</t>
        </is>
      </c>
      <c r="I199" s="65" t="inlineStr">
        <is>
          <t>當沖</t>
        </is>
      </c>
      <c r="J199" t="inlineStr">
        <is>
          <t>投資</t>
        </is>
      </c>
      <c r="K199">
        <f>IF(J199="本金",C199+K198,K198)</f>
        <v/>
      </c>
      <c r="L199">
        <f>IF(J199="本金",F199+L198,L198)</f>
        <v/>
      </c>
    </row>
    <row r="200" outlineLevel="1" customFormat="1" s="65">
      <c r="A200" s="508" t="n">
        <v>44271</v>
      </c>
      <c r="B200" s="509" t="n">
        <v>114663</v>
      </c>
      <c r="C200" s="123" t="n">
        <v>115163</v>
      </c>
      <c r="D200" s="510">
        <f>D199+C200-B200</f>
        <v/>
      </c>
      <c r="E200" s="535" t="n"/>
      <c r="F200" s="541" t="n"/>
      <c r="G200" s="537">
        <f>G199+F200-E200</f>
        <v/>
      </c>
      <c r="H200" s="65" t="inlineStr">
        <is>
          <t>茂達(6138)</t>
        </is>
      </c>
      <c r="I200" s="65" t="inlineStr">
        <is>
          <t>當沖</t>
        </is>
      </c>
      <c r="J200" t="inlineStr">
        <is>
          <t>投資</t>
        </is>
      </c>
      <c r="K200">
        <f>IF(J200="本金",C200+K199,K199)</f>
        <v/>
      </c>
      <c r="L200">
        <f>IF(J200="本金",F200+L199,L199)</f>
        <v/>
      </c>
    </row>
    <row r="201" outlineLevel="1" customFormat="1" s="65">
      <c r="A201" s="508" t="n">
        <v>44272</v>
      </c>
      <c r="B201" s="509" t="n">
        <v>53976</v>
      </c>
      <c r="C201" s="123" t="n"/>
      <c r="D201" s="510">
        <f>D200+C201-B201</f>
        <v/>
      </c>
      <c r="E201" s="535" t="n"/>
      <c r="F201" s="541" t="n"/>
      <c r="G201" s="537">
        <f>G200+F201-E201</f>
        <v/>
      </c>
      <c r="H201" s="65" t="inlineStr">
        <is>
          <t>光罩(2338)</t>
        </is>
      </c>
      <c r="J201" t="inlineStr">
        <is>
          <t>投資</t>
        </is>
      </c>
      <c r="K201">
        <f>IF(J201="本金",C201+K200,K200)</f>
        <v/>
      </c>
      <c r="L201">
        <f>IF(J201="本金",F201+L200,L200)</f>
        <v/>
      </c>
    </row>
    <row r="202" outlineLevel="1" customFormat="1" s="65">
      <c r="A202" s="508" t="n">
        <v>44272</v>
      </c>
      <c r="B202" s="509" t="n">
        <v>107152</v>
      </c>
      <c r="C202" s="123" t="n">
        <v>107685</v>
      </c>
      <c r="D202" s="510">
        <f>D201+C202-B202</f>
        <v/>
      </c>
      <c r="E202" s="535" t="n"/>
      <c r="F202" s="541" t="n"/>
      <c r="G202" s="537">
        <f>G201+F202-E202</f>
        <v/>
      </c>
      <c r="H202" s="65" t="inlineStr">
        <is>
          <t>緯軟(4953)</t>
        </is>
      </c>
      <c r="J202" t="inlineStr">
        <is>
          <t>投資</t>
        </is>
      </c>
      <c r="K202">
        <f>IF(J202="本金",C202+K201,K201)</f>
        <v/>
      </c>
      <c r="L202">
        <f>IF(J202="本金",F202+L201,L201)</f>
        <v/>
      </c>
    </row>
    <row r="203" outlineLevel="1" customFormat="1" s="65">
      <c r="A203" s="508" t="n">
        <v>44272</v>
      </c>
      <c r="B203" s="509" t="n">
        <v>107653</v>
      </c>
      <c r="C203" s="123" t="n"/>
      <c r="D203" s="510">
        <f>D202+C203-B203</f>
        <v/>
      </c>
      <c r="E203" s="535" t="n"/>
      <c r="F203" s="541" t="n"/>
      <c r="G203" s="537">
        <f>G202+F203-E203</f>
        <v/>
      </c>
      <c r="H203" s="65" t="inlineStr">
        <is>
          <t>緯軟(4953)</t>
        </is>
      </c>
      <c r="J203" t="inlineStr">
        <is>
          <t>投資</t>
        </is>
      </c>
      <c r="K203">
        <f>IF(J203="本金",C203+K202,K202)</f>
        <v/>
      </c>
      <c r="L203">
        <f>IF(J203="本金",F203+L202,L202)</f>
        <v/>
      </c>
    </row>
    <row r="204" outlineLevel="1" customFormat="1" s="65">
      <c r="A204" s="508" t="n">
        <v>44272</v>
      </c>
      <c r="B204" s="509" t="n">
        <v>42610</v>
      </c>
      <c r="C204" s="123" t="n"/>
      <c r="D204" s="510">
        <f>D203+C204-B204</f>
        <v/>
      </c>
      <c r="E204" s="535" t="n"/>
      <c r="F204" s="541" t="n"/>
      <c r="G204" s="537">
        <f>G203+F204-E204</f>
        <v/>
      </c>
      <c r="H204" s="65" t="inlineStr">
        <is>
          <t>元晶(6443)</t>
        </is>
      </c>
      <c r="J204" t="inlineStr">
        <is>
          <t>投資</t>
        </is>
      </c>
      <c r="K204">
        <f>IF(J204="本金",C204+K203,K203)</f>
        <v/>
      </c>
      <c r="L204">
        <f>IF(J204="本金",F204+L203,L203)</f>
        <v/>
      </c>
    </row>
    <row r="205" outlineLevel="1" customFormat="1" s="65">
      <c r="A205" s="508" t="n">
        <v>44273</v>
      </c>
      <c r="B205" s="509" t="n"/>
      <c r="C205" s="123" t="n">
        <v>54658</v>
      </c>
      <c r="D205" s="510">
        <f>D204+C205-B205</f>
        <v/>
      </c>
      <c r="E205" s="535" t="n"/>
      <c r="F205" s="541" t="n"/>
      <c r="G205" s="537">
        <f>G204+F205-E205</f>
        <v/>
      </c>
      <c r="H205" s="65" t="inlineStr">
        <is>
          <t>光罩(2338)</t>
        </is>
      </c>
      <c r="J205" t="inlineStr">
        <is>
          <t>投資</t>
        </is>
      </c>
      <c r="K205">
        <f>IF(J205="本金",C205+K204,K204)</f>
        <v/>
      </c>
      <c r="L205">
        <f>IF(J205="本金",F205+L204,L204)</f>
        <v/>
      </c>
    </row>
    <row r="206" outlineLevel="1" customFormat="1" s="65">
      <c r="A206" s="508" t="n">
        <v>44274</v>
      </c>
      <c r="B206" s="509" t="n">
        <v>43662</v>
      </c>
      <c r="C206" s="123" t="n"/>
      <c r="D206" s="510">
        <f>D205+C206-B206</f>
        <v/>
      </c>
      <c r="E206" s="535" t="n"/>
      <c r="F206" s="541" t="n"/>
      <c r="G206" s="537">
        <f>G205+F206-E206</f>
        <v/>
      </c>
      <c r="H206" s="65" t="inlineStr">
        <is>
          <t>廣宇(2328)</t>
        </is>
      </c>
      <c r="J206" t="inlineStr">
        <is>
          <t>投資</t>
        </is>
      </c>
      <c r="K206">
        <f>IF(J206="本金",C206+K205,K205)</f>
        <v/>
      </c>
      <c r="L206">
        <f>IF(J206="本金",F206+L205,L205)</f>
        <v/>
      </c>
    </row>
    <row r="207" outlineLevel="1" customFormat="1" s="65">
      <c r="A207" s="508" t="n">
        <v>44274</v>
      </c>
      <c r="B207" s="509" t="n">
        <v>78912</v>
      </c>
      <c r="C207" s="123" t="n"/>
      <c r="D207" s="510">
        <f>D206+C207-B207</f>
        <v/>
      </c>
      <c r="E207" s="535" t="n"/>
      <c r="F207" s="541" t="n"/>
      <c r="G207" s="537">
        <f>G206+F207-E207</f>
        <v/>
      </c>
      <c r="H207" s="65" t="inlineStr">
        <is>
          <t>鴻碩(3092)</t>
        </is>
      </c>
      <c r="J207" t="inlineStr">
        <is>
          <t>投資</t>
        </is>
      </c>
      <c r="K207">
        <f>IF(J207="本金",C207+K206,K206)</f>
        <v/>
      </c>
      <c r="L207">
        <f>IF(J207="本金",F207+L206,L206)</f>
        <v/>
      </c>
    </row>
    <row r="208" outlineLevel="1" customFormat="1" s="65">
      <c r="A208" s="508" t="n">
        <v>44274</v>
      </c>
      <c r="B208" s="509" t="n">
        <v>51373</v>
      </c>
      <c r="C208" s="123" t="n"/>
      <c r="D208" s="510">
        <f>D207+C208-B208</f>
        <v/>
      </c>
      <c r="E208" s="535" t="n"/>
      <c r="F208" s="541" t="n"/>
      <c r="G208" s="537">
        <f>G207+F208-E208</f>
        <v/>
      </c>
      <c r="H208" s="65" t="inlineStr">
        <is>
          <t>漢磊(3707)</t>
        </is>
      </c>
      <c r="J208" t="inlineStr">
        <is>
          <t>投資</t>
        </is>
      </c>
      <c r="K208">
        <f>IF(J208="本金",C208+K207,K207)</f>
        <v/>
      </c>
      <c r="L208">
        <f>IF(J208="本金",F208+L207,L207)</f>
        <v/>
      </c>
    </row>
    <row r="209" outlineLevel="1" customFormat="1" s="65">
      <c r="A209" s="508" t="n">
        <v>44274</v>
      </c>
      <c r="B209" s="509" t="n">
        <v>71301</v>
      </c>
      <c r="C209" s="123" t="n"/>
      <c r="D209" s="510">
        <f>D208+C209-B209</f>
        <v/>
      </c>
      <c r="E209" s="535" t="n"/>
      <c r="F209" s="541" t="n"/>
      <c r="G209" s="537">
        <f>G208+F209-E209</f>
        <v/>
      </c>
      <c r="H209" s="65" t="inlineStr">
        <is>
          <t>乙盛-KY(5243)</t>
        </is>
      </c>
      <c r="J209" t="inlineStr">
        <is>
          <t>投資</t>
        </is>
      </c>
      <c r="K209">
        <f>IF(J209="本金",C209+K208,K208)</f>
        <v/>
      </c>
      <c r="L209">
        <f>IF(J209="本金",F209+L208,L208)</f>
        <v/>
      </c>
    </row>
    <row r="210" outlineLevel="1" customFormat="1" s="65">
      <c r="A210" s="508" t="n">
        <v>44274</v>
      </c>
      <c r="B210" s="509" t="n">
        <v>70600</v>
      </c>
      <c r="C210" s="123" t="n"/>
      <c r="D210" s="510">
        <f>D209+C210-B210</f>
        <v/>
      </c>
      <c r="E210" s="535" t="n"/>
      <c r="F210" s="541" t="n"/>
      <c r="G210" s="537">
        <f>G209+F210-E210</f>
        <v/>
      </c>
      <c r="H210" s="65" t="inlineStr">
        <is>
          <t>乙盛-KY(5243)</t>
        </is>
      </c>
      <c r="J210" t="inlineStr">
        <is>
          <t>投資</t>
        </is>
      </c>
      <c r="K210">
        <f>IF(J210="本金",C210+K209,K209)</f>
        <v/>
      </c>
      <c r="L210">
        <f>IF(J210="本金",F210+L209,L209)</f>
        <v/>
      </c>
    </row>
    <row r="211" outlineLevel="1" customFormat="1" s="65">
      <c r="A211" s="508" t="n">
        <v>44277</v>
      </c>
      <c r="B211" s="509" t="n"/>
      <c r="C211" s="123" t="n">
        <v>71483</v>
      </c>
      <c r="D211" s="510">
        <f>D210+C211-B211</f>
        <v/>
      </c>
      <c r="E211" s="535" t="n"/>
      <c r="F211" s="541" t="n"/>
      <c r="G211" s="537">
        <f>G210+F211-E211</f>
        <v/>
      </c>
      <c r="H211" s="65" t="inlineStr">
        <is>
          <t>乙盛-KY(5243)</t>
        </is>
      </c>
      <c r="J211" t="inlineStr">
        <is>
          <t>投資</t>
        </is>
      </c>
      <c r="K211">
        <f>IF(J211="本金",C211+K210,K210)</f>
        <v/>
      </c>
      <c r="L211">
        <f>IF(J211="本金",F211+L210,L210)</f>
        <v/>
      </c>
    </row>
    <row r="212" outlineLevel="1" customFormat="1" s="65">
      <c r="A212" s="508" t="n">
        <v>44277</v>
      </c>
      <c r="B212" s="509" t="n"/>
      <c r="C212" s="123" t="n">
        <v>73574</v>
      </c>
      <c r="D212" s="510">
        <f>D211+C212-B212</f>
        <v/>
      </c>
      <c r="E212" s="535" t="n"/>
      <c r="F212" s="541" t="n"/>
      <c r="G212" s="537">
        <f>G211+F212-E212</f>
        <v/>
      </c>
      <c r="H212" s="65" t="inlineStr">
        <is>
          <t>鴻碩(3092)</t>
        </is>
      </c>
      <c r="J212" t="inlineStr">
        <is>
          <t>投資</t>
        </is>
      </c>
      <c r="K212">
        <f>IF(J212="本金",C212+K211,K211)</f>
        <v/>
      </c>
      <c r="L212">
        <f>IF(J212="本金",F212+L211,L211)</f>
        <v/>
      </c>
    </row>
    <row r="213" outlineLevel="1" customFormat="1" s="65">
      <c r="A213" s="508" t="n">
        <v>44277</v>
      </c>
      <c r="B213" s="509" t="n">
        <v>74105</v>
      </c>
      <c r="C213" s="123" t="n"/>
      <c r="D213" s="510">
        <f>D212+C213-B213</f>
        <v/>
      </c>
      <c r="E213" s="535" t="n"/>
      <c r="F213" s="541" t="n"/>
      <c r="G213" s="537">
        <f>G212+F213-E213</f>
        <v/>
      </c>
      <c r="H213" s="65" t="inlineStr">
        <is>
          <t>和碩(4938)</t>
        </is>
      </c>
      <c r="J213" t="inlineStr">
        <is>
          <t>投資</t>
        </is>
      </c>
      <c r="K213">
        <f>IF(J213="本金",C213+K212,K212)</f>
        <v/>
      </c>
      <c r="L213">
        <f>IF(J213="本金",F213+L212,L212)</f>
        <v/>
      </c>
    </row>
    <row r="214" outlineLevel="1" customFormat="1" s="65">
      <c r="A214" s="508" t="n">
        <v>44278</v>
      </c>
      <c r="B214" s="509" t="n">
        <v>109656</v>
      </c>
      <c r="C214" s="123" t="n"/>
      <c r="D214" s="510">
        <f>D213+C214-B214</f>
        <v/>
      </c>
      <c r="E214" s="535" t="n"/>
      <c r="F214" s="541" t="n"/>
      <c r="G214" s="537">
        <f>G213+F214-E214</f>
        <v/>
      </c>
      <c r="H214" s="65" t="inlineStr">
        <is>
          <t>日月光投控(3711)</t>
        </is>
      </c>
      <c r="J214" t="inlineStr">
        <is>
          <t>投資</t>
        </is>
      </c>
      <c r="K214">
        <f>IF(J214="本金",C214+K213,K213)</f>
        <v/>
      </c>
      <c r="L214">
        <f>IF(J214="本金",F214+L213,L213)</f>
        <v/>
      </c>
    </row>
    <row r="215" outlineLevel="1" customFormat="1" s="65">
      <c r="A215" s="508" t="n">
        <v>44278</v>
      </c>
      <c r="B215" s="509" t="n">
        <v>113561</v>
      </c>
      <c r="C215" s="123" t="n"/>
      <c r="D215" s="510">
        <f>D214+C215-B215</f>
        <v/>
      </c>
      <c r="E215" s="535" t="n"/>
      <c r="F215" s="541" t="n"/>
      <c r="G215" s="537">
        <f>G214+F215-E215</f>
        <v/>
      </c>
      <c r="H215" s="65" t="inlineStr">
        <is>
          <t>嘉聯益(6153)</t>
        </is>
      </c>
      <c r="J215" t="inlineStr">
        <is>
          <t>投資</t>
        </is>
      </c>
      <c r="K215">
        <f>IF(J215="本金",C215+K214,K214)</f>
        <v/>
      </c>
      <c r="L215">
        <f>IF(J215="本金",F215+L214,L214)</f>
        <v/>
      </c>
    </row>
    <row r="216" outlineLevel="1" customFormat="1" s="65">
      <c r="A216" s="508" t="n">
        <v>44279</v>
      </c>
      <c r="B216" s="509" t="n"/>
      <c r="C216" s="123" t="n">
        <v>78651</v>
      </c>
      <c r="D216" s="510">
        <f>D215+C216-B216</f>
        <v/>
      </c>
      <c r="E216" s="535" t="n"/>
      <c r="F216" s="541" t="n"/>
      <c r="G216" s="537">
        <f>G215+F216-E216</f>
        <v/>
      </c>
      <c r="H216" s="65" t="inlineStr">
        <is>
          <t>乙盛-KY(5243)</t>
        </is>
      </c>
      <c r="J216" t="inlineStr">
        <is>
          <t>投資</t>
        </is>
      </c>
      <c r="K216">
        <f>IF(J216="本金",C216+K215,K215)</f>
        <v/>
      </c>
      <c r="L216">
        <f>IF(J216="本金",F216+L215,L215)</f>
        <v/>
      </c>
    </row>
    <row r="217" outlineLevel="1" customFormat="1" s="65">
      <c r="A217" s="508" t="n">
        <v>44281</v>
      </c>
      <c r="B217" s="509" t="n">
        <v>150328</v>
      </c>
      <c r="C217" s="123" t="n"/>
      <c r="D217" s="510">
        <f>D216+C217-B217</f>
        <v/>
      </c>
      <c r="E217" s="535" t="n"/>
      <c r="F217" s="541" t="n"/>
      <c r="G217" s="537">
        <f>G216+F217-E217</f>
        <v/>
      </c>
      <c r="H217" s="65" t="inlineStr">
        <is>
          <t>力積電(6770)</t>
        </is>
      </c>
      <c r="J217" t="inlineStr">
        <is>
          <t>投資</t>
        </is>
      </c>
      <c r="K217">
        <f>IF(J217="本金",C217+K216,K216)</f>
        <v/>
      </c>
      <c r="L217">
        <f>IF(J217="本金",F217+L216,L216)</f>
        <v/>
      </c>
    </row>
    <row r="218" outlineLevel="1" customFormat="1" s="65">
      <c r="A218" s="508" t="n">
        <v>44281</v>
      </c>
      <c r="B218" s="509" t="n"/>
      <c r="C218" s="123" t="n">
        <v>104039</v>
      </c>
      <c r="D218" s="510">
        <f>D217+C218-B218</f>
        <v/>
      </c>
      <c r="E218" s="535" t="n"/>
      <c r="F218" s="541" t="n"/>
      <c r="G218" s="537">
        <f>G217+F218-E218</f>
        <v/>
      </c>
      <c r="H218" s="65" t="inlineStr">
        <is>
          <t>緯軟(4953)</t>
        </is>
      </c>
      <c r="J218" t="inlineStr">
        <is>
          <t>投資</t>
        </is>
      </c>
      <c r="K218">
        <f>IF(J218="本金",C218+K217,K217)</f>
        <v/>
      </c>
      <c r="L218">
        <f>IF(J218="本金",F218+L217,L217)</f>
        <v/>
      </c>
    </row>
    <row r="219" outlineLevel="1" customFormat="1" s="65">
      <c r="A219" s="508" t="n">
        <v>44281</v>
      </c>
      <c r="B219" s="509" t="n">
        <v>41358</v>
      </c>
      <c r="C219" s="123" t="n"/>
      <c r="D219" s="510">
        <f>D218+C219-B219</f>
        <v/>
      </c>
      <c r="E219" s="535" t="n"/>
      <c r="F219" s="541" t="n"/>
      <c r="G219" s="537">
        <f>G218+F219-E219</f>
        <v/>
      </c>
      <c r="H219" s="65" t="inlineStr">
        <is>
          <t>豐謙(5523)</t>
        </is>
      </c>
      <c r="J219" t="inlineStr">
        <is>
          <t>投資</t>
        </is>
      </c>
      <c r="K219">
        <f>IF(J219="本金",C219+K218,K218)</f>
        <v/>
      </c>
      <c r="L219">
        <f>IF(J219="本金",F219+L218,L218)</f>
        <v/>
      </c>
    </row>
    <row r="220" outlineLevel="1" customFormat="1" s="65">
      <c r="A220" s="508" t="n">
        <v>44284</v>
      </c>
      <c r="B220" s="509" t="n">
        <v>598852</v>
      </c>
      <c r="C220" s="123" t="n"/>
      <c r="D220" s="510">
        <f>D219+C220-B220</f>
        <v/>
      </c>
      <c r="E220" s="535" t="n"/>
      <c r="F220" s="541" t="n"/>
      <c r="G220" s="537">
        <f>G219+F220-E220</f>
        <v/>
      </c>
      <c r="H220" s="65" t="inlineStr">
        <is>
          <t>台積電(2330)</t>
        </is>
      </c>
      <c r="J220" t="inlineStr">
        <is>
          <t>投資</t>
        </is>
      </c>
      <c r="K220">
        <f>IF(J220="本金",C220+K219,K219)</f>
        <v/>
      </c>
      <c r="L220">
        <f>IF(J220="本金",F220+L219,L219)</f>
        <v/>
      </c>
    </row>
    <row r="221" outlineLevel="1" customFormat="1" s="65">
      <c r="A221" s="508" t="n">
        <v>44285</v>
      </c>
      <c r="B221" s="509" t="n">
        <v>35750</v>
      </c>
      <c r="C221" s="123" t="n"/>
      <c r="D221" s="510">
        <f>D220+C221-B221</f>
        <v/>
      </c>
      <c r="E221" s="535" t="n"/>
      <c r="F221" s="541" t="n"/>
      <c r="G221" s="537">
        <f>G220+F221-E221</f>
        <v/>
      </c>
      <c r="H221" s="65" t="inlineStr">
        <is>
          <t>世鎧(2063)</t>
        </is>
      </c>
      <c r="J221" t="inlineStr">
        <is>
          <t>投資</t>
        </is>
      </c>
      <c r="K221">
        <f>IF(J221="本金",C221+K220,K220)</f>
        <v/>
      </c>
      <c r="L221">
        <f>IF(J221="本金",F221+L220,L220)</f>
        <v/>
      </c>
    </row>
    <row r="222" outlineLevel="1" customFormat="1" s="65">
      <c r="A222" s="508" t="n">
        <v>44285</v>
      </c>
      <c r="B222" s="509" t="n">
        <v>30142</v>
      </c>
      <c r="C222" s="123" t="n"/>
      <c r="D222" s="510">
        <f>D221+C222-B222</f>
        <v/>
      </c>
      <c r="E222" s="535" t="n"/>
      <c r="F222" s="541" t="n"/>
      <c r="G222" s="537">
        <f>G221+F222-E222</f>
        <v/>
      </c>
      <c r="H222" s="65" t="inlineStr">
        <is>
          <t>華邦電(2344)</t>
        </is>
      </c>
      <c r="J222" t="inlineStr">
        <is>
          <t>投資</t>
        </is>
      </c>
      <c r="K222">
        <f>IF(J222="本金",C222+K221,K221)</f>
        <v/>
      </c>
      <c r="L222">
        <f>IF(J222="本金",F222+L221,L221)</f>
        <v/>
      </c>
    </row>
    <row r="223" outlineLevel="1" customFormat="1" s="65">
      <c r="A223" s="508" t="n">
        <v>44285</v>
      </c>
      <c r="B223" s="509" t="n">
        <v>64491</v>
      </c>
      <c r="C223" s="123" t="n"/>
      <c r="D223" s="510">
        <f>D222+C223-B223</f>
        <v/>
      </c>
      <c r="E223" s="535" t="n"/>
      <c r="F223" s="541" t="n"/>
      <c r="G223" s="537">
        <f>G222+F223-E223</f>
        <v/>
      </c>
      <c r="H223" s="65" t="inlineStr">
        <is>
          <t>神基(3005)</t>
        </is>
      </c>
      <c r="J223" t="inlineStr">
        <is>
          <t>投資</t>
        </is>
      </c>
      <c r="K223">
        <f>IF(J223="本金",C223+K222,K222)</f>
        <v/>
      </c>
      <c r="L223">
        <f>IF(J223="本金",F223+L222,L222)</f>
        <v/>
      </c>
    </row>
    <row r="224" outlineLevel="1" customFormat="1" s="65">
      <c r="A224" s="508" t="n">
        <v>44287</v>
      </c>
      <c r="B224" s="509" t="n">
        <v>41358</v>
      </c>
      <c r="C224" s="123" t="n"/>
      <c r="D224" s="510">
        <f>D223+C224-B224</f>
        <v/>
      </c>
      <c r="E224" s="535" t="n"/>
      <c r="F224" s="541" t="n"/>
      <c r="G224" s="537">
        <f>G223+F224-E224</f>
        <v/>
      </c>
      <c r="H224" s="65" t="inlineStr">
        <is>
          <t>聯成(1313)</t>
        </is>
      </c>
      <c r="J224" t="inlineStr">
        <is>
          <t>投資</t>
        </is>
      </c>
      <c r="K224">
        <f>IF(J224="本金",C224+K223,K223)</f>
        <v/>
      </c>
      <c r="L224">
        <f>IF(J224="本金",F224+L223,L223)</f>
        <v/>
      </c>
    </row>
    <row r="225" outlineLevel="1" customFormat="1" s="65">
      <c r="A225" s="508" t="n">
        <v>44287</v>
      </c>
      <c r="B225" s="509" t="n"/>
      <c r="C225" s="123" t="n">
        <v>44801</v>
      </c>
      <c r="D225" s="510">
        <f>D224+C225-B225</f>
        <v/>
      </c>
      <c r="E225" s="535" t="n"/>
      <c r="F225" s="541" t="n"/>
      <c r="G225" s="537">
        <f>G224+F225-E225</f>
        <v/>
      </c>
      <c r="H225" s="65" t="inlineStr">
        <is>
          <t>元晶(6443)</t>
        </is>
      </c>
      <c r="J225" t="inlineStr">
        <is>
          <t>投資</t>
        </is>
      </c>
      <c r="K225">
        <f>IF(J225="本金",C225+K224,K224)</f>
        <v/>
      </c>
      <c r="L225">
        <f>IF(J225="本金",F225+L224,L224)</f>
        <v/>
      </c>
    </row>
    <row r="226" outlineLevel="1" customFormat="1" s="65">
      <c r="A226" s="508" t="n">
        <v>44287</v>
      </c>
      <c r="B226" s="509" t="n"/>
      <c r="C226" s="123" t="n">
        <v>44254</v>
      </c>
      <c r="D226" s="510">
        <f>D225+C226-B226</f>
        <v/>
      </c>
      <c r="E226" s="535" t="n"/>
      <c r="F226" s="541" t="n"/>
      <c r="G226" s="537">
        <f>G225+F226-E226</f>
        <v/>
      </c>
      <c r="H226" s="65" t="inlineStr">
        <is>
          <t>廣宇(2328)</t>
        </is>
      </c>
      <c r="J226" t="inlineStr">
        <is>
          <t>投資</t>
        </is>
      </c>
      <c r="K226">
        <f>IF(J226="本金",C226+K225,K225)</f>
        <v/>
      </c>
      <c r="L226">
        <f>IF(J226="本金",F226+L225,L225)</f>
        <v/>
      </c>
    </row>
    <row r="227" outlineLevel="1" customFormat="1" s="65">
      <c r="A227" s="508" t="n">
        <v>44292</v>
      </c>
      <c r="B227" s="509" t="n"/>
      <c r="C227" s="123" t="n">
        <v>64116</v>
      </c>
      <c r="D227" s="510">
        <f>D226+C227-B227</f>
        <v/>
      </c>
      <c r="E227" s="535" t="n"/>
      <c r="F227" s="541" t="n"/>
      <c r="G227" s="537">
        <f>G226+F227-E227</f>
        <v/>
      </c>
      <c r="H227" s="65" t="inlineStr">
        <is>
          <t>漢磊(3707)</t>
        </is>
      </c>
      <c r="J227" t="inlineStr">
        <is>
          <t>投資</t>
        </is>
      </c>
      <c r="K227">
        <f>IF(J227="本金",C227+K226,K226)</f>
        <v/>
      </c>
      <c r="L227">
        <f>IF(J227="本金",F227+L226,L226)</f>
        <v/>
      </c>
    </row>
    <row r="228" outlineLevel="1" customFormat="1" s="65">
      <c r="A228" s="508" t="n">
        <v>44292</v>
      </c>
      <c r="B228" s="509" t="n"/>
      <c r="C228" s="123" t="n">
        <v>45400</v>
      </c>
      <c r="D228" s="510">
        <f>D227+C228-B228</f>
        <v/>
      </c>
      <c r="E228" s="535" t="n"/>
      <c r="F228" s="541" t="n"/>
      <c r="G228" s="537">
        <f>G227+F228-E228</f>
        <v/>
      </c>
      <c r="H228" s="65" t="inlineStr">
        <is>
          <t>豐謙(5523)</t>
        </is>
      </c>
      <c r="J228" t="inlineStr">
        <is>
          <t>投資</t>
        </is>
      </c>
      <c r="K228">
        <f>IF(J228="本金",C228+K227,K227)</f>
        <v/>
      </c>
      <c r="L228">
        <f>IF(J228="本金",F228+L227,L227)</f>
        <v/>
      </c>
    </row>
    <row r="229" outlineLevel="1" customFormat="1" s="65">
      <c r="A229" s="508" t="n">
        <v>44292</v>
      </c>
      <c r="B229" s="509" t="n"/>
      <c r="C229" s="123" t="n">
        <v>607301</v>
      </c>
      <c r="D229" s="510">
        <f>D228+C229-B229</f>
        <v/>
      </c>
      <c r="E229" s="535" t="n"/>
      <c r="F229" s="541" t="n"/>
      <c r="G229" s="537">
        <f>G228+F229-E229</f>
        <v/>
      </c>
      <c r="H229" s="65" t="inlineStr">
        <is>
          <t>台積電(2330)</t>
        </is>
      </c>
      <c r="J229" t="inlineStr">
        <is>
          <t>投資</t>
        </is>
      </c>
      <c r="K229">
        <f>IF(J229="本金",C229+K228,K228)</f>
        <v/>
      </c>
      <c r="L229">
        <f>IF(J229="本金",F229+L228,L228)</f>
        <v/>
      </c>
    </row>
    <row r="230" outlineLevel="1" customFormat="1" s="65">
      <c r="A230" s="508" t="n">
        <v>44292</v>
      </c>
      <c r="B230" s="509" t="n"/>
      <c r="C230" s="123" t="n">
        <v>34100</v>
      </c>
      <c r="D230" s="510">
        <f>D229+C230-B230</f>
        <v/>
      </c>
      <c r="E230" s="535" t="n"/>
      <c r="F230" s="541" t="n"/>
      <c r="G230" s="537">
        <f>G229+F230-E230</f>
        <v/>
      </c>
      <c r="H230" s="65" t="inlineStr">
        <is>
          <t>世鎧(2063)</t>
        </is>
      </c>
      <c r="J230" t="inlineStr">
        <is>
          <t>投資</t>
        </is>
      </c>
      <c r="K230">
        <f>IF(J230="本金",C230+K229,K229)</f>
        <v/>
      </c>
      <c r="L230">
        <f>IF(J230="本金",F230+L229,L229)</f>
        <v/>
      </c>
    </row>
    <row r="231" outlineLevel="1" customFormat="1" s="65">
      <c r="A231" s="508" t="n">
        <v>44292</v>
      </c>
      <c r="B231" s="509" t="n"/>
      <c r="C231" s="123" t="n">
        <v>58142</v>
      </c>
      <c r="D231" s="510">
        <f>D230+C231-B231</f>
        <v/>
      </c>
      <c r="E231" s="535" t="n"/>
      <c r="F231" s="541" t="n"/>
      <c r="G231" s="537">
        <f>G230+F231-E231</f>
        <v/>
      </c>
      <c r="H231" s="65" t="inlineStr">
        <is>
          <t>神基(3005)</t>
        </is>
      </c>
      <c r="J231" t="inlineStr">
        <is>
          <t>投資</t>
        </is>
      </c>
      <c r="K231">
        <f>IF(J231="本金",C231+K230,K230)</f>
        <v/>
      </c>
      <c r="L231">
        <f>IF(J231="本金",F231+L230,L230)</f>
        <v/>
      </c>
    </row>
    <row r="232" outlineLevel="1" customFormat="1" s="65">
      <c r="A232" s="508" t="n">
        <v>44292</v>
      </c>
      <c r="B232" s="509" t="n"/>
      <c r="C232" s="123" t="n">
        <v>41815</v>
      </c>
      <c r="D232" s="510">
        <f>D231+C232-B232</f>
        <v/>
      </c>
      <c r="E232" s="535" t="n"/>
      <c r="F232" s="541" t="n"/>
      <c r="G232" s="537">
        <f>G231+F232-E232</f>
        <v/>
      </c>
      <c r="H232" s="65" t="inlineStr">
        <is>
          <t>聯成(1313)</t>
        </is>
      </c>
      <c r="J232" t="inlineStr">
        <is>
          <t>投資</t>
        </is>
      </c>
      <c r="K232">
        <f>IF(J232="本金",C232+K231,K231)</f>
        <v/>
      </c>
      <c r="L232">
        <f>IF(J232="本金",F232+L231,L231)</f>
        <v/>
      </c>
    </row>
    <row r="233" outlineLevel="1" customFormat="1" s="65">
      <c r="A233" s="508" t="n">
        <v>44292</v>
      </c>
      <c r="B233" s="509" t="n">
        <v>57682</v>
      </c>
      <c r="C233" s="123" t="n"/>
      <c r="D233" s="510">
        <f>D232+C233-B233</f>
        <v/>
      </c>
      <c r="E233" s="535" t="n"/>
      <c r="F233" s="541" t="n"/>
      <c r="G233" s="537">
        <f>G232+F233-E233</f>
        <v/>
      </c>
      <c r="H233" s="65" t="inlineStr">
        <is>
          <t>富邦金(2881)</t>
        </is>
      </c>
      <c r="J233" t="inlineStr">
        <is>
          <t>投資</t>
        </is>
      </c>
      <c r="K233">
        <f>IF(J233="本金",C233+K232,K232)</f>
        <v/>
      </c>
      <c r="L233">
        <f>IF(J233="本金",F233+L232,L232)</f>
        <v/>
      </c>
    </row>
    <row r="234" outlineLevel="1" customFormat="1" s="65">
      <c r="A234" s="518" t="n">
        <v>44295</v>
      </c>
      <c r="B234" s="519" t="n"/>
      <c r="C234" s="148" t="n">
        <v>2211</v>
      </c>
      <c r="D234" s="520">
        <f>D233+C234-B234</f>
        <v/>
      </c>
      <c r="E234" s="542" t="n"/>
      <c r="F234" s="543" t="n"/>
      <c r="G234" s="544">
        <f>G233+F234-E234</f>
        <v/>
      </c>
      <c r="H234" s="152" t="inlineStr">
        <is>
          <t>折讓入帳</t>
        </is>
      </c>
      <c r="I234" s="152" t="n"/>
      <c r="J234" t="inlineStr">
        <is>
          <t>投資</t>
        </is>
      </c>
      <c r="K234">
        <f>IF(J234="本金",C234+K233,K233)</f>
        <v/>
      </c>
      <c r="L234">
        <f>IF(J234="本金",F234+L233,L233)</f>
        <v/>
      </c>
    </row>
    <row r="235" outlineLevel="1" customFormat="1" s="65">
      <c r="A235" s="508" t="n">
        <v>44293</v>
      </c>
      <c r="B235" s="509" t="n">
        <v>100643</v>
      </c>
      <c r="C235" s="123" t="n"/>
      <c r="D235" s="510">
        <f>D234+C235-B235</f>
        <v/>
      </c>
      <c r="E235" s="535" t="n"/>
      <c r="F235" s="541" t="n"/>
      <c r="G235" s="537">
        <f>G234+F235-E235</f>
        <v/>
      </c>
      <c r="H235" s="65" t="inlineStr">
        <is>
          <t>技嘉(2376)</t>
        </is>
      </c>
      <c r="J235" t="inlineStr">
        <is>
          <t>投資</t>
        </is>
      </c>
      <c r="K235">
        <f>IF(J235="本金",C235+K234,K234)</f>
        <v/>
      </c>
      <c r="L235">
        <f>IF(J235="本金",F235+L234,L234)</f>
        <v/>
      </c>
    </row>
    <row r="236" outlineLevel="1" customFormat="1" s="65">
      <c r="A236" s="508" t="n">
        <v>44293</v>
      </c>
      <c r="B236" s="509" t="n">
        <v>280899</v>
      </c>
      <c r="C236" s="123" t="n"/>
      <c r="D236" s="510">
        <f>D235+C236-B236</f>
        <v/>
      </c>
      <c r="E236" s="535" t="n"/>
      <c r="F236" s="541" t="n"/>
      <c r="G236" s="537">
        <f>G235+F236-E236</f>
        <v/>
      </c>
      <c r="H236" s="65" t="inlineStr">
        <is>
          <t>信邦(3023)</t>
        </is>
      </c>
      <c r="J236" t="inlineStr">
        <is>
          <t>投資</t>
        </is>
      </c>
      <c r="K236">
        <f>IF(J236="本金",C236+K235,K235)</f>
        <v/>
      </c>
      <c r="L236">
        <f>IF(J236="本金",F236+L235,L235)</f>
        <v/>
      </c>
    </row>
    <row r="237" outlineLevel="1" customFormat="1" s="65">
      <c r="A237" s="508" t="n">
        <v>44293</v>
      </c>
      <c r="B237" s="509" t="n">
        <v>118668</v>
      </c>
      <c r="C237" s="123" t="n"/>
      <c r="D237" s="510">
        <f>D236+C237-B237</f>
        <v/>
      </c>
      <c r="E237" s="535" t="n"/>
      <c r="F237" s="541" t="n"/>
      <c r="G237" s="537">
        <f>G236+F237-E237</f>
        <v/>
      </c>
      <c r="H237" s="65" t="inlineStr">
        <is>
          <t>智易(3596)</t>
        </is>
      </c>
      <c r="J237" t="inlineStr">
        <is>
          <t>投資</t>
        </is>
      </c>
      <c r="K237">
        <f>IF(J237="本金",C237+K236,K236)</f>
        <v/>
      </c>
      <c r="L237">
        <f>IF(J237="本金",F237+L236,L236)</f>
        <v/>
      </c>
    </row>
    <row r="238" outlineLevel="1" customFormat="1" s="65">
      <c r="A238" s="508" t="n">
        <v>44293</v>
      </c>
      <c r="B238" s="509" t="n">
        <v>165735</v>
      </c>
      <c r="C238" s="123" t="n"/>
      <c r="D238" s="510">
        <f>D237+C238-B238</f>
        <v/>
      </c>
      <c r="E238" s="535" t="n"/>
      <c r="F238" s="541" t="n"/>
      <c r="G238" s="537">
        <f>G237+F238-E238</f>
        <v/>
      </c>
      <c r="H238" s="65" t="inlineStr">
        <is>
          <t>宏捷科(8086)</t>
        </is>
      </c>
      <c r="J238" t="inlineStr">
        <is>
          <t>投資</t>
        </is>
      </c>
      <c r="K238">
        <f>IF(J238="本金",C238+K237,K237)</f>
        <v/>
      </c>
      <c r="L238">
        <f>IF(J238="本金",F238+L237,L237)</f>
        <v/>
      </c>
    </row>
    <row r="239" outlineLevel="1" customFormat="1" s="65">
      <c r="A239" s="508" t="n">
        <v>44294</v>
      </c>
      <c r="B239" s="509" t="n">
        <v>45664</v>
      </c>
      <c r="C239" s="123" t="n">
        <v>46266</v>
      </c>
      <c r="D239" s="510">
        <f>D238+C239-B239</f>
        <v/>
      </c>
      <c r="E239" s="535" t="n"/>
      <c r="F239" s="541" t="n"/>
      <c r="G239" s="537">
        <f>G238+F239-E239</f>
        <v/>
      </c>
      <c r="H239" s="65" t="inlineStr">
        <is>
          <t>美亞(2020)</t>
        </is>
      </c>
      <c r="I239" s="65" t="inlineStr">
        <is>
          <t>當沖</t>
        </is>
      </c>
      <c r="J239" t="inlineStr">
        <is>
          <t>投資</t>
        </is>
      </c>
      <c r="K239">
        <f>IF(J239="本金",C239+K238,K238)</f>
        <v/>
      </c>
      <c r="L239">
        <f>IF(J239="本金",F239+L238,L238)</f>
        <v/>
      </c>
    </row>
    <row r="240" outlineLevel="1" customFormat="1" s="65">
      <c r="A240" s="508" t="n">
        <v>44294</v>
      </c>
      <c r="B240" s="509" t="n">
        <v>619882</v>
      </c>
      <c r="C240" s="123" t="n"/>
      <c r="D240" s="510">
        <f>D239+C240-B240</f>
        <v/>
      </c>
      <c r="E240" s="535" t="n"/>
      <c r="F240" s="541" t="n"/>
      <c r="G240" s="537">
        <f>G239+F240-E240</f>
        <v/>
      </c>
      <c r="H240" s="65" t="inlineStr">
        <is>
          <t>聯詠(3034)</t>
        </is>
      </c>
      <c r="J240" t="inlineStr">
        <is>
          <t>投資</t>
        </is>
      </c>
      <c r="K240">
        <f>IF(J240="本金",C240+K239,K239)</f>
        <v/>
      </c>
      <c r="L240">
        <f>IF(J240="本金",F240+L239,L239)</f>
        <v/>
      </c>
    </row>
    <row r="241" outlineLevel="1" customFormat="1" s="65">
      <c r="A241" s="527" t="n">
        <v>44300</v>
      </c>
      <c r="B241" s="528" t="n"/>
      <c r="C241" s="163" t="n">
        <v>1000000</v>
      </c>
      <c r="D241" s="529">
        <f>D240+C241-B241</f>
        <v/>
      </c>
      <c r="E241" s="548" t="n"/>
      <c r="F241" s="549" t="n"/>
      <c r="G241" s="550">
        <f>G240+F241-E241</f>
        <v/>
      </c>
      <c r="H241" s="168" t="inlineStr">
        <is>
          <t>曾儀婷</t>
        </is>
      </c>
      <c r="I241" s="168" t="inlineStr">
        <is>
          <t>網路自轉</t>
        </is>
      </c>
      <c r="J241" t="inlineStr">
        <is>
          <t>本金</t>
        </is>
      </c>
      <c r="K241">
        <f>IF(J241="本金",C241+K240,K240)</f>
        <v/>
      </c>
      <c r="L241">
        <f>IF(J241="本金",F241+L240,L240)</f>
        <v/>
      </c>
    </row>
    <row r="242" outlineLevel="1" customFormat="1" s="65">
      <c r="A242" s="508" t="n">
        <v>44299</v>
      </c>
      <c r="B242" s="509" t="n">
        <v>58883</v>
      </c>
      <c r="C242" s="123" t="n"/>
      <c r="D242" s="510">
        <f>D241+C242-B242</f>
        <v/>
      </c>
      <c r="E242" s="535" t="n"/>
      <c r="F242" s="541" t="n"/>
      <c r="G242" s="537">
        <f>G241+F242-E242</f>
        <v/>
      </c>
      <c r="H242" s="65" t="inlineStr">
        <is>
          <t>台聚(1304)</t>
        </is>
      </c>
      <c r="J242" t="inlineStr">
        <is>
          <t>投資</t>
        </is>
      </c>
      <c r="K242">
        <f>IF(J242="本金",C242+K241,K241)</f>
        <v/>
      </c>
      <c r="L242">
        <f>IF(J242="本金",F242+L241,L241)</f>
        <v/>
      </c>
    </row>
    <row r="243" outlineLevel="1" customFormat="1" s="65">
      <c r="A243" s="508" t="n">
        <v>44299</v>
      </c>
      <c r="B243" s="509" t="n">
        <v>49370</v>
      </c>
      <c r="C243" s="123" t="n"/>
      <c r="D243" s="510">
        <f>D242+C243-B243</f>
        <v/>
      </c>
      <c r="E243" s="535" t="n"/>
      <c r="F243" s="541" t="n"/>
      <c r="G243" s="537">
        <f>G242+F243-E243</f>
        <v/>
      </c>
      <c r="H243" s="65" t="inlineStr">
        <is>
          <t>南紡(1440)</t>
        </is>
      </c>
      <c r="J243" t="inlineStr">
        <is>
          <t>投資</t>
        </is>
      </c>
      <c r="K243">
        <f>IF(J243="本金",C243+K242,K242)</f>
        <v/>
      </c>
      <c r="L243">
        <f>IF(J243="本金",F243+L242,L242)</f>
        <v/>
      </c>
    </row>
    <row r="244" outlineLevel="1" customFormat="1" s="65">
      <c r="A244" s="508" t="n">
        <v>44299</v>
      </c>
      <c r="B244" s="509" t="n">
        <v>36001</v>
      </c>
      <c r="C244" s="123" t="n"/>
      <c r="D244" s="510">
        <f>D243+C244-B244</f>
        <v/>
      </c>
      <c r="E244" s="535" t="n"/>
      <c r="F244" s="541" t="n"/>
      <c r="G244" s="537">
        <f>G243+F244-E244</f>
        <v/>
      </c>
      <c r="H244" s="65" t="inlineStr">
        <is>
          <t>燦星網(4930)</t>
        </is>
      </c>
      <c r="J244" t="inlineStr">
        <is>
          <t>投資</t>
        </is>
      </c>
      <c r="K244">
        <f>IF(J244="本金",C244+K243,K243)</f>
        <v/>
      </c>
      <c r="L244">
        <f>IF(J244="本金",F244+L243,L243)</f>
        <v/>
      </c>
    </row>
    <row r="245" outlineLevel="1" customFormat="1" s="65">
      <c r="A245" s="508" t="n">
        <v>44299</v>
      </c>
      <c r="B245" s="509" t="n"/>
      <c r="C245" s="123" t="n">
        <v>104039</v>
      </c>
      <c r="D245" s="510">
        <f>D244+C245-B245</f>
        <v/>
      </c>
      <c r="E245" s="535" t="n"/>
      <c r="F245" s="541" t="n"/>
      <c r="G245" s="537">
        <f>G244+F245-E245</f>
        <v/>
      </c>
      <c r="H245" s="65" t="inlineStr">
        <is>
          <t>技嘉(2376)</t>
        </is>
      </c>
      <c r="J245" t="inlineStr">
        <is>
          <t>投資</t>
        </is>
      </c>
      <c r="K245">
        <f>IF(J245="本金",C245+K244,K244)</f>
        <v/>
      </c>
      <c r="L245">
        <f>IF(J245="本金",F245+L244,L244)</f>
        <v/>
      </c>
    </row>
    <row r="246" outlineLevel="1" customFormat="1" s="65">
      <c r="A246" s="508" t="n">
        <v>44299</v>
      </c>
      <c r="B246" s="509" t="n"/>
      <c r="C246" s="123" t="n">
        <v>125443</v>
      </c>
      <c r="D246" s="510">
        <f>D245+C246-B246</f>
        <v/>
      </c>
      <c r="E246" s="535" t="n"/>
      <c r="F246" s="541" t="n"/>
      <c r="G246" s="537">
        <f>G245+F246-E246</f>
        <v/>
      </c>
      <c r="H246" s="65" t="inlineStr">
        <is>
          <t>智易(3596)</t>
        </is>
      </c>
      <c r="J246" t="inlineStr">
        <is>
          <t>投資</t>
        </is>
      </c>
      <c r="K246">
        <f>IF(J246="本金",C246+K245,K245)</f>
        <v/>
      </c>
      <c r="L246">
        <f>IF(J246="本金",F246+L245,L245)</f>
        <v/>
      </c>
    </row>
    <row r="247" outlineLevel="1" customFormat="1" s="65">
      <c r="A247" s="508" t="n">
        <v>44300</v>
      </c>
      <c r="B247" s="509" t="n">
        <v>607864</v>
      </c>
      <c r="C247" s="123" t="n"/>
      <c r="D247" s="510">
        <f>D246+C247-B247</f>
        <v/>
      </c>
      <c r="E247" s="535" t="n"/>
      <c r="F247" s="541" t="n"/>
      <c r="G247" s="537">
        <f>G246+F247-E247</f>
        <v/>
      </c>
      <c r="H247" s="65" t="inlineStr">
        <is>
          <t>台積電(2330)</t>
        </is>
      </c>
      <c r="J247" t="inlineStr">
        <is>
          <t>投資</t>
        </is>
      </c>
      <c r="K247">
        <f>IF(J247="本金",C247+K246,K246)</f>
        <v/>
      </c>
      <c r="L247">
        <f>IF(J247="本金",F247+L246,L246)</f>
        <v/>
      </c>
    </row>
    <row r="248" outlineLevel="1" customFormat="1" s="65">
      <c r="A248" s="508" t="n">
        <v>44300</v>
      </c>
      <c r="B248" s="509" t="n">
        <v>204791</v>
      </c>
      <c r="C248" s="123" t="n"/>
      <c r="D248" s="510">
        <f>D247+C248-B248</f>
        <v/>
      </c>
      <c r="E248" s="535" t="n"/>
      <c r="F248" s="541" t="n"/>
      <c r="G248" s="537">
        <f>G247+F248-E248</f>
        <v/>
      </c>
      <c r="H248" s="65" t="inlineStr">
        <is>
          <t>義隆(2458)</t>
        </is>
      </c>
      <c r="J248" t="inlineStr">
        <is>
          <t>投資</t>
        </is>
      </c>
      <c r="K248">
        <f>IF(J248="本金",C248+K247,K247)</f>
        <v/>
      </c>
      <c r="L248">
        <f>IF(J248="本金",F248+L247,L247)</f>
        <v/>
      </c>
    </row>
    <row r="249" outlineLevel="1" customFormat="1" s="65">
      <c r="A249" s="508" t="n">
        <v>44300</v>
      </c>
      <c r="B249" s="509" t="n">
        <v>89877</v>
      </c>
      <c r="C249" s="123" t="n"/>
      <c r="D249" s="510">
        <f>D248+C249-B249</f>
        <v/>
      </c>
      <c r="E249" s="535" t="n"/>
      <c r="F249" s="541" t="n"/>
      <c r="G249" s="537">
        <f>G248+F249-E249</f>
        <v/>
      </c>
      <c r="H249" s="65" t="inlineStr">
        <is>
          <t>長榮航(2618)</t>
        </is>
      </c>
      <c r="J249" t="inlineStr">
        <is>
          <t>投資</t>
        </is>
      </c>
      <c r="K249">
        <f>IF(J249="本金",C249+K248,K248)</f>
        <v/>
      </c>
      <c r="L249">
        <f>IF(J249="本金",F249+L248,L248)</f>
        <v/>
      </c>
    </row>
    <row r="250" outlineLevel="1" customFormat="1" s="65">
      <c r="A250" s="508" t="n">
        <v>44300</v>
      </c>
      <c r="B250" s="509" t="n">
        <v>109155</v>
      </c>
      <c r="C250" s="123" t="n"/>
      <c r="D250" s="510">
        <f>D249+C250-B250</f>
        <v/>
      </c>
      <c r="E250" s="535" t="n"/>
      <c r="F250" s="541" t="n"/>
      <c r="G250" s="537">
        <f>G249+F250-E250</f>
        <v/>
      </c>
      <c r="H250" s="65" t="inlineStr">
        <is>
          <t>晶技(3042)</t>
        </is>
      </c>
      <c r="J250" t="inlineStr">
        <is>
          <t>投資</t>
        </is>
      </c>
      <c r="K250">
        <f>IF(J250="本金",C250+K249,K249)</f>
        <v/>
      </c>
      <c r="L250">
        <f>IF(J250="本金",F250+L249,L249)</f>
        <v/>
      </c>
    </row>
    <row r="251" outlineLevel="1" customFormat="1" s="65">
      <c r="A251" s="508" t="n">
        <v>44301</v>
      </c>
      <c r="B251" s="509" t="n">
        <v>115664</v>
      </c>
      <c r="C251" s="123" t="n"/>
      <c r="D251" s="510">
        <f>D250+C251-B251</f>
        <v/>
      </c>
      <c r="E251" s="535" t="n"/>
      <c r="F251" s="541" t="n"/>
      <c r="G251" s="537">
        <f>G250+F251-E251</f>
        <v/>
      </c>
      <c r="H251" s="65" t="inlineStr">
        <is>
          <t>智易(3596)</t>
        </is>
      </c>
      <c r="J251" t="inlineStr">
        <is>
          <t>投資</t>
        </is>
      </c>
      <c r="K251">
        <f>IF(J251="本金",C251+K250,K250)</f>
        <v/>
      </c>
      <c r="L251">
        <f>IF(J251="本金",F251+L250,L250)</f>
        <v/>
      </c>
    </row>
    <row r="252" outlineLevel="1" customFormat="1" s="65">
      <c r="A252" s="508" t="n">
        <v>44302</v>
      </c>
      <c r="B252" s="509" t="n">
        <v>30793</v>
      </c>
      <c r="C252" s="123" t="n"/>
      <c r="D252" s="510">
        <f>D251+C252-B252</f>
        <v/>
      </c>
      <c r="E252" s="535" t="n"/>
      <c r="F252" s="541" t="n"/>
      <c r="G252" s="537">
        <f>G251+F252-E252</f>
        <v/>
      </c>
      <c r="H252" s="65" t="inlineStr">
        <is>
          <t>台橡(2103)</t>
        </is>
      </c>
      <c r="J252" t="inlineStr">
        <is>
          <t>投資</t>
        </is>
      </c>
      <c r="K252">
        <f>IF(J252="本金",C252+K251,K251)</f>
        <v/>
      </c>
      <c r="L252">
        <f>IF(J252="本金",F252+L251,L251)</f>
        <v/>
      </c>
    </row>
    <row r="253" outlineLevel="1" customFormat="1" s="65">
      <c r="A253" s="508" t="n">
        <v>44306</v>
      </c>
      <c r="B253" s="509" t="n">
        <v>50371</v>
      </c>
      <c r="C253" s="123" t="n"/>
      <c r="D253" s="510">
        <f>D252+C253-B253</f>
        <v/>
      </c>
      <c r="E253" s="535" t="n"/>
      <c r="F253" s="541" t="n"/>
      <c r="G253" s="537">
        <f>G252+F253-E253</f>
        <v/>
      </c>
      <c r="H253" s="65" t="inlineStr">
        <is>
          <t>台達化(1309)</t>
        </is>
      </c>
      <c r="J253" t="inlineStr">
        <is>
          <t>投資</t>
        </is>
      </c>
      <c r="K253">
        <f>IF(J253="本金",C253+K252,K252)</f>
        <v/>
      </c>
      <c r="L253">
        <f>IF(J253="本金",F253+L252,L252)</f>
        <v/>
      </c>
    </row>
    <row r="254" outlineLevel="1" customFormat="1" s="65">
      <c r="A254" s="508" t="n">
        <v>44306</v>
      </c>
      <c r="B254" s="509" t="n">
        <v>46315</v>
      </c>
      <c r="C254" s="123" t="n"/>
      <c r="D254" s="510">
        <f>D253+C254-B254</f>
        <v/>
      </c>
      <c r="E254" s="535" t="n"/>
      <c r="F254" s="541" t="n"/>
      <c r="G254" s="537">
        <f>G253+F254-E254</f>
        <v/>
      </c>
      <c r="H254" s="65" t="inlineStr">
        <is>
          <t>第一銅(2009)</t>
        </is>
      </c>
      <c r="J254" t="inlineStr">
        <is>
          <t>投資</t>
        </is>
      </c>
      <c r="K254">
        <f>IF(J254="本金",C254+K253,K253)</f>
        <v/>
      </c>
      <c r="L254">
        <f>IF(J254="本金",F254+L253,L253)</f>
        <v/>
      </c>
    </row>
    <row r="255" outlineLevel="1" customFormat="1" s="65">
      <c r="A255" s="527" t="n">
        <v>44309</v>
      </c>
      <c r="B255" s="528" t="n"/>
      <c r="C255" s="163" t="n">
        <v>300000</v>
      </c>
      <c r="D255" s="529">
        <f>D254+C255-B255</f>
        <v/>
      </c>
      <c r="E255" s="548" t="n"/>
      <c r="F255" s="549" t="n"/>
      <c r="G255" s="550">
        <f>G254+F255-E255</f>
        <v/>
      </c>
      <c r="H255" s="168" t="inlineStr">
        <is>
          <t>曾儀婷</t>
        </is>
      </c>
      <c r="I255" s="168" t="inlineStr">
        <is>
          <t>網路自轉</t>
        </is>
      </c>
      <c r="J255" t="inlineStr">
        <is>
          <t>本金</t>
        </is>
      </c>
      <c r="K255">
        <f>IF(J255="本金",C255+K254,K254)</f>
        <v/>
      </c>
      <c r="L255">
        <f>IF(J255="本金",F255+L254,L254)</f>
        <v/>
      </c>
    </row>
    <row r="256" outlineLevel="1" customFormat="1" s="65">
      <c r="A256" s="508" t="n">
        <v>44307</v>
      </c>
      <c r="B256" s="509" t="n">
        <v>192273</v>
      </c>
      <c r="C256" s="123" t="n"/>
      <c r="D256" s="510">
        <f>D255+C256-B256</f>
        <v/>
      </c>
      <c r="E256" s="535" t="n"/>
      <c r="F256" s="541" t="n"/>
      <c r="G256" s="537">
        <f>G255+F256-E256</f>
        <v/>
      </c>
      <c r="H256" s="65" t="inlineStr">
        <is>
          <t>中美晶(5483)</t>
        </is>
      </c>
      <c r="J256" t="inlineStr">
        <is>
          <t>投資</t>
        </is>
      </c>
      <c r="K256">
        <f>IF(J256="本金",C256+K255,K255)</f>
        <v/>
      </c>
      <c r="L256">
        <f>IF(J256="本金",F256+L255,L255)</f>
        <v/>
      </c>
    </row>
    <row r="257" outlineLevel="1" customFormat="1" s="65">
      <c r="A257" s="508" t="n">
        <v>44308</v>
      </c>
      <c r="B257" s="509" t="n"/>
      <c r="C257" s="123" t="n">
        <v>61229</v>
      </c>
      <c r="D257" s="510">
        <f>D256+C257-B257</f>
        <v/>
      </c>
      <c r="E257" s="535" t="n"/>
      <c r="F257" s="541" t="n"/>
      <c r="G257" s="537">
        <f>G256+F257-E257</f>
        <v/>
      </c>
      <c r="H257" s="65" t="inlineStr">
        <is>
          <t>富邦金(2881)</t>
        </is>
      </c>
      <c r="J257" t="inlineStr">
        <is>
          <t>投資</t>
        </is>
      </c>
      <c r="K257">
        <f>IF(J257="本金",C257+K256,K256)</f>
        <v/>
      </c>
      <c r="L257">
        <f>IF(J257="本金",F257+L256,L256)</f>
        <v/>
      </c>
    </row>
    <row r="258" outlineLevel="1" customFormat="1" s="65">
      <c r="A258" s="508" t="n">
        <v>44308</v>
      </c>
      <c r="B258" s="509" t="n"/>
      <c r="C258" s="123" t="n">
        <v>27578</v>
      </c>
      <c r="D258" s="510">
        <f>D257+C258-B258</f>
        <v/>
      </c>
      <c r="E258" s="535" t="n"/>
      <c r="F258" s="541" t="n"/>
      <c r="G258" s="537">
        <f>G257+F258-E258</f>
        <v/>
      </c>
      <c r="H258" s="65" t="inlineStr">
        <is>
          <t>南紡(1440)</t>
        </is>
      </c>
      <c r="J258" t="inlineStr">
        <is>
          <t>投資</t>
        </is>
      </c>
      <c r="K258">
        <f>IF(J258="本金",C258+K257,K257)</f>
        <v/>
      </c>
      <c r="L258">
        <f>IF(J258="本金",F258+L257,L257)</f>
        <v/>
      </c>
    </row>
    <row r="259" outlineLevel="1" customFormat="1" s="65">
      <c r="A259" s="508" t="n">
        <v>44308</v>
      </c>
      <c r="B259" s="509" t="n"/>
      <c r="C259" s="123" t="n">
        <v>114492</v>
      </c>
      <c r="D259" s="510">
        <f>D258+C259-B259</f>
        <v/>
      </c>
      <c r="E259" s="535" t="n"/>
      <c r="F259" s="541" t="n"/>
      <c r="G259" s="537">
        <f>G258+F259-E259</f>
        <v/>
      </c>
      <c r="H259" s="65" t="inlineStr">
        <is>
          <t>晶技(3042)</t>
        </is>
      </c>
      <c r="J259" t="inlineStr">
        <is>
          <t>投資</t>
        </is>
      </c>
      <c r="K259">
        <f>IF(J259="本金",C259+K258,K258)</f>
        <v/>
      </c>
      <c r="L259">
        <f>IF(J259="本金",F259+L258,L258)</f>
        <v/>
      </c>
    </row>
    <row r="260" outlineLevel="1" customFormat="1" s="65">
      <c r="A260" s="508" t="n">
        <v>44308</v>
      </c>
      <c r="B260" s="509" t="n"/>
      <c r="C260" s="123" t="n">
        <v>113496</v>
      </c>
      <c r="D260" s="510">
        <f>D259+C260-B260</f>
        <v/>
      </c>
      <c r="E260" s="535" t="n"/>
      <c r="F260" s="541" t="n"/>
      <c r="G260" s="537">
        <f>G259+F260-E260</f>
        <v/>
      </c>
      <c r="H260" s="65" t="inlineStr">
        <is>
          <t>智易(3596)</t>
        </is>
      </c>
      <c r="J260" t="inlineStr">
        <is>
          <t>投資</t>
        </is>
      </c>
      <c r="K260">
        <f>IF(J260="本金",C260+K259,K259)</f>
        <v/>
      </c>
      <c r="L260">
        <f>IF(J260="本金",F260+L259,L259)</f>
        <v/>
      </c>
    </row>
    <row r="261" outlineLevel="1" customFormat="1" s="65">
      <c r="A261" s="508" t="n">
        <v>44308</v>
      </c>
      <c r="B261" s="509" t="n"/>
      <c r="C261" s="123" t="n">
        <v>32756</v>
      </c>
      <c r="D261" s="510">
        <f>D260+C261-B261</f>
        <v/>
      </c>
      <c r="E261" s="535" t="n"/>
      <c r="F261" s="541" t="n"/>
      <c r="G261" s="537">
        <f>G260+F261-E261</f>
        <v/>
      </c>
      <c r="H261" s="65" t="inlineStr">
        <is>
          <t>台橡(2103)</t>
        </is>
      </c>
      <c r="J261" t="inlineStr">
        <is>
          <t>投資</t>
        </is>
      </c>
      <c r="K261">
        <f>IF(J261="本金",C261+K260,K260)</f>
        <v/>
      </c>
      <c r="L261">
        <f>IF(J261="本金",F261+L260,L260)</f>
        <v/>
      </c>
    </row>
    <row r="262" outlineLevel="1" customFormat="1" s="65">
      <c r="A262" s="508" t="n">
        <v>44308</v>
      </c>
      <c r="B262" s="509" t="n"/>
      <c r="C262" s="123" t="n">
        <v>48535</v>
      </c>
      <c r="D262" s="510">
        <f>D261+C262-B262</f>
        <v/>
      </c>
      <c r="E262" s="535" t="n"/>
      <c r="F262" s="541" t="n"/>
      <c r="G262" s="537">
        <f>G261+F262-E262</f>
        <v/>
      </c>
      <c r="H262" s="65" t="inlineStr">
        <is>
          <t>第一銅(2009)</t>
        </is>
      </c>
      <c r="J262" t="inlineStr">
        <is>
          <t>投資</t>
        </is>
      </c>
      <c r="K262">
        <f>IF(J262="本金",C262+K261,K261)</f>
        <v/>
      </c>
      <c r="L262">
        <f>IF(J262="本金",F262+L261,L261)</f>
        <v/>
      </c>
    </row>
    <row r="263" outlineLevel="1" customFormat="1" s="65">
      <c r="A263" s="508" t="n">
        <v>44308</v>
      </c>
      <c r="B263" s="509" t="n"/>
      <c r="C263" s="123" t="n">
        <v>196129</v>
      </c>
      <c r="D263" s="510">
        <f>D262+C263-B263</f>
        <v/>
      </c>
      <c r="E263" s="535" t="n"/>
      <c r="F263" s="541" t="n"/>
      <c r="G263" s="537">
        <f>G262+F263-E263</f>
        <v/>
      </c>
      <c r="H263" s="65" t="inlineStr">
        <is>
          <t>中美晶(5483)</t>
        </is>
      </c>
      <c r="J263" t="inlineStr">
        <is>
          <t>投資</t>
        </is>
      </c>
      <c r="K263">
        <f>IF(J263="本金",C263+K262,K262)</f>
        <v/>
      </c>
      <c r="L263">
        <f>IF(J263="本金",F263+L262,L262)</f>
        <v/>
      </c>
    </row>
    <row r="264" outlineLevel="1" customFormat="1" s="65">
      <c r="A264" s="508" t="n">
        <v>44308</v>
      </c>
      <c r="B264" s="509" t="n">
        <v>26437</v>
      </c>
      <c r="C264" s="123" t="n"/>
      <c r="D264" s="510">
        <f>D263+C264-B264</f>
        <v/>
      </c>
      <c r="E264" s="535" t="n"/>
      <c r="F264" s="541" t="n"/>
      <c r="G264" s="537">
        <f>G263+F264-E264</f>
        <v/>
      </c>
      <c r="H264" s="65" t="inlineStr">
        <is>
          <t>華紙(1905)</t>
        </is>
      </c>
      <c r="J264" t="inlineStr">
        <is>
          <t>投資</t>
        </is>
      </c>
      <c r="K264">
        <f>IF(J264="本金",C264+K263,K263)</f>
        <v/>
      </c>
      <c r="L264">
        <f>IF(J264="本金",F264+L263,L263)</f>
        <v/>
      </c>
    </row>
    <row r="265" outlineLevel="1" customFormat="1" s="65">
      <c r="A265" s="508" t="n">
        <v>44308</v>
      </c>
      <c r="B265" s="509" t="n">
        <v>39956</v>
      </c>
      <c r="C265" s="123" t="n"/>
      <c r="D265" s="510">
        <f>D264+C265-B265</f>
        <v/>
      </c>
      <c r="E265" s="535" t="n"/>
      <c r="F265" s="541" t="n"/>
      <c r="G265" s="537">
        <f>G264+F265-E265</f>
        <v/>
      </c>
      <c r="H265" s="65" t="inlineStr">
        <is>
          <t>中鋼(2002)</t>
        </is>
      </c>
      <c r="J265" t="inlineStr">
        <is>
          <t>投資</t>
        </is>
      </c>
      <c r="K265">
        <f>IF(J265="本金",C265+K264,K264)</f>
        <v/>
      </c>
      <c r="L265">
        <f>IF(J265="本金",F265+L264,L264)</f>
        <v/>
      </c>
    </row>
    <row r="266" outlineLevel="1" customFormat="1" s="65">
      <c r="A266" s="508" t="n">
        <v>44308</v>
      </c>
      <c r="B266" s="509" t="n">
        <v>78511</v>
      </c>
      <c r="C266" s="123" t="n"/>
      <c r="D266" s="510">
        <f>D265+C266-B266</f>
        <v/>
      </c>
      <c r="E266" s="535" t="n"/>
      <c r="F266" s="541" t="n"/>
      <c r="G266" s="537">
        <f>G265+F266-E266</f>
        <v/>
      </c>
      <c r="H266" s="65" t="inlineStr">
        <is>
          <t>中鋼(2002)</t>
        </is>
      </c>
      <c r="J266" t="inlineStr">
        <is>
          <t>投資</t>
        </is>
      </c>
      <c r="K266">
        <f>IF(J266="本金",C266+K265,K265)</f>
        <v/>
      </c>
      <c r="L266">
        <f>IF(J266="本金",F266+L265,L265)</f>
        <v/>
      </c>
    </row>
    <row r="267" outlineLevel="1" customFormat="1" s="65">
      <c r="A267" s="508" t="n">
        <v>44308</v>
      </c>
      <c r="B267" s="509" t="n">
        <v>61287</v>
      </c>
      <c r="C267" s="123" t="n"/>
      <c r="D267" s="510">
        <f>D266+C267-B267</f>
        <v/>
      </c>
      <c r="E267" s="535" t="n"/>
      <c r="F267" s="541" t="n"/>
      <c r="G267" s="537">
        <f>G266+F267-E267</f>
        <v/>
      </c>
      <c r="H267" s="65" t="inlineStr">
        <is>
          <t>新光鋼(2031)</t>
        </is>
      </c>
      <c r="J267" t="inlineStr">
        <is>
          <t>投資</t>
        </is>
      </c>
      <c r="K267">
        <f>IF(J267="本金",C267+K266,K266)</f>
        <v/>
      </c>
      <c r="L267">
        <f>IF(J267="本金",F267+L266,L266)</f>
        <v/>
      </c>
    </row>
    <row r="268" outlineLevel="1" customFormat="1" s="65">
      <c r="A268" s="508" t="n">
        <v>44308</v>
      </c>
      <c r="B268" s="509" t="n">
        <v>58783</v>
      </c>
      <c r="C268" s="123" t="n"/>
      <c r="D268" s="510">
        <f>D267+C268-B268</f>
        <v/>
      </c>
      <c r="E268" s="535" t="n"/>
      <c r="F268" s="541" t="n"/>
      <c r="G268" s="537">
        <f>G267+F268-E268</f>
        <v/>
      </c>
      <c r="H268" s="65" t="inlineStr">
        <is>
          <t>台船(2208)</t>
        </is>
      </c>
      <c r="J268" t="inlineStr">
        <is>
          <t>投資</t>
        </is>
      </c>
      <c r="K268">
        <f>IF(J268="本金",C268+K267,K267)</f>
        <v/>
      </c>
      <c r="L268">
        <f>IF(J268="本金",F268+L267,L267)</f>
        <v/>
      </c>
    </row>
    <row r="269" outlineLevel="1" customFormat="1" s="65">
      <c r="A269" s="508" t="n">
        <v>44308</v>
      </c>
      <c r="B269" s="509" t="n">
        <v>30243</v>
      </c>
      <c r="C269" s="123" t="n"/>
      <c r="D269" s="510">
        <f>D268+C269-B269</f>
        <v/>
      </c>
      <c r="E269" s="535" t="n"/>
      <c r="F269" s="541" t="n"/>
      <c r="G269" s="537">
        <f>G268+F269-E269</f>
        <v/>
      </c>
      <c r="H269" s="65" t="inlineStr">
        <is>
          <t>友達(2409)</t>
        </is>
      </c>
      <c r="J269" t="inlineStr">
        <is>
          <t>投資</t>
        </is>
      </c>
      <c r="K269">
        <f>IF(J269="本金",C269+K268,K268)</f>
        <v/>
      </c>
      <c r="L269">
        <f>IF(J269="本金",F269+L268,L268)</f>
        <v/>
      </c>
    </row>
    <row r="270" outlineLevel="1" customFormat="1" s="65">
      <c r="A270" s="508" t="n">
        <v>44308</v>
      </c>
      <c r="B270" s="509" t="n">
        <v>30343</v>
      </c>
      <c r="C270" s="123" t="n"/>
      <c r="D270" s="510">
        <f>D269+C270-B270</f>
        <v/>
      </c>
      <c r="E270" s="535" t="n"/>
      <c r="F270" s="541" t="n"/>
      <c r="G270" s="537">
        <f>G269+F270-E270</f>
        <v/>
      </c>
      <c r="H270" s="65" t="inlineStr">
        <is>
          <t>友達(2409)</t>
        </is>
      </c>
      <c r="J270" t="inlineStr">
        <is>
          <t>投資</t>
        </is>
      </c>
      <c r="K270">
        <f>IF(J270="本金",C270+K269,K269)</f>
        <v/>
      </c>
      <c r="L270">
        <f>IF(J270="本金",F270+L269,L269)</f>
        <v/>
      </c>
    </row>
    <row r="271" outlineLevel="1" customFormat="1" s="65">
      <c r="A271" s="508" t="n">
        <v>44308</v>
      </c>
      <c r="B271" s="509" t="n">
        <v>53976</v>
      </c>
      <c r="C271" s="123" t="n"/>
      <c r="D271" s="510">
        <f>D270+C271-B271</f>
        <v/>
      </c>
      <c r="E271" s="535" t="n"/>
      <c r="F271" s="541" t="n"/>
      <c r="G271" s="537">
        <f>G270+F271-E271</f>
        <v/>
      </c>
      <c r="H271" s="65" t="inlineStr">
        <is>
          <t>慧洋-KY(2637)</t>
        </is>
      </c>
      <c r="J271" t="inlineStr">
        <is>
          <t>投資</t>
        </is>
      </c>
      <c r="K271">
        <f>IF(J271="本金",C271+K270,K270)</f>
        <v/>
      </c>
      <c r="L271">
        <f>IF(J271="本金",F271+L270,L270)</f>
        <v/>
      </c>
    </row>
    <row r="272" outlineLevel="1" customFormat="1" s="65">
      <c r="A272" s="508" t="n">
        <v>44308</v>
      </c>
      <c r="B272" s="509" t="n">
        <v>59284</v>
      </c>
      <c r="C272" s="123" t="n"/>
      <c r="D272" s="510">
        <f>D271+C272-B272</f>
        <v/>
      </c>
      <c r="E272" s="535" t="n"/>
      <c r="F272" s="541" t="n"/>
      <c r="G272" s="537">
        <f>G271+F272-E272</f>
        <v/>
      </c>
      <c r="H272" s="65" t="inlineStr">
        <is>
          <t>日電貿(3090)</t>
        </is>
      </c>
      <c r="J272" t="inlineStr">
        <is>
          <t>投資</t>
        </is>
      </c>
      <c r="K272">
        <f>IF(J272="本金",C272+K271,K271)</f>
        <v/>
      </c>
      <c r="L272">
        <f>IF(J272="本金",F272+L271,L271)</f>
        <v/>
      </c>
    </row>
    <row r="273" outlineLevel="1" customFormat="1" s="65">
      <c r="A273" s="508" t="n">
        <v>44308</v>
      </c>
      <c r="B273" s="509" t="n">
        <v>29391</v>
      </c>
      <c r="C273" s="123" t="n"/>
      <c r="D273" s="510">
        <f>D272+C273-B273</f>
        <v/>
      </c>
      <c r="E273" s="535" t="n"/>
      <c r="F273" s="541" t="n"/>
      <c r="G273" s="537">
        <f>G272+F273-E273</f>
        <v/>
      </c>
      <c r="H273" s="65" t="inlineStr">
        <is>
          <t>群創(3481)</t>
        </is>
      </c>
      <c r="J273" t="inlineStr">
        <is>
          <t>投資</t>
        </is>
      </c>
      <c r="K273">
        <f>IF(J273="本金",C273+K272,K272)</f>
        <v/>
      </c>
      <c r="L273">
        <f>IF(J273="本金",F273+L272,L272)</f>
        <v/>
      </c>
    </row>
    <row r="274" outlineLevel="1" customFormat="1" s="65">
      <c r="A274" s="508" t="n">
        <v>44308</v>
      </c>
      <c r="B274" s="509" t="n">
        <v>29141</v>
      </c>
      <c r="C274" s="123" t="n"/>
      <c r="D274" s="510">
        <f>D273+C274-B274</f>
        <v/>
      </c>
      <c r="E274" s="535" t="n"/>
      <c r="F274" s="541" t="n"/>
      <c r="G274" s="537">
        <f>G273+F274-E274</f>
        <v/>
      </c>
      <c r="H274" s="65" t="inlineStr">
        <is>
          <t>群創(3481)</t>
        </is>
      </c>
      <c r="J274" t="inlineStr">
        <is>
          <t>投資</t>
        </is>
      </c>
      <c r="K274">
        <f>IF(J274="本金",C274+K273,K273)</f>
        <v/>
      </c>
      <c r="L274">
        <f>IF(J274="本金",F274+L273,L273)</f>
        <v/>
      </c>
    </row>
    <row r="275" outlineLevel="1" customFormat="1" s="65">
      <c r="A275" s="508" t="n">
        <v>44312</v>
      </c>
      <c r="B275" s="509" t="n"/>
      <c r="C275" s="123">
        <f>36837</f>
        <v/>
      </c>
      <c r="D275" s="510">
        <f>D274+C275-B275</f>
        <v/>
      </c>
      <c r="E275" s="535" t="n"/>
      <c r="F275" s="541" t="n"/>
      <c r="G275" s="537">
        <f>G274+F275-E275</f>
        <v/>
      </c>
      <c r="H275" s="65" t="inlineStr">
        <is>
          <t>台聚(1304)</t>
        </is>
      </c>
      <c r="J275" t="inlineStr">
        <is>
          <t>投資</t>
        </is>
      </c>
      <c r="K275">
        <f>IF(J275="本金",C275+K274,K274)</f>
        <v/>
      </c>
      <c r="L275">
        <f>IF(J275="本金",F275+L274,L274)</f>
        <v/>
      </c>
    </row>
    <row r="276" outlineLevel="1" customFormat="1" s="65">
      <c r="A276" s="522" t="n">
        <v>44314</v>
      </c>
      <c r="B276" s="523" t="n">
        <v>0</v>
      </c>
      <c r="C276" s="196" t="n">
        <v>3577</v>
      </c>
      <c r="D276" s="524">
        <f>D275+C276-B276</f>
        <v/>
      </c>
      <c r="E276" s="545" t="n"/>
      <c r="F276" s="546" t="n"/>
      <c r="G276" s="547">
        <f>G275+F276-E276</f>
        <v/>
      </c>
      <c r="H276" s="200" t="inlineStr">
        <is>
          <t>神基科技現金股</t>
        </is>
      </c>
      <c r="I276" s="200" t="inlineStr">
        <is>
          <t>現金股利</t>
        </is>
      </c>
      <c r="J276" t="inlineStr">
        <is>
          <t>投資</t>
        </is>
      </c>
      <c r="K276">
        <f>IF(J276="本金",C276+K275,K275)</f>
        <v/>
      </c>
      <c r="L276">
        <f>IF(J276="本金",F276+L275,L275)</f>
        <v/>
      </c>
    </row>
    <row r="277" outlineLevel="1" customFormat="1" s="65">
      <c r="A277" s="508" t="n">
        <v>44313</v>
      </c>
      <c r="B277" s="509" t="n"/>
      <c r="C277" s="123" t="n">
        <v>47391</v>
      </c>
      <c r="D277" s="510">
        <f>D276+C277-B277</f>
        <v/>
      </c>
      <c r="E277" s="535" t="n"/>
      <c r="F277" s="541" t="n"/>
      <c r="G277" s="537">
        <f>G276+F277-E277</f>
        <v/>
      </c>
      <c r="H277" s="65" t="inlineStr">
        <is>
          <t>台達化(1309)</t>
        </is>
      </c>
      <c r="J277" t="inlineStr">
        <is>
          <t>投資</t>
        </is>
      </c>
      <c r="K277">
        <f>IF(J277="本金",C277+K276,K276)</f>
        <v/>
      </c>
      <c r="L277">
        <f>IF(J277="本金",F277+L276,L276)</f>
        <v/>
      </c>
    </row>
    <row r="278" outlineLevel="1" customFormat="1" s="65">
      <c r="A278" s="508" t="n">
        <v>44313</v>
      </c>
      <c r="B278" s="509" t="n">
        <v>68697</v>
      </c>
      <c r="C278" s="123" t="n"/>
      <c r="D278" s="510">
        <f>D277+C278-B278</f>
        <v/>
      </c>
      <c r="E278" s="535" t="n"/>
      <c r="F278" s="541" t="n"/>
      <c r="G278" s="537">
        <f>G277+F278-E278</f>
        <v/>
      </c>
      <c r="H278" s="65" t="inlineStr">
        <is>
          <t>德律(3030)</t>
        </is>
      </c>
      <c r="J278" t="inlineStr">
        <is>
          <t>投資</t>
        </is>
      </c>
      <c r="K278">
        <f>IF(J278="本金",C278+K277,K277)</f>
        <v/>
      </c>
      <c r="L278">
        <f>IF(J278="本金",F278+L277,L277)</f>
        <v/>
      </c>
    </row>
    <row r="279" outlineLevel="1" customFormat="1" s="65">
      <c r="A279" s="508" t="n">
        <v>44313</v>
      </c>
      <c r="B279" s="509" t="n">
        <v>45464</v>
      </c>
      <c r="C279" s="123" t="n"/>
      <c r="D279" s="510">
        <f>D278+C279-B279</f>
        <v/>
      </c>
      <c r="E279" s="535" t="n"/>
      <c r="F279" s="541" t="n"/>
      <c r="G279" s="537">
        <f>G278+F279-E279</f>
        <v/>
      </c>
      <c r="H279" s="65" t="inlineStr">
        <is>
          <t>綠電(8440)</t>
        </is>
      </c>
      <c r="J279" t="inlineStr">
        <is>
          <t>投資</t>
        </is>
      </c>
      <c r="K279">
        <f>IF(J279="本金",C279+K278,K278)</f>
        <v/>
      </c>
      <c r="L279">
        <f>IF(J279="本金",F279+L278,L278)</f>
        <v/>
      </c>
    </row>
    <row r="280" outlineLevel="1" customFormat="1" s="65">
      <c r="A280" s="522" t="n">
        <v>44314</v>
      </c>
      <c r="B280" s="523" t="n">
        <v>0</v>
      </c>
      <c r="C280" s="196" t="n">
        <v>1990</v>
      </c>
      <c r="D280" s="524">
        <f>D279+C280-B280</f>
        <v/>
      </c>
      <c r="E280" s="545" t="n"/>
      <c r="F280" s="546" t="n"/>
      <c r="G280" s="547">
        <f>G279+F280-E280</f>
        <v/>
      </c>
      <c r="H280" s="200" t="inlineStr">
        <is>
          <t>世鎧現金股</t>
        </is>
      </c>
      <c r="I280" s="200" t="inlineStr">
        <is>
          <t>現金股利</t>
        </is>
      </c>
      <c r="J280" t="inlineStr">
        <is>
          <t>投資</t>
        </is>
      </c>
      <c r="K280">
        <f>IF(J280="本金",C280+K279,K279)</f>
        <v/>
      </c>
      <c r="L280">
        <f>IF(J280="本金",F280+L279,L279)</f>
        <v/>
      </c>
    </row>
    <row r="281" outlineLevel="1" customFormat="1" s="65">
      <c r="A281" s="522" t="n">
        <v>44314</v>
      </c>
      <c r="B281" s="523" t="n">
        <v>0</v>
      </c>
      <c r="C281" s="196" t="n">
        <v>3490</v>
      </c>
      <c r="D281" s="524">
        <f>D280+C281-B281</f>
        <v/>
      </c>
      <c r="E281" s="545" t="n"/>
      <c r="F281" s="546" t="n"/>
      <c r="G281" s="547">
        <f>G280+F281-E281</f>
        <v/>
      </c>
      <c r="H281" s="200" t="inlineStr">
        <is>
          <t>燦星網通現金股</t>
        </is>
      </c>
      <c r="I281" s="200" t="inlineStr">
        <is>
          <t>現金股利</t>
        </is>
      </c>
      <c r="J281" t="inlineStr">
        <is>
          <t>投資</t>
        </is>
      </c>
      <c r="K281">
        <f>IF(J281="本金",C281+K280,K280)</f>
        <v/>
      </c>
      <c r="L281">
        <f>IF(J281="本金",F281+L280,L280)</f>
        <v/>
      </c>
    </row>
    <row r="282" outlineLevel="1" customFormat="1" s="65">
      <c r="A282" s="508" t="n">
        <v>44321</v>
      </c>
      <c r="B282" s="509" t="n"/>
      <c r="C282" s="123" t="n">
        <v>60830</v>
      </c>
      <c r="D282" s="510">
        <f>D281+C282-B282</f>
        <v/>
      </c>
      <c r="E282" s="535" t="n"/>
      <c r="F282" s="541" t="n"/>
      <c r="G282" s="537">
        <f>G281+F282-E282</f>
        <v/>
      </c>
      <c r="H282" s="65" t="inlineStr">
        <is>
          <t>德律(3030)</t>
        </is>
      </c>
      <c r="J282" t="inlineStr">
        <is>
          <t>投資</t>
        </is>
      </c>
      <c r="K282">
        <f>IF(J282="本金",C282+K281,K281)</f>
        <v/>
      </c>
      <c r="L282">
        <f>IF(J282="本金",F282+L281,L281)</f>
        <v/>
      </c>
    </row>
    <row r="283" outlineLevel="1" customFormat="1" s="65">
      <c r="A283" s="518" t="n">
        <v>44326</v>
      </c>
      <c r="B283" s="519" t="n"/>
      <c r="C283" s="148" t="n">
        <v>3117</v>
      </c>
      <c r="D283" s="520">
        <f>D282+C283-B283</f>
        <v/>
      </c>
      <c r="E283" s="542" t="n"/>
      <c r="F283" s="543" t="n"/>
      <c r="G283" s="544">
        <f>G282+F283-E283</f>
        <v/>
      </c>
      <c r="H283" s="152" t="inlineStr">
        <is>
          <t>折讓入帳</t>
        </is>
      </c>
      <c r="I283" s="160" t="n"/>
      <c r="J283" t="inlineStr">
        <is>
          <t>投資</t>
        </is>
      </c>
      <c r="K283">
        <f>IF(J283="本金",C283+K282,K282)</f>
        <v/>
      </c>
      <c r="L283">
        <f>IF(J283="本金",F283+L282,L282)</f>
        <v/>
      </c>
    </row>
    <row r="284" outlineLevel="1" customFormat="1" s="65">
      <c r="A284" s="508" t="n">
        <v>44326</v>
      </c>
      <c r="B284" s="509" t="n"/>
      <c r="C284" s="123" t="n">
        <v>98265</v>
      </c>
      <c r="D284" s="510">
        <f>D283+C284-B284</f>
        <v/>
      </c>
      <c r="E284" s="535" t="n"/>
      <c r="F284" s="541" t="n"/>
      <c r="G284" s="537">
        <f>G283+F284-E284</f>
        <v/>
      </c>
      <c r="H284" s="65" t="inlineStr">
        <is>
          <t>待查</t>
        </is>
      </c>
      <c r="J284" t="inlineStr">
        <is>
          <t>投資</t>
        </is>
      </c>
      <c r="K284">
        <f>IF(J284="本金",C284+K283,K283)</f>
        <v/>
      </c>
      <c r="L284">
        <f>IF(J284="本金",F284+L283,L283)</f>
        <v/>
      </c>
    </row>
    <row r="285" outlineLevel="1" customFormat="1" s="65">
      <c r="A285" s="527" t="n">
        <v>44328</v>
      </c>
      <c r="B285" s="531" t="n">
        <v>100000</v>
      </c>
      <c r="C285" s="163" t="n"/>
      <c r="D285" s="529">
        <f>D284+C285-B285</f>
        <v/>
      </c>
      <c r="E285" s="551" t="n"/>
      <c r="F285" s="549" t="n"/>
      <c r="G285" s="550">
        <f>G284+F285-E285</f>
        <v/>
      </c>
      <c r="H285" s="168" t="inlineStr">
        <is>
          <t>曾儀婷</t>
        </is>
      </c>
      <c r="I285" s="168" t="inlineStr">
        <is>
          <t>期貨入金</t>
        </is>
      </c>
      <c r="J285" s="529" t="n"/>
      <c r="K285">
        <f>IF(J285="本金",C285+K284,K284)</f>
        <v/>
      </c>
      <c r="L285">
        <f>IF(J285="本金",F285+L284,L284)</f>
        <v/>
      </c>
    </row>
    <row r="286" outlineLevel="1" customFormat="1" s="65">
      <c r="A286" s="522" t="n">
        <v>44333</v>
      </c>
      <c r="B286" s="523" t="n">
        <v>0</v>
      </c>
      <c r="C286" s="196" t="n">
        <v>972</v>
      </c>
      <c r="D286" s="524">
        <f>D285+C286-B286</f>
        <v/>
      </c>
      <c r="E286" s="545" t="n"/>
      <c r="F286" s="546" t="n"/>
      <c r="G286" s="547">
        <f>G285+F286-E286</f>
        <v/>
      </c>
      <c r="H286" s="200" t="inlineStr">
        <is>
          <t>力積電現金股</t>
        </is>
      </c>
      <c r="I286" s="200" t="inlineStr">
        <is>
          <t>現金股利</t>
        </is>
      </c>
      <c r="J286" t="inlineStr">
        <is>
          <t>投資</t>
        </is>
      </c>
      <c r="K286">
        <f>IF(J286="本金",C286+K285,K285)</f>
        <v/>
      </c>
      <c r="L286">
        <f>IF(J286="本金",F286+L285,L285)</f>
        <v/>
      </c>
    </row>
    <row r="287" outlineLevel="1" customFormat="1" s="65">
      <c r="A287" s="508" t="n">
        <v>44330</v>
      </c>
      <c r="B287" s="509" t="n"/>
      <c r="C287" s="123" t="n">
        <v>26534</v>
      </c>
      <c r="D287" s="510">
        <f>D286+C287-B287</f>
        <v/>
      </c>
      <c r="E287" s="535" t="n"/>
      <c r="F287" s="541" t="n"/>
      <c r="G287" s="537">
        <f>G286+F287-E287</f>
        <v/>
      </c>
      <c r="H287" s="65" t="inlineStr">
        <is>
          <t>南紡(1440)</t>
        </is>
      </c>
      <c r="J287" t="inlineStr">
        <is>
          <t>投資</t>
        </is>
      </c>
      <c r="K287">
        <f>IF(J287="本金",C287+K286,K286)</f>
        <v/>
      </c>
      <c r="L287">
        <f>IF(J287="本金",F287+L286,L286)</f>
        <v/>
      </c>
    </row>
    <row r="288" outlineLevel="1" customFormat="1" s="65">
      <c r="A288" s="518" t="n">
        <v>44357</v>
      </c>
      <c r="B288" s="519" t="n"/>
      <c r="C288" s="148" t="n">
        <v>103</v>
      </c>
      <c r="D288" s="520">
        <f>D287+C288-B288</f>
        <v/>
      </c>
      <c r="E288" s="542" t="n"/>
      <c r="F288" s="543" t="n"/>
      <c r="G288" s="544">
        <f>G287+F288-E288</f>
        <v/>
      </c>
      <c r="H288" s="152" t="inlineStr">
        <is>
          <t>折讓入帳</t>
        </is>
      </c>
      <c r="I288" s="160" t="n"/>
      <c r="J288" t="inlineStr">
        <is>
          <t>投資</t>
        </is>
      </c>
      <c r="K288">
        <f>IF(J288="本金",C288+K287,K287)</f>
        <v/>
      </c>
      <c r="L288">
        <f>IF(J288="本金",F288+L287,L287)</f>
        <v/>
      </c>
    </row>
    <row r="289" outlineLevel="1" customFormat="1" s="65">
      <c r="A289" s="522" t="n">
        <v>44358</v>
      </c>
      <c r="B289" s="523" t="n">
        <v>0</v>
      </c>
      <c r="C289" s="196" t="n">
        <v>590</v>
      </c>
      <c r="D289" s="524">
        <f>D288+C289-B289</f>
        <v/>
      </c>
      <c r="E289" s="545" t="n"/>
      <c r="F289" s="546" t="n"/>
      <c r="G289" s="547">
        <f>G288+F289-E289</f>
        <v/>
      </c>
      <c r="H289" s="200" t="inlineStr">
        <is>
          <t>綠電再生現金股</t>
        </is>
      </c>
      <c r="I289" s="200" t="inlineStr">
        <is>
          <t>現金股利</t>
        </is>
      </c>
      <c r="J289" t="inlineStr">
        <is>
          <t>投資</t>
        </is>
      </c>
      <c r="K289">
        <f>IF(J289="本金",C289+K288,K288)</f>
        <v/>
      </c>
      <c r="L289">
        <f>IF(J289="本金",F289+L288,L288)</f>
        <v/>
      </c>
    </row>
    <row r="290" outlineLevel="1" customFormat="1" s="65">
      <c r="A290" s="513" t="n">
        <v>44368</v>
      </c>
      <c r="B290" s="514" t="n"/>
      <c r="C290" s="154" t="n">
        <v>176</v>
      </c>
      <c r="D290" s="515">
        <f>D289+C290-B290</f>
        <v/>
      </c>
      <c r="E290" s="538" t="n"/>
      <c r="F290" s="539" t="n"/>
      <c r="G290" s="540">
        <f>G289+F290-E290</f>
        <v/>
      </c>
      <c r="H290" s="158" t="inlineStr">
        <is>
          <t>利息</t>
        </is>
      </c>
      <c r="I290" s="159" t="n"/>
      <c r="J290" t="inlineStr">
        <is>
          <t>投資</t>
        </is>
      </c>
      <c r="K290">
        <f>IF(J290="本金",C290+K289,K289)</f>
        <v/>
      </c>
      <c r="L290">
        <f>IF(J290="本金",F290+L289,L289)</f>
        <v/>
      </c>
    </row>
    <row r="291" outlineLevel="1">
      <c r="A291" s="508" t="n">
        <v>44390</v>
      </c>
      <c r="B291" s="509" t="n">
        <v>49570</v>
      </c>
      <c r="C291" s="123" t="n"/>
      <c r="D291" s="510">
        <f>D290+C291-B291</f>
        <v/>
      </c>
      <c r="E291" s="535" t="n"/>
      <c r="F291" s="541" t="n"/>
      <c r="G291" s="537">
        <f>G290+F291-E291</f>
        <v/>
      </c>
      <c r="H291" s="65" t="inlineStr">
        <is>
          <t>零壹(3029)</t>
        </is>
      </c>
      <c r="I291" s="65" t="n"/>
      <c r="J291" t="inlineStr">
        <is>
          <t>投資</t>
        </is>
      </c>
      <c r="K291">
        <f>IF(J291="本金",C291+K290,K290)</f>
        <v/>
      </c>
      <c r="L291">
        <f>IF(J291="本金",F291+L290,L290)</f>
        <v/>
      </c>
    </row>
    <row r="292" outlineLevel="1" customFormat="1" s="65">
      <c r="A292" s="508" t="n">
        <v>44390</v>
      </c>
      <c r="B292" s="509" t="n"/>
      <c r="C292" s="123" t="n">
        <v>67700</v>
      </c>
      <c r="D292" s="510">
        <f>D291+C292-B292</f>
        <v/>
      </c>
      <c r="E292" s="535" t="n"/>
      <c r="F292" s="541" t="n"/>
      <c r="G292" s="537">
        <f>G291+F292-E292</f>
        <v/>
      </c>
      <c r="H292" s="65" t="inlineStr">
        <is>
          <t>和碩(4938)</t>
        </is>
      </c>
      <c r="J292" t="inlineStr">
        <is>
          <t>投資</t>
        </is>
      </c>
      <c r="K292">
        <f>IF(J292="本金",C292+K291,K291)</f>
        <v/>
      </c>
      <c r="L292">
        <f>IF(J292="本金",F292+L291,L291)</f>
        <v/>
      </c>
    </row>
    <row r="293" outlineLevel="1">
      <c r="A293" s="508" t="n">
        <v>44399</v>
      </c>
      <c r="B293" s="509" t="n">
        <v>111658</v>
      </c>
      <c r="C293" s="123" t="n"/>
      <c r="D293" s="510">
        <f>D292+C293-B293</f>
        <v/>
      </c>
      <c r="E293" s="535" t="n"/>
      <c r="F293" s="541" t="n"/>
      <c r="G293" s="537">
        <f>G292+F293-E293</f>
        <v/>
      </c>
      <c r="H293" s="65" t="inlineStr">
        <is>
          <t>鴻海(2317)</t>
        </is>
      </c>
      <c r="I293" s="65" t="n"/>
      <c r="J293" t="inlineStr">
        <is>
          <t>投資</t>
        </is>
      </c>
      <c r="K293">
        <f>IF(J293="本金",C293+K292,K292)</f>
        <v/>
      </c>
      <c r="L293">
        <f>IF(J293="本金",F293+L292,L292)</f>
        <v/>
      </c>
    </row>
    <row r="294" outlineLevel="1">
      <c r="A294" s="522" t="n">
        <v>44407</v>
      </c>
      <c r="B294" s="523" t="n">
        <v>0</v>
      </c>
      <c r="C294" s="196" t="n">
        <v>600</v>
      </c>
      <c r="D294" s="524">
        <f>D293+C294-B294</f>
        <v/>
      </c>
      <c r="E294" s="545" t="n"/>
      <c r="F294" s="546" t="n"/>
      <c r="G294" s="547">
        <f>G293+F294-E294</f>
        <v/>
      </c>
      <c r="H294" s="200" t="inlineStr">
        <is>
          <t>友達現金股</t>
        </is>
      </c>
      <c r="I294" s="200" t="inlineStr">
        <is>
          <t>現金股利</t>
        </is>
      </c>
      <c r="J294" t="inlineStr">
        <is>
          <t>投資</t>
        </is>
      </c>
      <c r="K294">
        <f>IF(J294="本金",C294+K293,K293)</f>
        <v/>
      </c>
      <c r="L294">
        <f>IF(J294="本金",F294+L293,L293)</f>
        <v/>
      </c>
    </row>
    <row r="295" outlineLevel="1">
      <c r="A295" s="522" t="n">
        <v>44407</v>
      </c>
      <c r="B295" s="523" t="n">
        <v>0</v>
      </c>
      <c r="C295" s="196" t="n">
        <v>190</v>
      </c>
      <c r="D295" s="524">
        <f>D294+C295-B295</f>
        <v/>
      </c>
      <c r="E295" s="545" t="n"/>
      <c r="F295" s="546" t="n"/>
      <c r="G295" s="547">
        <f>G294+F295-E295</f>
        <v/>
      </c>
      <c r="H295" s="200" t="inlineStr">
        <is>
          <t>華邦電現金股</t>
        </is>
      </c>
      <c r="I295" s="200" t="inlineStr">
        <is>
          <t>現金股利</t>
        </is>
      </c>
      <c r="J295" t="inlineStr">
        <is>
          <t>投資</t>
        </is>
      </c>
      <c r="K295">
        <f>IF(J295="本金",C295+K294,K294)</f>
        <v/>
      </c>
      <c r="L295">
        <f>IF(J295="本金",F295+L294,L294)</f>
        <v/>
      </c>
    </row>
    <row r="296" outlineLevel="1">
      <c r="A296" s="508" t="n">
        <v>44412</v>
      </c>
      <c r="B296" s="509" t="n"/>
      <c r="C296" s="123" t="n">
        <v>112003</v>
      </c>
      <c r="D296" s="510">
        <f>D295+C296-B296</f>
        <v/>
      </c>
      <c r="E296" s="535" t="n"/>
      <c r="F296" s="541" t="n"/>
      <c r="G296" s="537">
        <f>G295+F296-E296</f>
        <v/>
      </c>
      <c r="H296" s="65" t="inlineStr">
        <is>
          <t>鴻海(2317)</t>
        </is>
      </c>
      <c r="I296" s="65" t="n"/>
      <c r="J296" t="inlineStr">
        <is>
          <t>投資</t>
        </is>
      </c>
      <c r="K296">
        <f>IF(J296="本金",C296+K295,K295)</f>
        <v/>
      </c>
      <c r="L296">
        <f>IF(J296="本金",F296+L295,L295)</f>
        <v/>
      </c>
    </row>
    <row r="297" outlineLevel="1" customFormat="1" s="65">
      <c r="A297" s="508" t="n">
        <v>44413</v>
      </c>
      <c r="B297" s="509" t="n"/>
      <c r="C297" s="123" t="n">
        <v>132412</v>
      </c>
      <c r="D297" s="510">
        <f>D296+C297-B297</f>
        <v/>
      </c>
      <c r="E297" s="535" t="n"/>
      <c r="F297" s="541" t="n"/>
      <c r="G297" s="537">
        <f>G296+F297-E297</f>
        <v/>
      </c>
      <c r="H297" s="65" t="inlineStr">
        <is>
          <t>日月光投控(3711)</t>
        </is>
      </c>
      <c r="J297" t="inlineStr">
        <is>
          <t>投資</t>
        </is>
      </c>
      <c r="K297">
        <f>IF(J297="本金",C297+K296,K296)</f>
        <v/>
      </c>
      <c r="L297">
        <f>IF(J297="本金",F297+L296,L296)</f>
        <v/>
      </c>
    </row>
    <row r="298" outlineLevel="1">
      <c r="A298" s="518" t="n">
        <v>44418</v>
      </c>
      <c r="B298" s="519" t="n"/>
      <c r="C298" s="148" t="n">
        <v>129</v>
      </c>
      <c r="D298" s="520">
        <f>D297+C298-B298</f>
        <v/>
      </c>
      <c r="E298" s="542" t="n"/>
      <c r="F298" s="543" t="n"/>
      <c r="G298" s="544">
        <f>G297+F298-E298</f>
        <v/>
      </c>
      <c r="H298" s="152" t="inlineStr">
        <is>
          <t>折讓入帳</t>
        </is>
      </c>
      <c r="I298" s="160" t="n"/>
      <c r="J298" t="inlineStr">
        <is>
          <t>投資</t>
        </is>
      </c>
      <c r="K298">
        <f>IF(J298="本金",C298+K297,K297)</f>
        <v/>
      </c>
      <c r="L298">
        <f>IF(J298="本金",F298+L297,L297)</f>
        <v/>
      </c>
    </row>
    <row r="299" outlineLevel="1">
      <c r="A299" s="522" t="n">
        <v>44419</v>
      </c>
      <c r="B299" s="523" t="n">
        <v>0</v>
      </c>
      <c r="C299" s="196" t="n">
        <v>8990</v>
      </c>
      <c r="D299" s="524">
        <f>D298+C299-B299</f>
        <v/>
      </c>
      <c r="E299" s="545" t="n"/>
      <c r="F299" s="546" t="n"/>
      <c r="G299" s="547">
        <f>G298+F299-E299</f>
        <v/>
      </c>
      <c r="H299" s="200" t="inlineStr">
        <is>
          <t>義隆電子現金股</t>
        </is>
      </c>
      <c r="I299" s="200" t="inlineStr">
        <is>
          <t>現金股利</t>
        </is>
      </c>
      <c r="J299" t="inlineStr">
        <is>
          <t>投資</t>
        </is>
      </c>
      <c r="K299">
        <f>IF(J299="本金",C299+K298,K298)</f>
        <v/>
      </c>
      <c r="L299">
        <f>IF(J299="本金",F299+L298,L298)</f>
        <v/>
      </c>
    </row>
    <row r="300" outlineLevel="1">
      <c r="A300" s="522" t="n">
        <v>44419</v>
      </c>
      <c r="B300" s="523" t="n">
        <v>0</v>
      </c>
      <c r="C300" s="196" t="n">
        <v>2990</v>
      </c>
      <c r="D300" s="524">
        <f>D299+C300-B300</f>
        <v/>
      </c>
      <c r="E300" s="545" t="n"/>
      <c r="F300" s="546" t="n"/>
      <c r="G300" s="547">
        <f>G299+F300-E300</f>
        <v/>
      </c>
      <c r="H300" s="200" t="inlineStr">
        <is>
          <t>零壹科技現金股</t>
        </is>
      </c>
      <c r="I300" s="200" t="inlineStr">
        <is>
          <t>現金股利</t>
        </is>
      </c>
      <c r="J300" t="inlineStr">
        <is>
          <t>投資</t>
        </is>
      </c>
      <c r="K300">
        <f>IF(J300="本金",C300+K299,K299)</f>
        <v/>
      </c>
      <c r="L300">
        <f>IF(J300="本金",F300+L299,L299)</f>
        <v/>
      </c>
    </row>
    <row r="301" outlineLevel="1">
      <c r="A301" s="522" t="n">
        <v>44420</v>
      </c>
      <c r="B301" s="523" t="n">
        <v>0</v>
      </c>
      <c r="C301" s="196" t="n">
        <v>2000</v>
      </c>
      <c r="D301" s="524">
        <f>D300+C301-B301</f>
        <v/>
      </c>
      <c r="E301" s="545" t="n"/>
      <c r="F301" s="546" t="n"/>
      <c r="G301" s="547">
        <f>G300+F301-E301</f>
        <v/>
      </c>
      <c r="H301" s="200" t="inlineStr">
        <is>
          <t>全台股息</t>
        </is>
      </c>
      <c r="I301" s="200" t="inlineStr">
        <is>
          <t>現金股利</t>
        </is>
      </c>
      <c r="J301" t="inlineStr">
        <is>
          <t>投資</t>
        </is>
      </c>
      <c r="K301">
        <f>IF(J301="本金",C301+K300,K300)</f>
        <v/>
      </c>
      <c r="L301">
        <f>IF(J301="本金",F301+L300,L300)</f>
        <v/>
      </c>
    </row>
    <row r="302" outlineLevel="1">
      <c r="A302" s="522" t="n">
        <v>44420</v>
      </c>
      <c r="B302" s="523" t="n">
        <v>0</v>
      </c>
      <c r="C302" s="196" t="n">
        <v>2500</v>
      </c>
      <c r="D302" s="524">
        <f>D301+C302-B302</f>
        <v/>
      </c>
      <c r="E302" s="545" t="n"/>
      <c r="F302" s="546" t="n"/>
      <c r="G302" s="547">
        <f>G301+F302-E302</f>
        <v/>
      </c>
      <c r="H302" s="200" t="inlineStr">
        <is>
          <t>台積電股息</t>
        </is>
      </c>
      <c r="I302" s="200" t="inlineStr">
        <is>
          <t>現金股利</t>
        </is>
      </c>
      <c r="J302" t="inlineStr">
        <is>
          <t>投資</t>
        </is>
      </c>
      <c r="K302">
        <f>IF(J302="本金",C302+K301,K301)</f>
        <v/>
      </c>
      <c r="L302">
        <f>IF(J302="本金",F302+L301,L301)</f>
        <v/>
      </c>
    </row>
    <row r="303" outlineLevel="1">
      <c r="A303" s="522" t="n">
        <v>44420</v>
      </c>
      <c r="B303" s="523" t="n">
        <v>0</v>
      </c>
      <c r="C303" s="196" t="n">
        <v>4484</v>
      </c>
      <c r="D303" s="524">
        <f>D302+C303-B303</f>
        <v/>
      </c>
      <c r="E303" s="545" t="n"/>
      <c r="F303" s="546" t="n"/>
      <c r="G303" s="547">
        <f>G302+F303-E303</f>
        <v/>
      </c>
      <c r="H303" s="200" t="inlineStr">
        <is>
          <t>和碩股息</t>
        </is>
      </c>
      <c r="I303" s="200" t="inlineStr">
        <is>
          <t>現金股利</t>
        </is>
      </c>
      <c r="J303" t="inlineStr">
        <is>
          <t>投資</t>
        </is>
      </c>
      <c r="K303">
        <f>IF(J303="本金",C303+K302,K302)</f>
        <v/>
      </c>
      <c r="L303">
        <f>IF(J303="本金",F303+L302,L302)</f>
        <v/>
      </c>
    </row>
    <row r="304" outlineLevel="1">
      <c r="A304" s="522" t="n">
        <v>44421</v>
      </c>
      <c r="B304" s="523" t="n">
        <v>0</v>
      </c>
      <c r="C304" s="196" t="n">
        <v>2790</v>
      </c>
      <c r="D304" s="524">
        <f>D303+C304-B304</f>
        <v/>
      </c>
      <c r="E304" s="545" t="n"/>
      <c r="F304" s="546" t="n"/>
      <c r="G304" s="547">
        <f>G303+F304-E304</f>
        <v/>
      </c>
      <c r="H304" s="200" t="inlineStr">
        <is>
          <t>宏捷科技現金股</t>
        </is>
      </c>
      <c r="I304" s="200" t="inlineStr">
        <is>
          <t>現金股利</t>
        </is>
      </c>
      <c r="J304" t="inlineStr">
        <is>
          <t>投資</t>
        </is>
      </c>
      <c r="K304">
        <f>IF(J304="本金",C304+K303,K303)</f>
        <v/>
      </c>
      <c r="L304">
        <f>IF(J304="本金",F304+L303,L303)</f>
        <v/>
      </c>
    </row>
    <row r="305" outlineLevel="1">
      <c r="A305" s="522" t="n">
        <v>44432</v>
      </c>
      <c r="B305" s="523" t="n">
        <v>0</v>
      </c>
      <c r="C305" s="196" t="n">
        <v>787</v>
      </c>
      <c r="D305" s="524">
        <f>D304+C305-B305</f>
        <v/>
      </c>
      <c r="E305" s="545" t="n"/>
      <c r="F305" s="546" t="n"/>
      <c r="G305" s="547">
        <f>G304+F305-E305</f>
        <v/>
      </c>
      <c r="H305" s="200" t="inlineStr">
        <is>
          <t>群創光電現金股</t>
        </is>
      </c>
      <c r="I305" s="200" t="inlineStr">
        <is>
          <t>現金股利</t>
        </is>
      </c>
      <c r="J305" t="inlineStr">
        <is>
          <t>投資</t>
        </is>
      </c>
      <c r="K305">
        <f>IF(J305="本金",C305+K304,K304)</f>
        <v/>
      </c>
      <c r="L305">
        <f>IF(J305="本金",F305+L304,L304)</f>
        <v/>
      </c>
    </row>
    <row r="306" outlineLevel="1">
      <c r="A306" s="522" t="n">
        <v>44433</v>
      </c>
      <c r="B306" s="523" t="n">
        <v>0</v>
      </c>
      <c r="C306" s="196" t="n">
        <v>3090</v>
      </c>
      <c r="D306" s="524">
        <f>D305+C306-B306</f>
        <v/>
      </c>
      <c r="E306" s="545" t="n"/>
      <c r="F306" s="546" t="n"/>
      <c r="G306" s="547">
        <f>G305+F306-E306</f>
        <v/>
      </c>
      <c r="H306" s="200" t="inlineStr">
        <is>
          <t>日電貿現金股</t>
        </is>
      </c>
      <c r="I306" s="200" t="inlineStr">
        <is>
          <t>現金股利</t>
        </is>
      </c>
      <c r="J306" t="inlineStr">
        <is>
          <t>投資</t>
        </is>
      </c>
      <c r="K306">
        <f>IF(J306="本金",C306+K305,K305)</f>
        <v/>
      </c>
      <c r="L306">
        <f>IF(J306="本金",F306+L305,L305)</f>
        <v/>
      </c>
    </row>
    <row r="307" outlineLevel="1">
      <c r="A307" s="527" t="n">
        <v>44438</v>
      </c>
      <c r="B307" s="528" t="n"/>
      <c r="C307" s="163" t="n">
        <v>500000</v>
      </c>
      <c r="D307" s="529">
        <f>D306+C307-B307</f>
        <v/>
      </c>
      <c r="E307" s="548" t="n"/>
      <c r="F307" s="549" t="n"/>
      <c r="G307" s="550">
        <f>G306+F307-E307</f>
        <v/>
      </c>
      <c r="H307" s="168" t="inlineStr">
        <is>
          <t>曾儀婷</t>
        </is>
      </c>
      <c r="I307" s="168" t="inlineStr">
        <is>
          <t>網路自轉</t>
        </is>
      </c>
      <c r="J307" t="inlineStr">
        <is>
          <t>本金</t>
        </is>
      </c>
      <c r="K307">
        <f>IF(J307="本金",C307+K306,K306)</f>
        <v/>
      </c>
      <c r="L307">
        <f>IF(J307="本金",F307+L306,L306)</f>
        <v/>
      </c>
    </row>
    <row r="308" outlineLevel="1" customFormat="1" s="65">
      <c r="A308" s="508" t="n">
        <v>44439</v>
      </c>
      <c r="B308" s="509" t="n"/>
      <c r="C308" s="123" t="n">
        <v>18718</v>
      </c>
      <c r="D308" s="510">
        <f>D307+C308-B308</f>
        <v/>
      </c>
      <c r="E308" s="535" t="n"/>
      <c r="F308" s="541" t="n"/>
      <c r="G308" s="537">
        <f>G307+F308-E308</f>
        <v/>
      </c>
      <c r="H308" s="65" t="inlineStr">
        <is>
          <t>綠電(8440)</t>
        </is>
      </c>
      <c r="J308" t="inlineStr">
        <is>
          <t>投資</t>
        </is>
      </c>
      <c r="K308">
        <f>IF(J308="本金",C308+K307,K307)</f>
        <v/>
      </c>
      <c r="L308">
        <f>IF(J308="本金",F308+L307,L307)</f>
        <v/>
      </c>
    </row>
    <row r="309" outlineLevel="1" customFormat="1" s="65">
      <c r="A309" s="508" t="n">
        <v>44439</v>
      </c>
      <c r="B309" s="509" t="n"/>
      <c r="C309" s="123" t="n">
        <v>24243</v>
      </c>
      <c r="D309" s="510">
        <f>D308+C309-B309</f>
        <v/>
      </c>
      <c r="E309" s="535" t="n"/>
      <c r="F309" s="541" t="n"/>
      <c r="G309" s="537">
        <f>G308+F309-E309</f>
        <v/>
      </c>
      <c r="H309" s="65" t="inlineStr">
        <is>
          <t>華紙(1905)</t>
        </is>
      </c>
      <c r="J309" t="inlineStr">
        <is>
          <t>投資</t>
        </is>
      </c>
      <c r="K309">
        <f>IF(J309="本金",C309+K308,K308)</f>
        <v/>
      </c>
      <c r="L309">
        <f>IF(J309="本金",F309+L308,L308)</f>
        <v/>
      </c>
    </row>
    <row r="310" outlineLevel="1">
      <c r="A310" s="508" t="n">
        <v>44439</v>
      </c>
      <c r="B310" s="509" t="n">
        <v>447636</v>
      </c>
      <c r="C310" s="123" t="n"/>
      <c r="D310" s="510">
        <f>D309+C310-B310</f>
        <v/>
      </c>
      <c r="E310" s="535" t="n"/>
      <c r="F310" s="541" t="n"/>
      <c r="G310" s="537">
        <f>G309+F310-E310</f>
        <v/>
      </c>
      <c r="H310" s="65" t="inlineStr">
        <is>
          <t>聯詠(3034)</t>
        </is>
      </c>
      <c r="I310" s="65" t="n"/>
      <c r="J310" t="inlineStr">
        <is>
          <t>投資</t>
        </is>
      </c>
      <c r="K310">
        <f>IF(J310="本金",C310+K309,K309)</f>
        <v/>
      </c>
      <c r="L310">
        <f>IF(J310="本金",F310+L309,L309)</f>
        <v/>
      </c>
    </row>
    <row r="311" outlineLevel="1" customFormat="1" s="65">
      <c r="A311" s="508" t="n">
        <v>44442</v>
      </c>
      <c r="B311" s="509" t="n"/>
      <c r="C311" s="123" t="n">
        <v>17274</v>
      </c>
      <c r="D311" s="510">
        <f>D310+C311-B311</f>
        <v/>
      </c>
      <c r="E311" s="535" t="n"/>
      <c r="F311" s="541" t="n"/>
      <c r="G311" s="537">
        <f>G310+F311-E311</f>
        <v/>
      </c>
      <c r="H311" s="65" t="inlineStr">
        <is>
          <t>友達(2409)</t>
        </is>
      </c>
      <c r="J311" t="inlineStr">
        <is>
          <t>投資</t>
        </is>
      </c>
      <c r="K311">
        <f>IF(J311="本金",C311+K310,K310)</f>
        <v/>
      </c>
      <c r="L311">
        <f>IF(J311="本金",F311+L310,L310)</f>
        <v/>
      </c>
    </row>
    <row r="312" outlineLevel="1" customFormat="1" s="65">
      <c r="A312" s="508" t="n">
        <v>44442</v>
      </c>
      <c r="B312" s="509" t="n"/>
      <c r="C312" s="123" t="n">
        <v>16776</v>
      </c>
      <c r="D312" s="510">
        <f>D311+C312-B312</f>
        <v/>
      </c>
      <c r="E312" s="535" t="n"/>
      <c r="F312" s="541" t="n"/>
      <c r="G312" s="537">
        <f>G311+F312-E312</f>
        <v/>
      </c>
      <c r="H312" s="65" t="inlineStr">
        <is>
          <t>群創(3481)</t>
        </is>
      </c>
      <c r="J312" t="inlineStr">
        <is>
          <t>投資</t>
        </is>
      </c>
      <c r="K312">
        <f>IF(J312="本金",C312+K311,K311)</f>
        <v/>
      </c>
      <c r="L312">
        <f>IF(J312="本金",F312+L311,L311)</f>
        <v/>
      </c>
    </row>
    <row r="313" outlineLevel="1" customFormat="1" s="65">
      <c r="A313" s="508" t="n">
        <v>44442</v>
      </c>
      <c r="B313" s="509" t="n"/>
      <c r="C313" s="123" t="n">
        <v>18369</v>
      </c>
      <c r="D313" s="510">
        <f>D312+C313-B313</f>
        <v/>
      </c>
      <c r="E313" s="535" t="n"/>
      <c r="F313" s="541" t="n"/>
      <c r="G313" s="537">
        <f>G312+F313-E313</f>
        <v/>
      </c>
      <c r="H313" s="65" t="inlineStr">
        <is>
          <t>長榮航(2618)</t>
        </is>
      </c>
      <c r="J313" t="inlineStr">
        <is>
          <t>投資</t>
        </is>
      </c>
      <c r="K313">
        <f>IF(J313="本金",C313+K312,K312)</f>
        <v/>
      </c>
      <c r="L313">
        <f>IF(J313="本金",F313+L312,L312)</f>
        <v/>
      </c>
    </row>
    <row r="314" outlineLevel="1" customFormat="1" s="65">
      <c r="A314" s="508" t="n">
        <v>44445</v>
      </c>
      <c r="B314" s="509" t="n"/>
      <c r="C314" s="123" t="n">
        <v>66704</v>
      </c>
      <c r="D314" s="510">
        <f>D313+C314-B314</f>
        <v/>
      </c>
      <c r="E314" s="535" t="n"/>
      <c r="F314" s="541" t="n"/>
      <c r="G314" s="537">
        <f>G313+F314-E314</f>
        <v/>
      </c>
      <c r="H314" s="65" t="inlineStr">
        <is>
          <t>新光鋼(2031)</t>
        </is>
      </c>
      <c r="J314" t="inlineStr">
        <is>
          <t>投資</t>
        </is>
      </c>
      <c r="K314">
        <f>IF(J314="本金",C314+K313,K313)</f>
        <v/>
      </c>
      <c r="L314">
        <f>IF(J314="本金",F314+L313,L313)</f>
        <v/>
      </c>
    </row>
    <row r="315" outlineLevel="1">
      <c r="A315" s="508" t="n">
        <v>44445</v>
      </c>
      <c r="B315" s="509" t="n">
        <v>116165</v>
      </c>
      <c r="C315" s="123" t="n"/>
      <c r="D315" s="510">
        <f>D314+C315-B315</f>
        <v/>
      </c>
      <c r="E315" s="535" t="n"/>
      <c r="F315" s="541" t="n"/>
      <c r="G315" s="537">
        <f>G314+F315-E315</f>
        <v/>
      </c>
      <c r="H315" s="65" t="inlineStr">
        <is>
          <t>帆宣(6196)</t>
        </is>
      </c>
      <c r="I315" s="65" t="n"/>
      <c r="J315" t="inlineStr">
        <is>
          <t>投資</t>
        </is>
      </c>
      <c r="K315">
        <f>IF(J315="本金",C315+K314,K314)</f>
        <v/>
      </c>
      <c r="L315">
        <f>IF(J315="本金",F315+L314,L314)</f>
        <v/>
      </c>
    </row>
    <row r="316" outlineLevel="1">
      <c r="A316" s="522" t="n">
        <v>44448</v>
      </c>
      <c r="B316" s="523" t="n"/>
      <c r="C316" s="196" t="n">
        <v>1910</v>
      </c>
      <c r="D316" s="524">
        <f>D315+C316-B316</f>
        <v/>
      </c>
      <c r="E316" s="545" t="n"/>
      <c r="F316" s="546" t="n"/>
      <c r="G316" s="547">
        <f>G315+F316-E316</f>
        <v/>
      </c>
      <c r="H316" s="200" t="inlineStr">
        <is>
          <t>新光鋼鐵現金股</t>
        </is>
      </c>
      <c r="I316" s="200" t="inlineStr">
        <is>
          <t>現金股利</t>
        </is>
      </c>
      <c r="J316" t="inlineStr">
        <is>
          <t>投資</t>
        </is>
      </c>
      <c r="K316">
        <f>IF(J316="本金",C316+K315,K315)</f>
        <v/>
      </c>
      <c r="L316">
        <f>IF(J316="本金",F316+L315,L315)</f>
        <v/>
      </c>
    </row>
    <row r="317" outlineLevel="1">
      <c r="A317" s="518" t="n">
        <v>44449</v>
      </c>
      <c r="B317" s="519" t="n"/>
      <c r="C317" s="148" t="n">
        <v>416</v>
      </c>
      <c r="D317" s="520">
        <f>D316+C317-B317</f>
        <v/>
      </c>
      <c r="E317" s="542" t="n"/>
      <c r="F317" s="543" t="n"/>
      <c r="G317" s="544">
        <f>G316+F317-E317</f>
        <v/>
      </c>
      <c r="H317" s="152" t="inlineStr">
        <is>
          <t>折讓入帳</t>
        </is>
      </c>
      <c r="I317" s="160" t="n"/>
      <c r="J317" t="inlineStr">
        <is>
          <t>投資</t>
        </is>
      </c>
      <c r="K317">
        <f>IF(J317="本金",C317+K316,K316)</f>
        <v/>
      </c>
      <c r="L317">
        <f>IF(J317="本金",F317+L316,L316)</f>
        <v/>
      </c>
    </row>
    <row r="318" outlineLevel="1">
      <c r="A318" s="522" t="n">
        <v>44455</v>
      </c>
      <c r="B318" s="523" t="n"/>
      <c r="C318" s="196" t="n">
        <v>1490</v>
      </c>
      <c r="D318" s="524">
        <f>D317+C318-B318</f>
        <v/>
      </c>
      <c r="E318" s="545" t="n"/>
      <c r="F318" s="546" t="n"/>
      <c r="G318" s="547">
        <f>G317+F318-E318</f>
        <v/>
      </c>
      <c r="H318" s="200" t="inlineStr">
        <is>
          <t>嘉聯益現金股</t>
        </is>
      </c>
      <c r="I318" s="200" t="inlineStr">
        <is>
          <t>現金股利</t>
        </is>
      </c>
      <c r="J318" t="inlineStr">
        <is>
          <t>投資</t>
        </is>
      </c>
      <c r="K318">
        <f>IF(J318="本金",C318+K317,K317)</f>
        <v/>
      </c>
      <c r="L318">
        <f>IF(J318="本金",F318+L317,L317)</f>
        <v/>
      </c>
    </row>
    <row r="319" outlineLevel="1">
      <c r="A319" s="522" t="n">
        <v>44456</v>
      </c>
      <c r="B319" s="523" t="n">
        <v>0</v>
      </c>
      <c r="C319" s="196" t="n">
        <v>6278</v>
      </c>
      <c r="D319" s="524">
        <f>D318+C319-B319</f>
        <v/>
      </c>
      <c r="E319" s="545" t="n"/>
      <c r="F319" s="546" t="n"/>
      <c r="G319" s="547">
        <f>G318+F319-E319</f>
        <v/>
      </c>
      <c r="H319" s="200" t="inlineStr">
        <is>
          <t>信邦電子現金股</t>
        </is>
      </c>
      <c r="I319" s="200" t="inlineStr">
        <is>
          <t>現金股利</t>
        </is>
      </c>
      <c r="J319" t="inlineStr">
        <is>
          <t>投資</t>
        </is>
      </c>
      <c r="K319">
        <f>IF(J319="本金",C319+K318,K318)</f>
        <v/>
      </c>
      <c r="L319">
        <f>IF(J319="本金",F319+L318,L318)</f>
        <v/>
      </c>
    </row>
    <row r="320" outlineLevel="1">
      <c r="A320" s="522" t="n">
        <v>44456</v>
      </c>
      <c r="B320" s="523" t="n">
        <v>0</v>
      </c>
      <c r="C320" s="196" t="n">
        <v>893</v>
      </c>
      <c r="D320" s="524">
        <f>D319+C320-B320</f>
        <v/>
      </c>
      <c r="E320" s="545" t="n"/>
      <c r="F320" s="546" t="n"/>
      <c r="G320" s="547">
        <f>G319+F320-E320</f>
        <v/>
      </c>
      <c r="H320" s="200" t="inlineStr">
        <is>
          <t>中鋼現金股</t>
        </is>
      </c>
      <c r="I320" s="200" t="inlineStr">
        <is>
          <t>現金股利</t>
        </is>
      </c>
      <c r="J320" t="inlineStr">
        <is>
          <t>投資</t>
        </is>
      </c>
      <c r="K320">
        <f>IF(J320="本金",C320+K319,K319)</f>
        <v/>
      </c>
      <c r="L320">
        <f>IF(J320="本金",F320+L319,L319)</f>
        <v/>
      </c>
    </row>
    <row r="321" outlineLevel="1">
      <c r="A321" s="522" t="n">
        <v>44456</v>
      </c>
      <c r="B321" s="523" t="n">
        <v>0</v>
      </c>
      <c r="C321" s="196" t="n">
        <v>15590</v>
      </c>
      <c r="D321" s="524">
        <f>D320+C321-B321</f>
        <v/>
      </c>
      <c r="E321" s="545" t="n"/>
      <c r="F321" s="546" t="n"/>
      <c r="G321" s="547">
        <f>G320+F321-E321</f>
        <v/>
      </c>
      <c r="H321" s="200" t="inlineStr">
        <is>
          <t>聯詠科技現金股</t>
        </is>
      </c>
      <c r="I321" s="200" t="inlineStr">
        <is>
          <t>現金股利</t>
        </is>
      </c>
      <c r="J321" t="inlineStr">
        <is>
          <t>投資</t>
        </is>
      </c>
      <c r="K321">
        <f>IF(J321="本金",C321+K320,K320)</f>
        <v/>
      </c>
      <c r="L321">
        <f>IF(J321="本金",F321+L320,L320)</f>
        <v/>
      </c>
    </row>
    <row r="322" outlineLevel="1">
      <c r="A322" s="522" t="n">
        <v>44456</v>
      </c>
      <c r="B322" s="523" t="n">
        <v>0</v>
      </c>
      <c r="C322" s="196" t="n">
        <v>1402</v>
      </c>
      <c r="D322" s="524">
        <f>D321+C322-B322</f>
        <v/>
      </c>
      <c r="E322" s="545" t="n"/>
      <c r="F322" s="546" t="n"/>
      <c r="G322" s="547">
        <f>G321+F322-E322</f>
        <v/>
      </c>
      <c r="H322" s="200" t="inlineStr">
        <is>
          <t>力積電現金股</t>
        </is>
      </c>
      <c r="I322" s="200" t="inlineStr">
        <is>
          <t>現金股利</t>
        </is>
      </c>
      <c r="J322" t="inlineStr">
        <is>
          <t>投資</t>
        </is>
      </c>
      <c r="K322">
        <f>IF(J322="本金",C322+K321,K321)</f>
        <v/>
      </c>
      <c r="L322">
        <f>IF(J322="本金",F322+L321,L321)</f>
        <v/>
      </c>
    </row>
    <row r="323" outlineLevel="1">
      <c r="A323" s="508" t="n">
        <v>44456</v>
      </c>
      <c r="B323" s="509" t="n"/>
      <c r="C323" s="123" t="n">
        <v>45698</v>
      </c>
      <c r="D323" s="510">
        <f>D322+C323-B323</f>
        <v/>
      </c>
      <c r="E323" s="535" t="n"/>
      <c r="F323" s="541" t="n"/>
      <c r="G323" s="537">
        <f>G322+F323-E323</f>
        <v/>
      </c>
      <c r="H323" s="65" t="inlineStr">
        <is>
          <t>零壹(3029)</t>
        </is>
      </c>
      <c r="I323" s="65" t="n"/>
      <c r="J323" t="inlineStr">
        <is>
          <t>投資</t>
        </is>
      </c>
      <c r="K323">
        <f>IF(J323="本金",C323+K322,K322)</f>
        <v/>
      </c>
      <c r="L323">
        <f>IF(J323="本金",F323+L322,L322)</f>
        <v/>
      </c>
    </row>
    <row r="324" outlineLevel="1">
      <c r="A324" s="518" t="n">
        <v>44477</v>
      </c>
      <c r="B324" s="519" t="n"/>
      <c r="C324" s="148" t="n">
        <v>158</v>
      </c>
      <c r="D324" s="520">
        <f>D323+C324-B324</f>
        <v/>
      </c>
      <c r="E324" s="542" t="n"/>
      <c r="F324" s="543" t="n"/>
      <c r="G324" s="544">
        <f>G323+F324-E324</f>
        <v/>
      </c>
      <c r="H324" s="152" t="inlineStr">
        <is>
          <t>折讓入帳</t>
        </is>
      </c>
      <c r="I324" s="160" t="n"/>
      <c r="J324" t="inlineStr">
        <is>
          <t>投資</t>
        </is>
      </c>
      <c r="K324">
        <f>IF(J324="本金",C324+K323,K323)</f>
        <v/>
      </c>
      <c r="L324">
        <f>IF(J324="本金",F324+L323,L323)</f>
        <v/>
      </c>
    </row>
    <row r="325" outlineLevel="1" customFormat="1" s="65">
      <c r="A325" s="508" t="n">
        <v>44505</v>
      </c>
      <c r="B325" s="509" t="n"/>
      <c r="C325" s="123">
        <f>81638</f>
        <v/>
      </c>
      <c r="D325" s="510">
        <f>D324+C325-B325</f>
        <v/>
      </c>
      <c r="E325" s="535" t="n"/>
      <c r="F325" s="541" t="n"/>
      <c r="G325" s="537">
        <f>G324+F325-E325</f>
        <v/>
      </c>
      <c r="H325" s="65" t="inlineStr">
        <is>
          <t>長榮航(2618)</t>
        </is>
      </c>
      <c r="J325" t="inlineStr">
        <is>
          <t>投資</t>
        </is>
      </c>
      <c r="K325">
        <f>IF(J325="本金",C325+K324,K324)</f>
        <v/>
      </c>
      <c r="L325">
        <f>IF(J325="本金",F325+L324,L324)</f>
        <v/>
      </c>
    </row>
    <row r="326" outlineLevel="1">
      <c r="A326" s="508" t="n">
        <v>44517</v>
      </c>
      <c r="B326" s="509" t="n">
        <v>63390</v>
      </c>
      <c r="C326" s="123" t="n"/>
      <c r="D326" s="510">
        <f>D325+C326-B326</f>
        <v/>
      </c>
      <c r="E326" s="535" t="n"/>
      <c r="F326" s="541" t="n"/>
      <c r="G326" s="537">
        <f>G325+F326-E326</f>
        <v/>
      </c>
      <c r="H326" s="65" t="inlineStr">
        <is>
          <t>東元(1504)</t>
        </is>
      </c>
      <c r="I326" s="65" t="n"/>
      <c r="J326" t="inlineStr">
        <is>
          <t>投資</t>
        </is>
      </c>
      <c r="K326">
        <f>IF(J326="本金",C326+K325,K325)</f>
        <v/>
      </c>
      <c r="L326">
        <f>IF(J326="本金",F326+L325,L325)</f>
        <v/>
      </c>
    </row>
    <row r="327" outlineLevel="1">
      <c r="A327" s="508" t="n">
        <v>44519</v>
      </c>
      <c r="B327" s="509" t="n">
        <v>164233</v>
      </c>
      <c r="C327" s="123" t="n"/>
      <c r="D327" s="510">
        <f>D326+C327-B327</f>
        <v/>
      </c>
      <c r="E327" s="535" t="n"/>
      <c r="F327" s="541" t="n"/>
      <c r="G327" s="537">
        <f>G326+F327-E327</f>
        <v/>
      </c>
      <c r="H327" s="65" t="inlineStr">
        <is>
          <t>敦泰(3545)</t>
        </is>
      </c>
      <c r="I327" s="65" t="n"/>
      <c r="J327" t="inlineStr">
        <is>
          <t>投資</t>
        </is>
      </c>
      <c r="K327">
        <f>IF(J327="本金",C327+K326,K326)</f>
        <v/>
      </c>
      <c r="L327">
        <f>IF(J327="本金",F327+L326,L326)</f>
        <v/>
      </c>
    </row>
    <row r="328" outlineLevel="1" customFormat="1" s="65">
      <c r="A328" s="508" t="n">
        <v>44524</v>
      </c>
      <c r="B328" s="509" t="n">
        <v>21981</v>
      </c>
      <c r="C328" s="123" t="n"/>
      <c r="D328" s="510">
        <f>D327+C328-B328</f>
        <v/>
      </c>
      <c r="E328" s="535" t="n"/>
      <c r="F328" s="541" t="n"/>
      <c r="G328" s="537">
        <f>G327+F328-E328</f>
        <v/>
      </c>
      <c r="H328" s="65" t="inlineStr">
        <is>
          <t>友達(2409)</t>
        </is>
      </c>
      <c r="J328" t="inlineStr">
        <is>
          <t>投資</t>
        </is>
      </c>
      <c r="K328">
        <f>IF(J328="本金",C328+K327,K327)</f>
        <v/>
      </c>
      <c r="L328">
        <f>IF(J328="本金",F328+L327,L327)</f>
        <v/>
      </c>
    </row>
    <row r="329" outlineLevel="1" customFormat="1" s="65">
      <c r="A329" s="508" t="n">
        <v>44524</v>
      </c>
      <c r="B329" s="509" t="n">
        <v>19077</v>
      </c>
      <c r="C329" s="123" t="n"/>
      <c r="D329" s="510">
        <f>D328+C329-B329</f>
        <v/>
      </c>
      <c r="E329" s="535" t="n"/>
      <c r="F329" s="541" t="n"/>
      <c r="G329" s="537">
        <f>G328+F329-E329</f>
        <v/>
      </c>
      <c r="H329" s="65" t="inlineStr">
        <is>
          <t>群創(3481)</t>
        </is>
      </c>
      <c r="J329" t="inlineStr">
        <is>
          <t>投資</t>
        </is>
      </c>
      <c r="K329">
        <f>IF(J329="本金",C329+K328,K328)</f>
        <v/>
      </c>
      <c r="L329">
        <f>IF(J329="本金",F329+L328,L328)</f>
        <v/>
      </c>
    </row>
    <row r="330" outlineLevel="1" customFormat="1" s="65">
      <c r="A330" s="508" t="n">
        <v>44525</v>
      </c>
      <c r="B330" s="509" t="n">
        <v>108153</v>
      </c>
      <c r="C330" s="123" t="n"/>
      <c r="D330" s="510">
        <f>D329+C330-B330</f>
        <v/>
      </c>
      <c r="E330" s="535" t="n"/>
      <c r="F330" s="541" t="n"/>
      <c r="G330" s="537">
        <f>G329+F330-E330</f>
        <v/>
      </c>
      <c r="H330" s="65" t="inlineStr">
        <is>
          <t>強茂(2481)</t>
        </is>
      </c>
      <c r="J330" t="inlineStr">
        <is>
          <t>投資</t>
        </is>
      </c>
      <c r="K330">
        <f>IF(J330="本金",C330+K329,K329)</f>
        <v/>
      </c>
      <c r="L330">
        <f>IF(J330="本金",F330+L329,L329)</f>
        <v/>
      </c>
    </row>
    <row r="331" outlineLevel="1" customFormat="1" s="65">
      <c r="A331" s="508" t="n">
        <v>44533</v>
      </c>
      <c r="B331" s="509" t="n"/>
      <c r="C331" s="123" t="n">
        <v>18319</v>
      </c>
      <c r="D331" s="510">
        <f>D330+C331-B331</f>
        <v/>
      </c>
      <c r="E331" s="535" t="n"/>
      <c r="F331" s="541" t="n"/>
      <c r="G331" s="537">
        <f>G330+F331-E331</f>
        <v/>
      </c>
      <c r="H331" s="65" t="inlineStr">
        <is>
          <t>綠電(8440)</t>
        </is>
      </c>
      <c r="J331" t="inlineStr">
        <is>
          <t>投資</t>
        </is>
      </c>
      <c r="K331">
        <f>IF(J331="本金",C331+K330,K330)</f>
        <v/>
      </c>
      <c r="L331">
        <f>IF(J331="本金",F331+L330,L330)</f>
        <v/>
      </c>
    </row>
    <row r="332" outlineLevel="1">
      <c r="A332" s="518" t="n">
        <v>44540</v>
      </c>
      <c r="B332" s="519" t="n"/>
      <c r="C332" s="148" t="n">
        <v>258</v>
      </c>
      <c r="D332" s="520">
        <f>D331+C332-B332</f>
        <v/>
      </c>
      <c r="E332" s="542" t="n"/>
      <c r="F332" s="543" t="n"/>
      <c r="G332" s="544">
        <f>G331+F332-E332</f>
        <v/>
      </c>
      <c r="H332" s="152" t="inlineStr">
        <is>
          <t>折讓入帳</t>
        </is>
      </c>
      <c r="I332" s="160" t="n"/>
      <c r="J332" t="inlineStr">
        <is>
          <t>投資</t>
        </is>
      </c>
      <c r="K332">
        <f>IF(J332="本金",C332+K331,K331)</f>
        <v/>
      </c>
      <c r="L332">
        <f>IF(J332="本金",F332+L331,L331)</f>
        <v/>
      </c>
    </row>
    <row r="333" outlineLevel="1">
      <c r="A333" s="508" t="n">
        <v>44547</v>
      </c>
      <c r="B333" s="509" t="n"/>
      <c r="C333" s="123" t="n">
        <v>148341</v>
      </c>
      <c r="D333" s="510">
        <f>D332+C333-B333</f>
        <v/>
      </c>
      <c r="E333" s="535" t="n"/>
      <c r="F333" s="541" t="n"/>
      <c r="G333" s="537">
        <f>G332+F333-E333</f>
        <v/>
      </c>
      <c r="H333" s="65" t="inlineStr">
        <is>
          <t>帆宣(6196)</t>
        </is>
      </c>
      <c r="I333" s="65" t="n"/>
      <c r="J333" t="inlineStr">
        <is>
          <t>投資</t>
        </is>
      </c>
      <c r="K333">
        <f>IF(J333="本金",C333+K332,K332)</f>
        <v/>
      </c>
      <c r="L333">
        <f>IF(J333="本金",F333+L332,L332)</f>
        <v/>
      </c>
    </row>
    <row r="334" outlineLevel="1" customFormat="1" s="65">
      <c r="A334" s="513" t="n">
        <v>44551</v>
      </c>
      <c r="B334" s="514" t="n"/>
      <c r="C334" s="154" t="n">
        <v>113</v>
      </c>
      <c r="D334" s="515">
        <f>D333+C334-B334</f>
        <v/>
      </c>
      <c r="E334" s="538" t="n"/>
      <c r="F334" s="539" t="n"/>
      <c r="G334" s="540">
        <f>G333+F334-E334</f>
        <v/>
      </c>
      <c r="H334" s="158" t="inlineStr">
        <is>
          <t>利息</t>
        </is>
      </c>
      <c r="I334" s="159" t="n"/>
      <c r="J334" t="inlineStr">
        <is>
          <t>投資</t>
        </is>
      </c>
      <c r="K334">
        <f>IF(J334="本金",C334+K333,K333)</f>
        <v/>
      </c>
      <c r="L334">
        <f>IF(J334="本金",F334+L333,L333)</f>
        <v/>
      </c>
    </row>
    <row r="335" outlineLevel="1" customFormat="1" s="65">
      <c r="A335" s="508" t="n">
        <v>44553</v>
      </c>
      <c r="B335" s="509" t="n">
        <v>38354</v>
      </c>
      <c r="C335" s="123" t="n"/>
      <c r="D335" s="510">
        <f>D334+C335-B335</f>
        <v/>
      </c>
      <c r="E335" s="535" t="n"/>
      <c r="F335" s="541" t="n"/>
      <c r="G335" s="537">
        <f>G334+F335-E335</f>
        <v/>
      </c>
      <c r="H335" s="65" t="inlineStr">
        <is>
          <t>台橡(2103)</t>
        </is>
      </c>
      <c r="J335" t="inlineStr">
        <is>
          <t>投資</t>
        </is>
      </c>
      <c r="K335">
        <f>IF(J335="本金",C335+K334,K334)</f>
        <v/>
      </c>
      <c r="L335">
        <f>IF(J335="本金",F335+L334,L334)</f>
        <v/>
      </c>
    </row>
    <row r="336" outlineLevel="1" customFormat="1" s="65">
      <c r="A336" s="508" t="n">
        <v>44553</v>
      </c>
      <c r="B336" s="509" t="n">
        <v>27989</v>
      </c>
      <c r="C336" s="123" t="n"/>
      <c r="D336" s="510">
        <f>D335+C336-B336</f>
        <v/>
      </c>
      <c r="E336" s="535" t="n"/>
      <c r="F336" s="541" t="n"/>
      <c r="G336" s="537">
        <f>G335+F336-E336</f>
        <v/>
      </c>
      <c r="H336" s="65" t="inlineStr">
        <is>
          <t>銘異(3060)</t>
        </is>
      </c>
      <c r="J336" t="inlineStr">
        <is>
          <t>投資</t>
        </is>
      </c>
      <c r="K336">
        <f>IF(J336="本金",C336+K335,K335)</f>
        <v/>
      </c>
      <c r="L336">
        <f>IF(J336="本金",F336+L335,L335)</f>
        <v/>
      </c>
    </row>
    <row r="337" outlineLevel="1" customFormat="1" s="65">
      <c r="A337" s="508" t="n">
        <v>44553</v>
      </c>
      <c r="B337" s="509" t="n"/>
      <c r="C337" s="123" t="n">
        <v>19265</v>
      </c>
      <c r="D337" s="510">
        <f>D336+C337-B337</f>
        <v/>
      </c>
      <c r="E337" s="535" t="n"/>
      <c r="F337" s="541" t="n"/>
      <c r="G337" s="537">
        <f>G336+F337-E337</f>
        <v/>
      </c>
      <c r="H337" s="65" t="inlineStr">
        <is>
          <t>群創(3481)</t>
        </is>
      </c>
      <c r="J337" t="inlineStr">
        <is>
          <t>投資</t>
        </is>
      </c>
      <c r="K337">
        <f>IF(J337="本金",C337+K336,K336)</f>
        <v/>
      </c>
      <c r="L337">
        <f>IF(J337="本金",F337+L336,L336)</f>
        <v/>
      </c>
    </row>
    <row r="338" outlineLevel="1" customFormat="1" s="65">
      <c r="A338" s="508" t="n">
        <v>44558</v>
      </c>
      <c r="B338" s="509" t="n"/>
      <c r="C338" s="123">
        <f>289500-412-868</f>
        <v/>
      </c>
      <c r="D338" s="510">
        <f>D337+C338-B338</f>
        <v/>
      </c>
      <c r="E338" s="535" t="n"/>
      <c r="F338" s="541" t="n"/>
      <c r="G338" s="537">
        <f>G337+F338-E338</f>
        <v/>
      </c>
      <c r="H338" s="65" t="inlineStr">
        <is>
          <t>信邦(3023)</t>
        </is>
      </c>
      <c r="J338" t="inlineStr">
        <is>
          <t>投資</t>
        </is>
      </c>
      <c r="K338">
        <f>IF(J338="本金",C338+K337,K337)</f>
        <v/>
      </c>
      <c r="L338">
        <f>IF(J338="本金",F338+L337,L337)</f>
        <v/>
      </c>
    </row>
    <row r="339" outlineLevel="1" customFormat="1" s="65">
      <c r="A339" s="508" t="n">
        <v>44558</v>
      </c>
      <c r="B339" s="509" t="n"/>
      <c r="C339" s="123">
        <f>42900-60-128</f>
        <v/>
      </c>
      <c r="D339" s="510">
        <f>D338+C339-B339</f>
        <v/>
      </c>
      <c r="E339" s="535" t="n"/>
      <c r="F339" s="541" t="n"/>
      <c r="G339" s="537">
        <f>G338+F339-E339</f>
        <v/>
      </c>
      <c r="H339" s="65" t="inlineStr">
        <is>
          <t>台船(2208)</t>
        </is>
      </c>
      <c r="J339" t="inlineStr">
        <is>
          <t>投資</t>
        </is>
      </c>
      <c r="K339">
        <f>IF(J339="本金",C339+K338,K338)</f>
        <v/>
      </c>
      <c r="L339">
        <f>IF(J339="本金",F339+L338,L338)</f>
        <v/>
      </c>
    </row>
    <row r="340" outlineLevel="1" customFormat="1" s="65">
      <c r="A340" s="508" t="n">
        <v>44558</v>
      </c>
      <c r="B340" s="509" t="n"/>
      <c r="C340" s="123">
        <f>22350-31-67</f>
        <v/>
      </c>
      <c r="D340" s="510">
        <f>D339+C340-B340</f>
        <v/>
      </c>
      <c r="E340" s="535" t="n"/>
      <c r="F340" s="541" t="n"/>
      <c r="G340" s="537">
        <f>G339+F340-E340</f>
        <v/>
      </c>
      <c r="H340" s="65" t="inlineStr">
        <is>
          <t>友達(2409)</t>
        </is>
      </c>
      <c r="J340" t="inlineStr">
        <is>
          <t>投資</t>
        </is>
      </c>
      <c r="K340">
        <f>IF(J340="本金",C340+K339,K339)</f>
        <v/>
      </c>
      <c r="L340">
        <f>IF(J340="本金",F340+L339,L339)</f>
        <v/>
      </c>
    </row>
    <row r="341" outlineLevel="1" customFormat="1" s="65">
      <c r="A341" s="508" t="n">
        <v>44558</v>
      </c>
      <c r="B341" s="509" t="n"/>
      <c r="C341" s="123">
        <f>109000-155-327</f>
        <v/>
      </c>
      <c r="D341" s="510">
        <f>D340+C341-B341</f>
        <v/>
      </c>
      <c r="E341" s="535" t="n"/>
      <c r="F341" s="541" t="n"/>
      <c r="G341" s="537">
        <f>G340+F341-E341</f>
        <v/>
      </c>
      <c r="H341" s="65" t="inlineStr">
        <is>
          <t>強茂(2481)</t>
        </is>
      </c>
      <c r="J341" t="inlineStr">
        <is>
          <t>投資</t>
        </is>
      </c>
      <c r="K341">
        <f>IF(J341="本金",C341+K340,K340)</f>
        <v/>
      </c>
      <c r="L341">
        <f>IF(J341="本金",F341+L340,L340)</f>
        <v/>
      </c>
    </row>
    <row r="342" outlineLevel="1" customFormat="1" s="65">
      <c r="A342" s="508" t="n">
        <v>44558</v>
      </c>
      <c r="B342" s="509" t="n"/>
      <c r="C342" s="123">
        <f>40950-58-122</f>
        <v/>
      </c>
      <c r="D342" s="510">
        <f>D341+C342-B342</f>
        <v/>
      </c>
      <c r="E342" s="535" t="n"/>
      <c r="F342" s="541" t="n"/>
      <c r="G342" s="537">
        <f>G341+F342-E342</f>
        <v/>
      </c>
      <c r="H342" s="65" t="inlineStr">
        <is>
          <t>台橡(2103)</t>
        </is>
      </c>
      <c r="J342" t="inlineStr">
        <is>
          <t>投資</t>
        </is>
      </c>
      <c r="K342">
        <f>IF(J342="本金",C342+K341,K341)</f>
        <v/>
      </c>
      <c r="L342">
        <f>IF(J342="本金",F342+L341,L341)</f>
        <v/>
      </c>
    </row>
    <row r="343" outlineLevel="1" customFormat="1" s="65">
      <c r="A343" s="508" t="n">
        <v>44558</v>
      </c>
      <c r="B343" s="509" t="n"/>
      <c r="C343" s="123">
        <f>26300-37-78</f>
        <v/>
      </c>
      <c r="D343" s="510">
        <f>D342+C343-B343</f>
        <v/>
      </c>
      <c r="E343" s="535" t="n"/>
      <c r="F343" s="541" t="n"/>
      <c r="G343" s="537">
        <f>G342+F343-E343</f>
        <v/>
      </c>
      <c r="H343" s="65" t="inlineStr">
        <is>
          <t>銘異(3060)</t>
        </is>
      </c>
      <c r="J343" t="inlineStr">
        <is>
          <t>投資</t>
        </is>
      </c>
      <c r="K343">
        <f>IF(J343="本金",C343+K342,K342)</f>
        <v/>
      </c>
      <c r="L343">
        <f>IF(J343="本金",F343+L342,L342)</f>
        <v/>
      </c>
    </row>
    <row r="344" outlineLevel="1">
      <c r="A344" s="508" t="n">
        <v>44561</v>
      </c>
      <c r="B344" s="509" t="n">
        <v>880</v>
      </c>
      <c r="C344" s="123" t="n"/>
      <c r="D344" s="510">
        <f>D343+C344-B344</f>
        <v/>
      </c>
      <c r="E344" s="535" t="n"/>
      <c r="F344" s="541" t="n"/>
      <c r="G344" s="537">
        <f>G343+F344-E344</f>
        <v/>
      </c>
      <c r="H344" s="65" t="inlineStr">
        <is>
          <t>承銷申購</t>
        </is>
      </c>
      <c r="I344" s="65" t="n"/>
      <c r="J344" t="inlineStr">
        <is>
          <t>投資</t>
        </is>
      </c>
      <c r="K344">
        <f>IF(J344="本金",C344+K343,K343)</f>
        <v/>
      </c>
      <c r="L344">
        <f>IF(J344="本金",F344+L343,L343)</f>
        <v/>
      </c>
    </row>
    <row r="345">
      <c r="A345" s="508" t="n">
        <v>44567</v>
      </c>
      <c r="B345" s="509" t="n">
        <v>79813</v>
      </c>
      <c r="C345" s="123" t="n"/>
      <c r="D345" s="510">
        <f>D344+C345-B345</f>
        <v/>
      </c>
      <c r="E345" s="535" t="n"/>
      <c r="F345" s="541" t="n"/>
      <c r="G345" s="537">
        <f>G344+F345-E345</f>
        <v/>
      </c>
      <c r="H345" s="65" t="inlineStr">
        <is>
          <t>金像電(2368)</t>
        </is>
      </c>
      <c r="I345" s="65" t="n"/>
      <c r="J345" t="inlineStr">
        <is>
          <t>投資</t>
        </is>
      </c>
      <c r="K345">
        <f>IF(J345="本金",C345+K344,K344)</f>
        <v/>
      </c>
      <c r="L345">
        <f>IF(J345="本金",F345+L344,L344)</f>
        <v/>
      </c>
    </row>
    <row r="346" outlineLevel="1">
      <c r="A346" s="518" t="n">
        <v>44571</v>
      </c>
      <c r="B346" s="519" t="n"/>
      <c r="C346" s="148" t="n">
        <v>439</v>
      </c>
      <c r="D346" s="520">
        <f>D345+C346-B346</f>
        <v/>
      </c>
      <c r="E346" s="542" t="n"/>
      <c r="F346" s="543" t="n"/>
      <c r="G346" s="544">
        <f>G345+F346-E346</f>
        <v/>
      </c>
      <c r="H346" s="152" t="inlineStr">
        <is>
          <t>折讓入帳</t>
        </is>
      </c>
      <c r="I346" s="160" t="n"/>
      <c r="J346" t="inlineStr">
        <is>
          <t>投資</t>
        </is>
      </c>
      <c r="K346">
        <f>IF(J346="本金",C346+K345,K345)</f>
        <v/>
      </c>
      <c r="L346">
        <f>IF(J346="本金",F346+L345,L345)</f>
        <v/>
      </c>
    </row>
    <row r="347" outlineLevel="1">
      <c r="A347" s="508" t="n">
        <v>44571</v>
      </c>
      <c r="B347" s="509" t="n"/>
      <c r="C347" s="123" t="n">
        <v>30615</v>
      </c>
      <c r="D347" s="510">
        <f>D346+C347-B347</f>
        <v/>
      </c>
      <c r="E347" s="535" t="n"/>
      <c r="F347" s="541" t="n"/>
      <c r="G347" s="537">
        <f>G346+F347-E347</f>
        <v/>
      </c>
      <c r="H347" s="65" t="inlineStr">
        <is>
          <t>華邦電(2344)</t>
        </is>
      </c>
      <c r="I347" s="65" t="n"/>
      <c r="J347" t="inlineStr">
        <is>
          <t>投資</t>
        </is>
      </c>
      <c r="K347">
        <f>IF(J347="本金",C347+K346,K346)</f>
        <v/>
      </c>
      <c r="L347">
        <f>IF(J347="本金",F347+L346,L346)</f>
        <v/>
      </c>
    </row>
    <row r="348" outlineLevel="1">
      <c r="A348" s="508" t="n">
        <v>44571</v>
      </c>
      <c r="B348" s="509" t="n"/>
      <c r="C348" s="123" t="n">
        <v>636173</v>
      </c>
      <c r="D348" s="510">
        <f>D347+C348-B348</f>
        <v/>
      </c>
      <c r="E348" s="535" t="n"/>
      <c r="F348" s="541" t="n"/>
      <c r="G348" s="537">
        <f>G347+F348-E348</f>
        <v/>
      </c>
      <c r="H348" s="65" t="inlineStr">
        <is>
          <t>台積電(2330)</t>
        </is>
      </c>
      <c r="I348" s="65" t="n"/>
      <c r="J348" t="inlineStr">
        <is>
          <t>投資</t>
        </is>
      </c>
      <c r="K348">
        <f>IF(J348="本金",C348+K347,K347)</f>
        <v/>
      </c>
      <c r="L348">
        <f>IF(J348="本金",F348+L347,L347)</f>
        <v/>
      </c>
    </row>
    <row r="349" outlineLevel="1">
      <c r="A349" s="508" t="n">
        <v>44571</v>
      </c>
      <c r="B349" s="509" t="n"/>
      <c r="C349" s="123" t="n">
        <v>513717</v>
      </c>
      <c r="D349" s="510">
        <f>D348+C349-B349</f>
        <v/>
      </c>
      <c r="E349" s="535" t="n"/>
      <c r="F349" s="541" t="n"/>
      <c r="G349" s="537">
        <f>G348+F349-E349</f>
        <v/>
      </c>
      <c r="H349" s="65" t="inlineStr">
        <is>
          <t>聯詠(3034)</t>
        </is>
      </c>
      <c r="I349" s="65" t="n"/>
      <c r="J349" t="inlineStr">
        <is>
          <t>投資</t>
        </is>
      </c>
      <c r="K349">
        <f>IF(J349="本金",C349+K348,K348)</f>
        <v/>
      </c>
      <c r="L349">
        <f>IF(J349="本金",F349+L348,L348)</f>
        <v/>
      </c>
    </row>
    <row r="350" outlineLevel="1">
      <c r="A350" s="508" t="n">
        <v>44567</v>
      </c>
      <c r="B350" s="509" t="n">
        <v>31645</v>
      </c>
      <c r="C350" s="123" t="n"/>
      <c r="D350" s="510">
        <f>D349+C350-B350</f>
        <v/>
      </c>
      <c r="E350" s="535" t="n"/>
      <c r="F350" s="541" t="n"/>
      <c r="G350" s="537">
        <f>G349+F350-E350</f>
        <v/>
      </c>
      <c r="H350" s="65" t="inlineStr">
        <is>
          <t>弘裕(1474)</t>
        </is>
      </c>
      <c r="I350" s="65" t="n"/>
      <c r="J350" t="inlineStr">
        <is>
          <t>投資</t>
        </is>
      </c>
      <c r="K350">
        <f>IF(J350="本金",C350+K349,K349)</f>
        <v/>
      </c>
      <c r="L350">
        <f>IF(J350="本金",F350+L349,L349)</f>
        <v/>
      </c>
    </row>
    <row r="351" outlineLevel="1">
      <c r="A351" s="508" t="n">
        <v>44571</v>
      </c>
      <c r="B351" s="509" t="n">
        <v>27989</v>
      </c>
      <c r="C351" s="123" t="n"/>
      <c r="D351" s="510">
        <f>D350+C351-B351</f>
        <v/>
      </c>
      <c r="E351" s="535" t="n"/>
      <c r="F351" s="541" t="n"/>
      <c r="G351" s="537">
        <f>G350+F351-E351</f>
        <v/>
      </c>
      <c r="H351" s="65" t="inlineStr">
        <is>
          <t>廷鑫(2358)</t>
        </is>
      </c>
      <c r="I351" s="65" t="n"/>
      <c r="J351" t="inlineStr">
        <is>
          <t>投資</t>
        </is>
      </c>
      <c r="K351">
        <f>IF(J351="本金",C351+K350,K350)</f>
        <v/>
      </c>
      <c r="L351">
        <f>IF(J351="本金",F351+L350,L350)</f>
        <v/>
      </c>
    </row>
    <row r="352" outlineLevel="1">
      <c r="A352" s="508" t="n">
        <v>44571</v>
      </c>
      <c r="B352" s="509" t="n">
        <v>27990</v>
      </c>
      <c r="C352" s="123" t="n"/>
      <c r="D352" s="510">
        <f>D351+C352-B352</f>
        <v/>
      </c>
      <c r="E352" s="535" t="n"/>
      <c r="F352" s="541" t="n"/>
      <c r="G352" s="537">
        <f>G351+F352-E352</f>
        <v/>
      </c>
      <c r="H352" s="65" t="inlineStr">
        <is>
          <t>廷鑫(2358)</t>
        </is>
      </c>
      <c r="I352" s="65" t="n"/>
      <c r="J352" t="inlineStr">
        <is>
          <t>投資</t>
        </is>
      </c>
      <c r="K352">
        <f>IF(J352="本金",C352+K351,K351)</f>
        <v/>
      </c>
      <c r="L352">
        <f>IF(J352="本金",F352+L351,L351)</f>
        <v/>
      </c>
    </row>
    <row r="353" outlineLevel="1">
      <c r="A353" s="508" t="n">
        <v>44571</v>
      </c>
      <c r="B353" s="509" t="n">
        <v>90929</v>
      </c>
      <c r="C353" s="123" t="n"/>
      <c r="D353" s="510">
        <f>D352+C353-B353</f>
        <v/>
      </c>
      <c r="E353" s="535" t="n"/>
      <c r="F353" s="541" t="n"/>
      <c r="G353" s="537">
        <f>G352+F353-E353</f>
        <v/>
      </c>
      <c r="H353" s="65" t="inlineStr">
        <is>
          <t>雙美(4728)</t>
        </is>
      </c>
      <c r="I353" s="65" t="n"/>
      <c r="J353" t="inlineStr">
        <is>
          <t>投資</t>
        </is>
      </c>
      <c r="K353">
        <f>IF(J353="本金",C353+K352,K352)</f>
        <v/>
      </c>
      <c r="L353">
        <f>IF(J353="本金",F353+L352,L352)</f>
        <v/>
      </c>
    </row>
    <row r="354" outlineLevel="1">
      <c r="A354" s="508" t="n">
        <v>44582</v>
      </c>
      <c r="B354" s="509" t="n"/>
      <c r="C354" s="123" t="n">
        <v>25040</v>
      </c>
      <c r="D354" s="510">
        <f>D353+C354-B354</f>
        <v/>
      </c>
      <c r="E354" s="535" t="n"/>
      <c r="F354" s="541" t="n"/>
      <c r="G354" s="537">
        <f>G353+F354-E354</f>
        <v/>
      </c>
      <c r="H354" s="65" t="inlineStr">
        <is>
          <t>廷鑫(2358)</t>
        </is>
      </c>
      <c r="I354" s="65" t="n"/>
      <c r="J354" t="inlineStr">
        <is>
          <t>投資</t>
        </is>
      </c>
      <c r="K354">
        <f>IF(J354="本金",C354+K353,K353)</f>
        <v/>
      </c>
      <c r="L354">
        <f>IF(J354="本金",F354+L353,L353)</f>
        <v/>
      </c>
    </row>
    <row r="355" outlineLevel="1">
      <c r="A355" s="508" t="n">
        <v>44585</v>
      </c>
      <c r="B355" s="509" t="n"/>
      <c r="C355" s="123" t="n">
        <v>24641</v>
      </c>
      <c r="D355" s="510">
        <f>D354+C355-B355</f>
        <v/>
      </c>
      <c r="E355" s="535" t="n"/>
      <c r="F355" s="541" t="n"/>
      <c r="G355" s="537">
        <f>G354+F355-E355</f>
        <v/>
      </c>
      <c r="H355" s="65" t="inlineStr">
        <is>
          <t>廷鑫(2358)</t>
        </is>
      </c>
      <c r="I355" s="65" t="n"/>
      <c r="J355" t="inlineStr">
        <is>
          <t>投資</t>
        </is>
      </c>
      <c r="K355">
        <f>IF(J355="本金",C355+K354,K354)</f>
        <v/>
      </c>
      <c r="L355">
        <f>IF(J355="本金",F355+L354,L354)</f>
        <v/>
      </c>
    </row>
    <row r="356" outlineLevel="1">
      <c r="A356" s="508" t="n">
        <v>44585</v>
      </c>
      <c r="B356" s="509" t="n"/>
      <c r="C356" s="123" t="n">
        <v>89902</v>
      </c>
      <c r="D356" s="510">
        <f>D355+C356-B356</f>
        <v/>
      </c>
      <c r="E356" s="535" t="n"/>
      <c r="F356" s="541" t="n"/>
      <c r="G356" s="537">
        <f>G355+F356-E356</f>
        <v/>
      </c>
      <c r="H356" s="65" t="inlineStr">
        <is>
          <t>雙美(4728)</t>
        </is>
      </c>
      <c r="I356" s="65" t="n"/>
      <c r="J356" t="inlineStr">
        <is>
          <t>投資</t>
        </is>
      </c>
      <c r="K356">
        <f>IF(J356="本金",C356+K355,K355)</f>
        <v/>
      </c>
      <c r="L356">
        <f>IF(J356="本金",F356+L355,L355)</f>
        <v/>
      </c>
    </row>
    <row r="357" outlineLevel="1">
      <c r="A357" s="508" t="n">
        <v>44585</v>
      </c>
      <c r="B357" s="509" t="n">
        <v>58883</v>
      </c>
      <c r="C357" s="123" t="n"/>
      <c r="D357" s="510">
        <f>D356+C357-B357</f>
        <v/>
      </c>
      <c r="E357" s="535" t="n"/>
      <c r="F357" s="541" t="n"/>
      <c r="G357" s="537">
        <f>G356+F357-E357</f>
        <v/>
      </c>
      <c r="H357" s="65" t="inlineStr">
        <is>
          <t>泰碩(3338)</t>
        </is>
      </c>
      <c r="I357" s="65" t="n"/>
      <c r="J357" t="inlineStr">
        <is>
          <t>投資</t>
        </is>
      </c>
      <c r="K357">
        <f>IF(J357="本金",C357+K356,K356)</f>
        <v/>
      </c>
      <c r="L357">
        <f>IF(J357="本金",F357+L356,L356)</f>
        <v/>
      </c>
    </row>
    <row r="358" outlineLevel="1">
      <c r="A358" s="508" t="n">
        <v>44585</v>
      </c>
      <c r="B358" s="509" t="n">
        <v>74305</v>
      </c>
      <c r="C358" s="123" t="n"/>
      <c r="D358" s="510">
        <f>D357+C358-B358</f>
        <v/>
      </c>
      <c r="E358" s="535" t="n"/>
      <c r="F358" s="541" t="n"/>
      <c r="G358" s="537">
        <f>G357+F358-E358</f>
        <v/>
      </c>
      <c r="H358" s="65" t="inlineStr">
        <is>
          <t>兆利(3548)</t>
        </is>
      </c>
      <c r="I358" s="65" t="n"/>
      <c r="J358" t="inlineStr">
        <is>
          <t>投資</t>
        </is>
      </c>
      <c r="K358">
        <f>IF(J358="本金",C358+K357,K357)</f>
        <v/>
      </c>
      <c r="L358">
        <f>IF(J358="本金",F358+L357,L357)</f>
        <v/>
      </c>
    </row>
    <row r="359" outlineLevel="1">
      <c r="A359" s="518" t="n">
        <v>44602</v>
      </c>
      <c r="B359" s="519" t="n"/>
      <c r="C359" s="148" t="n">
        <v>974</v>
      </c>
      <c r="D359" s="520">
        <f>D358+C359-B359</f>
        <v/>
      </c>
      <c r="E359" s="542" t="n"/>
      <c r="F359" s="543" t="n"/>
      <c r="G359" s="544">
        <f>G358+F359-E359</f>
        <v/>
      </c>
      <c r="H359" s="152" t="inlineStr">
        <is>
          <t>折讓入帳</t>
        </is>
      </c>
      <c r="I359" s="160" t="n"/>
      <c r="J359" t="inlineStr">
        <is>
          <t>投資</t>
        </is>
      </c>
      <c r="K359">
        <f>IF(J359="本金",C359+K358,K358)</f>
        <v/>
      </c>
      <c r="L359">
        <f>IF(J359="本金",F359+L358,L358)</f>
        <v/>
      </c>
    </row>
    <row r="360" outlineLevel="1">
      <c r="A360" s="508" t="n">
        <v>44602</v>
      </c>
      <c r="B360" s="509" t="n">
        <v>72002</v>
      </c>
      <c r="C360" s="123" t="n"/>
      <c r="D360" s="510">
        <f>D359+C360-B360</f>
        <v/>
      </c>
      <c r="E360" s="535" t="n"/>
      <c r="F360" s="541" t="n"/>
      <c r="G360" s="537">
        <f>G359+F360-E360</f>
        <v/>
      </c>
      <c r="H360" s="65" t="inlineStr">
        <is>
          <t>東和鋼鐵(2006)</t>
        </is>
      </c>
      <c r="I360" s="65" t="n"/>
      <c r="J360" t="inlineStr">
        <is>
          <t>投資</t>
        </is>
      </c>
      <c r="K360">
        <f>IF(J360="本金",C360+K359,K359)</f>
        <v/>
      </c>
      <c r="L360">
        <f>IF(J360="本金",F360+L359,L359)</f>
        <v/>
      </c>
    </row>
    <row r="361" outlineLevel="1">
      <c r="A361" s="508" t="n">
        <v>44603</v>
      </c>
      <c r="B361" s="509" t="n">
        <v>105149</v>
      </c>
      <c r="C361" s="123" t="n"/>
      <c r="D361" s="510">
        <f>D360+C361-B361</f>
        <v/>
      </c>
      <c r="E361" s="535" t="n"/>
      <c r="F361" s="541" t="n"/>
      <c r="G361" s="537">
        <f>G360+F361-E361</f>
        <v/>
      </c>
      <c r="H361" s="65" t="inlineStr">
        <is>
          <t>奇鋐(3017)</t>
        </is>
      </c>
      <c r="I361" s="65" t="n"/>
      <c r="J361" t="inlineStr">
        <is>
          <t>投資</t>
        </is>
      </c>
      <c r="K361">
        <f>IF(J361="本金",C361+K360,K360)</f>
        <v/>
      </c>
      <c r="L361">
        <f>IF(J361="本金",F361+L360,L360)</f>
        <v/>
      </c>
    </row>
    <row r="362" outlineLevel="1">
      <c r="A362" s="508" t="n">
        <v>44603</v>
      </c>
      <c r="B362" s="509" t="n">
        <v>118168</v>
      </c>
      <c r="C362" s="123" t="n"/>
      <c r="D362" s="510">
        <f>D361+C362-B362</f>
        <v/>
      </c>
      <c r="E362" s="535" t="n"/>
      <c r="F362" s="541" t="n"/>
      <c r="G362" s="537">
        <f>G361+F362-E362</f>
        <v/>
      </c>
      <c r="H362" s="65" t="inlineStr">
        <is>
          <t>宇隆(2233)</t>
        </is>
      </c>
      <c r="I362" s="65" t="n"/>
      <c r="J362" t="inlineStr">
        <is>
          <t>投資</t>
        </is>
      </c>
      <c r="K362">
        <f>IF(J362="本金",C362+K361,K361)</f>
        <v/>
      </c>
      <c r="L362">
        <f>IF(J362="本金",F362+L361,L361)</f>
        <v/>
      </c>
    </row>
    <row r="363" outlineLevel="1">
      <c r="A363" s="508" t="n">
        <v>44607</v>
      </c>
      <c r="B363" s="509" t="n">
        <v>503716</v>
      </c>
      <c r="C363" s="123" t="n"/>
      <c r="D363" s="510">
        <f>D362+C363-B363</f>
        <v/>
      </c>
      <c r="E363" s="535" t="n"/>
      <c r="F363" s="541" t="n"/>
      <c r="G363" s="537">
        <f>G362+F363-E363</f>
        <v/>
      </c>
      <c r="H363" s="65" t="inlineStr">
        <is>
          <t>群聯(8299)</t>
        </is>
      </c>
      <c r="I363" s="65" t="n"/>
      <c r="J363" t="inlineStr">
        <is>
          <t>投資</t>
        </is>
      </c>
      <c r="K363">
        <f>IF(J363="本金",C363+K362,K362)</f>
        <v/>
      </c>
      <c r="L363">
        <f>IF(J363="本金",F363+L362,L362)</f>
        <v/>
      </c>
    </row>
    <row r="364" outlineLevel="1">
      <c r="A364" s="508" t="n">
        <v>44621</v>
      </c>
      <c r="B364" s="509" t="n"/>
      <c r="C364" s="123" t="n">
        <v>54260</v>
      </c>
      <c r="D364" s="510">
        <f>D363+C364-B364</f>
        <v/>
      </c>
      <c r="E364" s="535" t="n"/>
      <c r="F364" s="541" t="n"/>
      <c r="G364" s="537">
        <f>G363+F364-E364</f>
        <v/>
      </c>
      <c r="H364" s="65" t="inlineStr">
        <is>
          <t>泰碩(3338)</t>
        </is>
      </c>
      <c r="I364" s="65" t="n"/>
      <c r="J364" t="inlineStr">
        <is>
          <t>投資</t>
        </is>
      </c>
      <c r="K364">
        <f>IF(J364="本金",C364+K363,K363)</f>
        <v/>
      </c>
      <c r="L364">
        <f>IF(J364="本金",F364+L363,L363)</f>
        <v/>
      </c>
    </row>
    <row r="365" outlineLevel="1">
      <c r="A365" s="508" t="n">
        <v>44624</v>
      </c>
      <c r="B365" s="509" t="n">
        <v>63290</v>
      </c>
      <c r="C365" s="123" t="n">
        <v>63016</v>
      </c>
      <c r="D365" s="510">
        <f>D364+C365-B365</f>
        <v/>
      </c>
      <c r="E365" s="535" t="n"/>
      <c r="F365" s="541" t="n"/>
      <c r="G365" s="537">
        <f>G364+F365-E365</f>
        <v/>
      </c>
      <c r="H365" s="65" t="inlineStr">
        <is>
          <t>台聚(1304)</t>
        </is>
      </c>
      <c r="I365" s="65" t="inlineStr">
        <is>
          <t>當沖</t>
        </is>
      </c>
      <c r="J365" t="inlineStr">
        <is>
          <t>投資</t>
        </is>
      </c>
      <c r="K365">
        <f>IF(J365="本金",C365+K364,K364)</f>
        <v/>
      </c>
      <c r="L365">
        <f>IF(J365="本金",F365+L364,L364)</f>
        <v/>
      </c>
    </row>
    <row r="366" outlineLevel="1">
      <c r="A366" s="508" t="n">
        <v>44624</v>
      </c>
      <c r="B366" s="509" t="n">
        <v>63790</v>
      </c>
      <c r="C366" s="123" t="n">
        <v>62318</v>
      </c>
      <c r="D366" s="510">
        <f>D365+C366-B366</f>
        <v/>
      </c>
      <c r="E366" s="535" t="n"/>
      <c r="F366" s="541" t="n"/>
      <c r="G366" s="537">
        <f>G365+F366-E366</f>
        <v/>
      </c>
      <c r="H366" s="65" t="inlineStr">
        <is>
          <t>長榮鋼(2211)</t>
        </is>
      </c>
      <c r="I366" s="65" t="inlineStr">
        <is>
          <t>當沖</t>
        </is>
      </c>
      <c r="J366" t="inlineStr">
        <is>
          <t>投資</t>
        </is>
      </c>
      <c r="K366">
        <f>IF(J366="本金",C366+K365,K365)</f>
        <v/>
      </c>
      <c r="L366">
        <f>IF(J366="本金",F366+L365,L365)</f>
        <v/>
      </c>
    </row>
    <row r="367" outlineLevel="1">
      <c r="A367" s="508" t="n">
        <v>44624</v>
      </c>
      <c r="B367" s="509" t="n">
        <v>68797</v>
      </c>
      <c r="C367" s="123" t="n">
        <v>67303</v>
      </c>
      <c r="D367" s="510">
        <f>D366+C367-B367</f>
        <v/>
      </c>
      <c r="E367" s="535" t="n"/>
      <c r="F367" s="541" t="n"/>
      <c r="G367" s="537">
        <f>G366+F367-E367</f>
        <v/>
      </c>
      <c r="H367" s="65" t="inlineStr">
        <is>
          <t>鑫科(3663)</t>
        </is>
      </c>
      <c r="I367" s="65" t="inlineStr">
        <is>
          <t>當沖</t>
        </is>
      </c>
      <c r="J367" t="inlineStr">
        <is>
          <t>投資</t>
        </is>
      </c>
      <c r="K367">
        <f>IF(J367="本金",C367+K366,K366)</f>
        <v/>
      </c>
      <c r="L367">
        <f>IF(J367="本金",F367+L366,L366)</f>
        <v/>
      </c>
    </row>
    <row r="368" outlineLevel="1">
      <c r="A368" s="508" t="n">
        <v>44624</v>
      </c>
      <c r="B368" s="509" t="n"/>
      <c r="C368" s="123" t="n"/>
      <c r="D368" s="510">
        <f>D367+C368-B368</f>
        <v/>
      </c>
      <c r="E368" s="535" t="n"/>
      <c r="F368" s="541" t="n"/>
      <c r="G368" s="537">
        <f>G367+F368-E368</f>
        <v/>
      </c>
      <c r="H368" s="65" t="inlineStr">
        <is>
          <t>奇鋐(3017)</t>
        </is>
      </c>
      <c r="I368" s="65" t="n"/>
      <c r="J368" t="inlineStr">
        <is>
          <t>投資</t>
        </is>
      </c>
      <c r="K368">
        <f>IF(J368="本金",C368+K367,K367)</f>
        <v/>
      </c>
      <c r="L368">
        <f>IF(J368="本金",F368+L367,L367)</f>
        <v/>
      </c>
    </row>
    <row r="369" outlineLevel="1">
      <c r="A369" s="508" t="n">
        <v>44624</v>
      </c>
      <c r="B369" s="509" t="n">
        <v>88525</v>
      </c>
      <c r="C369" s="123" t="n"/>
      <c r="D369" s="510">
        <f>D368+C369-B369</f>
        <v/>
      </c>
      <c r="E369" s="535" t="n"/>
      <c r="F369" s="541" t="n"/>
      <c r="G369" s="537">
        <f>G368+F369-E369</f>
        <v/>
      </c>
      <c r="H369" s="65" t="inlineStr">
        <is>
          <t>豐興(2015)</t>
        </is>
      </c>
      <c r="I369" s="65" t="n"/>
      <c r="J369" t="inlineStr">
        <is>
          <t>投資</t>
        </is>
      </c>
      <c r="K369">
        <f>IF(J369="本金",C369+K368,K368)</f>
        <v/>
      </c>
      <c r="L369">
        <f>IF(J369="本金",F369+L368,L368)</f>
        <v/>
      </c>
    </row>
    <row r="370" outlineLevel="1">
      <c r="A370" s="508" t="n">
        <v>44628</v>
      </c>
      <c r="B370" s="509" t="n"/>
      <c r="C370" s="123" t="n">
        <v>114492</v>
      </c>
      <c r="D370" s="510">
        <f>D369+C370-B370</f>
        <v/>
      </c>
      <c r="E370" s="535" t="n"/>
      <c r="F370" s="541" t="n"/>
      <c r="G370" s="537">
        <f>G369+F370-E370</f>
        <v/>
      </c>
      <c r="H370" s="65" t="inlineStr">
        <is>
          <t>奇鋐(3017)</t>
        </is>
      </c>
      <c r="I370" s="65" t="n"/>
      <c r="J370" t="inlineStr">
        <is>
          <t>投資</t>
        </is>
      </c>
      <c r="K370">
        <f>IF(J370="本金",C370+K369,K369)</f>
        <v/>
      </c>
      <c r="L370">
        <f>IF(J370="本金",F370+L369,L369)</f>
        <v/>
      </c>
    </row>
    <row r="371" outlineLevel="1">
      <c r="A371" s="518" t="n">
        <v>44630</v>
      </c>
      <c r="B371" s="519" t="n"/>
      <c r="C371" s="148" t="n">
        <v>482</v>
      </c>
      <c r="D371" s="520">
        <f>D370+C371-B371</f>
        <v/>
      </c>
      <c r="E371" s="542" t="n"/>
      <c r="F371" s="543" t="n"/>
      <c r="G371" s="544">
        <f>G370+F371-E371</f>
        <v/>
      </c>
      <c r="H371" s="152" t="inlineStr">
        <is>
          <t>折讓入帳</t>
        </is>
      </c>
      <c r="I371" s="160" t="n"/>
      <c r="J371" t="inlineStr">
        <is>
          <t>投資</t>
        </is>
      </c>
      <c r="K371">
        <f>IF(J371="本金",C371+K370,K370)</f>
        <v/>
      </c>
      <c r="L371">
        <f>IF(J371="本金",F371+L370,L370)</f>
        <v/>
      </c>
    </row>
    <row r="372" outlineLevel="1">
      <c r="A372" s="522" t="n">
        <v>44642</v>
      </c>
      <c r="B372" s="523" t="n">
        <v>0</v>
      </c>
      <c r="C372" s="196" t="n">
        <v>2558</v>
      </c>
      <c r="D372" s="524">
        <f>D371+C372-B372</f>
        <v/>
      </c>
      <c r="E372" s="545" t="n"/>
      <c r="F372" s="546" t="n"/>
      <c r="G372" s="547">
        <f>G371+F372-E372</f>
        <v/>
      </c>
      <c r="H372" s="200" t="inlineStr">
        <is>
          <t>力積電現金股</t>
        </is>
      </c>
      <c r="I372" s="200" t="inlineStr">
        <is>
          <t>現金股利</t>
        </is>
      </c>
      <c r="J372" t="inlineStr">
        <is>
          <t>投資</t>
        </is>
      </c>
      <c r="K372">
        <f>IF(J372="本金",C372+K371,K371)</f>
        <v/>
      </c>
      <c r="L372">
        <f>IF(J372="本金",F372+L371,L371)</f>
        <v/>
      </c>
    </row>
    <row r="373" outlineLevel="1">
      <c r="A373" s="508" t="n">
        <v>44648</v>
      </c>
      <c r="B373" s="509" t="n"/>
      <c r="C373" s="123" t="n">
        <v>30067</v>
      </c>
      <c r="D373" s="510">
        <f>D372+C373-B373</f>
        <v/>
      </c>
      <c r="E373" s="535" t="n"/>
      <c r="F373" s="541" t="n"/>
      <c r="G373" s="537">
        <f>G372+F373-E373</f>
        <v/>
      </c>
      <c r="H373" s="65" t="inlineStr">
        <is>
          <t>弘裕(1474)</t>
        </is>
      </c>
      <c r="I373" s="65" t="n"/>
      <c r="J373" t="inlineStr">
        <is>
          <t>投資</t>
        </is>
      </c>
      <c r="K373">
        <f>IF(J373="本金",C373+K372,K372)</f>
        <v/>
      </c>
      <c r="L373">
        <f>IF(J373="本金",F373+L372,L372)</f>
        <v/>
      </c>
    </row>
    <row r="374" outlineLevel="1">
      <c r="A374" s="508" t="n">
        <v>44624</v>
      </c>
      <c r="B374" s="509" t="n"/>
      <c r="C374" s="123" t="n">
        <v>80443</v>
      </c>
      <c r="D374" s="510">
        <f>D373+C374-B374</f>
        <v/>
      </c>
      <c r="E374" s="535" t="n"/>
      <c r="F374" s="541" t="n"/>
      <c r="G374" s="537">
        <f>G373+F374-E374</f>
        <v/>
      </c>
      <c r="H374" s="65" t="inlineStr">
        <is>
          <t>東和鋼鐵(2006)</t>
        </is>
      </c>
      <c r="I374" s="65" t="n"/>
      <c r="J374" t="inlineStr">
        <is>
          <t>投資</t>
        </is>
      </c>
      <c r="K374">
        <f>IF(J374="本金",C374+K373,K373)</f>
        <v/>
      </c>
      <c r="L374">
        <f>IF(J374="本金",F374+L373,L373)</f>
        <v/>
      </c>
    </row>
    <row r="375">
      <c r="A375" s="522" t="n">
        <v>44648</v>
      </c>
      <c r="B375" s="523" t="n">
        <v>0</v>
      </c>
      <c r="C375" s="196" t="n">
        <v>4039</v>
      </c>
      <c r="D375" s="524">
        <f>D374+C375-B375</f>
        <v/>
      </c>
      <c r="E375" s="545" t="n"/>
      <c r="F375" s="546" t="n"/>
      <c r="G375" s="547">
        <f>G374+F375-E375</f>
        <v/>
      </c>
      <c r="H375" s="200" t="inlineStr">
        <is>
          <t>燦星網通減資</t>
        </is>
      </c>
      <c r="I375" s="200" t="inlineStr">
        <is>
          <t>減資</t>
        </is>
      </c>
      <c r="J375" t="inlineStr">
        <is>
          <t>投資</t>
        </is>
      </c>
      <c r="K375">
        <f>IF(J375="本金",C375+K374,K374)</f>
        <v/>
      </c>
      <c r="L375">
        <f>IF(J375="本金",F375+L374,L374)</f>
        <v/>
      </c>
    </row>
    <row r="376" outlineLevel="1">
      <c r="A376" s="508" t="n">
        <v>44652</v>
      </c>
      <c r="B376" s="509" t="n">
        <v>104148</v>
      </c>
      <c r="C376" s="123" t="n"/>
      <c r="D376" s="510">
        <f>D375+C376-B376</f>
        <v/>
      </c>
      <c r="E376" s="535" t="n"/>
      <c r="F376" s="541" t="n"/>
      <c r="G376" s="537">
        <f>G375+F376-E376</f>
        <v/>
      </c>
      <c r="H376" s="65" t="inlineStr">
        <is>
          <t>瑞儀(6176)</t>
        </is>
      </c>
      <c r="I376" s="65" t="n"/>
      <c r="J376" t="inlineStr">
        <is>
          <t>投資</t>
        </is>
      </c>
      <c r="K376">
        <f>IF(J376="本金",C376+K375,K375)</f>
        <v/>
      </c>
      <c r="L376">
        <f>IF(J376="本金",F376+L375,L375)</f>
        <v/>
      </c>
    </row>
    <row r="377" outlineLevel="1">
      <c r="A377" s="508" t="n">
        <v>44652</v>
      </c>
      <c r="B377" s="509" t="n">
        <v>54577</v>
      </c>
      <c r="C377" s="123" t="n"/>
      <c r="D377" s="510">
        <f>D376+C377-B377</f>
        <v/>
      </c>
      <c r="E377" s="535" t="n"/>
      <c r="F377" s="541" t="n"/>
      <c r="G377" s="537">
        <f>G376+F377-E377</f>
        <v/>
      </c>
      <c r="H377" s="65" t="inlineStr">
        <is>
          <t>上奇(6123)</t>
        </is>
      </c>
      <c r="I377" s="65" t="n"/>
      <c r="J377" t="inlineStr">
        <is>
          <t>投資</t>
        </is>
      </c>
      <c r="K377">
        <f>IF(J377="本金",C377+K376,K376)</f>
        <v/>
      </c>
      <c r="L377">
        <f>IF(J377="本金",F377+L376,L376)</f>
        <v/>
      </c>
    </row>
    <row r="378" outlineLevel="1">
      <c r="A378" s="508" t="n">
        <v>44657</v>
      </c>
      <c r="B378" s="509" t="n">
        <v>17074</v>
      </c>
      <c r="C378" s="123" t="n"/>
      <c r="D378" s="510">
        <f>D377+C378-B378</f>
        <v/>
      </c>
      <c r="E378" s="535" t="n"/>
      <c r="F378" s="541" t="n"/>
      <c r="G378" s="537">
        <f>G377+F378-E378</f>
        <v/>
      </c>
      <c r="H378" s="65" t="inlineStr">
        <is>
          <t>金寶(2312)</t>
        </is>
      </c>
      <c r="I378" s="65" t="n"/>
      <c r="J378" t="inlineStr">
        <is>
          <t>投資</t>
        </is>
      </c>
      <c r="K378">
        <f>IF(J378="本金",C378+K377,K377)</f>
        <v/>
      </c>
      <c r="L378">
        <f>IF(J378="本金",F378+L377,L377)</f>
        <v/>
      </c>
    </row>
    <row r="379" outlineLevel="1">
      <c r="A379" s="508" t="n">
        <v>44657</v>
      </c>
      <c r="B379" s="509" t="n">
        <v>17074</v>
      </c>
      <c r="C379" s="123" t="n"/>
      <c r="D379" s="510">
        <f>D378+C379-B379</f>
        <v/>
      </c>
      <c r="E379" s="535" t="n"/>
      <c r="F379" s="541" t="n"/>
      <c r="G379" s="537">
        <f>G378+F379-E379</f>
        <v/>
      </c>
      <c r="H379" s="65" t="inlineStr">
        <is>
          <t>金寶(2312)</t>
        </is>
      </c>
      <c r="I379" s="65" t="n"/>
      <c r="J379" t="inlineStr">
        <is>
          <t>投資</t>
        </is>
      </c>
      <c r="K379">
        <f>IF(J379="本金",C379+K378,K378)</f>
        <v/>
      </c>
      <c r="L379">
        <f>IF(J379="本金",F379+L378,L378)</f>
        <v/>
      </c>
    </row>
    <row r="380" outlineLevel="1">
      <c r="A380" s="518" t="n">
        <v>44659</v>
      </c>
      <c r="B380" s="519" t="n"/>
      <c r="C380" s="148" t="n">
        <v>505</v>
      </c>
      <c r="D380" s="520">
        <f>D379+C380-B380</f>
        <v/>
      </c>
      <c r="E380" s="542" t="n"/>
      <c r="F380" s="543" t="n"/>
      <c r="G380" s="544">
        <f>G379+F380-E380</f>
        <v/>
      </c>
      <c r="H380" s="152" t="inlineStr">
        <is>
          <t>折讓入帳</t>
        </is>
      </c>
      <c r="I380" s="160" t="n"/>
      <c r="J380" t="inlineStr">
        <is>
          <t>投資</t>
        </is>
      </c>
      <c r="K380">
        <f>IF(J380="本金",C380+K379,K379)</f>
        <v/>
      </c>
      <c r="L380">
        <f>IF(J380="本金",F380+L379,L379)</f>
        <v/>
      </c>
    </row>
    <row r="381" outlineLevel="1">
      <c r="A381" s="508" t="n">
        <v>44662</v>
      </c>
      <c r="B381" s="509" t="n"/>
      <c r="C381" s="123" t="n">
        <v>15283</v>
      </c>
      <c r="D381" s="510">
        <f>D380+C381-B381</f>
        <v/>
      </c>
      <c r="E381" s="535" t="n"/>
      <c r="F381" s="541" t="n"/>
      <c r="G381" s="537">
        <f>G380+F381-E381</f>
        <v/>
      </c>
      <c r="H381" s="65" t="inlineStr">
        <is>
          <t>金寶(2312)</t>
        </is>
      </c>
      <c r="I381" s="65" t="n"/>
      <c r="J381" t="inlineStr">
        <is>
          <t>投資</t>
        </is>
      </c>
      <c r="K381">
        <f>IF(J381="本金",C381+K380,K380)</f>
        <v/>
      </c>
      <c r="L381">
        <f>IF(J381="本金",F381+L380,L380)</f>
        <v/>
      </c>
    </row>
    <row r="382" outlineLevel="1">
      <c r="A382" s="508" t="n">
        <v>44662</v>
      </c>
      <c r="B382" s="509" t="n">
        <v>29392</v>
      </c>
      <c r="C382" s="123" t="n"/>
      <c r="D382" s="510">
        <f>D381+C382-B382</f>
        <v/>
      </c>
      <c r="E382" s="535" t="n"/>
      <c r="F382" s="541" t="n"/>
      <c r="G382" s="537">
        <f>G381+F382-E382</f>
        <v/>
      </c>
      <c r="H382" s="65" t="inlineStr">
        <is>
          <t>凱鈺(5468)</t>
        </is>
      </c>
      <c r="I382" s="65" t="n"/>
      <c r="J382" t="inlineStr">
        <is>
          <t>投資</t>
        </is>
      </c>
      <c r="K382">
        <f>IF(J382="本金",C382+K381,K381)</f>
        <v/>
      </c>
      <c r="L382">
        <f>IF(J382="本金",F382+L381,L381)</f>
        <v/>
      </c>
    </row>
    <row r="383" outlineLevel="1">
      <c r="A383" s="508" t="n">
        <v>44662</v>
      </c>
      <c r="B383" s="509" t="n">
        <v>29391</v>
      </c>
      <c r="C383" s="123" t="n"/>
      <c r="D383" s="510">
        <f>D382+C383-B383</f>
        <v/>
      </c>
      <c r="E383" s="535" t="n"/>
      <c r="F383" s="541" t="n"/>
      <c r="G383" s="537">
        <f>G382+F383-E383</f>
        <v/>
      </c>
      <c r="H383" s="65" t="inlineStr">
        <is>
          <t>凱鈺(5468)</t>
        </is>
      </c>
      <c r="I383" s="65" t="n"/>
      <c r="J383" t="inlineStr">
        <is>
          <t>投資</t>
        </is>
      </c>
      <c r="K383">
        <f>IF(J383="本金",C383+K382,K382)</f>
        <v/>
      </c>
      <c r="L383">
        <f>IF(J383="本金",F383+L382,L382)</f>
        <v/>
      </c>
    </row>
    <row r="384" outlineLevel="1">
      <c r="A384" s="508" t="n">
        <v>44662</v>
      </c>
      <c r="B384" s="509" t="n">
        <v>29792</v>
      </c>
      <c r="C384" s="123" t="n"/>
      <c r="D384" s="510">
        <f>D383+C384-B384</f>
        <v/>
      </c>
      <c r="E384" s="535" t="n"/>
      <c r="F384" s="541" t="n"/>
      <c r="G384" s="537">
        <f>G383+F384-E384</f>
        <v/>
      </c>
      <c r="H384" s="65" t="inlineStr">
        <is>
          <t>第一金(2892)</t>
        </is>
      </c>
      <c r="I384" s="65" t="n"/>
      <c r="J384" t="inlineStr">
        <is>
          <t>投資</t>
        </is>
      </c>
      <c r="K384">
        <f>IF(J384="本金",C384+K383,K383)</f>
        <v/>
      </c>
      <c r="L384">
        <f>IF(J384="本金",F384+L383,L383)</f>
        <v/>
      </c>
    </row>
    <row r="385" outlineLevel="1">
      <c r="A385" s="508" t="n">
        <v>44662</v>
      </c>
      <c r="B385" s="509" t="n">
        <v>30843</v>
      </c>
      <c r="C385" s="123" t="n"/>
      <c r="D385" s="510">
        <f>D384+C385-B385</f>
        <v/>
      </c>
      <c r="E385" s="535" t="n"/>
      <c r="F385" s="541" t="n"/>
      <c r="G385" s="537">
        <f>G384+F385-E385</f>
        <v/>
      </c>
      <c r="H385" s="65" t="inlineStr">
        <is>
          <t>合庫金(5880)</t>
        </is>
      </c>
      <c r="I385" s="65" t="n"/>
      <c r="J385" t="inlineStr">
        <is>
          <t>投資</t>
        </is>
      </c>
      <c r="K385">
        <f>IF(J385="本金",C385+K384,K384)</f>
        <v/>
      </c>
      <c r="L385">
        <f>IF(J385="本金",F385+L384,L384)</f>
        <v/>
      </c>
    </row>
    <row r="386" outlineLevel="1">
      <c r="A386" s="508" t="n">
        <v>44664</v>
      </c>
      <c r="B386" s="509" t="n"/>
      <c r="C386" s="123" t="n">
        <v>14537</v>
      </c>
      <c r="D386" s="510">
        <f>D385+C386-B386</f>
        <v/>
      </c>
      <c r="E386" s="535" t="n"/>
      <c r="F386" s="541" t="n"/>
      <c r="G386" s="537">
        <f>G385+F386-E386</f>
        <v/>
      </c>
      <c r="H386" s="65" t="inlineStr">
        <is>
          <t>金寶(2312)</t>
        </is>
      </c>
      <c r="I386" s="65" t="n"/>
      <c r="J386" t="inlineStr">
        <is>
          <t>投資</t>
        </is>
      </c>
      <c r="K386">
        <f>IF(J386="本金",C386+K385,K385)</f>
        <v/>
      </c>
      <c r="L386">
        <f>IF(J386="本金",F386+L385,L385)</f>
        <v/>
      </c>
    </row>
    <row r="387" outlineLevel="1">
      <c r="A387" s="508" t="n">
        <v>44665</v>
      </c>
      <c r="B387" s="509" t="n">
        <v>23934</v>
      </c>
      <c r="C387" s="123" t="n"/>
      <c r="D387" s="510">
        <f>D386+C387-B387</f>
        <v/>
      </c>
      <c r="E387" s="535" t="n"/>
      <c r="F387" s="541" t="n"/>
      <c r="G387" s="537">
        <f>G386+F387-E387</f>
        <v/>
      </c>
      <c r="H387" s="65" t="inlineStr">
        <is>
          <t>大展證(6020)</t>
        </is>
      </c>
      <c r="I387" s="65" t="n"/>
      <c r="J387" t="inlineStr">
        <is>
          <t>投資</t>
        </is>
      </c>
      <c r="K387">
        <f>IF(J387="本金",C387+K386,K386)</f>
        <v/>
      </c>
      <c r="L387">
        <f>IF(J387="本金",F387+L386,L386)</f>
        <v/>
      </c>
    </row>
    <row r="388" outlineLevel="1">
      <c r="A388" s="508" t="n">
        <v>44666</v>
      </c>
      <c r="B388" s="509" t="n"/>
      <c r="C388" s="123" t="n">
        <v>24044</v>
      </c>
      <c r="D388" s="510">
        <f>D387+C388-B388</f>
        <v/>
      </c>
      <c r="E388" s="535" t="n"/>
      <c r="F388" s="541" t="n"/>
      <c r="G388" s="537">
        <f>G387+F388-E388</f>
        <v/>
      </c>
      <c r="H388" s="65" t="inlineStr">
        <is>
          <t>大展證(6020)</t>
        </is>
      </c>
      <c r="I388" s="65" t="n"/>
      <c r="J388" t="inlineStr">
        <is>
          <t>投資</t>
        </is>
      </c>
      <c r="K388">
        <f>IF(J388="本金",C388+K387,K387)</f>
        <v/>
      </c>
      <c r="L388">
        <f>IF(J388="本金",F388+L387,L387)</f>
        <v/>
      </c>
    </row>
    <row r="389" outlineLevel="1">
      <c r="A389" s="508" t="n">
        <v>44669</v>
      </c>
      <c r="B389" s="509" t="n">
        <v>21180</v>
      </c>
      <c r="C389" s="123" t="n"/>
      <c r="D389" s="510">
        <f>D388+C389-B389</f>
        <v/>
      </c>
      <c r="E389" s="535" t="n"/>
      <c r="F389" s="541" t="n"/>
      <c r="G389" s="537">
        <f>G388+F389-E389</f>
        <v/>
      </c>
      <c r="H389" s="65" t="inlineStr">
        <is>
          <t>大展證(6020)</t>
        </is>
      </c>
      <c r="I389" s="65" t="n"/>
      <c r="J389" t="inlineStr">
        <is>
          <t>投資</t>
        </is>
      </c>
      <c r="K389">
        <f>IF(J389="本金",C389+K388,K388)</f>
        <v/>
      </c>
      <c r="L389">
        <f>IF(J389="本金",F389+L388,L388)</f>
        <v/>
      </c>
    </row>
    <row r="390" outlineLevel="1">
      <c r="A390" s="522" t="n">
        <v>44671</v>
      </c>
      <c r="B390" s="523" t="n">
        <v>0</v>
      </c>
      <c r="C390" s="196" t="n">
        <v>2846</v>
      </c>
      <c r="D390" s="524">
        <f>D389+C390-B390</f>
        <v/>
      </c>
      <c r="E390" s="545" t="n"/>
      <c r="F390" s="546" t="n"/>
      <c r="G390" s="547">
        <f>G389+F390-E390</f>
        <v/>
      </c>
      <c r="H390" s="200" t="inlineStr">
        <is>
          <t>燦星現金股</t>
        </is>
      </c>
      <c r="I390" s="200" t="inlineStr">
        <is>
          <t>現金股利</t>
        </is>
      </c>
      <c r="J390" t="inlineStr">
        <is>
          <t>投資</t>
        </is>
      </c>
      <c r="K390">
        <f>IF(J390="本金",C390+K389,K389)</f>
        <v/>
      </c>
      <c r="L390">
        <f>IF(J390="本金",F390+L389,L389)</f>
        <v/>
      </c>
    </row>
    <row r="391" outlineLevel="1">
      <c r="A391" s="522" t="n">
        <v>44687</v>
      </c>
      <c r="B391" s="523" t="n">
        <v>0</v>
      </c>
      <c r="C391" s="196" t="n">
        <v>4990</v>
      </c>
      <c r="D391" s="524">
        <f>D390+C391-B391</f>
        <v/>
      </c>
      <c r="E391" s="545" t="n"/>
      <c r="F391" s="546" t="n"/>
      <c r="G391" s="547">
        <f>G390+F391-E391</f>
        <v/>
      </c>
      <c r="H391" s="200" t="inlineStr">
        <is>
          <t>豐興鋼鐵現金股</t>
        </is>
      </c>
      <c r="I391" s="200" t="inlineStr">
        <is>
          <t>現金股利</t>
        </is>
      </c>
      <c r="J391" t="inlineStr">
        <is>
          <t>投資</t>
        </is>
      </c>
      <c r="K391">
        <f>IF(J391="本金",C391+K390,K390)</f>
        <v/>
      </c>
      <c r="L391">
        <f>IF(J391="本金",F391+L390,L390)</f>
        <v/>
      </c>
    </row>
    <row r="392" outlineLevel="1">
      <c r="A392" s="518" t="n">
        <v>44691</v>
      </c>
      <c r="B392" s="519" t="n"/>
      <c r="C392" s="148" t="n">
        <v>120</v>
      </c>
      <c r="D392" s="520">
        <f>D391+C392-B392</f>
        <v/>
      </c>
      <c r="E392" s="542" t="n"/>
      <c r="F392" s="543" t="n"/>
      <c r="G392" s="544">
        <f>G391+F392-E392</f>
        <v/>
      </c>
      <c r="H392" s="152" t="inlineStr">
        <is>
          <t>折讓入帳</t>
        </is>
      </c>
      <c r="I392" s="160" t="n"/>
      <c r="J392" t="inlineStr">
        <is>
          <t>投資</t>
        </is>
      </c>
      <c r="K392">
        <f>IF(J392="本金",C392+K391,K391)</f>
        <v/>
      </c>
      <c r="L392">
        <f>IF(J392="本金",F392+L391,L391)</f>
        <v/>
      </c>
    </row>
    <row r="393" outlineLevel="1">
      <c r="A393" s="508" t="n">
        <v>44720</v>
      </c>
      <c r="B393" s="509" t="n"/>
      <c r="C393" s="123" t="n">
        <v>38331</v>
      </c>
      <c r="D393" s="510">
        <f>D392+C393-B393</f>
        <v/>
      </c>
      <c r="E393" s="535" t="n"/>
      <c r="F393" s="541" t="n"/>
      <c r="G393" s="537">
        <f>G392+F393-E393</f>
        <v/>
      </c>
      <c r="H393" s="65" t="inlineStr">
        <is>
          <t>凱鈺(5468)</t>
        </is>
      </c>
      <c r="I393" s="65" t="n"/>
      <c r="J393" t="inlineStr">
        <is>
          <t>投資</t>
        </is>
      </c>
      <c r="K393">
        <f>IF(J393="本金",C393+K392,K392)</f>
        <v/>
      </c>
      <c r="L393">
        <f>IF(J393="本金",F393+L392,L392)</f>
        <v/>
      </c>
    </row>
    <row r="394" outlineLevel="1">
      <c r="A394" s="508" t="n">
        <v>44720</v>
      </c>
      <c r="B394" s="509" t="n"/>
      <c r="C394" s="123" t="n">
        <v>105034</v>
      </c>
      <c r="D394" s="510">
        <f>D393+C394-B394</f>
        <v/>
      </c>
      <c r="E394" s="535" t="n"/>
      <c r="F394" s="541" t="n"/>
      <c r="G394" s="537">
        <f>G393+F394-E394</f>
        <v/>
      </c>
      <c r="H394" s="65" t="inlineStr">
        <is>
          <t>瑞儀(6176)</t>
        </is>
      </c>
      <c r="I394" s="65" t="n"/>
      <c r="J394" t="inlineStr">
        <is>
          <t>投資</t>
        </is>
      </c>
      <c r="K394">
        <f>IF(J394="本金",C394+K393,K393)</f>
        <v/>
      </c>
      <c r="L394">
        <f>IF(J394="本金",F394+L393,L393)</f>
        <v/>
      </c>
    </row>
    <row r="395" outlineLevel="1">
      <c r="A395" s="508" t="n">
        <v>44722</v>
      </c>
      <c r="B395" s="509" t="n"/>
      <c r="C395" s="123" t="n">
        <v>34995</v>
      </c>
      <c r="D395" s="510">
        <f>D394+C395-B395</f>
        <v/>
      </c>
      <c r="E395" s="535" t="n"/>
      <c r="F395" s="541" t="n"/>
      <c r="G395" s="537">
        <f>G394+F395-E395</f>
        <v/>
      </c>
      <c r="H395" s="65" t="inlineStr">
        <is>
          <t>凱鈺(5468)</t>
        </is>
      </c>
      <c r="I395" s="65" t="n"/>
      <c r="J395" t="inlineStr">
        <is>
          <t>投資</t>
        </is>
      </c>
      <c r="K395">
        <f>IF(J395="本金",C395+K394,K394)</f>
        <v/>
      </c>
      <c r="L395">
        <f>IF(J395="本金",F395+L394,L394)</f>
        <v/>
      </c>
    </row>
    <row r="396" outlineLevel="1">
      <c r="A396" s="508" t="n">
        <v>44726</v>
      </c>
      <c r="B396" s="509" t="n"/>
      <c r="C396" s="123" t="n">
        <v>66904</v>
      </c>
      <c r="D396" s="510">
        <f>D395+C396-B396</f>
        <v/>
      </c>
      <c r="E396" s="535" t="n"/>
      <c r="F396" s="541" t="n"/>
      <c r="G396" s="537">
        <f>G395+F396-E396</f>
        <v/>
      </c>
      <c r="H396" s="65" t="inlineStr">
        <is>
          <t>兆利(3548)</t>
        </is>
      </c>
      <c r="I396" s="65" t="n"/>
      <c r="J396" t="inlineStr">
        <is>
          <t>投資</t>
        </is>
      </c>
      <c r="K396">
        <f>IF(J396="本金",C396+K395,K395)</f>
        <v/>
      </c>
      <c r="L396">
        <f>IF(J396="本金",F396+L395,L395)</f>
        <v/>
      </c>
    </row>
    <row r="397" outlineLevel="1">
      <c r="A397" s="508" t="n">
        <v>44726</v>
      </c>
      <c r="B397" s="509" t="n"/>
      <c r="C397" s="123" t="n">
        <v>91495</v>
      </c>
      <c r="D397" s="510">
        <f>D396+C397-B397</f>
        <v/>
      </c>
      <c r="E397" s="535" t="n"/>
      <c r="F397" s="541" t="n"/>
      <c r="G397" s="537">
        <f>G396+F397-E397</f>
        <v/>
      </c>
      <c r="H397" s="65" t="inlineStr">
        <is>
          <t>金像電(2368)</t>
        </is>
      </c>
      <c r="I397" s="65" t="n"/>
      <c r="J397" t="inlineStr">
        <is>
          <t>投資</t>
        </is>
      </c>
      <c r="K397">
        <f>IF(J397="本金",C397+K396,K396)</f>
        <v/>
      </c>
      <c r="L397">
        <f>IF(J397="本金",F397+L396,L396)</f>
        <v/>
      </c>
    </row>
    <row r="398" outlineLevel="1">
      <c r="A398" s="513" t="n">
        <v>44733</v>
      </c>
      <c r="B398" s="514" t="n"/>
      <c r="C398" s="154" t="n">
        <v>348</v>
      </c>
      <c r="D398" s="515">
        <f>D397+C398-B398</f>
        <v/>
      </c>
      <c r="E398" s="538" t="n"/>
      <c r="F398" s="539" t="n"/>
      <c r="G398" s="540">
        <f>G397+F398-E398</f>
        <v/>
      </c>
      <c r="H398" s="158" t="inlineStr">
        <is>
          <t>利息</t>
        </is>
      </c>
      <c r="I398" s="159" t="n"/>
      <c r="J398" t="inlineStr">
        <is>
          <t>投資</t>
        </is>
      </c>
      <c r="K398">
        <f>IF(J398="本金",C398+K397,K397)</f>
        <v/>
      </c>
      <c r="L398">
        <f>IF(J398="本金",F398+L397,L397)</f>
        <v/>
      </c>
    </row>
    <row r="399" outlineLevel="1">
      <c r="A399" s="518" t="n">
        <v>44750</v>
      </c>
      <c r="B399" s="519" t="n"/>
      <c r="C399" s="148" t="n">
        <v>191</v>
      </c>
      <c r="D399" s="520">
        <f>D398+C399-B399</f>
        <v/>
      </c>
      <c r="E399" s="542" t="n"/>
      <c r="F399" s="543" t="n"/>
      <c r="G399" s="544">
        <f>G398+F399-E399</f>
        <v/>
      </c>
      <c r="H399" s="152" t="inlineStr">
        <is>
          <t>折讓入帳</t>
        </is>
      </c>
      <c r="I399" s="160" t="n"/>
      <c r="J399" t="inlineStr">
        <is>
          <t>投資</t>
        </is>
      </c>
      <c r="K399">
        <f>IF(J399="本金",C399+K398,K398)</f>
        <v/>
      </c>
      <c r="L399">
        <f>IF(J399="本金",F399+L398,L398)</f>
        <v/>
      </c>
    </row>
    <row r="400" outlineLevel="1">
      <c r="A400" s="522" t="n">
        <v>44750</v>
      </c>
      <c r="B400" s="523" t="n">
        <v>0</v>
      </c>
      <c r="C400" s="196" t="n">
        <v>3290</v>
      </c>
      <c r="D400" s="524">
        <f>D399+C400-B400</f>
        <v/>
      </c>
      <c r="E400" s="545" t="n"/>
      <c r="F400" s="546" t="n"/>
      <c r="G400" s="547">
        <f>G399+F400-E400</f>
        <v/>
      </c>
      <c r="H400" s="200" t="inlineStr">
        <is>
          <t>上奇科技現金股</t>
        </is>
      </c>
      <c r="I400" s="200" t="inlineStr">
        <is>
          <t>現金股利</t>
        </is>
      </c>
      <c r="J400" t="inlineStr">
        <is>
          <t>投資</t>
        </is>
      </c>
      <c r="K400">
        <f>IF(J400="本金",C400+K399,K399)</f>
        <v/>
      </c>
      <c r="L400">
        <f>IF(J400="本金",F400+L399,L399)</f>
        <v/>
      </c>
    </row>
    <row r="401" outlineLevel="1">
      <c r="A401" s="508" t="n">
        <v>44652</v>
      </c>
      <c r="B401" s="509" t="n"/>
      <c r="C401" s="123" t="n">
        <v>50476</v>
      </c>
      <c r="D401" s="510">
        <f>D400+C401-B401</f>
        <v/>
      </c>
      <c r="E401" s="535" t="n"/>
      <c r="F401" s="541" t="n"/>
      <c r="G401" s="537">
        <f>G400+F401-E401</f>
        <v/>
      </c>
      <c r="H401" s="65" t="inlineStr">
        <is>
          <t>上奇(6123)</t>
        </is>
      </c>
      <c r="I401" s="65" t="n"/>
      <c r="J401" t="inlineStr">
        <is>
          <t>投資</t>
        </is>
      </c>
      <c r="K401">
        <f>IF(J401="本金",C401+K400,K400)</f>
        <v/>
      </c>
      <c r="L401">
        <f>IF(J401="本金",F401+L400,L400)</f>
        <v/>
      </c>
    </row>
    <row r="402" outlineLevel="1">
      <c r="A402" s="522" t="n">
        <v>44757</v>
      </c>
      <c r="B402" s="523" t="n">
        <v>0</v>
      </c>
      <c r="C402" s="196" t="n">
        <v>2695</v>
      </c>
      <c r="D402" s="524">
        <f>D401+C402-B402</f>
        <v/>
      </c>
      <c r="E402" s="545" t="n"/>
      <c r="F402" s="546" t="n"/>
      <c r="G402" s="547">
        <f>G401+F402-E402</f>
        <v/>
      </c>
      <c r="H402" s="200" t="inlineStr">
        <is>
          <t>東元現金股</t>
        </is>
      </c>
      <c r="I402" s="200" t="inlineStr">
        <is>
          <t>現金股利</t>
        </is>
      </c>
      <c r="J402" t="inlineStr">
        <is>
          <t>投資</t>
        </is>
      </c>
      <c r="K402">
        <f>IF(J402="本金",C402+K401,K401)</f>
        <v/>
      </c>
      <c r="L402">
        <f>IF(J402="本金",F402+L401,L401)</f>
        <v/>
      </c>
    </row>
    <row r="403" outlineLevel="1">
      <c r="A403" s="522" t="n">
        <v>44769</v>
      </c>
      <c r="B403" s="523" t="n">
        <v>0</v>
      </c>
      <c r="C403" s="196" t="n">
        <v>13801</v>
      </c>
      <c r="D403" s="524">
        <f>D402+C403-B403</f>
        <v/>
      </c>
      <c r="E403" s="545" t="n"/>
      <c r="F403" s="546" t="n"/>
      <c r="G403" s="547">
        <f>G402+F403-E403</f>
        <v/>
      </c>
      <c r="H403" s="200" t="inlineStr">
        <is>
          <t>義隆電子現金股</t>
        </is>
      </c>
      <c r="I403" s="200" t="inlineStr">
        <is>
          <t>現金股利</t>
        </is>
      </c>
      <c r="J403" t="inlineStr">
        <is>
          <t>投資</t>
        </is>
      </c>
      <c r="K403">
        <f>IF(J403="本金",C403+K402,K402)</f>
        <v/>
      </c>
      <c r="L403">
        <f>IF(J403="本金",F403+L402,L402)</f>
        <v/>
      </c>
    </row>
    <row r="404" outlineLevel="1">
      <c r="A404" s="522" t="n">
        <v>44771</v>
      </c>
      <c r="B404" s="523" t="n">
        <v>0</v>
      </c>
      <c r="C404" s="196" t="n">
        <v>12990</v>
      </c>
      <c r="D404" s="524">
        <f>D403+C404-B404</f>
        <v/>
      </c>
      <c r="E404" s="545" t="n"/>
      <c r="F404" s="546" t="n"/>
      <c r="G404" s="547">
        <f>G403+F404-E404</f>
        <v/>
      </c>
      <c r="H404" s="200" t="inlineStr">
        <is>
          <t>群聯電子現金股</t>
        </is>
      </c>
      <c r="I404" s="200" t="inlineStr">
        <is>
          <t>現金股利</t>
        </is>
      </c>
      <c r="J404" t="inlineStr">
        <is>
          <t>投資</t>
        </is>
      </c>
      <c r="K404">
        <f>IF(J404="本金",C404+K403,K403)</f>
        <v/>
      </c>
      <c r="L404">
        <f>IF(J404="本金",F404+L403,L403)</f>
        <v/>
      </c>
    </row>
    <row r="405" outlineLevel="1">
      <c r="A405" s="522" t="n">
        <v>44771</v>
      </c>
      <c r="B405" s="523" t="n">
        <v>0</v>
      </c>
      <c r="C405" s="196" t="n">
        <v>3990</v>
      </c>
      <c r="D405" s="524">
        <f>D404+C405-B405</f>
        <v/>
      </c>
      <c r="E405" s="545" t="n"/>
      <c r="F405" s="546" t="n"/>
      <c r="G405" s="547">
        <f>G404+F405-E405</f>
        <v/>
      </c>
      <c r="H405" s="200" t="inlineStr">
        <is>
          <t>日電貿現金股</t>
        </is>
      </c>
      <c r="I405" s="200" t="inlineStr">
        <is>
          <t>現金股利</t>
        </is>
      </c>
      <c r="J405" t="inlineStr">
        <is>
          <t>投資</t>
        </is>
      </c>
      <c r="K405">
        <f>IF(J405="本金",C405+K404,K404)</f>
        <v/>
      </c>
      <c r="L405">
        <f>IF(J405="本金",F405+L404,L404)</f>
        <v/>
      </c>
    </row>
    <row r="406" outlineLevel="1">
      <c r="A406" s="522" t="n">
        <v>44778</v>
      </c>
      <c r="B406" s="523" t="n">
        <v>0</v>
      </c>
      <c r="C406" s="196" t="n">
        <v>2790</v>
      </c>
      <c r="D406" s="524">
        <f>D405+C406-B406</f>
        <v/>
      </c>
      <c r="E406" s="545" t="n"/>
      <c r="F406" s="546" t="n"/>
      <c r="G406" s="547">
        <f>G405+F406-E406</f>
        <v/>
      </c>
      <c r="H406" s="200" t="inlineStr">
        <is>
          <t>宏捷科現金股</t>
        </is>
      </c>
      <c r="I406" s="200" t="inlineStr">
        <is>
          <t>現金股利</t>
        </is>
      </c>
      <c r="J406" t="inlineStr">
        <is>
          <t>投資</t>
        </is>
      </c>
      <c r="K406">
        <f>IF(J406="本金",C406+K405,K405)</f>
        <v/>
      </c>
      <c r="L406">
        <f>IF(J406="本金",F406+L405,L405)</f>
        <v/>
      </c>
    </row>
    <row r="407" outlineLevel="1">
      <c r="A407" s="522" t="n">
        <v>44778</v>
      </c>
      <c r="B407" s="523" t="n">
        <v>0</v>
      </c>
      <c r="C407" s="196" t="n">
        <v>1000</v>
      </c>
      <c r="D407" s="524">
        <f>D406+C407-B407</f>
        <v/>
      </c>
      <c r="E407" s="545" t="n"/>
      <c r="F407" s="546" t="n"/>
      <c r="G407" s="547">
        <f>G406+F407-E407</f>
        <v/>
      </c>
      <c r="H407" s="200" t="inlineStr">
        <is>
          <t>友達現金股</t>
        </is>
      </c>
      <c r="I407" s="200" t="inlineStr">
        <is>
          <t>現金股利</t>
        </is>
      </c>
      <c r="J407" t="inlineStr">
        <is>
          <t>投資</t>
        </is>
      </c>
      <c r="K407">
        <f>IF(J407="本金",C407+K406,K406)</f>
        <v/>
      </c>
      <c r="L407">
        <f>IF(J407="本金",F407+L406,L406)</f>
        <v/>
      </c>
    </row>
    <row r="408" outlineLevel="1">
      <c r="A408" s="518" t="n">
        <v>44783</v>
      </c>
      <c r="B408" s="519" t="n"/>
      <c r="C408" s="148" t="n">
        <v>28</v>
      </c>
      <c r="D408" s="520">
        <f>D407+C408-B408</f>
        <v/>
      </c>
      <c r="E408" s="542" t="n"/>
      <c r="F408" s="543" t="n"/>
      <c r="G408" s="544">
        <f>G407+F408-E408</f>
        <v/>
      </c>
      <c r="H408" s="152" t="inlineStr">
        <is>
          <t>折讓入帳</t>
        </is>
      </c>
      <c r="I408" s="160" t="n"/>
      <c r="J408" t="inlineStr">
        <is>
          <t>投資</t>
        </is>
      </c>
      <c r="K408">
        <f>IF(J408="本金",C408+K407,K407)</f>
        <v/>
      </c>
      <c r="L408">
        <f>IF(J408="本金",F408+L407,L407)</f>
        <v/>
      </c>
    </row>
    <row r="409" outlineLevel="1">
      <c r="A409" s="522" t="n">
        <v>44783</v>
      </c>
      <c r="B409" s="523" t="n">
        <v>0</v>
      </c>
      <c r="C409" s="196" t="n">
        <v>1044</v>
      </c>
      <c r="D409" s="524">
        <f>D408+C409-B409</f>
        <v/>
      </c>
      <c r="E409" s="545" t="n"/>
      <c r="F409" s="546" t="n"/>
      <c r="G409" s="547">
        <f>G408+F409-E409</f>
        <v/>
      </c>
      <c r="H409" s="200" t="inlineStr">
        <is>
          <t>群創光電現金股</t>
        </is>
      </c>
      <c r="I409" s="200" t="inlineStr">
        <is>
          <t>現金股利</t>
        </is>
      </c>
      <c r="J409" t="inlineStr">
        <is>
          <t>投資</t>
        </is>
      </c>
      <c r="K409">
        <f>IF(J409="本金",C409+K408,K408)</f>
        <v/>
      </c>
      <c r="L409">
        <f>IF(J409="本金",F409+L408,L408)</f>
        <v/>
      </c>
    </row>
    <row r="410" outlineLevel="1">
      <c r="A410" s="522" t="n">
        <v>44785</v>
      </c>
      <c r="B410" s="523" t="n">
        <v>0</v>
      </c>
      <c r="C410" s="196" t="n">
        <v>50403</v>
      </c>
      <c r="D410" s="524">
        <f>D409+C410-B410</f>
        <v/>
      </c>
      <c r="E410" s="545" t="n"/>
      <c r="F410" s="546" t="n"/>
      <c r="G410" s="547">
        <f>G409+F410-E410</f>
        <v/>
      </c>
      <c r="H410" s="200" t="inlineStr">
        <is>
          <t>聯詠科技現金股</t>
        </is>
      </c>
      <c r="I410" s="200" t="inlineStr">
        <is>
          <t>現金股利</t>
        </is>
      </c>
      <c r="J410" t="inlineStr">
        <is>
          <t>投資</t>
        </is>
      </c>
      <c r="K410">
        <f>IF(J410="本金",C410+K409,K409)</f>
        <v/>
      </c>
      <c r="L410">
        <f>IF(J410="本金",F410+L409,L409)</f>
        <v/>
      </c>
    </row>
    <row r="411" outlineLevel="1">
      <c r="A411" s="522" t="n">
        <v>44797</v>
      </c>
      <c r="B411" s="523" t="n">
        <v>0</v>
      </c>
      <c r="C411" s="196" t="n">
        <v>15826</v>
      </c>
      <c r="D411" s="524">
        <f>D410+C411-B411</f>
        <v/>
      </c>
      <c r="E411" s="545" t="n"/>
      <c r="F411" s="546" t="n"/>
      <c r="G411" s="547">
        <f>G410+F411-E411</f>
        <v/>
      </c>
      <c r="H411" s="200" t="inlineStr">
        <is>
          <t>敦泰現金股</t>
        </is>
      </c>
      <c r="I411" s="200" t="inlineStr">
        <is>
          <t>現金股利</t>
        </is>
      </c>
      <c r="J411" t="inlineStr">
        <is>
          <t>投資</t>
        </is>
      </c>
      <c r="K411">
        <f>IF(J411="本金",C411+K410,K410)</f>
        <v/>
      </c>
      <c r="L411">
        <f>IF(J411="本金",F411+L410,L410)</f>
        <v/>
      </c>
    </row>
    <row r="412" outlineLevel="1">
      <c r="A412" s="522" t="n">
        <v>44798</v>
      </c>
      <c r="B412" s="523" t="n">
        <v>0</v>
      </c>
      <c r="C412" s="196" t="n">
        <v>990</v>
      </c>
      <c r="D412" s="524">
        <f>D411+C412-B412</f>
        <v/>
      </c>
      <c r="E412" s="545" t="n"/>
      <c r="F412" s="546" t="n"/>
      <c r="G412" s="547">
        <f>G411+F412-E412</f>
        <v/>
      </c>
      <c r="H412" s="200" t="inlineStr">
        <is>
          <t>第一金現金股</t>
        </is>
      </c>
      <c r="I412" s="200" t="inlineStr">
        <is>
          <t>現金股利</t>
        </is>
      </c>
      <c r="J412" t="inlineStr">
        <is>
          <t>投資</t>
        </is>
      </c>
      <c r="K412">
        <f>IF(J412="本金",C412+K411,K411)</f>
        <v/>
      </c>
      <c r="L412">
        <f>IF(J412="本金",F412+L411,L411)</f>
        <v/>
      </c>
    </row>
    <row r="413" outlineLevel="1">
      <c r="A413" s="522" t="n">
        <v>44798</v>
      </c>
      <c r="B413" s="523" t="n">
        <v>0</v>
      </c>
      <c r="C413" s="196" t="n">
        <v>9293</v>
      </c>
      <c r="D413" s="524">
        <f>D412+C413-B413</f>
        <v/>
      </c>
      <c r="E413" s="545" t="n"/>
      <c r="F413" s="546" t="n"/>
      <c r="G413" s="547">
        <f>G412+F413-E413</f>
        <v/>
      </c>
      <c r="H413" s="200" t="inlineStr">
        <is>
          <t>中鋼現金股</t>
        </is>
      </c>
      <c r="I413" s="200" t="inlineStr">
        <is>
          <t>現金股利</t>
        </is>
      </c>
      <c r="J413" t="inlineStr">
        <is>
          <t>投資</t>
        </is>
      </c>
      <c r="K413">
        <f>IF(J413="本金",C413+K412,K412)</f>
        <v/>
      </c>
      <c r="L413">
        <f>IF(J413="本金",F413+L412,L412)</f>
        <v/>
      </c>
    </row>
    <row r="414" outlineLevel="1">
      <c r="A414" s="522" t="n">
        <v>44804</v>
      </c>
      <c r="B414" s="523" t="n">
        <v>0</v>
      </c>
      <c r="C414" s="196" t="n">
        <v>5390</v>
      </c>
      <c r="D414" s="524">
        <f>D413+C414-B414</f>
        <v/>
      </c>
      <c r="E414" s="545" t="n"/>
      <c r="F414" s="546" t="n"/>
      <c r="G414" s="547">
        <f>G413+F414-E414</f>
        <v/>
      </c>
      <c r="H414" s="200" t="inlineStr">
        <is>
          <t>宇隆科技現金股</t>
        </is>
      </c>
      <c r="I414" s="200" t="inlineStr">
        <is>
          <t>現金股利</t>
        </is>
      </c>
      <c r="J414" t="inlineStr">
        <is>
          <t>投資</t>
        </is>
      </c>
      <c r="K414">
        <f>IF(J414="本金",C414+K413,K413)</f>
        <v/>
      </c>
      <c r="L414">
        <f>IF(J414="本金",F414+L413,L413)</f>
        <v/>
      </c>
    </row>
    <row r="415" outlineLevel="1">
      <c r="A415" s="522" t="n">
        <v>44817</v>
      </c>
      <c r="B415" s="523" t="n">
        <v>0</v>
      </c>
      <c r="C415" s="196" t="n">
        <v>990</v>
      </c>
      <c r="D415" s="524">
        <f>D414+C415-B415</f>
        <v/>
      </c>
      <c r="E415" s="545" t="n"/>
      <c r="F415" s="546" t="n"/>
      <c r="G415" s="547">
        <f>G414+F415-E415</f>
        <v/>
      </c>
      <c r="H415" s="200" t="inlineStr">
        <is>
          <t>合庫金現金股</t>
        </is>
      </c>
      <c r="I415" s="200" t="inlineStr">
        <is>
          <t>現金股利</t>
        </is>
      </c>
      <c r="J415" t="inlineStr">
        <is>
          <t>投資</t>
        </is>
      </c>
      <c r="K415">
        <f>IF(J415="本金",C415+K414,K414)</f>
        <v/>
      </c>
      <c r="L415">
        <f>IF(J415="本金",F415+L414,L414)</f>
        <v/>
      </c>
    </row>
    <row r="416" outlineLevel="1">
      <c r="A416" s="508" t="n">
        <v>44819</v>
      </c>
      <c r="B416" s="509" t="n">
        <v>20070</v>
      </c>
      <c r="C416" s="123" t="n">
        <v>20050</v>
      </c>
      <c r="D416" s="510">
        <f>D415+C416-B416</f>
        <v/>
      </c>
      <c r="E416" s="535" t="n"/>
      <c r="F416" s="541" t="n"/>
      <c r="G416" s="537">
        <f>G415+F416-E416</f>
        <v/>
      </c>
      <c r="H416" s="65" t="inlineStr">
        <is>
          <t>鑫龍騰</t>
        </is>
      </c>
      <c r="I416" s="65" t="n"/>
      <c r="J416" t="inlineStr">
        <is>
          <t>投資</t>
        </is>
      </c>
      <c r="K416">
        <f>IF(J416="本金",C416+K415,K415)</f>
        <v/>
      </c>
      <c r="L416">
        <f>IF(J416="本金",F416+L415,L415)</f>
        <v/>
      </c>
    </row>
    <row r="417" outlineLevel="1">
      <c r="A417" s="508" t="n">
        <v>44819</v>
      </c>
      <c r="B417" s="509" t="n">
        <v>100070</v>
      </c>
      <c r="C417" s="123" t="n">
        <v>100050</v>
      </c>
      <c r="D417" s="510">
        <f>D416+C417-B417</f>
        <v/>
      </c>
      <c r="E417" s="535" t="n"/>
      <c r="F417" s="541" t="n"/>
      <c r="G417" s="537">
        <f>G416+F417-E417</f>
        <v/>
      </c>
      <c r="H417" s="65" t="inlineStr">
        <is>
          <t>和潤企業甲特</t>
        </is>
      </c>
      <c r="I417" s="65" t="n"/>
      <c r="J417" t="inlineStr">
        <is>
          <t>投資</t>
        </is>
      </c>
      <c r="K417">
        <f>IF(J417="本金",C417+K416,K416)</f>
        <v/>
      </c>
      <c r="L417">
        <f>IF(J417="本金",F417+L416,L416)</f>
        <v/>
      </c>
    </row>
    <row r="418" outlineLevel="1">
      <c r="A418" s="522" t="n">
        <v>44825</v>
      </c>
      <c r="B418" s="523" t="n">
        <v>0</v>
      </c>
      <c r="C418" s="196" t="n">
        <v>1574</v>
      </c>
      <c r="D418" s="524">
        <f>D417+C418-B418</f>
        <v/>
      </c>
      <c r="E418" s="545" t="n"/>
      <c r="F418" s="546" t="n"/>
      <c r="G418" s="547">
        <f>G417+F418-E418</f>
        <v/>
      </c>
      <c r="H418" s="200" t="inlineStr">
        <is>
          <t>力積電現金股</t>
        </is>
      </c>
      <c r="I418" s="200" t="inlineStr">
        <is>
          <t>現金股利</t>
        </is>
      </c>
      <c r="J418" t="inlineStr">
        <is>
          <t>投資</t>
        </is>
      </c>
      <c r="K418">
        <f>IF(J418="本金",C418+K417,K417)</f>
        <v/>
      </c>
      <c r="L418">
        <f>IF(J418="本金",F418+L417,L417)</f>
        <v/>
      </c>
    </row>
    <row r="419" outlineLevel="1">
      <c r="A419" s="522" t="n">
        <v>44845</v>
      </c>
      <c r="B419" s="523" t="n">
        <v>0</v>
      </c>
      <c r="C419" s="196" t="n">
        <v>2000</v>
      </c>
      <c r="D419" s="524">
        <f>D418+C419-B419</f>
        <v/>
      </c>
      <c r="E419" s="545" t="n"/>
      <c r="F419" s="546" t="n"/>
      <c r="G419" s="547">
        <f>G418+F419-E419</f>
        <v/>
      </c>
      <c r="H419" s="200" t="inlineStr">
        <is>
          <t>友達減資</t>
        </is>
      </c>
      <c r="I419" s="200" t="inlineStr">
        <is>
          <t>減資</t>
        </is>
      </c>
      <c r="J419" t="inlineStr">
        <is>
          <t>投資</t>
        </is>
      </c>
      <c r="K419">
        <f>IF(J419="本金",C419+K418,K418)</f>
        <v/>
      </c>
      <c r="L419">
        <f>IF(J419="本金",F419+L418,L418)</f>
        <v/>
      </c>
    </row>
    <row r="420" outlineLevel="1">
      <c r="A420" s="522" t="n">
        <v>44845</v>
      </c>
      <c r="B420" s="523" t="n">
        <v>0</v>
      </c>
      <c r="C420" s="196" t="n">
        <v>940</v>
      </c>
      <c r="D420" s="524">
        <f>D419+C420-B420</f>
        <v/>
      </c>
      <c r="E420" s="545" t="n"/>
      <c r="F420" s="546" t="n"/>
      <c r="G420" s="547">
        <f>G419+F420-E420</f>
        <v/>
      </c>
      <c r="H420" s="200" t="inlineStr">
        <is>
          <t>群創光減資</t>
        </is>
      </c>
      <c r="I420" s="200" t="inlineStr">
        <is>
          <t>減資</t>
        </is>
      </c>
      <c r="J420" t="inlineStr">
        <is>
          <t>投資</t>
        </is>
      </c>
      <c r="K420">
        <f>IF(J420="本金",C420+K419,K419)</f>
        <v/>
      </c>
      <c r="L420">
        <f>IF(J420="本金",F420+L419,L419)</f>
        <v/>
      </c>
    </row>
    <row r="421" outlineLevel="1">
      <c r="A421" s="513" t="n">
        <v>44916</v>
      </c>
      <c r="B421" s="514" t="n"/>
      <c r="C421" s="154" t="n">
        <v>1869</v>
      </c>
      <c r="D421" s="515">
        <f>D420+C421-B421</f>
        <v/>
      </c>
      <c r="E421" s="538" t="n"/>
      <c r="F421" s="539" t="n"/>
      <c r="G421" s="540">
        <f>G420+F421-E421</f>
        <v/>
      </c>
      <c r="H421" s="158" t="inlineStr">
        <is>
          <t>利息</t>
        </is>
      </c>
      <c r="I421" s="159" t="n"/>
      <c r="J421" t="inlineStr">
        <is>
          <t>投資</t>
        </is>
      </c>
      <c r="K421">
        <f>IF(J421="本金",C421+K420,K420)</f>
        <v/>
      </c>
      <c r="L421">
        <f>IF(J421="本金",F421+L420,L420)</f>
        <v/>
      </c>
    </row>
    <row r="422" outlineLevel="1">
      <c r="A422" s="508" t="n">
        <v>44926</v>
      </c>
      <c r="B422" s="509" t="n">
        <v>860</v>
      </c>
      <c r="C422" s="123" t="n"/>
      <c r="D422" s="510">
        <f>D421+C422-B422</f>
        <v/>
      </c>
      <c r="E422" s="535" t="n"/>
      <c r="F422" s="541" t="n"/>
      <c r="G422" s="537">
        <f>G421+F422-E422</f>
        <v/>
      </c>
      <c r="H422" s="65" t="inlineStr">
        <is>
          <t>承銷申購</t>
        </is>
      </c>
      <c r="I422" s="65" t="n"/>
      <c r="J422" t="inlineStr">
        <is>
          <t>投資</t>
        </is>
      </c>
      <c r="K422">
        <f>IF(J422="本金",C422+K421,K421)</f>
        <v/>
      </c>
      <c r="L422">
        <f>IF(J422="本金",F422+L421,L421)</f>
        <v/>
      </c>
    </row>
    <row r="423">
      <c r="A423" s="522" t="n">
        <v>44932</v>
      </c>
      <c r="B423" s="523" t="n">
        <v>0</v>
      </c>
      <c r="C423" s="196" t="n">
        <v>10267</v>
      </c>
      <c r="D423" s="524">
        <f>D422+C423-B423</f>
        <v/>
      </c>
      <c r="E423" s="545" t="n"/>
      <c r="F423" s="546" t="n"/>
      <c r="G423" s="547">
        <f>G422+F423-E423</f>
        <v/>
      </c>
      <c r="H423" s="200" t="inlineStr">
        <is>
          <t>群聯電子現金股</t>
        </is>
      </c>
      <c r="I423" s="200" t="inlineStr">
        <is>
          <t>現金股利</t>
        </is>
      </c>
      <c r="J423" t="inlineStr">
        <is>
          <t>投資</t>
        </is>
      </c>
      <c r="K423">
        <f>IF(J423="本金",C423+K422,K422)</f>
        <v/>
      </c>
      <c r="L423">
        <f>IF(J423="本金",F423+L422,L422)</f>
        <v/>
      </c>
    </row>
    <row r="424" outlineLevel="1">
      <c r="A424" s="508" t="n">
        <v>45008</v>
      </c>
      <c r="B424" s="509" t="n">
        <v>140</v>
      </c>
      <c r="C424" s="123" t="n"/>
      <c r="D424" s="510">
        <f>D423+C424-B424</f>
        <v/>
      </c>
      <c r="E424" s="535" t="n"/>
      <c r="F424" s="541" t="n"/>
      <c r="G424" s="537">
        <f>G423+F424-E424</f>
        <v/>
      </c>
      <c r="H424" s="65" t="n"/>
      <c r="I424" s="65" t="n"/>
      <c r="J424" t="inlineStr">
        <is>
          <t>投資</t>
        </is>
      </c>
      <c r="K424">
        <f>IF(J424="本金",C424+K423,K423)</f>
        <v/>
      </c>
      <c r="L424">
        <f>IF(J424="本金",F424+L423,L423)</f>
        <v/>
      </c>
    </row>
    <row r="425" outlineLevel="1">
      <c r="A425" s="508" t="n">
        <v>45008</v>
      </c>
      <c r="B425" s="509" t="n"/>
      <c r="C425" s="123" t="n">
        <v>36091</v>
      </c>
      <c r="D425" s="510">
        <f>D424+C425-B425</f>
        <v/>
      </c>
      <c r="E425" s="535" t="n"/>
      <c r="F425" s="541" t="n"/>
      <c r="G425" s="537">
        <f>G424+F425-E425</f>
        <v/>
      </c>
      <c r="H425" s="65" t="inlineStr">
        <is>
          <t>東元(1504)</t>
        </is>
      </c>
      <c r="I425" s="65" t="n"/>
      <c r="J425" t="inlineStr">
        <is>
          <t>投資</t>
        </is>
      </c>
      <c r="K425">
        <f>IF(J425="本金",C425+K424,K424)</f>
        <v/>
      </c>
      <c r="L425">
        <f>IF(J425="本金",F425+L424,L424)</f>
        <v/>
      </c>
    </row>
    <row r="426" outlineLevel="1">
      <c r="A426" s="508" t="n">
        <v>45009</v>
      </c>
      <c r="B426" s="509" t="n"/>
      <c r="C426" s="123" t="n">
        <v>43806</v>
      </c>
      <c r="D426" s="510">
        <f>D425+C426-B426</f>
        <v/>
      </c>
      <c r="E426" s="535" t="n"/>
      <c r="F426" s="541" t="n"/>
      <c r="G426" s="537">
        <f>G425+F426-E426</f>
        <v/>
      </c>
      <c r="H426" s="65" t="inlineStr">
        <is>
          <t>東元(1504)</t>
        </is>
      </c>
      <c r="I426" s="65" t="n"/>
      <c r="J426" t="inlineStr">
        <is>
          <t>投資</t>
        </is>
      </c>
      <c r="K426">
        <f>IF(J426="本金",C426+K425,K425)</f>
        <v/>
      </c>
      <c r="L426">
        <f>IF(J426="本金",F426+L425,L425)</f>
        <v/>
      </c>
    </row>
    <row r="427" outlineLevel="1">
      <c r="A427" s="508" t="n">
        <v>45013</v>
      </c>
      <c r="B427" s="509" t="n">
        <v>55178</v>
      </c>
      <c r="C427" s="123" t="n"/>
      <c r="D427" s="510">
        <f>D426+C427-B427</f>
        <v/>
      </c>
      <c r="E427" s="535" t="n"/>
      <c r="F427" s="541" t="n"/>
      <c r="G427" s="537">
        <f>G426+F427-E427</f>
        <v/>
      </c>
      <c r="H427" s="65" t="inlineStr">
        <is>
          <t>晶達(4995)</t>
        </is>
      </c>
      <c r="I427" s="65" t="n"/>
      <c r="J427" t="inlineStr">
        <is>
          <t>投資</t>
        </is>
      </c>
      <c r="K427">
        <f>IF(J427="本金",C427+K426,K426)</f>
        <v/>
      </c>
      <c r="L427">
        <f>IF(J427="本金",F427+L426,L426)</f>
        <v/>
      </c>
    </row>
    <row r="428" outlineLevel="1">
      <c r="A428" s="518" t="n">
        <v>45026</v>
      </c>
      <c r="B428" s="519" t="n"/>
      <c r="C428" s="148" t="n">
        <v>75</v>
      </c>
      <c r="D428" s="520">
        <f>D427+C428-B428</f>
        <v/>
      </c>
      <c r="E428" s="542" t="n"/>
      <c r="F428" s="543" t="n"/>
      <c r="G428" s="544">
        <f>G427+F428-E428</f>
        <v/>
      </c>
      <c r="H428" s="152" t="inlineStr">
        <is>
          <t>折讓入帳</t>
        </is>
      </c>
      <c r="I428" s="152" t="n"/>
      <c r="J428" t="inlineStr">
        <is>
          <t>投資</t>
        </is>
      </c>
      <c r="K428">
        <f>IF(J428="本金",C428+K427,K427)</f>
        <v/>
      </c>
      <c r="L428">
        <f>IF(J428="本金",F428+L427,L427)</f>
        <v/>
      </c>
    </row>
    <row r="429" outlineLevel="1">
      <c r="A429" s="508" t="n">
        <v>45030</v>
      </c>
      <c r="B429" s="509" t="n"/>
      <c r="C429" s="123" t="n">
        <v>51870</v>
      </c>
      <c r="D429" s="510">
        <f>D428+C429-B429</f>
        <v/>
      </c>
      <c r="E429" s="535" t="n"/>
      <c r="F429" s="541" t="n"/>
      <c r="G429" s="537">
        <f>G428+F429-E429</f>
        <v/>
      </c>
      <c r="H429" s="65" t="inlineStr">
        <is>
          <t>晶達(4995)</t>
        </is>
      </c>
      <c r="I429" s="65" t="n"/>
      <c r="J429" t="inlineStr">
        <is>
          <t>投資</t>
        </is>
      </c>
      <c r="K429">
        <f>IF(J429="本金",C429+K428,K428)</f>
        <v/>
      </c>
      <c r="L429">
        <f>IF(J429="本金",F429+L428,L428)</f>
        <v/>
      </c>
    </row>
    <row r="430" outlineLevel="1">
      <c r="A430" s="522" t="n">
        <v>45030</v>
      </c>
      <c r="B430" s="523" t="n"/>
      <c r="C430" s="196" t="n">
        <v>641</v>
      </c>
      <c r="D430" s="524">
        <f>D429+C430-B430</f>
        <v/>
      </c>
      <c r="E430" s="545" t="n"/>
      <c r="F430" s="546" t="n"/>
      <c r="G430" s="547">
        <f>G429+F430-E430</f>
        <v/>
      </c>
      <c r="H430" s="200" t="inlineStr">
        <is>
          <t>力積電現金股</t>
        </is>
      </c>
      <c r="I430" s="200" t="inlineStr">
        <is>
          <t>現金股利</t>
        </is>
      </c>
      <c r="J430" t="inlineStr">
        <is>
          <t>投資</t>
        </is>
      </c>
      <c r="K430">
        <f>IF(J430="本金",C430+K429,K429)</f>
        <v/>
      </c>
      <c r="L430">
        <f>IF(J430="本金",F430+L429,L429)</f>
        <v/>
      </c>
    </row>
    <row r="431" outlineLevel="1">
      <c r="A431" s="522" t="n">
        <v>45042</v>
      </c>
      <c r="B431" s="523" t="n"/>
      <c r="C431" s="196" t="n">
        <v>3059</v>
      </c>
      <c r="D431" s="524">
        <f>D430+C431-B431</f>
        <v/>
      </c>
      <c r="E431" s="545" t="n"/>
      <c r="F431" s="546" t="n"/>
      <c r="G431" s="547">
        <f>G430+F431-E431</f>
        <v/>
      </c>
      <c r="H431" s="200" t="inlineStr">
        <is>
          <t>義隆電子現金股</t>
        </is>
      </c>
      <c r="I431" s="200" t="inlineStr">
        <is>
          <t>現金股利</t>
        </is>
      </c>
      <c r="J431" t="inlineStr">
        <is>
          <t>投資</t>
        </is>
      </c>
      <c r="K431">
        <f>IF(J431="本金",C431+K430,K430)</f>
        <v/>
      </c>
      <c r="L431">
        <f>IF(J431="本金",F431+L430,L430)</f>
        <v/>
      </c>
    </row>
    <row r="432" outlineLevel="1">
      <c r="A432" s="522" t="n">
        <v>45042</v>
      </c>
      <c r="B432" s="523" t="n"/>
      <c r="C432" s="196" t="n">
        <v>1180</v>
      </c>
      <c r="D432" s="524">
        <f>D431+C432-B432</f>
        <v/>
      </c>
      <c r="E432" s="545" t="n"/>
      <c r="F432" s="546" t="n"/>
      <c r="G432" s="547">
        <f>G431+F432-E432</f>
        <v/>
      </c>
      <c r="H432" s="200" t="inlineStr">
        <is>
          <t>燦星現金股</t>
        </is>
      </c>
      <c r="I432" s="200" t="inlineStr">
        <is>
          <t>現金股利</t>
        </is>
      </c>
      <c r="J432" t="inlineStr">
        <is>
          <t>投資</t>
        </is>
      </c>
      <c r="K432">
        <f>IF(J432="本金",C432+K431,K431)</f>
        <v/>
      </c>
      <c r="L432">
        <f>IF(J432="本金",F432+L431,L431)</f>
        <v/>
      </c>
    </row>
    <row r="433" outlineLevel="1">
      <c r="A433" s="522" t="n">
        <v>45043</v>
      </c>
      <c r="B433" s="523" t="n"/>
      <c r="C433" s="196" t="n">
        <v>3990</v>
      </c>
      <c r="D433" s="524">
        <f>D432+C433-B433</f>
        <v/>
      </c>
      <c r="E433" s="545" t="n"/>
      <c r="F433" s="546" t="n"/>
      <c r="G433" s="547">
        <f>G432+F433-E433</f>
        <v/>
      </c>
      <c r="H433" s="200" t="inlineStr">
        <is>
          <t>豐興鋼鐵現金股</t>
        </is>
      </c>
      <c r="I433" s="200" t="inlineStr">
        <is>
          <t>現金股利</t>
        </is>
      </c>
      <c r="J433" t="inlineStr">
        <is>
          <t>投資</t>
        </is>
      </c>
      <c r="K433">
        <f>IF(J433="本金",C433+K432,K432)</f>
        <v/>
      </c>
      <c r="L433">
        <f>IF(J433="本金",F433+L432,L432)</f>
        <v/>
      </c>
    </row>
    <row r="434" outlineLevel="1">
      <c r="A434" s="518" t="n">
        <v>45051</v>
      </c>
      <c r="B434" s="519" t="n"/>
      <c r="C434" s="148" t="n">
        <v>29</v>
      </c>
      <c r="D434" s="520">
        <f>D433+C434-B434</f>
        <v/>
      </c>
      <c r="E434" s="542" t="n"/>
      <c r="F434" s="543" t="n"/>
      <c r="G434" s="544">
        <f>G433+F434-E434</f>
        <v/>
      </c>
      <c r="H434" s="152" t="inlineStr">
        <is>
          <t>折讓入帳</t>
        </is>
      </c>
      <c r="I434" s="152" t="n"/>
      <c r="J434" t="inlineStr">
        <is>
          <t>投資</t>
        </is>
      </c>
      <c r="K434">
        <f>IF(J434="本金",C434+K433,K433)</f>
        <v/>
      </c>
      <c r="L434">
        <f>IF(J434="本金",F434+L433,L433)</f>
        <v/>
      </c>
    </row>
    <row r="435" outlineLevel="1">
      <c r="A435" s="513" t="n">
        <v>45098</v>
      </c>
      <c r="B435" s="514" t="n"/>
      <c r="C435" s="154" t="n">
        <v>3915</v>
      </c>
      <c r="D435" s="515">
        <f>D434+C435-B435</f>
        <v/>
      </c>
      <c r="E435" s="538" t="n"/>
      <c r="F435" s="539" t="n"/>
      <c r="G435" s="540">
        <f>G434+F435-E435</f>
        <v/>
      </c>
      <c r="H435" s="158" t="inlineStr">
        <is>
          <t>利息</t>
        </is>
      </c>
      <c r="I435" s="159" t="n"/>
      <c r="J435" t="inlineStr">
        <is>
          <t>投資</t>
        </is>
      </c>
      <c r="K435">
        <f>IF(J435="本金",C435+K434,K434)</f>
        <v/>
      </c>
      <c r="L435">
        <f>IF(J435="本金",F435+L434,L434)</f>
        <v/>
      </c>
    </row>
    <row r="436" outlineLevel="1">
      <c r="A436" s="508" t="n">
        <v>45105</v>
      </c>
      <c r="B436" s="509" t="n">
        <v>74105</v>
      </c>
      <c r="C436" s="123" t="n"/>
      <c r="D436" s="510">
        <f>D435+C436-B436</f>
        <v/>
      </c>
      <c r="E436" s="535" t="n"/>
      <c r="F436" s="541" t="n"/>
      <c r="G436" s="537">
        <f>G435+F436-E436</f>
        <v/>
      </c>
      <c r="H436" s="65" t="inlineStr">
        <is>
          <t>力山(1515)</t>
        </is>
      </c>
      <c r="I436" s="65" t="n"/>
      <c r="J436" t="inlineStr">
        <is>
          <t>投資</t>
        </is>
      </c>
      <c r="K436">
        <f>IF(J436="本金",C436+K435,K435)</f>
        <v/>
      </c>
      <c r="L436">
        <f>IF(J436="本金",F436+L435,L435)</f>
        <v/>
      </c>
    </row>
    <row r="437" outlineLevel="1">
      <c r="A437" s="508" t="n">
        <v>45105</v>
      </c>
      <c r="B437" s="509" t="n">
        <v>47167</v>
      </c>
      <c r="C437" s="123" t="n"/>
      <c r="D437" s="510">
        <f>D436+C437-B437</f>
        <v/>
      </c>
      <c r="E437" s="535" t="n"/>
      <c r="F437" s="541" t="n"/>
      <c r="G437" s="537">
        <f>G436+F437-E437</f>
        <v/>
      </c>
      <c r="H437" s="65" t="inlineStr">
        <is>
          <t>振發(5426)</t>
        </is>
      </c>
      <c r="I437" s="65" t="n"/>
      <c r="J437" t="inlineStr">
        <is>
          <t>投資</t>
        </is>
      </c>
      <c r="K437">
        <f>IF(J437="本金",C437+K436,K436)</f>
        <v/>
      </c>
      <c r="L437">
        <f>IF(J437="本金",F437+L436,L436)</f>
        <v/>
      </c>
    </row>
    <row r="438" outlineLevel="1">
      <c r="A438" s="508" t="n">
        <v>45105</v>
      </c>
      <c r="B438" s="509" t="n">
        <v>46866</v>
      </c>
      <c r="C438" s="123" t="n"/>
      <c r="D438" s="510">
        <f>D437+C438-B438</f>
        <v/>
      </c>
      <c r="E438" s="535" t="n"/>
      <c r="F438" s="541" t="n"/>
      <c r="G438" s="537">
        <f>G437+F438-E438</f>
        <v/>
      </c>
      <c r="H438" s="65" t="inlineStr">
        <is>
          <t>芯鼎(6695)</t>
        </is>
      </c>
      <c r="I438" s="65" t="n"/>
      <c r="J438" t="inlineStr">
        <is>
          <t>投資</t>
        </is>
      </c>
      <c r="K438">
        <f>IF(J438="本金",C438+K437,K437)</f>
        <v/>
      </c>
      <c r="L438">
        <f>IF(J438="本金",F438+L437,L437)</f>
        <v/>
      </c>
    </row>
    <row r="439" outlineLevel="1">
      <c r="A439" s="508" t="n">
        <v>45106</v>
      </c>
      <c r="B439" s="509" t="n">
        <v>42810</v>
      </c>
      <c r="C439" s="123" t="n"/>
      <c r="D439" s="510">
        <f>D438+C439-B439</f>
        <v/>
      </c>
      <c r="E439" s="535" t="n"/>
      <c r="F439" s="541" t="n"/>
      <c r="G439" s="537">
        <f>G438+F439-E439</f>
        <v/>
      </c>
      <c r="H439" s="65" t="inlineStr">
        <is>
          <t>全台(3038)</t>
        </is>
      </c>
      <c r="I439" s="65" t="n"/>
      <c r="J439" t="inlineStr">
        <is>
          <t>投資</t>
        </is>
      </c>
      <c r="K439">
        <f>IF(J439="本金",C439+K438,K438)</f>
        <v/>
      </c>
      <c r="L439">
        <f>IF(J439="本金",F439+L438,L438)</f>
        <v/>
      </c>
    </row>
    <row r="440" outlineLevel="1">
      <c r="A440" s="508" t="n">
        <v>45106</v>
      </c>
      <c r="B440" s="509" t="n"/>
      <c r="C440" s="123" t="n">
        <v>57944</v>
      </c>
      <c r="D440" s="510">
        <f>D439+C440-B440</f>
        <v/>
      </c>
      <c r="E440" s="535" t="n"/>
      <c r="F440" s="541" t="n"/>
      <c r="G440" s="537">
        <f>G439+F440-E440</f>
        <v/>
      </c>
      <c r="H440" s="65" t="inlineStr">
        <is>
          <t>日電貿(3090)</t>
        </is>
      </c>
      <c r="I440" s="65" t="n"/>
      <c r="J440" t="inlineStr">
        <is>
          <t>投資</t>
        </is>
      </c>
      <c r="K440">
        <f>IF(J440="本金",C440+K439,K439)</f>
        <v/>
      </c>
      <c r="L440">
        <f>IF(J440="本金",F440+L439,L439)</f>
        <v/>
      </c>
    </row>
    <row r="441" outlineLevel="1">
      <c r="A441" s="518" t="n">
        <v>45112</v>
      </c>
      <c r="B441" s="519" t="n"/>
      <c r="C441" s="148" t="n">
        <v>150</v>
      </c>
      <c r="D441" s="520">
        <f>D440+C441-B441</f>
        <v/>
      </c>
      <c r="E441" s="542" t="n"/>
      <c r="F441" s="543" t="n"/>
      <c r="G441" s="544">
        <f>G440+F441-E441</f>
        <v/>
      </c>
      <c r="H441" s="152" t="inlineStr">
        <is>
          <t>折讓入帳</t>
        </is>
      </c>
      <c r="I441" s="152" t="n"/>
      <c r="J441" t="inlineStr">
        <is>
          <t>投資</t>
        </is>
      </c>
      <c r="K441">
        <f>IF(J441="本金",C441+K440,K440)</f>
        <v/>
      </c>
      <c r="L441">
        <f>IF(J441="本金",F441+L440,L440)</f>
        <v/>
      </c>
    </row>
    <row r="442" outlineLevel="1">
      <c r="A442" s="508" t="n">
        <v>45117</v>
      </c>
      <c r="B442" s="509" t="n"/>
      <c r="C442" s="123" t="n">
        <v>44553</v>
      </c>
      <c r="D442" s="510">
        <f>D441+C442-B442</f>
        <v/>
      </c>
      <c r="E442" s="535" t="n"/>
      <c r="F442" s="541" t="n"/>
      <c r="G442" s="537">
        <f>G441+F442-E442</f>
        <v/>
      </c>
      <c r="H442" s="65" t="inlineStr">
        <is>
          <t>芯鼎(6695)</t>
        </is>
      </c>
      <c r="I442" s="65" t="n"/>
      <c r="J442" t="inlineStr">
        <is>
          <t>投資</t>
        </is>
      </c>
      <c r="K442">
        <f>IF(J442="本金",C442+K441,K441)</f>
        <v/>
      </c>
      <c r="L442">
        <f>IF(J442="本金",F442+L441,L441)</f>
        <v/>
      </c>
    </row>
    <row r="443" outlineLevel="1">
      <c r="A443" s="508" t="n">
        <v>45119</v>
      </c>
      <c r="B443" s="509" t="n"/>
      <c r="C443" s="123" t="n">
        <v>16428</v>
      </c>
      <c r="D443" s="510">
        <f>D442+C443-B443</f>
        <v/>
      </c>
      <c r="E443" s="535" t="n"/>
      <c r="F443" s="541" t="n"/>
      <c r="G443" s="537">
        <f>G442+F443-E443</f>
        <v/>
      </c>
      <c r="H443" s="65" t="inlineStr">
        <is>
          <t>振發(5426)</t>
        </is>
      </c>
      <c r="I443" s="65" t="n"/>
      <c r="J443" t="inlineStr">
        <is>
          <t>投資</t>
        </is>
      </c>
      <c r="K443">
        <f>IF(J443="本金",C443+K442,K442)</f>
        <v/>
      </c>
      <c r="L443">
        <f>IF(J443="本金",F443+L442,L442)</f>
        <v/>
      </c>
    </row>
    <row r="444" outlineLevel="1">
      <c r="A444" s="508" t="n">
        <v>45119</v>
      </c>
      <c r="B444" s="509" t="n"/>
      <c r="C444" s="123" t="n">
        <v>16578</v>
      </c>
      <c r="D444" s="510">
        <f>D443+C444-B444</f>
        <v/>
      </c>
      <c r="E444" s="535" t="n"/>
      <c r="F444" s="541" t="n"/>
      <c r="G444" s="537">
        <f>G443+F444-E444</f>
        <v/>
      </c>
      <c r="H444" s="65" t="inlineStr">
        <is>
          <t>振發(5426)</t>
        </is>
      </c>
      <c r="I444" s="65" t="n"/>
      <c r="J444" t="inlineStr">
        <is>
          <t>投資</t>
        </is>
      </c>
      <c r="K444">
        <f>IF(J444="本金",C444+K443,K443)</f>
        <v/>
      </c>
      <c r="L444">
        <f>IF(J444="本金",F444+L443,L443)</f>
        <v/>
      </c>
    </row>
    <row r="445" outlineLevel="1">
      <c r="A445" s="508" t="n">
        <v>45120</v>
      </c>
      <c r="B445" s="509" t="n"/>
      <c r="C445" s="123" t="n">
        <v>16079</v>
      </c>
      <c r="D445" s="510">
        <f>D444+C445-B445</f>
        <v/>
      </c>
      <c r="E445" s="535" t="n"/>
      <c r="F445" s="541" t="n"/>
      <c r="G445" s="537">
        <f>G444+F445-E445</f>
        <v/>
      </c>
      <c r="H445" s="65" t="inlineStr">
        <is>
          <t>合庫金(5904)</t>
        </is>
      </c>
      <c r="I445" s="65" t="n"/>
      <c r="J445" t="inlineStr">
        <is>
          <t>投資</t>
        </is>
      </c>
      <c r="K445">
        <f>IF(J445="本金",C445+K444,K444)</f>
        <v/>
      </c>
      <c r="L445">
        <f>IF(J445="本金",F445+L444,L444)</f>
        <v/>
      </c>
    </row>
    <row r="446" outlineLevel="1">
      <c r="A446" s="508" t="n">
        <v>45122</v>
      </c>
      <c r="B446" s="509" t="n">
        <v>24985</v>
      </c>
      <c r="C446" s="123" t="n"/>
      <c r="D446" s="510">
        <f>D445+C446-B446</f>
        <v/>
      </c>
      <c r="E446" s="535" t="n"/>
      <c r="F446" s="541" t="n"/>
      <c r="G446" s="537">
        <f>G445+F446-E446</f>
        <v/>
      </c>
      <c r="H446" s="65" t="inlineStr">
        <is>
          <t>華航(2610)</t>
        </is>
      </c>
      <c r="I446" s="65" t="n"/>
      <c r="J446" t="inlineStr">
        <is>
          <t>投資</t>
        </is>
      </c>
      <c r="K446">
        <f>IF(J446="本金",C446+K445,K445)</f>
        <v/>
      </c>
      <c r="L446">
        <f>IF(J446="本金",F446+L445,L445)</f>
        <v/>
      </c>
    </row>
    <row r="447" outlineLevel="1">
      <c r="A447" s="508" t="n">
        <v>45123</v>
      </c>
      <c r="B447" s="509" t="n">
        <v>37152</v>
      </c>
      <c r="C447" s="123" t="n"/>
      <c r="D447" s="510">
        <f>D446+C447-B447</f>
        <v/>
      </c>
      <c r="E447" s="535" t="n"/>
      <c r="F447" s="541" t="n"/>
      <c r="G447" s="537">
        <f>G446+F447-E447</f>
        <v/>
      </c>
      <c r="H447" s="65" t="inlineStr">
        <is>
          <t>長榮航(2618)</t>
        </is>
      </c>
      <c r="I447" s="65" t="n"/>
      <c r="J447" t="inlineStr">
        <is>
          <t>投資</t>
        </is>
      </c>
      <c r="K447">
        <f>IF(J447="本金",C447+K446,K446)</f>
        <v/>
      </c>
      <c r="L447">
        <f>IF(J447="本金",F447+L446,L446)</f>
        <v/>
      </c>
    </row>
    <row r="448" outlineLevel="1">
      <c r="A448" s="522" t="n">
        <v>45135</v>
      </c>
      <c r="B448" s="523" t="n"/>
      <c r="C448" s="196" t="n">
        <v>493</v>
      </c>
      <c r="D448" s="524">
        <f>D447+C448-B448</f>
        <v/>
      </c>
      <c r="E448" s="545" t="n"/>
      <c r="F448" s="546" t="n"/>
      <c r="G448" s="547">
        <f>G447+F448-E448</f>
        <v/>
      </c>
      <c r="H448" s="200" t="inlineStr">
        <is>
          <t>敦泰現金股</t>
        </is>
      </c>
      <c r="I448" s="200" t="inlineStr">
        <is>
          <t>現金股利</t>
        </is>
      </c>
      <c r="J448" t="inlineStr">
        <is>
          <t>投資</t>
        </is>
      </c>
      <c r="K448">
        <f>IF(J448="本金",C448+K447,K447)</f>
        <v/>
      </c>
      <c r="L448">
        <f>IF(J448="本金",F448+L447,L447)</f>
        <v/>
      </c>
    </row>
    <row r="449" outlineLevel="1">
      <c r="A449" s="522" t="n">
        <v>45135</v>
      </c>
      <c r="B449" s="523" t="n"/>
      <c r="C449" s="196" t="n">
        <v>1590</v>
      </c>
      <c r="D449" s="524">
        <f>D448+C449-B449</f>
        <v/>
      </c>
      <c r="E449" s="545" t="n"/>
      <c r="F449" s="546" t="n"/>
      <c r="G449" s="547">
        <f>G448+F449-E449</f>
        <v/>
      </c>
      <c r="H449" s="200" t="inlineStr">
        <is>
          <t>全台晶現金股</t>
        </is>
      </c>
      <c r="I449" s="200" t="inlineStr">
        <is>
          <t>現金股利</t>
        </is>
      </c>
      <c r="J449" t="inlineStr">
        <is>
          <t>投資</t>
        </is>
      </c>
      <c r="K449">
        <f>IF(J449="本金",C449+K448,K448)</f>
        <v/>
      </c>
      <c r="L449">
        <f>IF(J449="本金",F449+L448,L448)</f>
        <v/>
      </c>
    </row>
    <row r="450" outlineLevel="1">
      <c r="A450" s="522" t="n">
        <v>45138</v>
      </c>
      <c r="B450" s="523" t="n"/>
      <c r="C450" s="196" t="n">
        <v>4440</v>
      </c>
      <c r="D450" s="524">
        <f>D449+C450-B450</f>
        <v/>
      </c>
      <c r="E450" s="545" t="n"/>
      <c r="F450" s="546" t="n"/>
      <c r="G450" s="547">
        <f>G449+F450-E450</f>
        <v/>
      </c>
      <c r="H450" s="200" t="inlineStr">
        <is>
          <t>群聯電子現金股</t>
        </is>
      </c>
      <c r="I450" s="200" t="inlineStr">
        <is>
          <t>現金股利</t>
        </is>
      </c>
      <c r="J450" t="inlineStr">
        <is>
          <t>投資</t>
        </is>
      </c>
      <c r="K450">
        <f>IF(J450="本金",C450+K449,K449)</f>
        <v/>
      </c>
      <c r="L450">
        <f>IF(J450="本金",F450+L449,L449)</f>
        <v/>
      </c>
    </row>
    <row r="451" outlineLevel="1">
      <c r="A451" s="508" t="n">
        <v>45140</v>
      </c>
      <c r="B451" s="509" t="n">
        <v>54076</v>
      </c>
      <c r="C451" s="123" t="n"/>
      <c r="D451" s="510">
        <f>D450+C451-B451</f>
        <v/>
      </c>
      <c r="E451" s="535" t="n"/>
      <c r="F451" s="541" t="n"/>
      <c r="G451" s="537">
        <f>G450+F451-E451</f>
        <v/>
      </c>
      <c r="H451" s="65" t="inlineStr">
        <is>
          <t>泰銘(9927)</t>
        </is>
      </c>
      <c r="I451" s="65" t="n"/>
      <c r="J451" t="inlineStr">
        <is>
          <t>投資</t>
        </is>
      </c>
      <c r="K451">
        <f>IF(J451="本金",C451+K450,K450)</f>
        <v/>
      </c>
      <c r="L451">
        <f>IF(J451="本金",F451+L450,L450)</f>
        <v/>
      </c>
    </row>
    <row r="452" outlineLevel="1">
      <c r="A452" s="518" t="n">
        <v>45142</v>
      </c>
      <c r="B452" s="519" t="n"/>
      <c r="C452" s="148" t="n">
        <v>116</v>
      </c>
      <c r="D452" s="520">
        <f>D451+C452-B452</f>
        <v/>
      </c>
      <c r="E452" s="542" t="n"/>
      <c r="F452" s="543" t="n"/>
      <c r="G452" s="544">
        <f>G451+F452-E452</f>
        <v/>
      </c>
      <c r="H452" s="152" t="inlineStr">
        <is>
          <t>折讓入帳</t>
        </is>
      </c>
      <c r="I452" s="152" t="n"/>
      <c r="J452" t="inlineStr">
        <is>
          <t>投資</t>
        </is>
      </c>
      <c r="K452">
        <f>IF(J452="本金",C452+K451,K451)</f>
        <v/>
      </c>
      <c r="L452">
        <f>IF(J452="本金",F452+L451,L451)</f>
        <v/>
      </c>
    </row>
    <row r="453" outlineLevel="1">
      <c r="A453" s="508" t="n">
        <v>45145</v>
      </c>
      <c r="B453" s="509" t="n">
        <v>49510</v>
      </c>
      <c r="C453" s="123" t="n"/>
      <c r="D453" s="510">
        <f>D452+C453-B453</f>
        <v/>
      </c>
      <c r="E453" s="535" t="n"/>
      <c r="F453" s="541" t="n"/>
      <c r="G453" s="537">
        <f>G452+F453-E453</f>
        <v/>
      </c>
      <c r="H453" s="65" t="inlineStr">
        <is>
          <t>復華台灣科技優息(00929)</t>
        </is>
      </c>
      <c r="I453" s="65" t="n"/>
      <c r="J453" t="inlineStr">
        <is>
          <t>投資</t>
        </is>
      </c>
      <c r="K453">
        <f>IF(J453="本金",C453+K452,K452)</f>
        <v/>
      </c>
      <c r="L453">
        <f>IF(J453="本金",F453+L452,L452)</f>
        <v/>
      </c>
    </row>
    <row r="454" outlineLevel="1">
      <c r="A454" s="508" t="n">
        <v>45145</v>
      </c>
      <c r="B454" s="509" t="n"/>
      <c r="C454" s="123" t="n">
        <v>37036</v>
      </c>
      <c r="D454" s="510">
        <f>D453+C454-B454</f>
        <v/>
      </c>
      <c r="E454" s="535" t="n"/>
      <c r="F454" s="541" t="n"/>
      <c r="G454" s="537">
        <f>G453+F454-E454</f>
        <v/>
      </c>
      <c r="H454" s="65" t="inlineStr">
        <is>
          <t>力山(1515)</t>
        </is>
      </c>
      <c r="I454" s="65" t="n"/>
      <c r="J454" t="inlineStr">
        <is>
          <t>投資</t>
        </is>
      </c>
      <c r="K454">
        <f>IF(J454="本金",C454+K453,K453)</f>
        <v/>
      </c>
      <c r="L454">
        <f>IF(J454="本金",F454+L453,L453)</f>
        <v/>
      </c>
    </row>
    <row r="455" outlineLevel="1">
      <c r="A455" s="508" t="n">
        <v>45146</v>
      </c>
      <c r="B455" s="509" t="n"/>
      <c r="C455" s="123" t="n">
        <v>55753</v>
      </c>
      <c r="D455" s="510">
        <f>D454+C455-B455</f>
        <v/>
      </c>
      <c r="E455" s="535" t="n"/>
      <c r="F455" s="541" t="n"/>
      <c r="G455" s="537">
        <f>G454+F455-E455</f>
        <v/>
      </c>
      <c r="H455" s="65" t="inlineStr">
        <is>
          <t>泰銘(9927)</t>
        </is>
      </c>
      <c r="I455" s="65" t="n"/>
      <c r="J455" t="inlineStr">
        <is>
          <t>投資</t>
        </is>
      </c>
      <c r="K455">
        <f>IF(J455="本金",C455+K454,K454)</f>
        <v/>
      </c>
      <c r="L455">
        <f>IF(J455="本金",F455+L454,L454)</f>
        <v/>
      </c>
    </row>
    <row r="456" outlineLevel="1">
      <c r="A456" s="522" t="n">
        <v>45149</v>
      </c>
      <c r="B456" s="523" t="n">
        <v>0</v>
      </c>
      <c r="C456" s="196" t="n">
        <v>36209</v>
      </c>
      <c r="D456" s="524">
        <f>D455+C456-B456</f>
        <v/>
      </c>
      <c r="E456" s="545" t="n"/>
      <c r="F456" s="546" t="n"/>
      <c r="G456" s="547">
        <f>G455+F456-E456</f>
        <v/>
      </c>
      <c r="H456" s="200" t="inlineStr">
        <is>
          <t>聯詠科技現金股</t>
        </is>
      </c>
      <c r="I456" s="200" t="inlineStr">
        <is>
          <t>現金股利</t>
        </is>
      </c>
      <c r="J456" t="inlineStr">
        <is>
          <t>投資</t>
        </is>
      </c>
      <c r="K456">
        <f>IF(J456="本金",C456+K455,K455)</f>
        <v/>
      </c>
      <c r="L456">
        <f>IF(J456="本金",F456+L455,L455)</f>
        <v/>
      </c>
    </row>
    <row r="457" outlineLevel="1">
      <c r="A457" s="508" t="n">
        <v>45154</v>
      </c>
      <c r="B457" s="509" t="n"/>
      <c r="C457" s="123" t="n">
        <v>37136</v>
      </c>
      <c r="D457" s="510">
        <f>D456+C457-B457</f>
        <v/>
      </c>
      <c r="E457" s="535" t="n"/>
      <c r="F457" s="541" t="n"/>
      <c r="G457" s="537">
        <f>G456+F457-E457</f>
        <v/>
      </c>
      <c r="H457" s="65" t="inlineStr">
        <is>
          <t>力山(1515)</t>
        </is>
      </c>
      <c r="I457" s="65" t="n"/>
      <c r="J457" t="inlineStr">
        <is>
          <t>投資</t>
        </is>
      </c>
      <c r="K457">
        <f>IF(J457="本金",C457+K456,K456)</f>
        <v/>
      </c>
      <c r="L457">
        <f>IF(J457="本金",F457+L456,L456)</f>
        <v/>
      </c>
    </row>
    <row r="458" outlineLevel="1">
      <c r="A458" s="522" t="n">
        <v>45163</v>
      </c>
      <c r="B458" s="523" t="n"/>
      <c r="C458" s="196" t="n">
        <v>2993</v>
      </c>
      <c r="D458" s="524">
        <f>D457+C458-B458</f>
        <v/>
      </c>
      <c r="E458" s="545" t="n"/>
      <c r="F458" s="546" t="n"/>
      <c r="G458" s="547">
        <f>G457+F458-E458</f>
        <v/>
      </c>
      <c r="H458" s="200" t="inlineStr">
        <is>
          <t>中鋼現金股</t>
        </is>
      </c>
      <c r="I458" s="200" t="inlineStr">
        <is>
          <t>現金股利</t>
        </is>
      </c>
      <c r="J458" t="inlineStr">
        <is>
          <t>投資</t>
        </is>
      </c>
      <c r="K458">
        <f>IF(J458="本金",C458+K457,K457)</f>
        <v/>
      </c>
      <c r="L458">
        <f>IF(J458="本金",F458+L457,L457)</f>
        <v/>
      </c>
    </row>
    <row r="459" outlineLevel="1">
      <c r="A459" s="522" t="n">
        <v>45167</v>
      </c>
      <c r="B459" s="523" t="n"/>
      <c r="C459" s="196" t="n">
        <v>3059</v>
      </c>
      <c r="D459" s="524">
        <f>D458+C459-B459</f>
        <v/>
      </c>
      <c r="E459" s="545" t="n"/>
      <c r="F459" s="546" t="n"/>
      <c r="G459" s="547">
        <f>G458+F459-E459</f>
        <v/>
      </c>
      <c r="H459" s="200" t="inlineStr">
        <is>
          <t>義隆電子現金股</t>
        </is>
      </c>
      <c r="I459" s="200" t="inlineStr">
        <is>
          <t>現金股利</t>
        </is>
      </c>
      <c r="J459" t="inlineStr">
        <is>
          <t>投資</t>
        </is>
      </c>
      <c r="K459">
        <f>IF(J459="本金",C459+K458,K458)</f>
        <v/>
      </c>
      <c r="L459">
        <f>IF(J459="本金",F459+L458,L458)</f>
        <v/>
      </c>
    </row>
    <row r="460" outlineLevel="1">
      <c r="A460" s="522" t="n">
        <v>45169</v>
      </c>
      <c r="B460" s="523" t="n"/>
      <c r="C460" s="196" t="n">
        <v>806</v>
      </c>
      <c r="D460" s="524">
        <f>D459+C460-B460</f>
        <v/>
      </c>
      <c r="E460" s="545" t="n"/>
      <c r="F460" s="546" t="n"/>
      <c r="G460" s="547">
        <f>G459+F460-E460</f>
        <v/>
      </c>
      <c r="H460" s="200" t="inlineStr">
        <is>
          <t>第一金現金股</t>
        </is>
      </c>
      <c r="I460" s="200" t="inlineStr">
        <is>
          <t>現金股利</t>
        </is>
      </c>
      <c r="J460" t="inlineStr">
        <is>
          <t>投資</t>
        </is>
      </c>
      <c r="K460">
        <f>IF(J460="本金",C460+K459,K459)</f>
        <v/>
      </c>
      <c r="L460">
        <f>IF(J460="本金",F460+L459,L459)</f>
        <v/>
      </c>
    </row>
    <row r="461" outlineLevel="1">
      <c r="A461" s="522" t="n">
        <v>45169</v>
      </c>
      <c r="B461" s="523" t="n"/>
      <c r="C461" s="196" t="n">
        <v>640</v>
      </c>
      <c r="D461" s="524">
        <f>D460+C461-B461</f>
        <v/>
      </c>
      <c r="E461" s="545" t="n"/>
      <c r="F461" s="546" t="n"/>
      <c r="G461" s="547">
        <f>G460+F461-E461</f>
        <v/>
      </c>
      <c r="H461" s="200" t="inlineStr">
        <is>
          <t>友達現金股</t>
        </is>
      </c>
      <c r="I461" s="200" t="inlineStr">
        <is>
          <t>現金股利</t>
        </is>
      </c>
      <c r="J461" t="inlineStr">
        <is>
          <t>投資</t>
        </is>
      </c>
      <c r="K461">
        <f>IF(J461="本金",C461+K460,K460)</f>
        <v/>
      </c>
      <c r="L461">
        <f>IF(J461="本金",F461+L460,L460)</f>
        <v/>
      </c>
    </row>
    <row r="462" outlineLevel="1">
      <c r="A462" s="522" t="n">
        <v>45169</v>
      </c>
      <c r="B462" s="523" t="n"/>
      <c r="C462" s="196" t="n">
        <v>5990</v>
      </c>
      <c r="D462" s="524">
        <f>D461+C462-B462</f>
        <v/>
      </c>
      <c r="E462" s="545" t="n"/>
      <c r="F462" s="546" t="n"/>
      <c r="G462" s="547">
        <f>G461+F462-E462</f>
        <v/>
      </c>
      <c r="H462" s="200" t="inlineStr">
        <is>
          <t>宇隆科現金股</t>
        </is>
      </c>
      <c r="I462" s="200" t="inlineStr">
        <is>
          <t>現金股利</t>
        </is>
      </c>
      <c r="J462" t="inlineStr">
        <is>
          <t>投資</t>
        </is>
      </c>
      <c r="K462">
        <f>IF(J462="本金",C462+K461,K461)</f>
        <v/>
      </c>
      <c r="L462">
        <f>IF(J462="本金",F462+L461,L461)</f>
        <v/>
      </c>
    </row>
    <row r="463" outlineLevel="1">
      <c r="A463" s="522" t="n">
        <v>45170</v>
      </c>
      <c r="B463" s="523" t="n"/>
      <c r="C463" s="196" t="n">
        <v>452</v>
      </c>
      <c r="D463" s="524">
        <f>D462+C463-B463</f>
        <v/>
      </c>
      <c r="E463" s="545" t="n"/>
      <c r="F463" s="546" t="n"/>
      <c r="G463" s="547">
        <f>G462+F463-E463</f>
        <v/>
      </c>
      <c r="H463" s="200" t="inlineStr">
        <is>
          <t>群創光減資</t>
        </is>
      </c>
      <c r="I463" s="200" t="inlineStr">
        <is>
          <t>減資</t>
        </is>
      </c>
      <c r="J463" t="inlineStr">
        <is>
          <t>投資</t>
        </is>
      </c>
      <c r="K463">
        <f>IF(J463="本金",C463+K462,K462)</f>
        <v/>
      </c>
      <c r="L463">
        <f>IF(J463="本金",F463+L462,L462)</f>
        <v/>
      </c>
    </row>
    <row r="464" outlineLevel="1">
      <c r="A464" s="518" t="n">
        <v>45174</v>
      </c>
      <c r="B464" s="519" t="n"/>
      <c r="C464" s="148" t="n">
        <v>101</v>
      </c>
      <c r="D464" s="520">
        <f>D463+C464-B464</f>
        <v/>
      </c>
      <c r="E464" s="542" t="n"/>
      <c r="F464" s="543" t="n"/>
      <c r="G464" s="544">
        <f>G463+F464-E464</f>
        <v/>
      </c>
      <c r="H464" s="152" t="inlineStr">
        <is>
          <t>折讓入帳</t>
        </is>
      </c>
      <c r="I464" s="152" t="n"/>
      <c r="J464" t="inlineStr">
        <is>
          <t>投資</t>
        </is>
      </c>
      <c r="K464">
        <f>IF(J464="本金",C464+K463,K463)</f>
        <v/>
      </c>
      <c r="L464">
        <f>IF(J464="本金",F464+L463,L463)</f>
        <v/>
      </c>
    </row>
    <row r="465" outlineLevel="1">
      <c r="A465" s="508" t="n">
        <v>45180</v>
      </c>
      <c r="B465" s="509" t="n">
        <v>17775</v>
      </c>
      <c r="C465" s="123" t="n"/>
      <c r="D465" s="510">
        <f>D464+C465-B465</f>
        <v/>
      </c>
      <c r="E465" s="535" t="n"/>
      <c r="F465" s="541" t="n"/>
      <c r="G465" s="537">
        <f>G464+F465-E465</f>
        <v/>
      </c>
      <c r="H465" s="65" t="inlineStr">
        <is>
          <t>復華台灣科技優息(00929)</t>
        </is>
      </c>
      <c r="I465" s="65" t="n"/>
      <c r="J465" t="inlineStr">
        <is>
          <t>投資</t>
        </is>
      </c>
      <c r="K465">
        <f>IF(J465="本金",C465+K464,K464)</f>
        <v/>
      </c>
      <c r="L465">
        <f>IF(J465="本金",F465+L464,L464)</f>
        <v/>
      </c>
    </row>
    <row r="466" outlineLevel="1">
      <c r="A466" s="522" t="n">
        <v>45181</v>
      </c>
      <c r="B466" s="523" t="n"/>
      <c r="C466" s="196" t="n">
        <v>505</v>
      </c>
      <c r="D466" s="524">
        <f>D465+C466-B466</f>
        <v/>
      </c>
      <c r="E466" s="545" t="n"/>
      <c r="F466" s="546" t="n"/>
      <c r="G466" s="547">
        <f>G465+F466-E466</f>
        <v/>
      </c>
      <c r="H466" s="200" t="inlineStr">
        <is>
          <t>合庫金現金股</t>
        </is>
      </c>
      <c r="I466" s="200" t="inlineStr">
        <is>
          <t>現金股利</t>
        </is>
      </c>
      <c r="J466" t="inlineStr">
        <is>
          <t>投資</t>
        </is>
      </c>
      <c r="K466">
        <f>IF(J466="本金",C466+K465,K465)</f>
        <v/>
      </c>
      <c r="L466">
        <f>IF(J466="本金",F466+L465,L465)</f>
        <v/>
      </c>
    </row>
    <row r="467" outlineLevel="1">
      <c r="A467" s="522" t="n">
        <v>45181</v>
      </c>
      <c r="B467" s="523" t="n"/>
      <c r="C467" s="196" t="n">
        <v>330</v>
      </c>
      <c r="D467" s="524">
        <f>D466+C467-B467</f>
        <v/>
      </c>
      <c r="E467" s="545" t="n"/>
      <c r="F467" s="546" t="n"/>
      <c r="G467" s="547">
        <f>G466+F467-E467</f>
        <v/>
      </c>
      <c r="H467" s="200" t="inlineStr">
        <is>
          <t>復華台灣科技優息</t>
        </is>
      </c>
      <c r="I467" s="200" t="inlineStr">
        <is>
          <t>現金股利</t>
        </is>
      </c>
      <c r="J467" t="inlineStr">
        <is>
          <t>投資</t>
        </is>
      </c>
      <c r="K467">
        <f>IF(J467="本金",C467+K466,K466)</f>
        <v/>
      </c>
      <c r="L467">
        <f>IF(J467="本金",F467+L466,L466)</f>
        <v/>
      </c>
    </row>
    <row r="468" outlineLevel="1">
      <c r="A468" s="522" t="n">
        <v>45190</v>
      </c>
      <c r="B468" s="523" t="n"/>
      <c r="C468" s="196" t="n">
        <v>712</v>
      </c>
      <c r="D468" s="524">
        <f>D467+C468-B468</f>
        <v/>
      </c>
      <c r="E468" s="545" t="n"/>
      <c r="F468" s="546" t="n"/>
      <c r="G468" s="547">
        <f>G467+F468-E468</f>
        <v/>
      </c>
      <c r="H468" s="200" t="inlineStr">
        <is>
          <t>嘉聯益現金股</t>
        </is>
      </c>
      <c r="I468" s="200" t="inlineStr">
        <is>
          <t>現金股利</t>
        </is>
      </c>
      <c r="J468" t="inlineStr">
        <is>
          <t>投資</t>
        </is>
      </c>
      <c r="K468">
        <f>IF(J468="本金",C468+K467,K467)</f>
        <v/>
      </c>
      <c r="L468">
        <f>IF(J468="本金",F468+L467,L467)</f>
        <v/>
      </c>
    </row>
    <row r="469" outlineLevel="1">
      <c r="A469" s="518" t="n">
        <v>45204</v>
      </c>
      <c r="B469" s="519" t="n"/>
      <c r="C469" s="148" t="n">
        <v>10</v>
      </c>
      <c r="D469" s="520">
        <f>D468+C469-B469</f>
        <v/>
      </c>
      <c r="E469" s="542" t="n"/>
      <c r="F469" s="543" t="n"/>
      <c r="G469" s="544">
        <f>G468+F469-E469</f>
        <v/>
      </c>
      <c r="H469" s="152" t="inlineStr">
        <is>
          <t>折讓入帳</t>
        </is>
      </c>
      <c r="I469" s="152" t="n"/>
      <c r="J469" t="inlineStr">
        <is>
          <t>投資</t>
        </is>
      </c>
      <c r="K469">
        <f>IF(J469="本金",C469+K468,K468)</f>
        <v/>
      </c>
      <c r="L469">
        <f>IF(J469="本金",F469+L468,L468)</f>
        <v/>
      </c>
    </row>
    <row r="470" outlineLevel="1">
      <c r="A470" s="508" t="n">
        <v>45211</v>
      </c>
      <c r="B470" s="509" t="n">
        <v>17544</v>
      </c>
      <c r="C470" s="123" t="n"/>
      <c r="D470" s="510">
        <f>D469+C470-B470</f>
        <v/>
      </c>
      <c r="E470" s="535" t="n"/>
      <c r="F470" s="541" t="n"/>
      <c r="G470" s="537">
        <f>G469+F470-E470</f>
        <v/>
      </c>
      <c r="H470" s="65" t="inlineStr">
        <is>
          <t>復華台灣科技優息(00929)</t>
        </is>
      </c>
      <c r="I470" s="65" t="n"/>
      <c r="J470" t="inlineStr">
        <is>
          <t>投資</t>
        </is>
      </c>
      <c r="K470">
        <f>IF(J470="本金",C470+K469,K469)</f>
        <v/>
      </c>
      <c r="L470">
        <f>IF(J470="本金",F470+L469,L469)</f>
        <v/>
      </c>
    </row>
    <row r="471" outlineLevel="1">
      <c r="A471" s="522" t="n">
        <v>45217</v>
      </c>
      <c r="B471" s="523" t="n"/>
      <c r="C471" s="196" t="n">
        <v>440</v>
      </c>
      <c r="D471" s="524">
        <f>D470+C471-B471</f>
        <v/>
      </c>
      <c r="E471" s="545" t="n"/>
      <c r="F471" s="546" t="n"/>
      <c r="G471" s="547">
        <f>G470+F471-E471</f>
        <v/>
      </c>
      <c r="H471" s="200" t="inlineStr">
        <is>
          <t>復華台灣科技優息</t>
        </is>
      </c>
      <c r="I471" s="200" t="inlineStr">
        <is>
          <t>現金股利</t>
        </is>
      </c>
      <c r="J471" t="inlineStr">
        <is>
          <t>投資</t>
        </is>
      </c>
      <c r="K471">
        <f>IF(J471="本金",C471+K470,K470)</f>
        <v/>
      </c>
      <c r="L471">
        <f>IF(J471="本金",F471+L470,L470)</f>
        <v/>
      </c>
    </row>
    <row r="472" outlineLevel="1">
      <c r="A472" s="508" t="n">
        <v>45230</v>
      </c>
      <c r="B472" s="509" t="n">
        <v>40</v>
      </c>
      <c r="C472" s="123" t="n"/>
      <c r="D472" s="510">
        <f>D471+C472-B472</f>
        <v/>
      </c>
      <c r="E472" s="535" t="n"/>
      <c r="F472" s="541" t="n"/>
      <c r="G472" s="537">
        <f>G471+F472-E472</f>
        <v/>
      </c>
      <c r="H472" s="65" t="n"/>
      <c r="I472" s="65" t="n"/>
      <c r="J472" t="inlineStr">
        <is>
          <t>投資</t>
        </is>
      </c>
      <c r="K472">
        <f>IF(J472="本金",C472+K471,K471)</f>
        <v/>
      </c>
      <c r="L472">
        <f>IF(J472="本金",F472+L471,L471)</f>
        <v/>
      </c>
    </row>
    <row r="473" outlineLevel="1">
      <c r="A473" s="522" t="n">
        <v>45230</v>
      </c>
      <c r="B473" s="523" t="n"/>
      <c r="C473" s="196" t="n">
        <v>2036</v>
      </c>
      <c r="D473" s="524">
        <f>D472+C473-B473</f>
        <v/>
      </c>
      <c r="E473" s="545" t="n"/>
      <c r="F473" s="546" t="n"/>
      <c r="G473" s="547">
        <f>G472+F473-E473</f>
        <v/>
      </c>
      <c r="H473" s="200" t="inlineStr">
        <is>
          <t>義隆電子現金股</t>
        </is>
      </c>
      <c r="I473" s="200" t="inlineStr">
        <is>
          <t>現金股利</t>
        </is>
      </c>
      <c r="J473" t="inlineStr">
        <is>
          <t>投資</t>
        </is>
      </c>
      <c r="K473">
        <f>IF(J473="本金",C473+K472,K472)</f>
        <v/>
      </c>
      <c r="L473">
        <f>IF(J473="本金",F473+L472,L472)</f>
        <v/>
      </c>
    </row>
    <row r="474" outlineLevel="1">
      <c r="A474" s="518" t="n">
        <v>45233</v>
      </c>
      <c r="B474" s="519" t="n"/>
      <c r="C474" s="148" t="n">
        <v>9</v>
      </c>
      <c r="D474" s="520">
        <f>D473+C474-B474</f>
        <v/>
      </c>
      <c r="E474" s="542" t="n"/>
      <c r="F474" s="543" t="n"/>
      <c r="G474" s="544">
        <f>G473+F474-E474</f>
        <v/>
      </c>
      <c r="H474" s="152" t="inlineStr">
        <is>
          <t>折讓入帳</t>
        </is>
      </c>
      <c r="I474" s="152" t="n"/>
      <c r="J474" t="inlineStr">
        <is>
          <t>投資</t>
        </is>
      </c>
      <c r="K474">
        <f>IF(J474="本金",C474+K473,K473)</f>
        <v/>
      </c>
      <c r="L474">
        <f>IF(J474="本金",F474+L473,L473)</f>
        <v/>
      </c>
    </row>
    <row r="475" outlineLevel="1">
      <c r="A475" s="508" t="n">
        <v>45238</v>
      </c>
      <c r="B475" s="509" t="n">
        <v>140</v>
      </c>
      <c r="C475" s="123" t="n"/>
      <c r="D475" s="510">
        <f>D474+C475-B475</f>
        <v/>
      </c>
      <c r="E475" s="535" t="n"/>
      <c r="F475" s="541" t="n"/>
      <c r="G475" s="537">
        <f>G474+F475-E475</f>
        <v/>
      </c>
      <c r="H475" s="65" t="n"/>
      <c r="I475" s="65" t="n"/>
      <c r="J475" t="inlineStr">
        <is>
          <t>投資</t>
        </is>
      </c>
      <c r="K475">
        <f>IF(J475="本金",C475+K474,K474)</f>
        <v/>
      </c>
      <c r="L475">
        <f>IF(J475="本金",F475+L474,L474)</f>
        <v/>
      </c>
    </row>
    <row r="476" outlineLevel="1">
      <c r="A476" s="522" t="n">
        <v>45247</v>
      </c>
      <c r="B476" s="523" t="n"/>
      <c r="C476" s="196" t="n">
        <v>550</v>
      </c>
      <c r="D476" s="524">
        <f>D475+C476-B476</f>
        <v/>
      </c>
      <c r="E476" s="545" t="n"/>
      <c r="F476" s="546" t="n"/>
      <c r="G476" s="547">
        <f>G475+F476-E476</f>
        <v/>
      </c>
      <c r="H476" s="200" t="inlineStr">
        <is>
          <t>復華台灣科技優息</t>
        </is>
      </c>
      <c r="I476" s="200" t="inlineStr">
        <is>
          <t>現金股利</t>
        </is>
      </c>
      <c r="J476" t="inlineStr">
        <is>
          <t>投資</t>
        </is>
      </c>
      <c r="K476">
        <f>IF(J476="本金",C476+K475,K475)</f>
        <v/>
      </c>
      <c r="L476">
        <f>IF(J476="本金",F476+L475,L475)</f>
        <v/>
      </c>
    </row>
    <row r="477" outlineLevel="1">
      <c r="A477" s="508" t="n">
        <v>45264</v>
      </c>
      <c r="B477" s="509" t="n">
        <v>20</v>
      </c>
      <c r="C477" s="123" t="n"/>
      <c r="D477" s="510">
        <f>D476+C477-B477</f>
        <v/>
      </c>
      <c r="E477" s="535" t="n"/>
      <c r="F477" s="541" t="n"/>
      <c r="G477" s="537">
        <f>G476+F477-E477</f>
        <v/>
      </c>
      <c r="H477" s="65" t="n"/>
      <c r="I477" s="65" t="n"/>
      <c r="J477" t="inlineStr">
        <is>
          <t>投資</t>
        </is>
      </c>
      <c r="K477">
        <f>IF(J477="本金",C477+K476,K476)</f>
        <v/>
      </c>
      <c r="L477">
        <f>IF(J477="本金",F477+L476,L476)</f>
        <v/>
      </c>
    </row>
    <row r="478" outlineLevel="1">
      <c r="A478" s="508" t="n">
        <v>45275</v>
      </c>
      <c r="B478" s="509" t="n">
        <v>362515</v>
      </c>
      <c r="C478" s="123" t="n"/>
      <c r="D478" s="510">
        <f>D477+C478-B478</f>
        <v/>
      </c>
      <c r="E478" s="535" t="n"/>
      <c r="F478" s="541" t="n"/>
      <c r="G478" s="537">
        <f>G477+F478-E478</f>
        <v/>
      </c>
      <c r="H478" s="65" t="inlineStr">
        <is>
          <t>華城(1519)</t>
        </is>
      </c>
      <c r="I478" s="65" t="n"/>
      <c r="J478" t="inlineStr">
        <is>
          <t>投資</t>
        </is>
      </c>
      <c r="K478">
        <f>IF(J478="本金",C478+K477,K477)</f>
        <v/>
      </c>
      <c r="L478">
        <f>IF(J478="本金",F478+L477,L477)</f>
        <v/>
      </c>
    </row>
    <row r="479" outlineLevel="1">
      <c r="A479" s="508" t="n">
        <v>45275</v>
      </c>
      <c r="B479" s="509" t="n"/>
      <c r="C479" s="123" t="n">
        <v>137390</v>
      </c>
      <c r="D479" s="510">
        <f>D478+C479-B479</f>
        <v/>
      </c>
      <c r="E479" s="535" t="n"/>
      <c r="F479" s="541" t="n"/>
      <c r="G479" s="537">
        <f>G478+F479-E479</f>
        <v/>
      </c>
      <c r="H479" s="65" t="inlineStr">
        <is>
          <t>宇隆(2233)</t>
        </is>
      </c>
      <c r="I479" s="65" t="n"/>
      <c r="J479" t="inlineStr">
        <is>
          <t>投資</t>
        </is>
      </c>
      <c r="K479">
        <f>IF(J479="本金",C479+K478,K478)</f>
        <v/>
      </c>
      <c r="L479">
        <f>IF(J479="本金",F479+L478,L478)</f>
        <v/>
      </c>
    </row>
    <row r="480" outlineLevel="1">
      <c r="A480" s="522" t="n">
        <v>45275</v>
      </c>
      <c r="B480" s="523" t="n"/>
      <c r="C480" s="196" t="n">
        <v>550</v>
      </c>
      <c r="D480" s="524">
        <f>D479+C480-B480</f>
        <v/>
      </c>
      <c r="E480" s="545" t="n"/>
      <c r="F480" s="546" t="n"/>
      <c r="G480" s="547">
        <f>G479+F480-E480</f>
        <v/>
      </c>
      <c r="H480" s="200" t="inlineStr">
        <is>
          <t>復華台灣科技優息</t>
        </is>
      </c>
      <c r="I480" s="200" t="inlineStr">
        <is>
          <t>現金股利</t>
        </is>
      </c>
      <c r="J480" t="inlineStr">
        <is>
          <t>投資</t>
        </is>
      </c>
      <c r="K480">
        <f>IF(J480="本金",C480+K479,K479)</f>
        <v/>
      </c>
      <c r="L480">
        <f>IF(J480="本金",F480+L479,L479)</f>
        <v/>
      </c>
    </row>
    <row r="481" outlineLevel="1">
      <c r="A481" s="513" t="n">
        <v>45281</v>
      </c>
      <c r="B481" s="514" t="n"/>
      <c r="C481" s="154" t="n">
        <v>4274</v>
      </c>
      <c r="D481" s="515">
        <f>D480+C481-B481</f>
        <v/>
      </c>
      <c r="E481" s="538" t="n"/>
      <c r="F481" s="539" t="n"/>
      <c r="G481" s="540">
        <f>G480+F481-E481</f>
        <v/>
      </c>
      <c r="H481" s="158" t="inlineStr">
        <is>
          <t>利息</t>
        </is>
      </c>
      <c r="I481" s="159" t="n"/>
      <c r="J481" t="inlineStr">
        <is>
          <t>投資</t>
        </is>
      </c>
      <c r="K481">
        <f>IF(J481="本金",C481+K480,K480)</f>
        <v/>
      </c>
      <c r="L481">
        <f>IF(J481="本金",F481+L480,L480)</f>
        <v/>
      </c>
    </row>
    <row r="482" outlineLevel="1">
      <c r="A482" s="508" t="n">
        <v>45289</v>
      </c>
      <c r="B482" s="509" t="n">
        <v>38534</v>
      </c>
      <c r="C482" s="123" t="n"/>
      <c r="D482" s="510">
        <f>D481+C482-B482</f>
        <v/>
      </c>
      <c r="E482" s="535" t="n"/>
      <c r="F482" s="541" t="n"/>
      <c r="G482" s="537">
        <f>G481+F482-E482</f>
        <v/>
      </c>
      <c r="H482" s="65" t="inlineStr">
        <is>
          <t>復華台灣科技優息(00929)</t>
        </is>
      </c>
      <c r="I482" s="65" t="n"/>
      <c r="J482" t="inlineStr">
        <is>
          <t>投資</t>
        </is>
      </c>
      <c r="K482">
        <f>IF(J482="本金",C482+K481,K481)</f>
        <v/>
      </c>
      <c r="L482">
        <f>IF(J482="本金",F482+L481,L481)</f>
        <v/>
      </c>
    </row>
    <row r="483" outlineLevel="1">
      <c r="A483" s="508" t="n">
        <v>45289</v>
      </c>
      <c r="B483" s="509" t="n">
        <v>53776</v>
      </c>
      <c r="C483" s="123" t="n"/>
      <c r="D483" s="510">
        <f>D482+C483-B483</f>
        <v/>
      </c>
      <c r="E483" s="535" t="n"/>
      <c r="F483" s="541" t="n"/>
      <c r="G483" s="537">
        <f>G482+F483-E483</f>
        <v/>
      </c>
      <c r="H483" s="65" t="inlineStr">
        <is>
          <t>台產(2832)</t>
        </is>
      </c>
      <c r="I483" s="65" t="n"/>
      <c r="J483" t="inlineStr">
        <is>
          <t>投資</t>
        </is>
      </c>
      <c r="K483">
        <f>IF(J483="本金",C483+K482,K482)</f>
        <v/>
      </c>
      <c r="L483">
        <f>IF(J483="本金",F483+L482,L482)</f>
        <v/>
      </c>
    </row>
    <row r="484" outlineLevel="1">
      <c r="A484" s="508" t="n">
        <v>45291</v>
      </c>
      <c r="B484" s="509" t="n">
        <v>840</v>
      </c>
      <c r="C484" s="123" t="n"/>
      <c r="D484" s="510">
        <f>D483+C484-B484</f>
        <v/>
      </c>
      <c r="E484" s="535" t="n"/>
      <c r="F484" s="541" t="n"/>
      <c r="G484" s="537">
        <f>G483+F484-E484</f>
        <v/>
      </c>
      <c r="H484" s="65" t="inlineStr">
        <is>
          <t>承銷申購</t>
        </is>
      </c>
      <c r="I484" s="65" t="n"/>
      <c r="J484" t="inlineStr">
        <is>
          <t>投資</t>
        </is>
      </c>
      <c r="K484">
        <f>IF(J484="本金",C484+K483,K483)</f>
        <v/>
      </c>
      <c r="L484">
        <f>IF(J484="本金",F484+L483,L483)</f>
        <v/>
      </c>
    </row>
    <row r="485">
      <c r="A485" s="518" t="n">
        <v>45296</v>
      </c>
      <c r="B485" s="519" t="n"/>
      <c r="C485" s="148" t="n">
        <v>335</v>
      </c>
      <c r="D485" s="520">
        <f>D484+C485-B485</f>
        <v/>
      </c>
      <c r="E485" s="542" t="n"/>
      <c r="F485" s="543" t="n"/>
      <c r="G485" s="544">
        <f>G484+F485-E485</f>
        <v/>
      </c>
      <c r="H485" s="152" t="inlineStr">
        <is>
          <t>折讓入帳</t>
        </is>
      </c>
      <c r="I485" s="152" t="n"/>
      <c r="J485" t="inlineStr">
        <is>
          <t>投資</t>
        </is>
      </c>
      <c r="K485">
        <f>IF(J485="本金",C485+K484,K484)</f>
        <v/>
      </c>
      <c r="L485">
        <f>IF(J485="本金",F485+L484,L484)</f>
        <v/>
      </c>
    </row>
    <row r="486">
      <c r="A486" s="508" t="n">
        <v>45301</v>
      </c>
      <c r="B486" s="509" t="n">
        <v>20</v>
      </c>
      <c r="C486" s="123" t="n"/>
      <c r="D486" s="510">
        <f>D485+C486-B486</f>
        <v/>
      </c>
      <c r="E486" s="535" t="n"/>
      <c r="F486" s="541" t="n"/>
      <c r="G486" s="537">
        <f>G485+F486-E486</f>
        <v/>
      </c>
      <c r="H486" s="65" t="n"/>
      <c r="I486" s="65" t="n"/>
      <c r="J486" t="inlineStr">
        <is>
          <t>投資</t>
        </is>
      </c>
      <c r="K486">
        <f>IF(J486="本金",C486+K485,K485)</f>
        <v/>
      </c>
      <c r="L486">
        <f>IF(J486="本金",F486+L485,L485)</f>
        <v/>
      </c>
    </row>
    <row r="487">
      <c r="A487" s="522" t="n">
        <v>45306</v>
      </c>
      <c r="B487" s="523" t="n"/>
      <c r="C487" s="196" t="n">
        <v>550</v>
      </c>
      <c r="D487" s="524">
        <f>D486+C487-B487</f>
        <v/>
      </c>
      <c r="E487" s="545" t="n"/>
      <c r="F487" s="546" t="n"/>
      <c r="G487" s="547">
        <f>G486+F487-E487</f>
        <v/>
      </c>
      <c r="H487" s="200" t="inlineStr">
        <is>
          <t>復華台灣科技優息</t>
        </is>
      </c>
      <c r="I487" s="200" t="inlineStr">
        <is>
          <t>現金股利</t>
        </is>
      </c>
      <c r="J487" t="inlineStr">
        <is>
          <t>投資</t>
        </is>
      </c>
      <c r="K487">
        <f>IF(J487="本金",C487+K486,K486)</f>
        <v/>
      </c>
      <c r="L487">
        <f>IF(J487="本金",F487+L486,L486)</f>
        <v/>
      </c>
    </row>
    <row r="488">
      <c r="A488" s="522" t="n">
        <v>45310</v>
      </c>
      <c r="B488" s="523" t="n"/>
      <c r="C488" s="196" t="n">
        <v>4414</v>
      </c>
      <c r="D488" s="524">
        <f>D487+C488-B488</f>
        <v/>
      </c>
      <c r="E488" s="545" t="n"/>
      <c r="F488" s="546" t="n"/>
      <c r="G488" s="547">
        <f>G487+F488-E488</f>
        <v/>
      </c>
      <c r="H488" s="200" t="inlineStr">
        <is>
          <t>群聯電子現金股</t>
        </is>
      </c>
      <c r="I488" s="200" t="inlineStr">
        <is>
          <t>現金股利</t>
        </is>
      </c>
      <c r="J488" t="inlineStr">
        <is>
          <t>投資</t>
        </is>
      </c>
      <c r="K488">
        <f>IF(J488="本金",C488+K487,K487)</f>
        <v/>
      </c>
      <c r="L488">
        <f>IF(J488="本金",F488+L487,L487)</f>
        <v/>
      </c>
    </row>
    <row r="489">
      <c r="A489" s="508" t="n">
        <v>45315</v>
      </c>
      <c r="B489" s="509" t="n"/>
      <c r="C489" s="123" t="n">
        <v>50377</v>
      </c>
      <c r="D489" s="510">
        <f>D488+C489-B489</f>
        <v/>
      </c>
      <c r="E489" s="535" t="n"/>
      <c r="F489" s="541" t="n"/>
      <c r="G489" s="537">
        <f>G488+F489-E489</f>
        <v/>
      </c>
      <c r="H489" s="65" t="inlineStr">
        <is>
          <t>台產(2832)</t>
        </is>
      </c>
      <c r="I489" s="65" t="n"/>
      <c r="J489" t="inlineStr">
        <is>
          <t>投資</t>
        </is>
      </c>
      <c r="K489">
        <f>IF(J489="本金",C489+K488,K488)</f>
        <v/>
      </c>
      <c r="L489">
        <f>IF(J489="本金",F489+L488,L488)</f>
        <v/>
      </c>
    </row>
    <row r="490">
      <c r="A490" s="508" t="n">
        <v>45322</v>
      </c>
      <c r="B490" s="509" t="n"/>
      <c r="C490" s="123" t="n">
        <v>392257</v>
      </c>
      <c r="D490" s="510">
        <f>D489+C490-B490</f>
        <v/>
      </c>
      <c r="E490" s="535" t="n"/>
      <c r="F490" s="541" t="n"/>
      <c r="G490" s="537">
        <f>G489+F490-E490</f>
        <v/>
      </c>
      <c r="H490" s="65" t="inlineStr">
        <is>
          <t>華城(1519)</t>
        </is>
      </c>
      <c r="I490" s="65" t="n"/>
      <c r="J490" t="inlineStr">
        <is>
          <t>投資</t>
        </is>
      </c>
      <c r="K490">
        <f>IF(J490="本金",C490+K489,K489)</f>
        <v/>
      </c>
      <c r="L490">
        <f>IF(J490="本金",F490+L489,L489)</f>
        <v/>
      </c>
    </row>
    <row r="491">
      <c r="A491" s="518" t="n">
        <v>45296</v>
      </c>
      <c r="B491" s="519" t="n"/>
      <c r="C491" s="148" t="n">
        <v>252</v>
      </c>
      <c r="D491" s="520">
        <f>D490+C491-B491</f>
        <v/>
      </c>
      <c r="E491" s="542" t="n"/>
      <c r="F491" s="543" t="n"/>
      <c r="G491" s="544">
        <f>G490+F491-E491</f>
        <v/>
      </c>
      <c r="H491" s="152" t="inlineStr">
        <is>
          <t>折讓入帳</t>
        </is>
      </c>
      <c r="I491" s="152" t="n"/>
      <c r="J491" t="inlineStr">
        <is>
          <t>投資</t>
        </is>
      </c>
      <c r="K491">
        <f>IF(J491="本金",C491+K490,K490)</f>
        <v/>
      </c>
      <c r="L491">
        <f>IF(J491="本金",F491+L490,L490)</f>
        <v/>
      </c>
    </row>
    <row r="492">
      <c r="A492" s="508" t="n">
        <v>45342</v>
      </c>
      <c r="B492" s="509" t="n">
        <v>18977</v>
      </c>
      <c r="C492" s="123" t="n"/>
      <c r="D492" s="510">
        <f>D491+C492-B492</f>
        <v/>
      </c>
      <c r="E492" s="535" t="n"/>
      <c r="F492" s="541" t="n"/>
      <c r="G492" s="537">
        <f>G491+F492-E492</f>
        <v/>
      </c>
      <c r="H492" s="65" t="inlineStr">
        <is>
          <t>合庫金(5949)</t>
        </is>
      </c>
      <c r="I492" s="65" t="n"/>
      <c r="J492" t="inlineStr">
        <is>
          <t>投資</t>
        </is>
      </c>
      <c r="K492">
        <f>IF(J492="本金",C492+K491,K491)</f>
        <v/>
      </c>
      <c r="L492">
        <f>IF(J492="本金",F492+L491,L491)</f>
        <v/>
      </c>
    </row>
    <row r="493">
      <c r="A493" s="508" t="n">
        <v>45342</v>
      </c>
      <c r="B493" s="509" t="n">
        <v>162230</v>
      </c>
      <c r="C493" s="123" t="n"/>
      <c r="D493" s="510">
        <f>D492+C493-B493</f>
        <v/>
      </c>
      <c r="E493" s="535" t="n"/>
      <c r="F493" s="541" t="n"/>
      <c r="G493" s="537">
        <f>G492+F493-E493</f>
        <v/>
      </c>
      <c r="H493" s="65" t="inlineStr">
        <is>
          <t>合庫金(5950)</t>
        </is>
      </c>
      <c r="I493" s="65" t="n"/>
      <c r="J493" t="inlineStr">
        <is>
          <t>投資</t>
        </is>
      </c>
      <c r="K493">
        <f>IF(J493="本金",C493+K492,K492)</f>
        <v/>
      </c>
      <c r="L493">
        <f>IF(J493="本金",F493+L492,L492)</f>
        <v/>
      </c>
    </row>
    <row r="494">
      <c r="A494" s="508" t="n">
        <v>45342</v>
      </c>
      <c r="B494" s="509" t="n">
        <v>52274</v>
      </c>
      <c r="C494" s="123" t="n"/>
      <c r="D494" s="510">
        <f>D493+C494-B494</f>
        <v/>
      </c>
      <c r="E494" s="535" t="n"/>
      <c r="F494" s="541" t="n"/>
      <c r="G494" s="537">
        <f>G493+F494-E494</f>
        <v/>
      </c>
      <c r="H494" s="65" t="inlineStr">
        <is>
          <t>合庫金(5952)</t>
        </is>
      </c>
      <c r="I494" s="65" t="n"/>
      <c r="J494" t="inlineStr">
        <is>
          <t>投資</t>
        </is>
      </c>
      <c r="K494">
        <f>IF(J494="本金",C494+K493,K493)</f>
        <v/>
      </c>
      <c r="L494">
        <f>IF(J494="本金",F494+L493,L493)</f>
        <v/>
      </c>
    </row>
    <row r="495">
      <c r="A495" s="522" t="n">
        <v>45344</v>
      </c>
      <c r="B495" s="523" t="n"/>
      <c r="C495" s="196" t="n">
        <v>910</v>
      </c>
      <c r="D495" s="524">
        <f>D494+C495-B495</f>
        <v/>
      </c>
      <c r="E495" s="545" t="n"/>
      <c r="F495" s="546" t="n"/>
      <c r="G495" s="547">
        <f>G494+F495-E495</f>
        <v/>
      </c>
      <c r="H495" s="200" t="inlineStr">
        <is>
          <t>復華台灣科技優息</t>
        </is>
      </c>
      <c r="I495" s="200" t="inlineStr">
        <is>
          <t>現金股利</t>
        </is>
      </c>
      <c r="J495" t="inlineStr">
        <is>
          <t>投資</t>
        </is>
      </c>
      <c r="K495">
        <f>IF(J495="本金",C495+K494,K494)</f>
        <v/>
      </c>
      <c r="L495">
        <f>IF(J495="本金",F495+L494,L494)</f>
        <v/>
      </c>
    </row>
    <row r="496">
      <c r="A496" s="508" t="n">
        <v>45352</v>
      </c>
      <c r="B496" s="509" t="n">
        <v>105650</v>
      </c>
      <c r="C496" s="123" t="n"/>
      <c r="D496" s="510">
        <f>D495+C496-B496</f>
        <v/>
      </c>
      <c r="E496" s="535" t="n"/>
      <c r="F496" s="541" t="n"/>
      <c r="G496" s="537">
        <f>G495+F496-E496</f>
        <v/>
      </c>
      <c r="H496" s="65" t="inlineStr">
        <is>
          <t>波若威(3163)</t>
        </is>
      </c>
      <c r="I496" s="65" t="n"/>
      <c r="J496" t="inlineStr">
        <is>
          <t>投資</t>
        </is>
      </c>
      <c r="K496">
        <f>IF(J496="本金",C496+K495,K495)</f>
        <v/>
      </c>
      <c r="L496">
        <f>IF(J496="本金",F496+L495,L495)</f>
        <v/>
      </c>
    </row>
    <row r="497">
      <c r="A497" s="518" t="n">
        <v>45356</v>
      </c>
      <c r="B497" s="519" t="n"/>
      <c r="C497" s="148" t="n">
        <v>191</v>
      </c>
      <c r="D497" s="520">
        <f>D496+C497-B497</f>
        <v/>
      </c>
      <c r="E497" s="542" t="n"/>
      <c r="F497" s="543" t="n"/>
      <c r="G497" s="544">
        <f>G496+F497-E497</f>
        <v/>
      </c>
      <c r="H497" s="152" t="inlineStr">
        <is>
          <t>折讓入帳</t>
        </is>
      </c>
      <c r="I497" s="152" t="n"/>
      <c r="J497" t="inlineStr">
        <is>
          <t>投資</t>
        </is>
      </c>
      <c r="K497">
        <f>IF(J497="本金",C497+K496,K496)</f>
        <v/>
      </c>
      <c r="L497">
        <f>IF(J497="本金",F497+L496,L496)</f>
        <v/>
      </c>
    </row>
    <row r="498">
      <c r="A498" s="508" t="n">
        <v>45363</v>
      </c>
      <c r="B498" s="509" t="n">
        <v>168740</v>
      </c>
      <c r="C498" s="123" t="n"/>
      <c r="D498" s="510">
        <f>D497+C498-B498</f>
        <v/>
      </c>
      <c r="E498" s="535" t="n"/>
      <c r="F498" s="541" t="n"/>
      <c r="G498" s="537">
        <f>G497+F498-E498</f>
        <v/>
      </c>
      <c r="H498" s="65" t="inlineStr">
        <is>
          <t>瑞儀(6176)</t>
        </is>
      </c>
      <c r="I498" s="65" t="n"/>
      <c r="J498" t="inlineStr">
        <is>
          <t>投資</t>
        </is>
      </c>
      <c r="K498">
        <f>IF(J498="本金",C498+K497,K497)</f>
        <v/>
      </c>
      <c r="L498">
        <f>IF(J498="本金",F498+L497,L497)</f>
        <v/>
      </c>
    </row>
    <row r="499">
      <c r="A499" s="508" t="n">
        <v>45363</v>
      </c>
      <c r="B499" s="509" t="n">
        <v>60085</v>
      </c>
      <c r="C499" s="123" t="n"/>
      <c r="D499" s="510">
        <f>D498+C499-B499</f>
        <v/>
      </c>
      <c r="E499" s="535" t="n"/>
      <c r="F499" s="541" t="n"/>
      <c r="G499" s="537">
        <f>G498+F499-E499</f>
        <v/>
      </c>
      <c r="H499" s="65" t="inlineStr">
        <is>
          <t>寬宏藝術(6596)</t>
        </is>
      </c>
      <c r="I499" s="65" t="n"/>
      <c r="J499" t="inlineStr">
        <is>
          <t>投資</t>
        </is>
      </c>
      <c r="K499">
        <f>IF(J499="本金",C499+K498,K498)</f>
        <v/>
      </c>
      <c r="L499">
        <f>IF(J499="本金",F499+L498,L498)</f>
        <v/>
      </c>
    </row>
    <row r="500">
      <c r="A500" s="508" t="n">
        <v>45364</v>
      </c>
      <c r="B500" s="509" t="n">
        <v>31995</v>
      </c>
      <c r="C500" s="123" t="n"/>
      <c r="D500" s="510">
        <f>D499+C500-B500</f>
        <v/>
      </c>
      <c r="E500" s="535" t="n"/>
      <c r="F500" s="541" t="n"/>
      <c r="G500" s="537">
        <f>G499+F500-E500</f>
        <v/>
      </c>
      <c r="H500" s="65" t="inlineStr">
        <is>
          <t>新洲(3171)</t>
        </is>
      </c>
      <c r="I500" s="65" t="n"/>
      <c r="J500" t="inlineStr">
        <is>
          <t>投資</t>
        </is>
      </c>
      <c r="K500">
        <f>IF(J500="本金",C500+K499,K499)</f>
        <v/>
      </c>
      <c r="L500">
        <f>IF(J500="本金",F500+L499,L499)</f>
        <v/>
      </c>
    </row>
    <row r="501">
      <c r="A501" s="508" t="n">
        <v>45370</v>
      </c>
      <c r="B501" s="509" t="n"/>
      <c r="C501" s="123" t="n">
        <v>105531</v>
      </c>
      <c r="D501" s="510">
        <f>D500+C501-B501</f>
        <v/>
      </c>
      <c r="E501" s="535" t="n"/>
      <c r="F501" s="541" t="n"/>
      <c r="G501" s="537">
        <f>G500+F501-E501</f>
        <v/>
      </c>
      <c r="H501" s="65" t="inlineStr">
        <is>
          <t>波若威(3163)</t>
        </is>
      </c>
      <c r="I501" s="65" t="n"/>
      <c r="J501" t="inlineStr">
        <is>
          <t>投資</t>
        </is>
      </c>
      <c r="K501">
        <f>IF(J501="本金",C501+K500,K500)</f>
        <v/>
      </c>
      <c r="L501">
        <f>IF(J501="本金",F501+L500,L500)</f>
        <v/>
      </c>
    </row>
    <row r="502">
      <c r="A502" s="508" t="n">
        <v>45371</v>
      </c>
      <c r="B502" s="509" t="n"/>
      <c r="C502" s="123" t="n">
        <v>172235</v>
      </c>
      <c r="D502" s="510">
        <f>D501+C502-B502</f>
        <v/>
      </c>
      <c r="E502" s="535" t="n"/>
      <c r="F502" s="541" t="n"/>
      <c r="G502" s="537">
        <f>G501+F502-E502</f>
        <v/>
      </c>
      <c r="H502" s="65" t="inlineStr">
        <is>
          <t>瑞儀(6176)</t>
        </is>
      </c>
      <c r="I502" s="65" t="n"/>
      <c r="J502" t="inlineStr">
        <is>
          <t>投資</t>
        </is>
      </c>
      <c r="K502">
        <f>IF(J502="本金",C502+K501,K501)</f>
        <v/>
      </c>
      <c r="L502">
        <f>IF(J502="本金",F502+L501,L501)</f>
        <v/>
      </c>
    </row>
    <row r="503">
      <c r="A503" s="522" t="n">
        <v>45377</v>
      </c>
      <c r="B503" s="523" t="n"/>
      <c r="C503" s="196" t="n">
        <v>1040</v>
      </c>
      <c r="D503" s="524">
        <f>D502+C503-B503</f>
        <v/>
      </c>
      <c r="E503" s="545" t="n"/>
      <c r="F503" s="546" t="n"/>
      <c r="G503" s="547">
        <f>G502+F503-E503</f>
        <v/>
      </c>
      <c r="H503" s="200" t="inlineStr">
        <is>
          <t>復華台灣科技優息</t>
        </is>
      </c>
      <c r="I503" s="200" t="inlineStr">
        <is>
          <t>現金股利</t>
        </is>
      </c>
      <c r="J503" t="inlineStr">
        <is>
          <t>投資</t>
        </is>
      </c>
      <c r="K503">
        <f>IF(J503="本金",C503+K502,K502)</f>
        <v/>
      </c>
      <c r="L503">
        <f>IF(J503="本金",F503+L502,L502)</f>
        <v/>
      </c>
    </row>
    <row r="504">
      <c r="A504" s="508" t="n">
        <v>45379</v>
      </c>
      <c r="B504" s="509" t="n">
        <v>50070</v>
      </c>
      <c r="C504" s="123" t="n"/>
      <c r="D504" s="510">
        <f>D503+C504-B504</f>
        <v/>
      </c>
      <c r="E504" s="535" t="n"/>
      <c r="F504" s="541" t="n"/>
      <c r="G504" s="537">
        <f>G503+F504-E504</f>
        <v/>
      </c>
      <c r="H504" s="65" t="inlineStr">
        <is>
          <t>創為精密(6899)</t>
        </is>
      </c>
      <c r="I504" s="65" t="inlineStr">
        <is>
          <t>股票申購，中簽</t>
        </is>
      </c>
      <c r="J504" t="inlineStr">
        <is>
          <t>投資</t>
        </is>
      </c>
      <c r="K504">
        <f>IF(J504="本金",C504+K503,K503)</f>
        <v/>
      </c>
      <c r="L504">
        <f>IF(J504="本金",F504+L503,L503)</f>
        <v/>
      </c>
    </row>
    <row r="505">
      <c r="A505" s="508" t="n">
        <v>45384</v>
      </c>
      <c r="B505" s="509" t="n"/>
      <c r="C505" s="123" t="n">
        <v>30266</v>
      </c>
      <c r="D505" s="510">
        <f>D504+C505-B505</f>
        <v/>
      </c>
      <c r="E505" s="535" t="n"/>
      <c r="F505" s="541" t="n"/>
      <c r="G505" s="537">
        <f>G504+F505-E505</f>
        <v/>
      </c>
      <c r="H505" s="65" t="inlineStr">
        <is>
          <t>新洲(3171)</t>
        </is>
      </c>
      <c r="I505" s="65" t="n"/>
      <c r="J505" t="inlineStr">
        <is>
          <t>投資</t>
        </is>
      </c>
      <c r="K505">
        <f>IF(J505="本金",C505+K504,K504)</f>
        <v/>
      </c>
      <c r="L505">
        <f>IF(J505="本金",F505+L504,L504)</f>
        <v/>
      </c>
    </row>
    <row r="506">
      <c r="A506" s="518" t="n">
        <v>45385</v>
      </c>
      <c r="B506" s="519" t="n"/>
      <c r="C506" s="148" t="n">
        <v>323</v>
      </c>
      <c r="D506" s="520">
        <f>D505+C506-B506</f>
        <v/>
      </c>
      <c r="E506" s="542" t="n"/>
      <c r="F506" s="543" t="n"/>
      <c r="G506" s="544">
        <f>G505+F506-E506</f>
        <v/>
      </c>
      <c r="H506" s="152" t="inlineStr">
        <is>
          <t>折讓入帳</t>
        </is>
      </c>
      <c r="I506" s="152" t="n"/>
      <c r="J506" t="inlineStr">
        <is>
          <t>投資</t>
        </is>
      </c>
      <c r="K506">
        <f>IF(J506="本金",C506+K505,K505)</f>
        <v/>
      </c>
      <c r="L506">
        <f>IF(J506="本金",F506+L505,L505)</f>
        <v/>
      </c>
    </row>
    <row r="507">
      <c r="A507" s="508" t="n">
        <v>45385</v>
      </c>
      <c r="B507" s="509" t="n">
        <v>62889</v>
      </c>
      <c r="C507" s="123" t="n"/>
      <c r="D507" s="510">
        <f>D506+C507-B507</f>
        <v/>
      </c>
      <c r="E507" s="535" t="n"/>
      <c r="F507" s="541" t="n"/>
      <c r="G507" s="537">
        <f>G506+F507-E507</f>
        <v/>
      </c>
      <c r="H507" s="65" t="inlineStr">
        <is>
          <t>訊聯(1784)</t>
        </is>
      </c>
      <c r="I507" s="65" t="n"/>
      <c r="J507" t="inlineStr">
        <is>
          <t>投資</t>
        </is>
      </c>
      <c r="K507">
        <f>IF(J507="本金",C507+K506,K506)</f>
        <v/>
      </c>
      <c r="L507">
        <f>IF(J507="本金",F507+L506,L506)</f>
        <v/>
      </c>
    </row>
    <row r="508">
      <c r="A508" s="508" t="n">
        <v>45385</v>
      </c>
      <c r="B508" s="509" t="n">
        <v>79513</v>
      </c>
      <c r="C508" s="123" t="n"/>
      <c r="D508" s="510">
        <f>D507+C508-B508</f>
        <v/>
      </c>
      <c r="E508" s="535" t="n"/>
      <c r="F508" s="541" t="n"/>
      <c r="G508" s="537">
        <f>G507+F508-E508</f>
        <v/>
      </c>
      <c r="H508" s="65" t="inlineStr">
        <is>
          <t>杏一(4175)</t>
        </is>
      </c>
      <c r="I508" s="65" t="n"/>
      <c r="J508" t="inlineStr">
        <is>
          <t>投資</t>
        </is>
      </c>
      <c r="K508">
        <f>IF(J508="本金",C508+K507,K507)</f>
        <v/>
      </c>
      <c r="L508">
        <f>IF(J508="本金",F508+L507,L507)</f>
        <v/>
      </c>
    </row>
    <row r="509">
      <c r="A509" s="508" t="n">
        <v>45385</v>
      </c>
      <c r="B509" s="509" t="n">
        <v>157223</v>
      </c>
      <c r="C509" s="123" t="n"/>
      <c r="D509" s="510">
        <f>D508+C509-B509</f>
        <v/>
      </c>
      <c r="E509" s="535" t="n"/>
      <c r="F509" s="541" t="n"/>
      <c r="G509" s="537">
        <f>G508+F509-E509</f>
        <v/>
      </c>
      <c r="H509" s="65" t="inlineStr">
        <is>
          <t>普萊德(6263)</t>
        </is>
      </c>
      <c r="I509" s="65" t="n"/>
      <c r="J509" t="inlineStr">
        <is>
          <t>投資</t>
        </is>
      </c>
      <c r="K509">
        <f>IF(J509="本金",C509+K508,K508)</f>
        <v/>
      </c>
      <c r="L509">
        <f>IF(J509="本金",F509+L508,L508)</f>
        <v/>
      </c>
    </row>
    <row r="510">
      <c r="A510" s="508" t="n">
        <v>45390</v>
      </c>
      <c r="B510" s="509" t="n">
        <v>59985</v>
      </c>
      <c r="C510" s="123" t="n"/>
      <c r="D510" s="510">
        <f>D509+C510-B510</f>
        <v/>
      </c>
      <c r="E510" s="535" t="n"/>
      <c r="F510" s="541" t="n"/>
      <c r="G510" s="537">
        <f>G509+F510-E510</f>
        <v/>
      </c>
      <c r="H510" s="65" t="inlineStr">
        <is>
          <t>堤維西(1522)</t>
        </is>
      </c>
      <c r="I510" s="65" t="n"/>
      <c r="J510" t="inlineStr">
        <is>
          <t>投資</t>
        </is>
      </c>
      <c r="K510">
        <f>IF(J510="本金",C510+K509,K509)</f>
        <v/>
      </c>
      <c r="L510">
        <f>IF(J510="本金",F510+L509,L509)</f>
        <v/>
      </c>
    </row>
    <row r="511">
      <c r="A511" s="508" t="n">
        <v>45390</v>
      </c>
      <c r="B511" s="509" t="n"/>
      <c r="C511" s="123" t="n">
        <v>716814</v>
      </c>
      <c r="D511" s="510">
        <f>D510+C511-B511</f>
        <v/>
      </c>
      <c r="E511" s="535" t="n"/>
      <c r="F511" s="541" t="n"/>
      <c r="G511" s="537">
        <f>G510+F511-E511</f>
        <v/>
      </c>
      <c r="H511" s="65" t="inlineStr">
        <is>
          <t>群聯(8299)</t>
        </is>
      </c>
      <c r="I511" s="65" t="n"/>
      <c r="J511" t="inlineStr">
        <is>
          <t>投資</t>
        </is>
      </c>
      <c r="K511">
        <f>IF(J511="本金",C511+K510,K510)</f>
        <v/>
      </c>
      <c r="L511">
        <f>IF(J511="本金",F511+L510,L510)</f>
        <v/>
      </c>
    </row>
    <row r="512">
      <c r="A512" s="508" t="n">
        <v>45397</v>
      </c>
      <c r="B512" s="509" t="n"/>
      <c r="C512" s="123" t="n">
        <v>70686</v>
      </c>
      <c r="D512" s="510">
        <f>D511+C512-B512</f>
        <v/>
      </c>
      <c r="E512" s="535" t="n"/>
      <c r="F512" s="541" t="n"/>
      <c r="G512" s="537">
        <f>G511+F512-E512</f>
        <v/>
      </c>
      <c r="H512" s="65" t="inlineStr">
        <is>
          <t>寬宏藝術(6596)</t>
        </is>
      </c>
      <c r="I512" s="65" t="n"/>
      <c r="J512" t="inlineStr">
        <is>
          <t>投資</t>
        </is>
      </c>
      <c r="K512">
        <f>IF(J512="本金",C512+K511,K511)</f>
        <v/>
      </c>
      <c r="L512">
        <f>IF(J512="本金",F512+L511,L511)</f>
        <v/>
      </c>
    </row>
    <row r="513">
      <c r="A513" s="508" t="n">
        <v>45397</v>
      </c>
      <c r="B513" s="509" t="n"/>
      <c r="C513" s="123" t="n">
        <v>67004</v>
      </c>
      <c r="D513" s="510">
        <f>D512+C513-B513</f>
        <v/>
      </c>
      <c r="E513" s="535" t="n"/>
      <c r="F513" s="541" t="n"/>
      <c r="G513" s="537">
        <f>G512+F513-E513</f>
        <v/>
      </c>
      <c r="H513" s="65" t="inlineStr">
        <is>
          <t>創為精密(6899)</t>
        </is>
      </c>
      <c r="I513" s="65" t="n"/>
      <c r="J513" t="inlineStr">
        <is>
          <t>投資</t>
        </is>
      </c>
      <c r="K513">
        <f>IF(J513="本金",C513+K512,K512)</f>
        <v/>
      </c>
      <c r="L513">
        <f>IF(J513="本金",F513+L512,L512)</f>
        <v/>
      </c>
    </row>
    <row r="514">
      <c r="A514" s="522" t="n">
        <v>45398</v>
      </c>
      <c r="B514" s="523" t="n"/>
      <c r="C514" s="196" t="n">
        <v>1040</v>
      </c>
      <c r="D514" s="524">
        <f>D513+C514-B514</f>
        <v/>
      </c>
      <c r="E514" s="545" t="n"/>
      <c r="F514" s="546" t="n"/>
      <c r="G514" s="547">
        <f>G513+F514-E514</f>
        <v/>
      </c>
      <c r="H514" s="200" t="inlineStr">
        <is>
          <t>復華台灣科技優息</t>
        </is>
      </c>
      <c r="I514" s="200" t="inlineStr">
        <is>
          <t>現金股利</t>
        </is>
      </c>
      <c r="J514" t="inlineStr">
        <is>
          <t>投資</t>
        </is>
      </c>
      <c r="K514">
        <f>IF(J514="本金",C514+K513,K513)</f>
        <v/>
      </c>
      <c r="L514">
        <f>IF(J514="本金",F514+L513,L513)</f>
        <v/>
      </c>
    </row>
    <row r="515">
      <c r="A515" s="522" t="n">
        <v>45406</v>
      </c>
      <c r="B515" s="523" t="n"/>
      <c r="C515" s="196" t="n">
        <v>1358</v>
      </c>
      <c r="D515" s="524">
        <f>D514+C515-B515</f>
        <v/>
      </c>
      <c r="E515" s="545" t="n"/>
      <c r="F515" s="546" t="n"/>
      <c r="G515" s="547">
        <f>G514+F515-E515</f>
        <v/>
      </c>
      <c r="H515" s="200" t="inlineStr">
        <is>
          <t>燦星網現金股</t>
        </is>
      </c>
      <c r="I515" s="200" t="inlineStr">
        <is>
          <t>現金股利</t>
        </is>
      </c>
      <c r="J515" t="inlineStr">
        <is>
          <t>投資</t>
        </is>
      </c>
      <c r="K515">
        <f>IF(J515="本金",C515+K514,K514)</f>
        <v/>
      </c>
      <c r="L515">
        <f>IF(J515="本金",F515+L514,L514)</f>
        <v/>
      </c>
    </row>
    <row r="516">
      <c r="A516" s="522" t="n">
        <v>45407</v>
      </c>
      <c r="B516" s="523" t="n"/>
      <c r="C516" s="196" t="n">
        <v>5290</v>
      </c>
      <c r="D516" s="524">
        <f>D515+C516-B516</f>
        <v/>
      </c>
      <c r="E516" s="545" t="n"/>
      <c r="F516" s="546" t="n"/>
      <c r="G516" s="547">
        <f>G515+F516-E516</f>
        <v/>
      </c>
      <c r="H516" s="200" t="inlineStr">
        <is>
          <t>寬宏藝術現金股</t>
        </is>
      </c>
      <c r="I516" s="200" t="inlineStr">
        <is>
          <t>現金股利</t>
        </is>
      </c>
      <c r="J516" t="inlineStr">
        <is>
          <t>投資</t>
        </is>
      </c>
      <c r="K516">
        <f>IF(J516="本金",C516+K515,K515)</f>
        <v/>
      </c>
      <c r="L516">
        <f>IF(J516="本金",F516+L515,L515)</f>
        <v/>
      </c>
    </row>
    <row r="517">
      <c r="A517" s="522" t="n">
        <v>45408</v>
      </c>
      <c r="B517" s="523" t="n"/>
      <c r="C517" s="196" t="n">
        <v>3042</v>
      </c>
      <c r="D517" s="524">
        <f>D516+C517-B517</f>
        <v/>
      </c>
      <c r="E517" s="545" t="n"/>
      <c r="F517" s="546" t="n"/>
      <c r="G517" s="547">
        <f>G516+F517-E517</f>
        <v/>
      </c>
      <c r="H517" s="200" t="inlineStr">
        <is>
          <t>義隆電子現金股</t>
        </is>
      </c>
      <c r="I517" s="200" t="inlineStr">
        <is>
          <t>現金股利</t>
        </is>
      </c>
      <c r="J517" t="inlineStr">
        <is>
          <t>投資</t>
        </is>
      </c>
      <c r="K517">
        <f>IF(J517="本金",C517+K516,K516)</f>
        <v/>
      </c>
      <c r="L517">
        <f>IF(J517="本金",F517+L516,L516)</f>
        <v/>
      </c>
    </row>
    <row r="518">
      <c r="A518" s="518" t="n">
        <v>45415</v>
      </c>
      <c r="B518" s="519" t="n"/>
      <c r="C518" s="148" t="n">
        <v>691</v>
      </c>
      <c r="D518" s="520">
        <f>D517+C518-B518</f>
        <v/>
      </c>
      <c r="E518" s="542" t="n"/>
      <c r="F518" s="543" t="n"/>
      <c r="G518" s="544">
        <f>G517+F518-E518</f>
        <v/>
      </c>
      <c r="H518" s="152" t="inlineStr">
        <is>
          <t>折讓入帳</t>
        </is>
      </c>
      <c r="I518" s="152" t="n"/>
      <c r="J518" t="inlineStr">
        <is>
          <t>投資</t>
        </is>
      </c>
      <c r="K518">
        <f>IF(J518="本金",C518+K517,K517)</f>
        <v/>
      </c>
      <c r="L518">
        <f>IF(J518="本金",F518+L517,L517)</f>
        <v/>
      </c>
    </row>
    <row r="519">
      <c r="A519" s="508" t="n">
        <v>45417</v>
      </c>
      <c r="B519" s="509" t="n"/>
      <c r="C519" s="123" t="n">
        <v>66704</v>
      </c>
      <c r="D519" s="510">
        <f>D518+C519-B519</f>
        <v/>
      </c>
      <c r="E519" s="535" t="n"/>
      <c r="F519" s="541" t="n"/>
      <c r="G519" s="537">
        <f>G518+F519-E519</f>
        <v/>
      </c>
      <c r="H519" s="65" t="inlineStr">
        <is>
          <t>訊聯(1784)</t>
        </is>
      </c>
      <c r="I519" s="65" t="n"/>
      <c r="J519" t="inlineStr">
        <is>
          <t>投資</t>
        </is>
      </c>
      <c r="K519">
        <f>IF(J519="本金",C519+K518,K518)</f>
        <v/>
      </c>
      <c r="L519">
        <f>IF(J519="本金",F519+L518,L518)</f>
        <v/>
      </c>
    </row>
    <row r="520">
      <c r="A520" s="508" t="n">
        <v>45418</v>
      </c>
      <c r="B520" s="509" t="n"/>
      <c r="C520" s="123" t="n">
        <v>76461</v>
      </c>
      <c r="D520" s="510">
        <f>D519+C520-B520</f>
        <v/>
      </c>
      <c r="E520" s="535" t="n"/>
      <c r="F520" s="541" t="n"/>
      <c r="G520" s="537">
        <f>G519+F520-E520</f>
        <v/>
      </c>
      <c r="H520" s="65" t="inlineStr">
        <is>
          <t>杏一(4175)</t>
        </is>
      </c>
      <c r="I520" s="65" t="n"/>
      <c r="J520" t="inlineStr">
        <is>
          <t>投資</t>
        </is>
      </c>
      <c r="K520">
        <f>IF(J520="本金",C520+K519,K519)</f>
        <v/>
      </c>
      <c r="L520">
        <f>IF(J520="本金",F520+L519,L519)</f>
        <v/>
      </c>
    </row>
    <row r="521">
      <c r="A521" s="508" t="n">
        <v>45422</v>
      </c>
      <c r="B521" s="509" t="n"/>
      <c r="C521" s="123" t="n">
        <v>158297</v>
      </c>
      <c r="D521" s="510">
        <f>D520+C521-B521</f>
        <v/>
      </c>
      <c r="E521" s="535" t="n"/>
      <c r="F521" s="541" t="n"/>
      <c r="G521" s="537">
        <f>G520+F521-E521</f>
        <v/>
      </c>
      <c r="H521" s="65" t="inlineStr">
        <is>
          <t>普萊德(6263)</t>
        </is>
      </c>
      <c r="I521" s="65" t="n"/>
      <c r="J521" t="inlineStr">
        <is>
          <t>投資</t>
        </is>
      </c>
      <c r="K521">
        <f>IF(J521="本金",C521+K520,K520)</f>
        <v/>
      </c>
      <c r="L521">
        <f>IF(J521="本金",F521+L520,L520)</f>
        <v/>
      </c>
    </row>
    <row r="522">
      <c r="A522" s="522" t="n">
        <v>45422</v>
      </c>
      <c r="B522" s="523" t="n"/>
      <c r="C522" s="196" t="n">
        <v>3490</v>
      </c>
      <c r="D522" s="524">
        <f>D521+C522-B522</f>
        <v/>
      </c>
      <c r="E522" s="545" t="n"/>
      <c r="F522" s="546" t="n"/>
      <c r="G522" s="547">
        <f>G521+F522-E522</f>
        <v/>
      </c>
      <c r="H522" s="200" t="inlineStr">
        <is>
          <t>豐興鋼鐵現金股</t>
        </is>
      </c>
      <c r="I522" s="200" t="inlineStr">
        <is>
          <t>現金股利</t>
        </is>
      </c>
      <c r="J522" t="inlineStr">
        <is>
          <t>投資</t>
        </is>
      </c>
      <c r="K522">
        <f>IF(J522="本金",C522+K521,K521)</f>
        <v/>
      </c>
      <c r="L522">
        <f>IF(J522="本金",F522+L521,L521)</f>
        <v/>
      </c>
    </row>
    <row r="523">
      <c r="A523" s="522" t="n">
        <v>45422</v>
      </c>
      <c r="B523" s="523" t="n"/>
      <c r="C523" s="196" t="n">
        <v>889</v>
      </c>
      <c r="D523" s="524">
        <f>D522+C523-B523</f>
        <v/>
      </c>
      <c r="E523" s="545" t="n"/>
      <c r="F523" s="546" t="n"/>
      <c r="G523" s="547">
        <f>G522+F523-E523</f>
        <v/>
      </c>
      <c r="H523" s="200" t="inlineStr">
        <is>
          <t>大展證現金股</t>
        </is>
      </c>
      <c r="I523" s="200" t="inlineStr">
        <is>
          <t>現金股利</t>
        </is>
      </c>
      <c r="J523" t="inlineStr">
        <is>
          <t>投資</t>
        </is>
      </c>
      <c r="K523">
        <f>IF(J523="本金",C523+K522,K522)</f>
        <v/>
      </c>
      <c r="L523">
        <f>IF(J523="本金",F523+L522,L522)</f>
        <v/>
      </c>
    </row>
    <row r="524">
      <c r="A524" s="508" t="n">
        <v>45417</v>
      </c>
      <c r="B524" s="509" t="n">
        <v>400</v>
      </c>
      <c r="C524" s="123" t="n"/>
      <c r="D524" s="510">
        <f>D523+C524-B524</f>
        <v/>
      </c>
      <c r="E524" s="535" t="n"/>
      <c r="F524" s="541" t="n"/>
      <c r="G524" s="537">
        <f>G523+F524-E524</f>
        <v/>
      </c>
      <c r="H524" s="65" t="n"/>
      <c r="I524" s="65" t="inlineStr">
        <is>
          <t>股票申購</t>
        </is>
      </c>
      <c r="J524" t="inlineStr">
        <is>
          <t>投資</t>
        </is>
      </c>
      <c r="K524">
        <f>IF(J524="本金",C524+K523,K523)</f>
        <v/>
      </c>
      <c r="L524">
        <f>IF(J524="本金",F524+L523,L523)</f>
        <v/>
      </c>
    </row>
    <row r="525">
      <c r="A525" s="522" t="n">
        <v>45432</v>
      </c>
      <c r="B525" s="523" t="n"/>
      <c r="C525" s="196" t="n">
        <v>1600</v>
      </c>
      <c r="D525" s="524">
        <f>D524+C525-B525</f>
        <v/>
      </c>
      <c r="E525" s="545" t="n"/>
      <c r="F525" s="546" t="n"/>
      <c r="G525" s="547">
        <f>G524+F525-E525</f>
        <v/>
      </c>
      <c r="H525" s="200" t="inlineStr">
        <is>
          <t>復華台灣科技優息</t>
        </is>
      </c>
      <c r="I525" s="200" t="inlineStr">
        <is>
          <t>現金股利</t>
        </is>
      </c>
      <c r="J525" t="inlineStr">
        <is>
          <t>投資</t>
        </is>
      </c>
      <c r="K525">
        <f>IF(J525="本金",C525+K524,K524)</f>
        <v/>
      </c>
      <c r="L525">
        <f>IF(J525="本金",F525+L524,L524)</f>
        <v/>
      </c>
    </row>
    <row r="526">
      <c r="A526" s="508" t="n">
        <v>45440</v>
      </c>
      <c r="B526" s="509" t="n"/>
      <c r="C526" s="123" t="n">
        <v>28126</v>
      </c>
      <c r="D526" s="510">
        <f>D525+C526-B526</f>
        <v/>
      </c>
      <c r="E526" s="535" t="n"/>
      <c r="F526" s="541" t="n"/>
      <c r="G526" s="537">
        <f>G525+F526-E526</f>
        <v/>
      </c>
      <c r="H526" s="65" t="inlineStr">
        <is>
          <t>第一金(2892)</t>
        </is>
      </c>
      <c r="I526" s="65" t="n"/>
      <c r="J526" t="inlineStr">
        <is>
          <t>投資</t>
        </is>
      </c>
      <c r="K526">
        <f>IF(J526="本金",C526+K525,K525)</f>
        <v/>
      </c>
      <c r="L526">
        <f>IF(J526="本金",F526+L525,L525)</f>
        <v/>
      </c>
    </row>
    <row r="527">
      <c r="A527" s="508" t="n">
        <v>45440</v>
      </c>
      <c r="B527" s="509" t="n"/>
      <c r="C527" s="123" t="n">
        <v>1411</v>
      </c>
      <c r="D527" s="510">
        <f>D526+C527-B527</f>
        <v/>
      </c>
      <c r="E527" s="535" t="n"/>
      <c r="F527" s="541" t="n"/>
      <c r="G527" s="537">
        <f>G526+F527-E527</f>
        <v/>
      </c>
      <c r="H527" s="65" t="inlineStr">
        <is>
          <t>第一金(2892)</t>
        </is>
      </c>
      <c r="I527" s="65" t="n"/>
      <c r="J527" t="inlineStr">
        <is>
          <t>投資</t>
        </is>
      </c>
      <c r="K527">
        <f>IF(J527="本金",C527+K526,K526)</f>
        <v/>
      </c>
      <c r="L527">
        <f>IF(J527="本金",F527+L526,L526)</f>
        <v/>
      </c>
    </row>
    <row r="528">
      <c r="A528" s="508" t="n">
        <v>45441</v>
      </c>
      <c r="B528" s="509" t="n"/>
      <c r="C528" s="123" t="n"/>
      <c r="D528" s="510">
        <f>D527+C528-B528</f>
        <v/>
      </c>
      <c r="E528" s="535" t="n"/>
      <c r="F528" s="541" t="n">
        <v>10000</v>
      </c>
      <c r="G528" s="537">
        <f>G527+F528-E528</f>
        <v/>
      </c>
      <c r="H528" s="65" t="n"/>
      <c r="I528" s="227" t="inlineStr">
        <is>
          <t>美金存現</t>
        </is>
      </c>
      <c r="J528" t="inlineStr">
        <is>
          <t>本金</t>
        </is>
      </c>
      <c r="K528">
        <f>IF(J528="本金",C528+K527,K527)</f>
        <v/>
      </c>
      <c r="L528">
        <f>IF(J528="本金",F528+L527,L527)</f>
        <v/>
      </c>
    </row>
    <row r="529">
      <c r="A529" s="508" t="n">
        <v>45441</v>
      </c>
      <c r="B529" s="509" t="n">
        <v>1550</v>
      </c>
      <c r="C529" s="123" t="n"/>
      <c r="D529" s="510">
        <f>D528+C529-B529</f>
        <v/>
      </c>
      <c r="E529" s="535" t="n"/>
      <c r="F529" s="541" t="n"/>
      <c r="G529" s="537">
        <f>G528+F529-E529</f>
        <v/>
      </c>
      <c r="H529" s="65" t="n"/>
      <c r="I529" s="227" t="inlineStr">
        <is>
          <t>美金存現手續費</t>
        </is>
      </c>
      <c r="J529" t="inlineStr">
        <is>
          <t>投資</t>
        </is>
      </c>
      <c r="K529">
        <f>IF(J529="本金",C529+K528,K528)</f>
        <v/>
      </c>
      <c r="L529">
        <f>IF(J529="本金",F529+L528,L528)</f>
        <v/>
      </c>
    </row>
    <row r="530">
      <c r="A530" s="508" t="n">
        <v>45547</v>
      </c>
      <c r="B530" s="509">
        <f>3669452+248970</f>
        <v/>
      </c>
      <c r="C530" s="123" t="n">
        <v>3203901</v>
      </c>
      <c r="D530" s="510">
        <f>D529+C530-B530</f>
        <v/>
      </c>
      <c r="E530" s="535" t="n"/>
      <c r="F530" s="541" t="n"/>
      <c r="G530" s="537">
        <f>G529+F530-E530</f>
        <v/>
      </c>
      <c r="H530" s="65" t="inlineStr">
        <is>
          <t>彙總</t>
        </is>
      </c>
      <c r="I530" s="65" t="n"/>
      <c r="J530" t="inlineStr">
        <is>
          <t>投資</t>
        </is>
      </c>
      <c r="K530">
        <f>IF(J530="本金",C530+K529,K529)</f>
        <v/>
      </c>
      <c r="L530">
        <f>IF(J530="本金",F530+L529,L529)</f>
        <v/>
      </c>
    </row>
    <row r="531">
      <c r="A531" s="508" t="n">
        <v>45547</v>
      </c>
      <c r="B531" s="509" t="n"/>
      <c r="C531" s="123" t="n"/>
      <c r="D531" s="510">
        <f>D530+C531-B531</f>
        <v/>
      </c>
      <c r="E531" s="535" t="n"/>
      <c r="F531" s="541" t="n">
        <v>1.74</v>
      </c>
      <c r="G531" s="537">
        <f>G530+F531-E531</f>
        <v/>
      </c>
      <c r="H531" s="65" t="n"/>
      <c r="I531" s="227" t="inlineStr">
        <is>
          <t>美金存現</t>
        </is>
      </c>
      <c r="J531" t="inlineStr">
        <is>
          <t>本金</t>
        </is>
      </c>
      <c r="K531">
        <f>IF(J531="本金",C531+K530,K530)</f>
        <v/>
      </c>
      <c r="L531">
        <f>IF(J531="本金",F531+L530,L530)</f>
        <v/>
      </c>
    </row>
    <row r="532">
      <c r="A532" s="508" t="n">
        <v>45547</v>
      </c>
      <c r="B532" s="509" t="n"/>
      <c r="C532" s="123" t="n"/>
      <c r="D532" s="510">
        <f>D531+C532-B532</f>
        <v/>
      </c>
      <c r="E532" s="535" t="n">
        <v>9190.92</v>
      </c>
      <c r="F532" s="541" t="n"/>
      <c r="G532" s="537">
        <f>G531+F532-E532</f>
        <v/>
      </c>
      <c r="H532" t="inlineStr">
        <is>
          <t>NVDA</t>
        </is>
      </c>
      <c r="I532" s="65" t="inlineStr">
        <is>
          <t>複委託 買進</t>
        </is>
      </c>
      <c r="J532" t="inlineStr">
        <is>
          <t>投資</t>
        </is>
      </c>
      <c r="K532">
        <f>IF(J532="本金",C532+K531,K531)</f>
        <v/>
      </c>
      <c r="L532">
        <f>IF(J532="本金",F532+L531,L531)</f>
        <v/>
      </c>
    </row>
    <row r="533">
      <c r="A533" s="522" t="n">
        <v>45548</v>
      </c>
      <c r="B533" s="523" t="n"/>
      <c r="C533" s="196" t="n">
        <v>1440</v>
      </c>
      <c r="D533" s="524">
        <f>D532+C533-B533</f>
        <v/>
      </c>
      <c r="E533" s="545" t="n"/>
      <c r="F533" s="546" t="n"/>
      <c r="G533" s="547">
        <f>G532+F533-E533</f>
        <v/>
      </c>
      <c r="H533" s="200" t="inlineStr">
        <is>
          <t>復華台灣科技優息</t>
        </is>
      </c>
      <c r="I533" s="200" t="inlineStr">
        <is>
          <t>現金股利</t>
        </is>
      </c>
      <c r="J533" t="inlineStr">
        <is>
          <t>投資</t>
        </is>
      </c>
      <c r="K533">
        <f>IF(J533="本金",C533+K532,K532)</f>
        <v/>
      </c>
      <c r="L533">
        <f>IF(J533="本金",F533+L532,L532)</f>
        <v/>
      </c>
    </row>
    <row r="534">
      <c r="A534" s="508" t="n">
        <v>45551</v>
      </c>
      <c r="B534" s="509" t="n"/>
      <c r="C534" s="123" t="n">
        <v>110050</v>
      </c>
      <c r="D534" s="510">
        <f>D533+C534-B534</f>
        <v/>
      </c>
      <c r="E534" s="535" t="n"/>
      <c r="F534" s="541" t="n"/>
      <c r="G534" s="537">
        <f>G533+F534-E534</f>
        <v/>
      </c>
      <c r="H534" t="inlineStr">
        <is>
          <t>證卷交割</t>
        </is>
      </c>
      <c r="I534" t="inlineStr">
        <is>
          <t>現金股利</t>
        </is>
      </c>
      <c r="J534" t="inlineStr">
        <is>
          <t>投資</t>
        </is>
      </c>
      <c r="K534">
        <f>IF(J534="本金",C534+K533,K533)</f>
        <v/>
      </c>
      <c r="L534">
        <f>IF(J534="本金",F534+L533,L533)</f>
        <v/>
      </c>
    </row>
    <row r="535">
      <c r="A535" s="522" t="n">
        <v>45551</v>
      </c>
      <c r="B535" s="523" t="n"/>
      <c r="C535" s="196" t="n">
        <v>692</v>
      </c>
      <c r="D535" s="524">
        <f>D534+C535-B535</f>
        <v/>
      </c>
      <c r="E535" s="545" t="n"/>
      <c r="F535" s="546" t="n"/>
      <c r="G535" s="547">
        <f>G534+F535-E535</f>
        <v/>
      </c>
      <c r="H535" s="200" t="inlineStr">
        <is>
          <t>合庫現金股</t>
        </is>
      </c>
      <c r="I535" s="200" t="inlineStr">
        <is>
          <t>現金股利</t>
        </is>
      </c>
      <c r="J535" t="inlineStr">
        <is>
          <t>投資</t>
        </is>
      </c>
      <c r="K535">
        <f>IF(J535="本金",C535+K534,K534)</f>
        <v/>
      </c>
      <c r="L535">
        <f>IF(J535="本金",F535+L534,L534)</f>
        <v/>
      </c>
    </row>
    <row r="536">
      <c r="A536" s="508" t="n">
        <v>45565</v>
      </c>
      <c r="B536" s="509" t="n"/>
      <c r="C536" s="123" t="n">
        <v>947</v>
      </c>
      <c r="D536" s="510">
        <f>D535+C536-B536</f>
        <v/>
      </c>
      <c r="E536" s="535" t="n"/>
      <c r="F536" s="541" t="n"/>
      <c r="G536" s="537">
        <f>G535+F536-E536</f>
        <v/>
      </c>
      <c r="H536" t="inlineStr">
        <is>
          <t>證卷交割</t>
        </is>
      </c>
      <c r="I536" t="inlineStr">
        <is>
          <t>現金股利</t>
        </is>
      </c>
      <c r="J536" t="inlineStr">
        <is>
          <t>投資</t>
        </is>
      </c>
      <c r="K536">
        <f>IF(J536="本金",C536+K535,K535)</f>
        <v/>
      </c>
      <c r="L536">
        <f>IF(J536="本金",F536+L535,L535)</f>
        <v/>
      </c>
    </row>
    <row r="537">
      <c r="A537" s="522" t="n">
        <v>45555</v>
      </c>
      <c r="B537" s="523" t="n"/>
      <c r="C537" s="196" t="n">
        <v>989</v>
      </c>
      <c r="D537" s="524">
        <f>D536+C537-B537</f>
        <v/>
      </c>
      <c r="E537" s="545" t="n"/>
      <c r="F537" s="546" t="n"/>
      <c r="G537" s="547">
        <f>G536+F537-E537</f>
        <v/>
      </c>
      <c r="H537" s="200" t="inlineStr">
        <is>
          <t>宏捷科現金股</t>
        </is>
      </c>
      <c r="I537" s="200" t="inlineStr">
        <is>
          <t>現金股利</t>
        </is>
      </c>
      <c r="J537" t="inlineStr">
        <is>
          <t>投資</t>
        </is>
      </c>
      <c r="K537">
        <f>IF(J537="本金",C537+K536,K536)</f>
        <v/>
      </c>
      <c r="L537">
        <f>IF(J537="本金",F537+L536,L536)</f>
        <v/>
      </c>
    </row>
    <row r="538">
      <c r="A538" s="522" t="n">
        <v>45560</v>
      </c>
      <c r="B538" s="523" t="n"/>
      <c r="C538" s="196" t="n">
        <v>490</v>
      </c>
      <c r="D538" s="524">
        <f>D537+C538-B538</f>
        <v/>
      </c>
      <c r="E538" s="545" t="n"/>
      <c r="F538" s="546" t="n"/>
      <c r="G538" s="547">
        <f>G537+F538-E538</f>
        <v/>
      </c>
      <c r="H538" s="200" t="inlineStr">
        <is>
          <t>新復興現金股</t>
        </is>
      </c>
      <c r="I538" s="200" t="inlineStr">
        <is>
          <t>現金股利</t>
        </is>
      </c>
      <c r="J538" t="inlineStr">
        <is>
          <t>投資</t>
        </is>
      </c>
      <c r="K538">
        <f>IF(J538="本金",C538+K537,K537)</f>
        <v/>
      </c>
      <c r="L538">
        <f>IF(J538="本金",F538+L537,L537)</f>
        <v/>
      </c>
    </row>
    <row r="539">
      <c r="A539" s="508" t="n">
        <v>45565</v>
      </c>
      <c r="B539" s="509" t="n">
        <v>194869</v>
      </c>
      <c r="C539" s="123" t="n"/>
      <c r="D539" s="510">
        <f>D538+C539-B539</f>
        <v/>
      </c>
      <c r="E539" s="535" t="n"/>
      <c r="F539" s="541" t="n"/>
      <c r="G539" s="537">
        <f>G538+F539-E539</f>
        <v/>
      </c>
      <c r="H539" t="inlineStr">
        <is>
          <t>證卷交割</t>
        </is>
      </c>
      <c r="I539" t="inlineStr">
        <is>
          <t>現金股利</t>
        </is>
      </c>
      <c r="J539" t="inlineStr">
        <is>
          <t>投資</t>
        </is>
      </c>
      <c r="K539">
        <f>IF(J539="本金",C539+K538,K538)</f>
        <v/>
      </c>
      <c r="L539">
        <f>IF(J539="本金",F539+L538,L538)</f>
        <v/>
      </c>
    </row>
    <row r="540">
      <c r="A540" s="522" t="n">
        <v>45565</v>
      </c>
      <c r="B540" s="523" t="n"/>
      <c r="C540" s="196" t="n">
        <v>390</v>
      </c>
      <c r="D540" s="524">
        <f>D539+C540-B540</f>
        <v/>
      </c>
      <c r="E540" s="545" t="n"/>
      <c r="F540" s="546" t="n"/>
      <c r="G540" s="547">
        <f>G539+F540-E540</f>
        <v/>
      </c>
      <c r="H540" s="200" t="inlineStr">
        <is>
          <t>太普高現金股</t>
        </is>
      </c>
      <c r="I540" s="200" t="inlineStr">
        <is>
          <t>現金股利</t>
        </is>
      </c>
      <c r="J540" t="inlineStr">
        <is>
          <t>投資</t>
        </is>
      </c>
      <c r="K540">
        <f>IF(J540="本金",C540+K539,K539)</f>
        <v/>
      </c>
      <c r="L540">
        <f>IF(J540="本金",F540+L539,L539)</f>
        <v/>
      </c>
    </row>
    <row r="541">
      <c r="A541" s="522" t="n">
        <v>45569</v>
      </c>
      <c r="B541" s="523" t="n"/>
      <c r="C541" s="196" t="n"/>
      <c r="D541" s="524">
        <f>D540+C541-B541</f>
        <v/>
      </c>
      <c r="E541" s="545" t="n"/>
      <c r="F541" s="546" t="n">
        <v>0.5600000000000001</v>
      </c>
      <c r="G541" s="547">
        <f>G540+F541-E541</f>
        <v/>
      </c>
      <c r="H541" s="200" t="inlineStr">
        <is>
          <t>NVDA</t>
        </is>
      </c>
      <c r="I541" s="200" t="inlineStr">
        <is>
          <t>現金股利</t>
        </is>
      </c>
      <c r="J541" t="inlineStr">
        <is>
          <t>投資</t>
        </is>
      </c>
      <c r="K541">
        <f>IF(J541="本金",C541+K540,K540)</f>
        <v/>
      </c>
      <c r="L541">
        <f>IF(J541="本金",F541+L540,L540)</f>
        <v/>
      </c>
    </row>
    <row r="542">
      <c r="A542" s="518" t="n">
        <v>45572</v>
      </c>
      <c r="B542" s="519" t="n"/>
      <c r="C542" s="148" t="n">
        <v>528</v>
      </c>
      <c r="D542" s="520">
        <f>D541+C542-B542</f>
        <v/>
      </c>
      <c r="E542" s="542" t="n"/>
      <c r="F542" s="543" t="n"/>
      <c r="G542" s="544">
        <f>G541+F542-E542</f>
        <v/>
      </c>
      <c r="H542" s="152" t="inlineStr">
        <is>
          <t>折讓入帳</t>
        </is>
      </c>
      <c r="I542" s="152" t="n"/>
      <c r="J542" t="inlineStr">
        <is>
          <t>投資</t>
        </is>
      </c>
      <c r="K542">
        <f>IF(J542="本金",C542+K541,K541)</f>
        <v/>
      </c>
      <c r="L542">
        <f>IF(J542="本金",F542+L541,L541)</f>
        <v/>
      </c>
    </row>
    <row r="543">
      <c r="A543" s="508" t="n">
        <v>45572</v>
      </c>
      <c r="B543" s="509" t="n"/>
      <c r="C543" s="123" t="n">
        <v>39935</v>
      </c>
      <c r="D543" s="510">
        <f>D542+C543-B543</f>
        <v/>
      </c>
      <c r="E543" s="535" t="n"/>
      <c r="F543" s="541" t="n"/>
      <c r="G543" s="537">
        <f>G542+F543-E543</f>
        <v/>
      </c>
      <c r="H543" t="inlineStr">
        <is>
          <t>證卷交割</t>
        </is>
      </c>
      <c r="I543" t="inlineStr">
        <is>
          <t>現金股利</t>
        </is>
      </c>
      <c r="J543" t="inlineStr">
        <is>
          <t>投資</t>
        </is>
      </c>
      <c r="K543">
        <f>IF(J543="本金",C543+K542,K542)</f>
        <v/>
      </c>
      <c r="L543">
        <f>IF(J543="本金",F543+L542,L542)</f>
        <v/>
      </c>
    </row>
    <row r="544">
      <c r="A544" s="522" t="n">
        <v>45581</v>
      </c>
      <c r="B544" s="523" t="n"/>
      <c r="C544" s="196" t="n">
        <v>1280</v>
      </c>
      <c r="D544" s="524">
        <f>D543+C544-B544</f>
        <v/>
      </c>
      <c r="E544" s="545" t="n"/>
      <c r="F544" s="546" t="n"/>
      <c r="G544" s="547">
        <f>G543+F544-E544</f>
        <v/>
      </c>
      <c r="H544" s="200" t="inlineStr">
        <is>
          <t>復華台灣科技優息</t>
        </is>
      </c>
      <c r="I544" s="200" t="inlineStr">
        <is>
          <t>現金股利</t>
        </is>
      </c>
      <c r="J544" t="inlineStr">
        <is>
          <t>投資</t>
        </is>
      </c>
      <c r="K544">
        <f>IF(J544="本金",C544+K543,K543)</f>
        <v/>
      </c>
      <c r="L544">
        <f>IF(J544="本金",F544+L543,L543)</f>
        <v/>
      </c>
    </row>
    <row r="545">
      <c r="A545" s="522" t="n">
        <v>45583</v>
      </c>
      <c r="B545" s="523" t="n"/>
      <c r="C545" s="196" t="n">
        <v>4059</v>
      </c>
      <c r="D545" s="524">
        <f>D544+C545-B545</f>
        <v/>
      </c>
      <c r="E545" s="545" t="n"/>
      <c r="F545" s="546" t="n"/>
      <c r="G545" s="547">
        <f>G544+F545-E545</f>
        <v/>
      </c>
      <c r="H545" s="200" t="inlineStr">
        <is>
          <t>義隆電子現金股</t>
        </is>
      </c>
      <c r="I545" s="200" t="inlineStr">
        <is>
          <t>現金股利</t>
        </is>
      </c>
      <c r="J545" t="inlineStr">
        <is>
          <t>投資</t>
        </is>
      </c>
      <c r="K545">
        <f>IF(J545="本金",C545+K544,K544)</f>
        <v/>
      </c>
      <c r="L545">
        <f>IF(J545="本金",F545+L544,L544)</f>
        <v/>
      </c>
    </row>
    <row r="546">
      <c r="A546" s="518" t="n">
        <v>45601</v>
      </c>
      <c r="B546" s="519" t="n"/>
      <c r="C546" s="148" t="n">
        <v>21</v>
      </c>
      <c r="D546" s="520">
        <f>D545+C546-B546</f>
        <v/>
      </c>
      <c r="E546" s="542" t="n"/>
      <c r="F546" s="543" t="n"/>
      <c r="G546" s="544">
        <f>G545+F546-E546</f>
        <v/>
      </c>
      <c r="H546" s="152" t="inlineStr">
        <is>
          <t>折讓入帳</t>
        </is>
      </c>
      <c r="I546" s="152" t="n"/>
      <c r="J546" t="inlineStr">
        <is>
          <t>投資</t>
        </is>
      </c>
      <c r="K546">
        <f>IF(J546="本金",C546+K545,K545)</f>
        <v/>
      </c>
      <c r="L546">
        <f>IF(J546="本金",F546+L545,L545)</f>
        <v/>
      </c>
    </row>
    <row r="547">
      <c r="A547" s="508" t="n">
        <v>45609</v>
      </c>
      <c r="B547" s="509" t="n"/>
      <c r="C547" s="123" t="n">
        <v>73078</v>
      </c>
      <c r="D547" s="510">
        <f>D546+C547-B547</f>
        <v/>
      </c>
      <c r="E547" s="535" t="n"/>
      <c r="F547" s="541" t="n"/>
      <c r="G547" s="537">
        <f>G546+F547-E547</f>
        <v/>
      </c>
      <c r="H547" t="inlineStr">
        <is>
          <t>證卷交割</t>
        </is>
      </c>
      <c r="I547" t="inlineStr">
        <is>
          <t>現金股利</t>
        </is>
      </c>
      <c r="J547" t="inlineStr">
        <is>
          <t>投資</t>
        </is>
      </c>
      <c r="K547">
        <f>IF(J547="本金",C547+K546,K546)</f>
        <v/>
      </c>
      <c r="L547">
        <f>IF(J547="本金",F547+L546,L546)</f>
        <v/>
      </c>
    </row>
    <row r="548">
      <c r="A548" s="522" t="n">
        <v>45611</v>
      </c>
      <c r="B548" s="523" t="n"/>
      <c r="C548" s="196" t="n">
        <v>1120</v>
      </c>
      <c r="D548" s="524">
        <f>D547+C548-B548</f>
        <v/>
      </c>
      <c r="E548" s="545" t="n"/>
      <c r="F548" s="546" t="n"/>
      <c r="G548" s="547">
        <f>G547+F548-E548</f>
        <v/>
      </c>
      <c r="H548" s="200" t="inlineStr">
        <is>
          <t>復華台灣科技優息</t>
        </is>
      </c>
      <c r="I548" s="200" t="inlineStr">
        <is>
          <t>現金股利</t>
        </is>
      </c>
      <c r="J548" t="inlineStr">
        <is>
          <t>投資</t>
        </is>
      </c>
      <c r="K548">
        <f>IF(J548="本金",C548+K547,K547)</f>
        <v/>
      </c>
      <c r="L548">
        <f>IF(J548="本金",F548+L547,L547)</f>
        <v/>
      </c>
    </row>
    <row r="549">
      <c r="A549" s="508" t="n">
        <v>45624</v>
      </c>
      <c r="B549" s="509" t="n">
        <v>508070</v>
      </c>
      <c r="C549" s="123" t="n"/>
      <c r="D549" s="510">
        <f>D548+C549-B549</f>
        <v/>
      </c>
      <c r="E549" s="535" t="n"/>
      <c r="F549" s="541" t="n"/>
      <c r="G549" s="537">
        <f>G548+F549-E549</f>
        <v/>
      </c>
      <c r="H549" s="65" t="inlineStr">
        <is>
          <t>LINE PAY</t>
        </is>
      </c>
      <c r="I549" s="65" t="inlineStr">
        <is>
          <t>股票申購，中簽</t>
        </is>
      </c>
      <c r="J549" t="inlineStr">
        <is>
          <t>投資</t>
        </is>
      </c>
      <c r="K549">
        <f>IF(J549="本金",C549+K548,K548)</f>
        <v/>
      </c>
      <c r="L549">
        <f>IF(J549="本金",F549+L548,L548)</f>
        <v/>
      </c>
    </row>
    <row r="550">
      <c r="A550" s="518" t="n">
        <v>45631</v>
      </c>
      <c r="B550" s="519" t="n"/>
      <c r="C550" s="148" t="n">
        <v>40</v>
      </c>
      <c r="D550" s="520">
        <f>D549+C550-B550</f>
        <v/>
      </c>
      <c r="E550" s="542" t="n"/>
      <c r="F550" s="543" t="n"/>
      <c r="G550" s="544">
        <f>G549+F550-E550</f>
        <v/>
      </c>
      <c r="H550" s="152" t="inlineStr">
        <is>
          <t>折讓入帳</t>
        </is>
      </c>
      <c r="I550" s="152" t="n"/>
      <c r="J550" t="inlineStr">
        <is>
          <t>投資</t>
        </is>
      </c>
      <c r="K550">
        <f>IF(J550="本金",C550+K549,K549)</f>
        <v/>
      </c>
      <c r="L550">
        <f>IF(J550="本金",F550+L549,L549)</f>
        <v/>
      </c>
    </row>
    <row r="551">
      <c r="A551" s="522" t="n">
        <v>45639</v>
      </c>
      <c r="B551" s="523" t="n"/>
      <c r="C551" s="196" t="n">
        <v>880</v>
      </c>
      <c r="D551" s="524">
        <f>D550+C551-B551</f>
        <v/>
      </c>
      <c r="E551" s="545" t="n"/>
      <c r="F551" s="546" t="n"/>
      <c r="G551" s="547">
        <f>G550+F551-E551</f>
        <v/>
      </c>
      <c r="H551" s="200" t="inlineStr">
        <is>
          <t>復華台灣科技優息</t>
        </is>
      </c>
      <c r="I551" s="200" t="inlineStr">
        <is>
          <t>現金股利</t>
        </is>
      </c>
      <c r="J551" t="inlineStr">
        <is>
          <t>投資</t>
        </is>
      </c>
      <c r="K551">
        <f>IF(J551="本金",C551+K550,K550)</f>
        <v/>
      </c>
      <c r="L551">
        <f>IF(J551="本金",F551+L550,L550)</f>
        <v/>
      </c>
    </row>
    <row r="552">
      <c r="A552" s="513" t="n">
        <v>45647</v>
      </c>
      <c r="B552" s="514" t="n"/>
      <c r="C552" s="154" t="n">
        <v>3979</v>
      </c>
      <c r="D552" s="515">
        <f>D551+C552-B552</f>
        <v/>
      </c>
      <c r="E552" s="538" t="n"/>
      <c r="F552" s="539" t="n"/>
      <c r="G552" s="540">
        <f>G551+F552-E552</f>
        <v/>
      </c>
      <c r="H552" s="158" t="inlineStr">
        <is>
          <t>利息</t>
        </is>
      </c>
      <c r="I552" s="159" t="n"/>
      <c r="J552" t="inlineStr">
        <is>
          <t>投資</t>
        </is>
      </c>
      <c r="K552">
        <f>IF(J552="本金",C552+K551,K551)</f>
        <v/>
      </c>
      <c r="L552">
        <f>IF(J552="本金",F552+L551,L551)</f>
        <v/>
      </c>
    </row>
    <row r="553">
      <c r="A553" s="513" t="n">
        <v>45647</v>
      </c>
      <c r="B553" s="514" t="n"/>
      <c r="C553" s="154" t="n"/>
      <c r="D553" s="515">
        <f>D552+C553-B553</f>
        <v/>
      </c>
      <c r="E553" s="538" t="n"/>
      <c r="F553" s="539" t="n">
        <v>4.32</v>
      </c>
      <c r="G553" s="540">
        <f>G552+F553-E553</f>
        <v/>
      </c>
      <c r="H553" s="158" t="inlineStr">
        <is>
          <t>利息</t>
        </is>
      </c>
      <c r="I553" s="159" t="n"/>
      <c r="J553" t="inlineStr">
        <is>
          <t>投資</t>
        </is>
      </c>
      <c r="K553">
        <f>IF(J553="本金",C553+K552,K552)</f>
        <v/>
      </c>
      <c r="L553">
        <f>IF(J553="本金",F553+L552,L552)</f>
        <v/>
      </c>
    </row>
    <row r="554">
      <c r="A554" s="522" t="n">
        <v>45657</v>
      </c>
      <c r="B554" s="523" t="n"/>
      <c r="C554" s="196" t="n"/>
      <c r="D554" s="524">
        <f>D553+C554-B554</f>
        <v/>
      </c>
      <c r="E554" s="545" t="n"/>
      <c r="F554" s="546" t="n">
        <v>0.5600000000000001</v>
      </c>
      <c r="G554" s="547">
        <f>G553+F554-E554</f>
        <v/>
      </c>
      <c r="H554" s="200" t="inlineStr">
        <is>
          <t>NVDA</t>
        </is>
      </c>
      <c r="I554" s="200" t="inlineStr">
        <is>
          <t>現金股利</t>
        </is>
      </c>
      <c r="J554" t="inlineStr">
        <is>
          <t>投資</t>
        </is>
      </c>
      <c r="K554">
        <f>IF(J554="本金",C554+K553,K553)</f>
        <v/>
      </c>
      <c r="L554">
        <f>IF(J554="本金",F554+L553,L553)</f>
        <v/>
      </c>
    </row>
    <row r="555">
      <c r="A555" s="508" t="n">
        <v>45657</v>
      </c>
      <c r="B555" s="509" t="n">
        <v>820</v>
      </c>
      <c r="C555" s="123" t="n"/>
      <c r="D555" s="510">
        <f>D554+C555-B555</f>
        <v/>
      </c>
      <c r="E555" s="535" t="n"/>
      <c r="F555" s="541" t="n"/>
      <c r="G555" s="537">
        <f>G554+F555-E555</f>
        <v/>
      </c>
      <c r="H555" s="65" t="inlineStr">
        <is>
          <t>承銷申購</t>
        </is>
      </c>
      <c r="I555" s="65" t="n"/>
      <c r="J555" t="inlineStr">
        <is>
          <t>投資</t>
        </is>
      </c>
      <c r="K555">
        <f>IF(J555="本金",C555+K554,K554)</f>
        <v/>
      </c>
      <c r="L555">
        <f>IF(J555="本金",F555+L554,L554)</f>
        <v/>
      </c>
    </row>
    <row r="556">
      <c r="A556" s="508" t="n">
        <v>45665</v>
      </c>
      <c r="B556" s="509" t="n"/>
      <c r="C556" s="123" t="n">
        <v>681970</v>
      </c>
      <c r="D556" s="510">
        <f>D555+C556-B556</f>
        <v/>
      </c>
      <c r="E556" s="535" t="n"/>
      <c r="F556" s="541" t="n"/>
      <c r="G556" s="537">
        <f>G555+F556-E556</f>
        <v/>
      </c>
      <c r="H556" t="inlineStr">
        <is>
          <t>證卷交割</t>
        </is>
      </c>
      <c r="I556" s="65" t="n"/>
      <c r="J556" t="inlineStr">
        <is>
          <t>投資</t>
        </is>
      </c>
      <c r="K556">
        <f>IF(J556="本金",C556+K555,K555)</f>
        <v/>
      </c>
      <c r="L556">
        <f>IF(J556="本金",F556+L555,L555)</f>
        <v/>
      </c>
    </row>
    <row r="557">
      <c r="A557" s="508" t="n">
        <v>45666</v>
      </c>
      <c r="B557" s="509" t="n"/>
      <c r="C557" s="123" t="n">
        <v>146286</v>
      </c>
      <c r="D557" s="510">
        <f>D556+C557-B557</f>
        <v/>
      </c>
      <c r="E557" s="535" t="n"/>
      <c r="F557" s="541" t="n"/>
      <c r="G557" s="537">
        <f>G556+F557-E557</f>
        <v/>
      </c>
      <c r="H557" t="inlineStr">
        <is>
          <t>證卷交割</t>
        </is>
      </c>
      <c r="I557" s="65" t="n"/>
      <c r="J557" t="inlineStr">
        <is>
          <t>投資</t>
        </is>
      </c>
      <c r="K557">
        <f>IF(J557="本金",C557+K556,K556)</f>
        <v/>
      </c>
      <c r="L557">
        <f>IF(J557="本金",F557+L556,L556)</f>
        <v/>
      </c>
    </row>
    <row r="558">
      <c r="A558" s="508" t="n">
        <v>45670</v>
      </c>
      <c r="B558" s="509" t="n">
        <v>88566</v>
      </c>
      <c r="C558" s="123" t="n"/>
      <c r="D558" s="510">
        <f>D557+C558-B558</f>
        <v/>
      </c>
      <c r="E558" s="535" t="n"/>
      <c r="F558" s="541" t="n"/>
      <c r="G558" s="537">
        <f>G557+F558-E558</f>
        <v/>
      </c>
      <c r="H558" t="inlineStr">
        <is>
          <t>證卷交割</t>
        </is>
      </c>
      <c r="I558" s="65" t="n"/>
      <c r="J558" t="inlineStr">
        <is>
          <t>投資</t>
        </is>
      </c>
      <c r="K558">
        <f>IF(J558="本金",C558+K557,K557)</f>
        <v/>
      </c>
      <c r="L558">
        <f>IF(J558="本金",F558+L557,L557)</f>
        <v/>
      </c>
    </row>
    <row r="559">
      <c r="A559" s="522" t="n">
        <v>45671</v>
      </c>
      <c r="B559" s="523" t="n"/>
      <c r="C559" s="196" t="n">
        <v>400</v>
      </c>
      <c r="D559" s="524">
        <f>D558+C559-B559</f>
        <v/>
      </c>
      <c r="E559" s="545" t="n"/>
      <c r="F559" s="546" t="n"/>
      <c r="G559" s="547">
        <f>G558+F559-E559</f>
        <v/>
      </c>
      <c r="H559" s="200" t="inlineStr">
        <is>
          <t>復華台灣科技優息</t>
        </is>
      </c>
      <c r="I559" s="200" t="inlineStr">
        <is>
          <t>現金股利</t>
        </is>
      </c>
      <c r="J559" t="inlineStr">
        <is>
          <t>投資</t>
        </is>
      </c>
      <c r="K559">
        <f>IF(J559="本金",C559+K558,K558)</f>
        <v/>
      </c>
      <c r="L559">
        <f>IF(J559="本金",F559+L558,L558)</f>
        <v/>
      </c>
    </row>
    <row r="560">
      <c r="A560" s="518" t="n">
        <v>45693</v>
      </c>
      <c r="B560" s="519" t="n"/>
      <c r="C560" s="148" t="n">
        <v>522</v>
      </c>
      <c r="D560" s="520">
        <f>D559+C560-B560</f>
        <v/>
      </c>
      <c r="E560" s="542" t="n"/>
      <c r="F560" s="543" t="n"/>
      <c r="G560" s="544">
        <f>G559+F560-E560</f>
        <v/>
      </c>
      <c r="H560" s="152" t="inlineStr">
        <is>
          <t>折讓入帳</t>
        </is>
      </c>
      <c r="I560" s="152" t="n"/>
      <c r="J560" t="inlineStr">
        <is>
          <t>投資</t>
        </is>
      </c>
      <c r="K560">
        <f>IF(J560="本金",C560+K559,K559)</f>
        <v/>
      </c>
      <c r="L560">
        <f>IF(J560="本金",F560+L559,L559)</f>
        <v/>
      </c>
    </row>
    <row r="561">
      <c r="A561" s="508" t="n">
        <v>45699</v>
      </c>
      <c r="B561" s="509">
        <f>594846+129281+76170+81515+202788+77648</f>
        <v/>
      </c>
      <c r="C561" s="123">
        <f>108021+271296</f>
        <v/>
      </c>
      <c r="D561" s="510">
        <f>D560+C561-B561</f>
        <v/>
      </c>
      <c r="E561" s="535" t="n"/>
      <c r="F561" s="541" t="n"/>
      <c r="G561" s="537">
        <f>G560+F561-E561</f>
        <v/>
      </c>
      <c r="H561" t="inlineStr">
        <is>
          <t>證卷交割</t>
        </is>
      </c>
      <c r="I561" s="65" t="n"/>
      <c r="J561" t="inlineStr">
        <is>
          <t>投資</t>
        </is>
      </c>
      <c r="K561">
        <f>IF(J561="本金",C561+K560,K560)</f>
        <v/>
      </c>
      <c r="L561">
        <f>IF(J561="本金",F561+L560,L560)</f>
        <v/>
      </c>
    </row>
    <row r="562">
      <c r="A562" s="518" t="n">
        <v>45721</v>
      </c>
      <c r="B562" s="519" t="n"/>
      <c r="C562" s="148" t="n">
        <v>1451</v>
      </c>
      <c r="D562" s="520">
        <f>D561+C562-B562</f>
        <v/>
      </c>
      <c r="E562" s="542" t="n"/>
      <c r="F562" s="543" t="n"/>
      <c r="G562" s="544">
        <f>G561+F562-E562</f>
        <v/>
      </c>
      <c r="H562" s="152" t="inlineStr">
        <is>
          <t>折讓入帳</t>
        </is>
      </c>
      <c r="I562" s="152" t="n"/>
      <c r="J562" t="inlineStr">
        <is>
          <t>投資</t>
        </is>
      </c>
      <c r="K562">
        <f>IF(J562="本金",C562+K561,K561)</f>
        <v/>
      </c>
      <c r="L562">
        <f>IF(J562="本金",F562+L561,L561)</f>
        <v/>
      </c>
    </row>
    <row r="563">
      <c r="A563" s="508" t="n">
        <v>45722</v>
      </c>
      <c r="B563" s="509">
        <f>227622</f>
        <v/>
      </c>
      <c r="C563" s="123">
        <f>132513+142270+159791+153421+48187+183685</f>
        <v/>
      </c>
      <c r="D563" s="510">
        <f>D562+C563-B563</f>
        <v/>
      </c>
      <c r="E563" s="535" t="n"/>
      <c r="F563" s="541" t="n"/>
      <c r="G563" s="537">
        <f>G562+F563-E563</f>
        <v/>
      </c>
      <c r="H563" t="inlineStr">
        <is>
          <t>證卷交割</t>
        </is>
      </c>
      <c r="I563" s="65" t="n"/>
      <c r="J563" t="inlineStr">
        <is>
          <t>投資</t>
        </is>
      </c>
      <c r="K563">
        <f>IF(J563="本金",C563+K562,K562)</f>
        <v/>
      </c>
      <c r="L563">
        <f>IF(J563="本金",F563+L562,L562)</f>
        <v/>
      </c>
    </row>
    <row r="564">
      <c r="A564" s="518" t="n">
        <v>45749</v>
      </c>
      <c r="B564" s="519" t="n"/>
      <c r="C564" s="148" t="n">
        <v>608</v>
      </c>
      <c r="D564" s="520">
        <f>D563+C564-B564</f>
        <v/>
      </c>
      <c r="E564" s="542" t="n"/>
      <c r="F564" s="543" t="n"/>
      <c r="G564" s="544">
        <f>G563+F564-E564</f>
        <v/>
      </c>
      <c r="H564" s="152" t="inlineStr">
        <is>
          <t>折讓入帳</t>
        </is>
      </c>
      <c r="I564" s="152" t="n"/>
      <c r="J564" t="inlineStr">
        <is>
          <t>投資</t>
        </is>
      </c>
      <c r="K564">
        <f>IF(J564="本金",C564+K563,K563)</f>
        <v/>
      </c>
      <c r="L564">
        <f>IF(J564="本金",F564+L563,L563)</f>
        <v/>
      </c>
    </row>
    <row r="565">
      <c r="A565" s="508" t="n">
        <v>45722</v>
      </c>
      <c r="B565" s="509" t="n">
        <v>28440</v>
      </c>
      <c r="C565" s="123" t="n"/>
      <c r="D565" s="510">
        <f>D564+C565-B565</f>
        <v/>
      </c>
      <c r="E565" s="535" t="n"/>
      <c r="F565" s="541" t="n"/>
      <c r="G565" s="537">
        <f>G564+F565-E565</f>
        <v/>
      </c>
      <c r="H565" t="inlineStr">
        <is>
          <t>證卷交割</t>
        </is>
      </c>
      <c r="I565" s="65" t="n"/>
      <c r="J565" t="inlineStr">
        <is>
          <t>投資</t>
        </is>
      </c>
      <c r="K565">
        <f>IF(J565="本金",C565+K564,K564)</f>
        <v/>
      </c>
      <c r="L565">
        <f>IF(J565="本金",F565+L564,L564)</f>
        <v/>
      </c>
    </row>
    <row r="566">
      <c r="A566" s="522" t="n">
        <v>45754</v>
      </c>
      <c r="B566" s="523" t="n"/>
      <c r="C566" s="196" t="n"/>
      <c r="D566" s="524">
        <f>D565+C566-B566</f>
        <v/>
      </c>
      <c r="E566" s="545" t="n"/>
      <c r="F566" s="546" t="n">
        <v>0.5600000000000001</v>
      </c>
      <c r="G566" s="547">
        <f>G565+F566-E566</f>
        <v/>
      </c>
      <c r="H566" s="200" t="inlineStr">
        <is>
          <t>NVDA</t>
        </is>
      </c>
      <c r="I566" s="200" t="inlineStr">
        <is>
          <t>現金股利</t>
        </is>
      </c>
      <c r="J566" t="inlineStr">
        <is>
          <t>投資</t>
        </is>
      </c>
      <c r="K566">
        <f>IF(J566="本金",C566+K565,K565)</f>
        <v/>
      </c>
      <c r="L566">
        <f>IF(J566="本金",F566+L565,L565)</f>
        <v/>
      </c>
    </row>
    <row r="567">
      <c r="A567" s="522" t="n">
        <v>45764</v>
      </c>
      <c r="B567" s="523" t="n"/>
      <c r="C567" s="196" t="n">
        <v>3753</v>
      </c>
      <c r="D567" s="524">
        <f>D566+C567-B567</f>
        <v/>
      </c>
      <c r="E567" s="545" t="n"/>
      <c r="F567" s="546" t="n"/>
      <c r="G567" s="547">
        <f>G566+F567-E567</f>
        <v/>
      </c>
      <c r="H567" s="200" t="inlineStr">
        <is>
          <t>義隆電子現金股</t>
        </is>
      </c>
      <c r="I567" s="200" t="inlineStr">
        <is>
          <t>現金股利</t>
        </is>
      </c>
      <c r="J567" t="inlineStr">
        <is>
          <t>投資</t>
        </is>
      </c>
      <c r="K567">
        <f>IF(J567="本金",C567+K566,K566)</f>
        <v/>
      </c>
      <c r="L567">
        <f>IF(J567="本金",F567+L566,L566)</f>
        <v/>
      </c>
    </row>
    <row r="568">
      <c r="A568" s="522" t="n">
        <v>45765</v>
      </c>
      <c r="B568" s="523" t="n"/>
      <c r="C568" s="196" t="n">
        <v>1490</v>
      </c>
      <c r="D568" s="524">
        <f>D567+C568-B568</f>
        <v/>
      </c>
      <c r="E568" s="545" t="n"/>
      <c r="F568" s="546" t="n"/>
      <c r="G568" s="547">
        <f>G567+F568-E568</f>
        <v/>
      </c>
      <c r="H568" s="200" t="inlineStr">
        <is>
          <t>全台現金股</t>
        </is>
      </c>
      <c r="I568" s="200" t="inlineStr">
        <is>
          <t>現金股利</t>
        </is>
      </c>
      <c r="J568" t="inlineStr">
        <is>
          <t>投資</t>
        </is>
      </c>
      <c r="K568">
        <f>IF(J568="本金",C568+K567,K567)</f>
        <v/>
      </c>
      <c r="L568">
        <f>IF(J568="本金",F568+L567,L567)</f>
        <v/>
      </c>
    </row>
    <row r="569">
      <c r="A569" s="522" t="n">
        <v>45772</v>
      </c>
      <c r="B569" s="523" t="n"/>
      <c r="C569" s="196" t="n">
        <v>3490</v>
      </c>
      <c r="D569" s="524">
        <f>D568+C569-B569</f>
        <v/>
      </c>
      <c r="E569" s="545" t="n"/>
      <c r="F569" s="546" t="n"/>
      <c r="G569" s="547">
        <f>G568+F569-E569</f>
        <v/>
      </c>
      <c r="H569" s="200" t="inlineStr">
        <is>
          <t>豐興現金股</t>
        </is>
      </c>
      <c r="I569" s="200" t="inlineStr">
        <is>
          <t>現金股利</t>
        </is>
      </c>
      <c r="J569" t="inlineStr">
        <is>
          <t>投資</t>
        </is>
      </c>
      <c r="K569">
        <f>IF(J569="本金",C569+K568,K568)</f>
        <v/>
      </c>
      <c r="L569">
        <f>IF(J569="本金",F569+L568,L568)</f>
        <v/>
      </c>
    </row>
    <row r="570">
      <c r="A570" s="522" t="n">
        <v>45827</v>
      </c>
      <c r="B570" s="523" t="n"/>
      <c r="C570" s="196" t="n">
        <v>745</v>
      </c>
      <c r="D570" s="524">
        <f>D569+C570-B570</f>
        <v/>
      </c>
      <c r="E570" s="545" t="n"/>
      <c r="F570" s="546" t="n"/>
      <c r="G570" s="547">
        <f>G569+F570-E570</f>
        <v/>
      </c>
      <c r="H570" s="200" t="inlineStr">
        <is>
          <t>豐興現金股</t>
        </is>
      </c>
      <c r="I570" s="200" t="inlineStr">
        <is>
          <t>現金股利</t>
        </is>
      </c>
      <c r="J570" t="inlineStr">
        <is>
          <t>投資</t>
        </is>
      </c>
      <c r="K570">
        <f>IF(J570="本金",C570+K569,K569)</f>
        <v/>
      </c>
      <c r="L570">
        <f>IF(J570="本金",F570+L569,L569)</f>
        <v/>
      </c>
    </row>
    <row r="571">
      <c r="A571" s="513" t="n">
        <v>45829</v>
      </c>
      <c r="B571" s="514" t="n"/>
      <c r="C571" s="154" t="n">
        <v>4849</v>
      </c>
      <c r="D571" s="515">
        <f>D570+C571-B571</f>
        <v/>
      </c>
      <c r="E571" s="538" t="n"/>
      <c r="F571" s="539" t="n"/>
      <c r="G571" s="540">
        <f>G570+F571-E571</f>
        <v/>
      </c>
      <c r="H571" s="158" t="inlineStr">
        <is>
          <t>利息</t>
        </is>
      </c>
      <c r="I571" s="159" t="n"/>
      <c r="J571" t="inlineStr">
        <is>
          <t>投資</t>
        </is>
      </c>
      <c r="K571">
        <f>IF(J571="本金",C571+K570,K570)</f>
        <v/>
      </c>
      <c r="L571">
        <f>IF(J571="本金",F571+L570,L570)</f>
        <v/>
      </c>
    </row>
    <row r="572">
      <c r="A572" s="513" t="n">
        <v>45829</v>
      </c>
      <c r="B572" s="514" t="n"/>
      <c r="C572" s="154" t="n"/>
      <c r="D572" s="515">
        <f>D571+C572-B572</f>
        <v/>
      </c>
      <c r="E572" s="538" t="n"/>
      <c r="F572" s="539" t="n">
        <v>2.91</v>
      </c>
      <c r="G572" s="540">
        <f>G571+F572-E572</f>
        <v/>
      </c>
      <c r="H572" s="158" t="inlineStr">
        <is>
          <t>利息</t>
        </is>
      </c>
      <c r="I572" s="159" t="n"/>
      <c r="J572" t="inlineStr">
        <is>
          <t>投資</t>
        </is>
      </c>
      <c r="K572">
        <f>IF(J572="本金",C572+K571,K571)</f>
        <v/>
      </c>
      <c r="L572">
        <f>IF(J572="本金",F572+L571,L571)</f>
        <v/>
      </c>
    </row>
    <row r="573">
      <c r="A573" s="508" t="n">
        <v>45839</v>
      </c>
      <c r="B573" s="509">
        <f>313345</f>
        <v/>
      </c>
      <c r="C573" s="123" t="n"/>
      <c r="D573" s="510">
        <f>D572+C573-B573</f>
        <v/>
      </c>
      <c r="E573" s="535" t="n"/>
      <c r="F573" s="541" t="n"/>
      <c r="G573" s="537">
        <f>G572+F573-E573</f>
        <v/>
      </c>
      <c r="H573" t="inlineStr">
        <is>
          <t>證卷交割</t>
        </is>
      </c>
      <c r="I573" s="65" t="n"/>
      <c r="J573" t="inlineStr">
        <is>
          <t>投資</t>
        </is>
      </c>
      <c r="K573">
        <f>IF(J573="本金",C573+K572,K572)</f>
        <v/>
      </c>
      <c r="L573">
        <f>IF(J573="本金",F573+L572,L572)</f>
        <v/>
      </c>
    </row>
    <row r="574">
      <c r="A574" s="518" t="n">
        <v>45842</v>
      </c>
      <c r="B574" s="519" t="n"/>
      <c r="C574" s="148" t="n">
        <v>177</v>
      </c>
      <c r="D574" s="520">
        <f>D573+C574-B574</f>
        <v/>
      </c>
      <c r="E574" s="542" t="n"/>
      <c r="F574" s="543" t="n"/>
      <c r="G574" s="544">
        <f>G573+F574-E574</f>
        <v/>
      </c>
      <c r="H574" s="152" t="inlineStr">
        <is>
          <t>折讓入帳</t>
        </is>
      </c>
      <c r="I574" s="152" t="n"/>
      <c r="J574" t="inlineStr">
        <is>
          <t>投資</t>
        </is>
      </c>
      <c r="K574">
        <f>IF(J574="本金",C574+K573,K573)</f>
        <v/>
      </c>
      <c r="L574">
        <f>IF(J574="本金",F574+L573,L573)</f>
        <v/>
      </c>
    </row>
    <row r="575">
      <c r="A575" s="522" t="n">
        <v>45842</v>
      </c>
      <c r="B575" s="523" t="n"/>
      <c r="C575" s="196" t="n"/>
      <c r="D575" s="524">
        <f>D574+C575-B575</f>
        <v/>
      </c>
      <c r="E575" s="545" t="n"/>
      <c r="F575" s="546" t="n">
        <v>0.5600000000000001</v>
      </c>
      <c r="G575" s="547">
        <f>G574+F575-E575</f>
        <v/>
      </c>
      <c r="H575" s="200" t="inlineStr">
        <is>
          <t>NVDA</t>
        </is>
      </c>
      <c r="I575" s="200" t="inlineStr">
        <is>
          <t>現金股利</t>
        </is>
      </c>
      <c r="J575" t="inlineStr">
        <is>
          <t>投資</t>
        </is>
      </c>
      <c r="K575">
        <f>IF(J575="本金",C575+K574,K574)</f>
        <v/>
      </c>
      <c r="L575">
        <f>IF(J575="本金",F575+L574,L574)</f>
        <v/>
      </c>
    </row>
    <row r="576">
      <c r="A576" s="508" t="n">
        <v>45853</v>
      </c>
      <c r="B576" s="509">
        <f>149111</f>
        <v/>
      </c>
      <c r="C576" s="123">
        <f>102047</f>
        <v/>
      </c>
      <c r="D576" s="510">
        <f>D575+C576-B576</f>
        <v/>
      </c>
      <c r="E576" s="535" t="n"/>
      <c r="F576" s="541" t="n"/>
      <c r="G576" s="537">
        <f>G575+F576-E576</f>
        <v/>
      </c>
      <c r="H576" t="inlineStr">
        <is>
          <t>證卷交割</t>
        </is>
      </c>
      <c r="I576" s="65" t="n"/>
      <c r="J576" t="inlineStr">
        <is>
          <t>投資</t>
        </is>
      </c>
      <c r="K576">
        <f>IF(J576="本金",C576+K575,K575)</f>
        <v/>
      </c>
      <c r="L576">
        <f>IF(J576="本金",F576+L575,L575)</f>
        <v/>
      </c>
    </row>
    <row r="577">
      <c r="A577" s="522" t="n">
        <v>45856</v>
      </c>
      <c r="B577" s="523" t="n"/>
      <c r="C577" s="196" t="n">
        <v>31804</v>
      </c>
      <c r="D577" s="524">
        <f>D576+C577-B577</f>
        <v/>
      </c>
      <c r="E577" s="545" t="n"/>
      <c r="F577" s="546" t="n"/>
      <c r="G577" s="547">
        <f>G576+F577-E577</f>
        <v/>
      </c>
      <c r="H577" s="200" t="inlineStr">
        <is>
          <t>長榮海運現金股</t>
        </is>
      </c>
      <c r="I577" s="200" t="inlineStr">
        <is>
          <t>現金股利</t>
        </is>
      </c>
      <c r="J577" t="inlineStr">
        <is>
          <t>投資</t>
        </is>
      </c>
      <c r="K577">
        <f>IF(J577="本金",C577+K576,K576)</f>
        <v/>
      </c>
      <c r="L577">
        <f>IF(J577="本金",F577+L576,L576)</f>
        <v/>
      </c>
    </row>
    <row r="578">
      <c r="A578" s="522" t="n">
        <v>45861</v>
      </c>
      <c r="B578" s="523" t="n"/>
      <c r="C578" s="196" t="n">
        <v>4590</v>
      </c>
      <c r="D578" s="524">
        <f>D577+C578-B578</f>
        <v/>
      </c>
      <c r="E578" s="545" t="n"/>
      <c r="F578" s="546" t="n"/>
      <c r="G578" s="547">
        <f>G577+F578-E578</f>
        <v/>
      </c>
      <c r="H578" s="200" t="inlineStr">
        <is>
          <t>台星科現金股</t>
        </is>
      </c>
      <c r="I578" s="200" t="inlineStr">
        <is>
          <t>現金股利</t>
        </is>
      </c>
      <c r="J578" t="inlineStr">
        <is>
          <t>投資</t>
        </is>
      </c>
      <c r="K578">
        <f>IF(J578="本金",C578+K577,K577)</f>
        <v/>
      </c>
      <c r="L578">
        <f>IF(J578="本金",F578+L577,L577)</f>
        <v/>
      </c>
    </row>
    <row r="579">
      <c r="A579" s="522" t="n">
        <v>45862</v>
      </c>
      <c r="B579" s="523" t="n"/>
      <c r="C579" s="196" t="n">
        <v>12990</v>
      </c>
      <c r="D579" s="524">
        <f>D578+C579-B579</f>
        <v/>
      </c>
      <c r="E579" s="545" t="n"/>
      <c r="F579" s="546" t="n"/>
      <c r="G579" s="547">
        <f>G578+F579-E579</f>
        <v/>
      </c>
      <c r="H579" s="200" t="inlineStr">
        <is>
          <t>廣達現金股</t>
        </is>
      </c>
      <c r="I579" s="200" t="inlineStr">
        <is>
          <t>現金股利</t>
        </is>
      </c>
      <c r="J579" t="inlineStr">
        <is>
          <t>投資</t>
        </is>
      </c>
      <c r="K579">
        <f>IF(J579="本金",C579+K578,K578)</f>
        <v/>
      </c>
      <c r="L579">
        <f>IF(J579="本金",F579+L578,L578)</f>
        <v/>
      </c>
    </row>
    <row r="580">
      <c r="A580" s="522" t="n">
        <v>45862</v>
      </c>
      <c r="B580" s="523" t="n"/>
      <c r="C580" s="196" t="n">
        <v>3590</v>
      </c>
      <c r="D580" s="524">
        <f>D579+C580-B580</f>
        <v/>
      </c>
      <c r="E580" s="545" t="n"/>
      <c r="F580" s="546" t="n"/>
      <c r="G580" s="547">
        <f>G579+F580-E580</f>
        <v/>
      </c>
      <c r="H580" s="200" t="inlineStr">
        <is>
          <t>慶豐富現金股</t>
        </is>
      </c>
      <c r="I580" s="200" t="inlineStr">
        <is>
          <t>現金股利</t>
        </is>
      </c>
      <c r="J580" t="inlineStr">
        <is>
          <t>投資</t>
        </is>
      </c>
      <c r="K580">
        <f>IF(J580="本金",C580+K579,K579)</f>
        <v/>
      </c>
      <c r="L580">
        <f>IF(J580="本金",F580+L579,L579)</f>
        <v/>
      </c>
    </row>
    <row r="581">
      <c r="A581" s="508" t="n">
        <v>45863</v>
      </c>
      <c r="B581" s="509" t="n"/>
      <c r="C581" s="123">
        <f>164769+41317+39276+149936</f>
        <v/>
      </c>
      <c r="D581" s="510">
        <f>D580+C581-B581</f>
        <v/>
      </c>
      <c r="E581" s="535" t="n"/>
      <c r="F581" s="541" t="n"/>
      <c r="G581" s="537">
        <f>G580+F581-E581</f>
        <v/>
      </c>
      <c r="H581" t="inlineStr">
        <is>
          <t>證卷交割</t>
        </is>
      </c>
      <c r="I581" s="65" t="n"/>
      <c r="J581" t="inlineStr">
        <is>
          <t>投資</t>
        </is>
      </c>
      <c r="K581">
        <f>IF(J581="本金",C581+K580,K580)</f>
        <v/>
      </c>
      <c r="L581">
        <f>IF(J581="本金",F581+L580,L580)</f>
        <v/>
      </c>
    </row>
    <row r="582">
      <c r="A582" s="522" t="n">
        <v>45868</v>
      </c>
      <c r="B582" s="523" t="n"/>
      <c r="C582" s="196" t="n">
        <v>5894</v>
      </c>
      <c r="D582" s="524">
        <f>D581+C582-B582</f>
        <v/>
      </c>
      <c r="E582" s="545" t="n"/>
      <c r="F582" s="546" t="n"/>
      <c r="G582" s="547">
        <f>G581+F582-E582</f>
        <v/>
      </c>
      <c r="H582" s="200" t="inlineStr">
        <is>
          <t>帆宣現金股</t>
        </is>
      </c>
      <c r="I582" s="200" t="inlineStr">
        <is>
          <t>現金股利</t>
        </is>
      </c>
      <c r="J582" t="inlineStr">
        <is>
          <t>投資</t>
        </is>
      </c>
      <c r="K582">
        <f>IF(J582="本金",C582+K581,K581)</f>
        <v/>
      </c>
      <c r="L582">
        <f>IF(J582="本金",F582+L581,L581)</f>
        <v/>
      </c>
    </row>
    <row r="583">
      <c r="A583" s="508" t="n">
        <v>45870</v>
      </c>
      <c r="B583" s="509">
        <f>48697+38054+266879</f>
        <v/>
      </c>
      <c r="C583" s="123">
        <f>161462+77058+40372</f>
        <v/>
      </c>
      <c r="D583" s="510">
        <f>D582+C583-B583</f>
        <v/>
      </c>
      <c r="E583" s="535" t="n"/>
      <c r="F583" s="541" t="n"/>
      <c r="G583" s="537">
        <f>G582+F583-E583</f>
        <v/>
      </c>
      <c r="H583" t="inlineStr">
        <is>
          <t>證卷交割</t>
        </is>
      </c>
      <c r="I583" s="65" t="n"/>
      <c r="J583" t="inlineStr">
        <is>
          <t>投資</t>
        </is>
      </c>
      <c r="K583">
        <f>IF(J583="本金",C583+K582,K582)</f>
        <v/>
      </c>
      <c r="L583">
        <f>IF(J583="本金",F583+L582,L582)</f>
        <v/>
      </c>
    </row>
    <row r="584">
      <c r="A584" s="518" t="n">
        <v>45874</v>
      </c>
      <c r="B584" s="519" t="n"/>
      <c r="C584" s="148" t="n">
        <v>544</v>
      </c>
      <c r="D584" s="520">
        <f>D583+C584-B584</f>
        <v/>
      </c>
      <c r="E584" s="542" t="n"/>
      <c r="F584" s="543" t="n"/>
      <c r="G584" s="544">
        <f>G583+F584-E584</f>
        <v/>
      </c>
      <c r="H584" s="152" t="inlineStr">
        <is>
          <t>折讓入帳</t>
        </is>
      </c>
      <c r="I584" s="152" t="n"/>
      <c r="J584" t="inlineStr">
        <is>
          <t>投資</t>
        </is>
      </c>
      <c r="K584">
        <f>IF(J584="本金",C584+K583,K583)</f>
        <v/>
      </c>
      <c r="L584">
        <f>IF(J584="本金",F584+L583,L583)</f>
        <v/>
      </c>
    </row>
    <row r="585">
      <c r="A585" s="522" t="n">
        <v>45877</v>
      </c>
      <c r="B585" s="523" t="n"/>
      <c r="C585" s="196" t="n">
        <v>27399</v>
      </c>
      <c r="D585" s="524">
        <f>D584+C585-B585</f>
        <v/>
      </c>
      <c r="E585" s="545" t="n"/>
      <c r="F585" s="546" t="n"/>
      <c r="G585" s="547">
        <f>G584+F585-E585</f>
        <v/>
      </c>
      <c r="H585" s="200" t="inlineStr">
        <is>
          <t>聯詠現金股</t>
        </is>
      </c>
      <c r="I585" s="200" t="inlineStr">
        <is>
          <t>現金股利</t>
        </is>
      </c>
      <c r="J585" t="inlineStr">
        <is>
          <t>投資</t>
        </is>
      </c>
      <c r="K585">
        <f>IF(J585="本金",C585+K584,K584)</f>
        <v/>
      </c>
      <c r="L585">
        <f>IF(J585="本金",F585+L584,L584)</f>
        <v/>
      </c>
    </row>
    <row r="586">
      <c r="A586" s="522" t="n">
        <v>45880</v>
      </c>
      <c r="B586" s="523" t="n"/>
      <c r="C586" s="196" t="n">
        <v>3690</v>
      </c>
      <c r="D586" s="524">
        <f>D585+C586-B586</f>
        <v/>
      </c>
      <c r="E586" s="545" t="n"/>
      <c r="F586" s="546" t="n"/>
      <c r="G586" s="547">
        <f>G585+F586-E586</f>
        <v/>
      </c>
      <c r="H586" s="200" t="inlineStr">
        <is>
          <t>敬鵬現金股</t>
        </is>
      </c>
      <c r="I586" s="200" t="inlineStr">
        <is>
          <t>現金股利</t>
        </is>
      </c>
      <c r="J586" t="inlineStr">
        <is>
          <t>投資</t>
        </is>
      </c>
      <c r="K586">
        <f>IF(J586="本金",C586+K585,K585)</f>
        <v/>
      </c>
      <c r="L586">
        <f>IF(J586="本金",F586+L585,L585)</f>
        <v/>
      </c>
    </row>
    <row r="587">
      <c r="A587" s="522" t="n">
        <v>45884</v>
      </c>
      <c r="B587" s="523" t="n"/>
      <c r="C587" s="196" t="n">
        <v>5990</v>
      </c>
      <c r="D587" s="524">
        <f>D586+C587-B587</f>
        <v/>
      </c>
      <c r="E587" s="545" t="n"/>
      <c r="F587" s="546" t="n"/>
      <c r="G587" s="547">
        <f>G586+F587-E587</f>
        <v/>
      </c>
      <c r="H587" s="200" t="inlineStr">
        <is>
          <t>新復興現金股</t>
        </is>
      </c>
      <c r="I587" s="200" t="inlineStr">
        <is>
          <t>現金股利</t>
        </is>
      </c>
      <c r="J587" t="inlineStr">
        <is>
          <t>投資</t>
        </is>
      </c>
      <c r="K587">
        <f>IF(J587="本金",C587+K586,K586)</f>
        <v/>
      </c>
      <c r="L587">
        <f>IF(J587="本金",F587+L586,L586)</f>
        <v/>
      </c>
    </row>
    <row r="588">
      <c r="A588" s="522" t="n">
        <v>45896</v>
      </c>
      <c r="B588" s="523" t="n"/>
      <c r="C588" s="196" t="n">
        <v>983</v>
      </c>
      <c r="D588" s="524">
        <f>D587+C588-B588</f>
        <v/>
      </c>
      <c r="E588" s="545" t="n"/>
      <c r="F588" s="546" t="n"/>
      <c r="G588" s="547">
        <f>G587+F588-E588</f>
        <v/>
      </c>
      <c r="H588" s="200" t="inlineStr">
        <is>
          <t>中鋼現金股</t>
        </is>
      </c>
      <c r="I588" s="200" t="inlineStr">
        <is>
          <t>現金股利</t>
        </is>
      </c>
      <c r="J588" t="inlineStr">
        <is>
          <t>投資</t>
        </is>
      </c>
      <c r="K588">
        <f>IF(J588="本金",C588+K587,K587)</f>
        <v/>
      </c>
      <c r="L588">
        <f>IF(J588="本金",F588+L587,L587)</f>
        <v/>
      </c>
    </row>
    <row r="589">
      <c r="A589" s="522" t="n">
        <v>45898</v>
      </c>
      <c r="B589" s="523" t="n"/>
      <c r="C589" s="196" t="n">
        <v>244</v>
      </c>
      <c r="D589" s="524">
        <f>D588+C589-B589</f>
        <v/>
      </c>
      <c r="E589" s="545" t="n"/>
      <c r="F589" s="546" t="n"/>
      <c r="G589" s="547">
        <f>G588+F589-E589</f>
        <v/>
      </c>
      <c r="H589" s="200" t="inlineStr">
        <is>
          <t>友達現金股</t>
        </is>
      </c>
      <c r="I589" s="200" t="inlineStr">
        <is>
          <t>現金股利</t>
        </is>
      </c>
      <c r="J589" t="inlineStr">
        <is>
          <t>投資</t>
        </is>
      </c>
      <c r="K589">
        <f>IF(J589="本金",C589+K588,K588)</f>
        <v/>
      </c>
      <c r="L589">
        <f>IF(J589="本金",F589+L588,L588)</f>
        <v/>
      </c>
    </row>
    <row r="590">
      <c r="A590" s="508" t="n">
        <v>45902</v>
      </c>
      <c r="B590" s="509">
        <f>37453+92531</f>
        <v/>
      </c>
      <c r="C590" s="123">
        <f>82036+117828</f>
        <v/>
      </c>
      <c r="D590" s="510">
        <f>D589+C590-B590</f>
        <v/>
      </c>
      <c r="E590" s="535" t="n"/>
      <c r="F590" s="541" t="n"/>
      <c r="G590" s="537">
        <f>G589+F590-E590</f>
        <v/>
      </c>
      <c r="H590" t="inlineStr">
        <is>
          <t>證卷交割</t>
        </is>
      </c>
      <c r="I590" s="65" t="n"/>
      <c r="J590" t="inlineStr">
        <is>
          <t>投資</t>
        </is>
      </c>
      <c r="K590">
        <f>IF(J590="本金",C590+K589,K589)</f>
        <v/>
      </c>
      <c r="L590">
        <f>IF(J590="本金",F590+L589,L589)</f>
        <v/>
      </c>
    </row>
    <row r="591">
      <c r="A591" s="518" t="n">
        <v>45905</v>
      </c>
      <c r="B591" s="519" t="n"/>
      <c r="C591" s="148" t="n">
        <v>292</v>
      </c>
      <c r="D591" s="520">
        <f>D590+C591-B591</f>
        <v/>
      </c>
      <c r="E591" s="542" t="n"/>
      <c r="F591" s="543" t="n"/>
      <c r="G591" s="544">
        <f>G590+F591-E591</f>
        <v/>
      </c>
      <c r="H591" s="152" t="inlineStr">
        <is>
          <t>折讓入帳</t>
        </is>
      </c>
      <c r="I591" s="152" t="n"/>
      <c r="J591" t="inlineStr">
        <is>
          <t>投資</t>
        </is>
      </c>
      <c r="K591">
        <f>IF(J591="本金",C591+K590,K590)</f>
        <v/>
      </c>
      <c r="L591">
        <f>IF(J591="本金",F591+L590,L590)</f>
        <v/>
      </c>
    </row>
    <row r="592">
      <c r="A592" s="522" t="n">
        <v>45912</v>
      </c>
      <c r="B592" s="523" t="n"/>
      <c r="C592" s="196" t="n">
        <v>1490</v>
      </c>
      <c r="D592" s="524">
        <f>D591+C592-B592</f>
        <v/>
      </c>
      <c r="E592" s="545" t="n"/>
      <c r="F592" s="546" t="n"/>
      <c r="G592" s="547">
        <f>G591+F592-E592</f>
        <v/>
      </c>
      <c r="H592" s="200" t="inlineStr">
        <is>
          <t>鈺德現金股</t>
        </is>
      </c>
      <c r="I592" s="200" t="inlineStr">
        <is>
          <t>現金股利</t>
        </is>
      </c>
      <c r="J592" t="inlineStr">
        <is>
          <t>投資</t>
        </is>
      </c>
      <c r="K592">
        <f>IF(J592="本金",C592+K591,K591)</f>
        <v/>
      </c>
      <c r="L592">
        <f>IF(J592="本金",F592+L591,L591)</f>
        <v/>
      </c>
    </row>
    <row r="593">
      <c r="A593" s="508" t="n">
        <v>45916</v>
      </c>
      <c r="B593" s="509" t="n"/>
      <c r="C593" s="123" t="n"/>
      <c r="D593" s="510">
        <f>D592+C593-B593</f>
        <v/>
      </c>
      <c r="E593" s="535" t="n">
        <v>433.38</v>
      </c>
      <c r="F593" s="541" t="n"/>
      <c r="G593" s="537">
        <f>G592+F593-E593</f>
        <v/>
      </c>
      <c r="H593" t="inlineStr">
        <is>
          <t>SNPS</t>
        </is>
      </c>
      <c r="I593" s="65" t="inlineStr">
        <is>
          <t>複委託 買進</t>
        </is>
      </c>
      <c r="J593" t="inlineStr">
        <is>
          <t>本金</t>
        </is>
      </c>
      <c r="K593">
        <f>IF(J593="本金",C593+K592,K592)</f>
        <v/>
      </c>
      <c r="L593">
        <f>IF(J593="本金",F593+L592,L592)</f>
        <v/>
      </c>
    </row>
    <row r="594">
      <c r="A594" s="522" t="n">
        <v>45933</v>
      </c>
      <c r="B594" s="523" t="n"/>
      <c r="C594" s="196" t="n"/>
      <c r="D594" s="524">
        <f>D593+C594-B594</f>
        <v/>
      </c>
      <c r="E594" s="545" t="n"/>
      <c r="F594" s="546" t="n">
        <v>0.5600000000000001</v>
      </c>
      <c r="G594" s="547">
        <f>G593+F594-E594</f>
        <v/>
      </c>
      <c r="H594" s="200" t="inlineStr">
        <is>
          <t>NVDA</t>
        </is>
      </c>
      <c r="I594" s="200" t="inlineStr">
        <is>
          <t>現金股利</t>
        </is>
      </c>
      <c r="J594" t="inlineStr">
        <is>
          <t>投資</t>
        </is>
      </c>
      <c r="K594">
        <f>IF(J594="本金",C594+K593,K593)</f>
        <v/>
      </c>
      <c r="L594">
        <f>IF(J594="本金",F594+L593,L593)</f>
        <v/>
      </c>
    </row>
    <row r="595">
      <c r="A595" s="513" t="n">
        <v>45829</v>
      </c>
      <c r="B595" s="514" t="n"/>
      <c r="C595" s="154" t="n"/>
      <c r="D595" s="515">
        <f>D594+C595-B595</f>
        <v/>
      </c>
      <c r="E595" s="538" t="n"/>
      <c r="F595" s="539" t="n">
        <v>1.89</v>
      </c>
      <c r="G595" s="540">
        <f>G594+F595-E595</f>
        <v/>
      </c>
      <c r="H595" s="158" t="inlineStr">
        <is>
          <t>利息</t>
        </is>
      </c>
      <c r="I595" s="159" t="n"/>
      <c r="J595" t="inlineStr">
        <is>
          <t>投資</t>
        </is>
      </c>
      <c r="K595">
        <f>IF(J595="本金",C595+K594,K594)</f>
        <v/>
      </c>
      <c r="L595">
        <f>IF(J595="本金",F595+L594,L594)</f>
        <v/>
      </c>
    </row>
    <row r="596">
      <c r="A596" s="522" t="n">
        <v>46021</v>
      </c>
      <c r="B596" s="523" t="n"/>
      <c r="C596" s="196" t="n"/>
      <c r="D596" s="524">
        <f>D595+C596-B596</f>
        <v/>
      </c>
      <c r="E596" s="545" t="n"/>
      <c r="F596" s="546" t="n">
        <v>0.5600000000000001</v>
      </c>
      <c r="G596" s="547">
        <f>G595+F596-E596</f>
        <v/>
      </c>
      <c r="H596" s="200" t="inlineStr">
        <is>
          <t>NVDA</t>
        </is>
      </c>
      <c r="I596" s="200" t="inlineStr">
        <is>
          <t>現金股利</t>
        </is>
      </c>
      <c r="J596" t="inlineStr">
        <is>
          <t>投資</t>
        </is>
      </c>
      <c r="K596">
        <f>IF(J596="本金",C596+K595,K595)</f>
        <v/>
      </c>
      <c r="L596">
        <f>IF(J596="本金",F596+L595,L595)</f>
        <v/>
      </c>
    </row>
    <row r="597">
      <c r="A597" s="508" t="n">
        <v>46022</v>
      </c>
      <c r="B597" s="509" t="n">
        <v>700</v>
      </c>
      <c r="C597" s="123" t="n"/>
      <c r="D597" s="510">
        <f>D596+C597-B597</f>
        <v/>
      </c>
      <c r="E597" s="535" t="n"/>
      <c r="F597" s="541" t="n"/>
      <c r="G597" s="537">
        <f>G596+F597-E597</f>
        <v/>
      </c>
      <c r="H597" s="65" t="inlineStr">
        <is>
          <t>承銷申購</t>
        </is>
      </c>
      <c r="I597" s="65" t="n"/>
      <c r="J597" t="inlineStr">
        <is>
          <t>投資</t>
        </is>
      </c>
      <c r="K597">
        <f>IF(J597="本金",C597+K596,K596)</f>
        <v/>
      </c>
      <c r="L597">
        <f>IF(J597="本金",F597+L596,L596)</f>
        <v/>
      </c>
    </row>
    <row r="598">
      <c r="A598" s="508" t="n">
        <v>46035</v>
      </c>
      <c r="B598" s="509">
        <f>2732965+166990</f>
        <v/>
      </c>
      <c r="C598" s="123" t="n">
        <v>3162137</v>
      </c>
      <c r="D598" s="510">
        <f>D597+C598-B598</f>
        <v/>
      </c>
      <c r="E598" s="535" t="n"/>
      <c r="F598" s="541" t="n"/>
      <c r="G598" s="537">
        <f>G597+F598-E598</f>
        <v/>
      </c>
      <c r="H598" s="65" t="inlineStr">
        <is>
          <t>彙總</t>
        </is>
      </c>
      <c r="I598" s="65" t="n"/>
      <c r="J598" t="inlineStr">
        <is>
          <t>投資</t>
        </is>
      </c>
      <c r="K598">
        <f>IF(J598="本金",C598+K597,K597)</f>
        <v/>
      </c>
      <c r="L598">
        <f>IF(J598="本金",F598+L597,L597)</f>
        <v/>
      </c>
    </row>
    <row r="599">
      <c r="A599" s="508" t="n">
        <v>46037</v>
      </c>
      <c r="B599" s="509" t="n">
        <v>9994</v>
      </c>
      <c r="C599" s="123" t="n"/>
      <c r="D599" s="510">
        <f>D598+C599-B599</f>
        <v/>
      </c>
      <c r="E599" s="535" t="n"/>
      <c r="F599" s="541" t="n"/>
      <c r="G599" s="537">
        <f>G598+F599-E599</f>
        <v/>
      </c>
      <c r="H599" s="65" t="inlineStr">
        <is>
          <t>定期定額</t>
        </is>
      </c>
      <c r="I599" s="65" t="n"/>
      <c r="J599" t="inlineStr">
        <is>
          <t>投資</t>
        </is>
      </c>
      <c r="K599">
        <f>IF(J599="本金",C599+K598,K598)</f>
        <v/>
      </c>
      <c r="L599">
        <f>IF(J599="本金",F599+L598,L598)</f>
        <v/>
      </c>
    </row>
    <row r="600">
      <c r="A600" s="508" t="n">
        <v>46043</v>
      </c>
      <c r="B600" s="509" t="n">
        <v>150000</v>
      </c>
      <c r="C600" s="123" t="n"/>
      <c r="D600" s="510">
        <f>D599+C600-B600</f>
        <v/>
      </c>
      <c r="E600" s="535" t="n"/>
      <c r="F600" s="541" t="n"/>
      <c r="G600" s="537">
        <f>G599+F600-E600</f>
        <v/>
      </c>
      <c r="H600" s="65" t="inlineStr">
        <is>
          <t>元大50</t>
        </is>
      </c>
      <c r="I600" s="65" t="n"/>
      <c r="J600" t="inlineStr">
        <is>
          <t>投資</t>
        </is>
      </c>
      <c r="K600">
        <f>IF(J600="本金",C600+K599,K599)</f>
        <v/>
      </c>
      <c r="L600">
        <f>IF(J600="本金",F600+L599,L599)</f>
        <v/>
      </c>
    </row>
    <row r="601">
      <c r="A601" s="508" t="n">
        <v>46044</v>
      </c>
      <c r="B601" s="509" t="n"/>
      <c r="C601" s="123">
        <f>19166+37932+11054</f>
        <v/>
      </c>
      <c r="D601" s="510">
        <f>D600+C601-B601</f>
        <v/>
      </c>
      <c r="E601" s="535" t="n"/>
      <c r="F601" s="541" t="n"/>
      <c r="G601" s="537">
        <f>G600+F601-E601</f>
        <v/>
      </c>
      <c r="H601" t="inlineStr">
        <is>
          <t>證卷交割</t>
        </is>
      </c>
      <c r="I601" s="65" t="n"/>
      <c r="J601" t="inlineStr">
        <is>
          <t>投資</t>
        </is>
      </c>
      <c r="K601">
        <f>IF(J601="本金",C601+K600,K600)</f>
        <v/>
      </c>
      <c r="L601">
        <f>IF(J601="本金",F601+L600,L600)</f>
        <v/>
      </c>
    </row>
    <row r="602">
      <c r="A602" s="508" t="n">
        <v>46048</v>
      </c>
      <c r="B602" s="509" t="n">
        <v>9978</v>
      </c>
      <c r="C602" s="123" t="n"/>
      <c r="D602" s="510">
        <f>D601+C602-B602</f>
        <v/>
      </c>
      <c r="E602" s="535" t="n"/>
      <c r="F602" s="541" t="n"/>
      <c r="G602" s="537">
        <f>G601+F602-E602</f>
        <v/>
      </c>
      <c r="H602" s="65" t="inlineStr">
        <is>
          <t>定期定額</t>
        </is>
      </c>
      <c r="I602" s="65" t="n"/>
      <c r="J602" t="inlineStr">
        <is>
          <t>投資</t>
        </is>
      </c>
      <c r="K602">
        <f>IF(J602="本金",C602+K601,K601)</f>
        <v/>
      </c>
      <c r="L602">
        <f>IF(J602="本金",F602+L601,L601)</f>
        <v/>
      </c>
    </row>
    <row r="603">
      <c r="A603" s="508" t="n">
        <v>46055</v>
      </c>
      <c r="B603" s="509">
        <f>18235</f>
        <v/>
      </c>
      <c r="C603" s="123" t="n"/>
      <c r="D603" s="510">
        <f>D602+C603-B603</f>
        <v/>
      </c>
      <c r="E603" s="535" t="n"/>
      <c r="F603" s="541" t="n"/>
      <c r="G603" s="537">
        <f>G602+F603-E603</f>
        <v/>
      </c>
      <c r="H603" t="inlineStr">
        <is>
          <t>證卷交割</t>
        </is>
      </c>
      <c r="I603" s="65" t="n"/>
      <c r="J603" t="inlineStr">
        <is>
          <t>投資</t>
        </is>
      </c>
      <c r="K603">
        <f>IF(J603="本金",C603+K602,K602)</f>
        <v/>
      </c>
      <c r="L603">
        <f>IF(J603="本金",F603+L602,L602)</f>
        <v/>
      </c>
    </row>
    <row r="604">
      <c r="A604" s="518" t="n">
        <v>46058</v>
      </c>
      <c r="B604" s="519" t="n"/>
      <c r="C604" s="148" t="n">
        <v>334</v>
      </c>
      <c r="D604" s="520">
        <f>D603+C604-B604</f>
        <v/>
      </c>
      <c r="E604" s="542" t="n"/>
      <c r="F604" s="543" t="n"/>
      <c r="G604" s="544">
        <f>G603+F604-E604</f>
        <v/>
      </c>
      <c r="H604" s="152" t="inlineStr">
        <is>
          <t>折讓入帳</t>
        </is>
      </c>
      <c r="I604" s="152" t="n"/>
      <c r="J604" t="inlineStr">
        <is>
          <t>投資</t>
        </is>
      </c>
      <c r="K604">
        <f>IF(J604="本金",C604+K603,K603)</f>
        <v/>
      </c>
      <c r="L604">
        <f>IF(J604="本金",F604+L603,L603)</f>
        <v/>
      </c>
    </row>
    <row r="605">
      <c r="A605" s="508" t="n">
        <v>46058</v>
      </c>
      <c r="B605" s="509" t="n">
        <v>9992</v>
      </c>
      <c r="C605" s="123" t="n"/>
      <c r="D605" s="510">
        <f>D604+C605-B605</f>
        <v/>
      </c>
      <c r="E605" s="535" t="n"/>
      <c r="F605" s="541" t="n"/>
      <c r="G605" s="537">
        <f>G604+F605-E605</f>
        <v/>
      </c>
      <c r="H605" s="65" t="inlineStr">
        <is>
          <t>定期定額</t>
        </is>
      </c>
      <c r="I605" s="65" t="n"/>
      <c r="J605" t="inlineStr">
        <is>
          <t>投資</t>
        </is>
      </c>
      <c r="K605">
        <f>IF(J605="本金",C605+K604,K604)</f>
        <v/>
      </c>
      <c r="L605">
        <f>IF(J605="本金",F605+L604,L604)</f>
        <v/>
      </c>
    </row>
    <row r="606">
      <c r="A606" s="522" t="n">
        <v>46065</v>
      </c>
      <c r="B606" s="523" t="n"/>
      <c r="C606" s="196" t="n">
        <v>8835</v>
      </c>
      <c r="D606" s="524">
        <f>D605+C606-B606</f>
        <v/>
      </c>
      <c r="E606" s="545" t="n"/>
      <c r="F606" s="546" t="n"/>
      <c r="G606" s="547">
        <f>G605+F606-E606</f>
        <v/>
      </c>
      <c r="H606" s="200" t="n">
        <v>770</v>
      </c>
      <c r="I606" s="200" t="inlineStr">
        <is>
          <t>現金股利</t>
        </is>
      </c>
      <c r="J606" t="inlineStr">
        <is>
          <t>投資</t>
        </is>
      </c>
      <c r="K606">
        <f>IF(J606="本金",C606+K605,K605)</f>
        <v/>
      </c>
      <c r="L606">
        <f>IF(J606="本金",F606+L605,L605)</f>
        <v/>
      </c>
    </row>
    <row r="607">
      <c r="A607" s="508" t="n">
        <v>46076</v>
      </c>
      <c r="B607" s="509" t="n">
        <v>19964</v>
      </c>
      <c r="C607" s="123" t="n"/>
      <c r="D607" s="510">
        <f>D606+C607-B607</f>
        <v/>
      </c>
      <c r="E607" s="535" t="n"/>
      <c r="F607" s="541" t="n"/>
      <c r="G607" s="537">
        <f>G606+F607-E607</f>
        <v/>
      </c>
      <c r="H607" s="65" t="inlineStr">
        <is>
          <t>定期定額</t>
        </is>
      </c>
      <c r="I607" s="65" t="n"/>
      <c r="J607" t="inlineStr">
        <is>
          <t>投資</t>
        </is>
      </c>
      <c r="K607">
        <f>IF(J607="本金",C607+K605,K605)</f>
        <v/>
      </c>
      <c r="L607">
        <f>IF(J607="本金",F607+L605,L605)</f>
        <v/>
      </c>
    </row>
    <row r="608">
      <c r="A608" s="508" t="n">
        <v>46078</v>
      </c>
      <c r="B608" s="509" t="n">
        <v>9969</v>
      </c>
      <c r="C608" s="123" t="n"/>
      <c r="D608" s="510">
        <f>D607+C608-B608</f>
        <v/>
      </c>
      <c r="E608" s="535" t="n"/>
      <c r="F608" s="541" t="n"/>
      <c r="G608" s="537">
        <f>G607+F608-E608</f>
        <v/>
      </c>
      <c r="H608" s="65" t="inlineStr">
        <is>
          <t>定期定額</t>
        </is>
      </c>
      <c r="I608" s="65" t="n"/>
      <c r="J608" t="inlineStr">
        <is>
          <t>投資</t>
        </is>
      </c>
      <c r="K608">
        <f>IF(J608="本金",C608+K606,K606)</f>
        <v/>
      </c>
      <c r="L608">
        <f>IF(J608="本金",F608+L606,L606)</f>
        <v/>
      </c>
    </row>
    <row r="609">
      <c r="A609" s="508" t="n">
        <v>46079</v>
      </c>
      <c r="B609" s="509" t="n">
        <v>9995</v>
      </c>
      <c r="C609" s="123" t="n"/>
      <c r="D609" s="510">
        <f>D608+C609-B609</f>
        <v/>
      </c>
      <c r="E609" s="535" t="n"/>
      <c r="F609" s="541" t="n"/>
      <c r="G609" s="537">
        <f>G608+F609-E609</f>
        <v/>
      </c>
      <c r="H609" s="65" t="inlineStr">
        <is>
          <t>定期定額</t>
        </is>
      </c>
      <c r="I609" s="65" t="n"/>
      <c r="J609" t="inlineStr">
        <is>
          <t>投資</t>
        </is>
      </c>
      <c r="K609">
        <f>IF(J609="本金",C609+K608,K608)</f>
        <v/>
      </c>
      <c r="L609">
        <f>IF(J609="本金",F609+L608,L608)</f>
        <v/>
      </c>
    </row>
    <row r="610">
      <c r="A610" s="508" t="n">
        <v>46087</v>
      </c>
      <c r="B610" s="509" t="n">
        <v>9991</v>
      </c>
      <c r="C610" s="123" t="n"/>
      <c r="D610" s="510">
        <f>D609+C610-B610</f>
        <v/>
      </c>
      <c r="E610" s="535" t="n"/>
      <c r="F610" s="541" t="n"/>
      <c r="G610" s="537">
        <f>G609+F610-E610</f>
        <v/>
      </c>
      <c r="H610" s="65" t="inlineStr">
        <is>
          <t>定期定額</t>
        </is>
      </c>
      <c r="I610" s="65" t="n"/>
      <c r="J610" t="inlineStr">
        <is>
          <t>投資</t>
        </is>
      </c>
      <c r="K610">
        <f>IF(J610="本金",C610+K607,K607)</f>
        <v/>
      </c>
      <c r="L610">
        <f>IF(J610="本金",F610+L607,L607)</f>
        <v/>
      </c>
    </row>
    <row r="611">
      <c r="A611" s="508" t="n">
        <v>46090</v>
      </c>
      <c r="B611" s="509" t="n">
        <v>19952</v>
      </c>
      <c r="C611" s="123" t="n"/>
      <c r="D611" s="510">
        <f>D610+C611-B611</f>
        <v/>
      </c>
      <c r="E611" s="535" t="n"/>
      <c r="F611" s="541" t="n"/>
      <c r="G611" s="537">
        <f>G610+F611-E611</f>
        <v/>
      </c>
      <c r="H611" s="65" t="inlineStr">
        <is>
          <t>定期定額</t>
        </is>
      </c>
      <c r="I611" s="65" t="n"/>
      <c r="J611" t="inlineStr">
        <is>
          <t>投資</t>
        </is>
      </c>
      <c r="K611">
        <f>IF(J611="本金",C611+K608,K608)</f>
        <v/>
      </c>
      <c r="L611">
        <f>IF(J611="本金",F611+L608,L608)</f>
        <v/>
      </c>
    </row>
    <row r="612">
      <c r="A612" s="508" t="n">
        <v>46091</v>
      </c>
      <c r="B612" s="509" t="n"/>
      <c r="C612" s="123" t="n"/>
      <c r="D612" s="510">
        <f>D611+C612-B612</f>
        <v/>
      </c>
      <c r="E612" s="535" t="n"/>
      <c r="F612" s="541" t="n">
        <v>432.74</v>
      </c>
      <c r="G612" s="537">
        <f>G611+F612-E612</f>
        <v/>
      </c>
      <c r="I612" s="65" t="inlineStr">
        <is>
          <t>複委託 賣出</t>
        </is>
      </c>
      <c r="J612" t="inlineStr">
        <is>
          <t>投資</t>
        </is>
      </c>
      <c r="K612">
        <f>IF(J612="本金",C612+K611,K611)</f>
        <v/>
      </c>
      <c r="L612">
        <f>IF(J612="本金",F612+L611,L611)</f>
        <v/>
      </c>
    </row>
    <row r="613">
      <c r="A613" s="508" t="n">
        <v>46092</v>
      </c>
      <c r="B613" s="509" t="n"/>
      <c r="C613" s="123" t="n">
        <v>322773</v>
      </c>
      <c r="D613" s="510">
        <f>D612+C613-B613</f>
        <v/>
      </c>
      <c r="E613" s="535" t="n"/>
      <c r="F613" s="541" t="n"/>
      <c r="G613" s="537">
        <f>G612+F613-E613</f>
        <v/>
      </c>
      <c r="H613" t="inlineStr">
        <is>
          <t>證卷交割</t>
        </is>
      </c>
      <c r="I613" s="65" t="n"/>
      <c r="J613" t="inlineStr">
        <is>
          <t>投資</t>
        </is>
      </c>
      <c r="K613">
        <f>IF(J613="本金",C613+K612,K612)</f>
        <v/>
      </c>
      <c r="L613">
        <f>IF(J613="本金",F613+L612,L612)</f>
        <v/>
      </c>
    </row>
    <row r="614">
      <c r="A614" s="508" t="n">
        <v>46097</v>
      </c>
      <c r="B614" s="509" t="n">
        <v>9999</v>
      </c>
      <c r="C614" s="123" t="n"/>
      <c r="D614" s="510">
        <f>D613+C614-B614</f>
        <v/>
      </c>
      <c r="E614" s="535" t="n"/>
      <c r="F614" s="541" t="n"/>
      <c r="G614" s="537">
        <f>G613+F614-E614</f>
        <v/>
      </c>
      <c r="H614" s="65" t="inlineStr">
        <is>
          <t>定期定額</t>
        </is>
      </c>
      <c r="I614" s="65" t="n"/>
      <c r="J614" t="inlineStr">
        <is>
          <t>投資</t>
        </is>
      </c>
      <c r="K614">
        <f>IF(J614="本金",C614+K612,K612)</f>
        <v/>
      </c>
      <c r="L614">
        <f>IF(J614="本金",F614+L612,L612)</f>
        <v/>
      </c>
    </row>
    <row r="615">
      <c r="A615" s="508" t="n">
        <v>46098</v>
      </c>
      <c r="B615" s="509" t="n">
        <v>9974</v>
      </c>
      <c r="C615" s="123" t="n"/>
      <c r="D615" s="510">
        <f>D614+C615-B615</f>
        <v/>
      </c>
      <c r="E615" s="535" t="n"/>
      <c r="F615" s="541" t="n"/>
      <c r="G615" s="537">
        <f>G614+F615-E615</f>
        <v/>
      </c>
      <c r="H615" s="65" t="inlineStr">
        <is>
          <t>定期定額</t>
        </is>
      </c>
      <c r="I615" s="65" t="n"/>
      <c r="J615" t="inlineStr">
        <is>
          <t>投資</t>
        </is>
      </c>
      <c r="K615">
        <f>IF(J615="本金",C615+K613,K613)</f>
        <v/>
      </c>
      <c r="L615">
        <f>IF(J615="本金",F615+L613,L613)</f>
        <v/>
      </c>
    </row>
    <row r="616">
      <c r="A616" s="508" t="n">
        <v>46099</v>
      </c>
      <c r="B616" s="509" t="n">
        <v>9999</v>
      </c>
      <c r="C616" s="123" t="n"/>
      <c r="D616" s="510">
        <f>D615+C616-B616</f>
        <v/>
      </c>
      <c r="E616" s="535" t="n"/>
      <c r="F616" s="541" t="n"/>
      <c r="G616" s="537">
        <f>G615+F616-E616</f>
        <v/>
      </c>
      <c r="H616" s="65" t="inlineStr">
        <is>
          <t>定期定額</t>
        </is>
      </c>
      <c r="I616" s="65" t="n"/>
      <c r="J616" t="inlineStr">
        <is>
          <t>投資</t>
        </is>
      </c>
      <c r="K616">
        <f>IF(J616="本金",C616+K614,K614)</f>
        <v/>
      </c>
      <c r="L616">
        <f>IF(J616="本金",F616+L614,L614)</f>
        <v/>
      </c>
    </row>
    <row r="617">
      <c r="A617" s="508" t="n">
        <v>46100</v>
      </c>
      <c r="B617" s="509" t="n">
        <v>129183</v>
      </c>
      <c r="C617" s="123" t="n"/>
      <c r="D617" s="510">
        <f>D616+C617-B617</f>
        <v/>
      </c>
      <c r="E617" s="535" t="n"/>
      <c r="F617" s="541" t="n"/>
      <c r="G617" s="537">
        <f>G616+F617-E617</f>
        <v/>
      </c>
      <c r="H617" t="inlineStr">
        <is>
          <t>證卷交割</t>
        </is>
      </c>
      <c r="I617" s="65" t="n"/>
      <c r="J617" t="inlineStr">
        <is>
          <t>投資</t>
        </is>
      </c>
      <c r="K617">
        <f>IF(J617="本金",C617+K616,K616)</f>
        <v/>
      </c>
      <c r="L617">
        <f>IF(J617="本金",F617+L616,L616)</f>
        <v/>
      </c>
    </row>
    <row r="618">
      <c r="A618" s="508" t="n">
        <v>46106</v>
      </c>
      <c r="B618" s="509" t="n">
        <v>141701</v>
      </c>
      <c r="C618" s="123" t="n"/>
      <c r="D618" s="510">
        <f>D617+C618-B618</f>
        <v/>
      </c>
      <c r="E618" s="535" t="n"/>
      <c r="F618" s="541" t="n"/>
      <c r="G618" s="537">
        <f>G617+F618-E618</f>
        <v/>
      </c>
      <c r="H618" t="inlineStr">
        <is>
          <t>證卷交割</t>
        </is>
      </c>
      <c r="I618" s="65" t="n"/>
      <c r="J618" t="inlineStr">
        <is>
          <t>投資</t>
        </is>
      </c>
      <c r="K618">
        <f>IF(J618="本金",C618+K617,K617)</f>
        <v/>
      </c>
      <c r="L618">
        <f>IF(J618="本金",F618+L617,L617)</f>
        <v/>
      </c>
    </row>
    <row r="619">
      <c r="A619" s="518" t="n">
        <v>46114</v>
      </c>
      <c r="B619" s="519" t="n"/>
      <c r="C619" s="148" t="n">
        <v>1175</v>
      </c>
      <c r="D619" s="520">
        <f>D618+C619-B619</f>
        <v/>
      </c>
      <c r="E619" s="542" t="n"/>
      <c r="F619" s="543" t="n"/>
      <c r="G619" s="544">
        <f>G618+F619-E619</f>
        <v/>
      </c>
      <c r="H619" s="152" t="inlineStr">
        <is>
          <t>折讓入帳</t>
        </is>
      </c>
      <c r="I619" s="152" t="n"/>
      <c r="J619" t="inlineStr">
        <is>
          <t>投資</t>
        </is>
      </c>
      <c r="K619">
        <f>IF(J619="本金",C619+K618,K618)</f>
        <v/>
      </c>
      <c r="L619">
        <f>IF(J619="本金",F619+L618,L618)</f>
        <v/>
      </c>
    </row>
    <row r="620">
      <c r="A620" s="522" t="n">
        <v>46114</v>
      </c>
      <c r="B620" s="523" t="n"/>
      <c r="C620" s="196" t="n"/>
      <c r="D620" s="524">
        <f>D619+C620-B620</f>
        <v/>
      </c>
      <c r="E620" s="545" t="n"/>
      <c r="F620" s="546" t="n">
        <v>0.5600000000000001</v>
      </c>
      <c r="G620" s="547">
        <f>G619+F620-E620</f>
        <v/>
      </c>
      <c r="H620" s="200" t="inlineStr">
        <is>
          <t>NVDA</t>
        </is>
      </c>
      <c r="I620" s="200" t="inlineStr">
        <is>
          <t>現金股利</t>
        </is>
      </c>
      <c r="J620" t="inlineStr">
        <is>
          <t>投資</t>
        </is>
      </c>
      <c r="K620">
        <f>IF(J620="本金",C620+K619,K619)</f>
        <v/>
      </c>
      <c r="L620">
        <f>IF(J620="本金",F620+L619,L619)</f>
        <v/>
      </c>
    </row>
    <row r="621">
      <c r="A621" s="508" t="n">
        <v>46119</v>
      </c>
      <c r="B621" s="509" t="n">
        <v>19958</v>
      </c>
      <c r="C621" s="123" t="n"/>
      <c r="D621" s="510">
        <f>D620+C621-B621</f>
        <v/>
      </c>
      <c r="E621" s="535" t="n"/>
      <c r="F621" s="541" t="n"/>
      <c r="G621" s="537">
        <f>G620+F621-E621</f>
        <v/>
      </c>
      <c r="H621" s="65" t="inlineStr">
        <is>
          <t>定期定額</t>
        </is>
      </c>
      <c r="I621" s="65" t="n"/>
      <c r="J621" t="inlineStr">
        <is>
          <t>投資</t>
        </is>
      </c>
      <c r="K621">
        <f>IF(J621="本金",C621+K618,K618)</f>
        <v/>
      </c>
      <c r="L621">
        <f>IF(J621="本金",F621+L618,L618)</f>
        <v/>
      </c>
    </row>
    <row r="622">
      <c r="A622" s="508" t="n">
        <v>46120</v>
      </c>
      <c r="B622" s="509" t="n">
        <v>9992</v>
      </c>
      <c r="C622" s="123" t="n"/>
      <c r="D622" s="510">
        <f>D621+C622-B622</f>
        <v/>
      </c>
      <c r="E622" s="535" t="n"/>
      <c r="F622" s="541" t="n"/>
      <c r="G622" s="537">
        <f>G621+F622-E622</f>
        <v/>
      </c>
      <c r="H622" s="65" t="inlineStr">
        <is>
          <t>定期定額</t>
        </is>
      </c>
      <c r="I622" s="65" t="n"/>
      <c r="J622" t="inlineStr">
        <is>
          <t>投資</t>
        </is>
      </c>
      <c r="K622">
        <f>IF(J622="本金",C622+K619,K619)</f>
        <v/>
      </c>
      <c r="L622">
        <f>IF(J622="本金",F622+L619,L619)</f>
        <v/>
      </c>
    </row>
    <row r="623">
      <c r="A623" s="508" t="n">
        <v>46121</v>
      </c>
      <c r="B623" s="509" t="n"/>
      <c r="C623" s="123" t="n">
        <v>7130</v>
      </c>
      <c r="D623" s="510">
        <f>D622+C623-B623</f>
        <v/>
      </c>
      <c r="E623" s="535" t="n"/>
      <c r="F623" s="541" t="n"/>
      <c r="G623" s="537">
        <f>G622+F623-E623</f>
        <v/>
      </c>
      <c r="H623" t="inlineStr">
        <is>
          <t>證卷交割</t>
        </is>
      </c>
      <c r="I623" s="65" t="n"/>
      <c r="J623" t="inlineStr">
        <is>
          <t>投資</t>
        </is>
      </c>
      <c r="K623">
        <f>IF(J623="本金",C623+K622,K622)</f>
        <v/>
      </c>
      <c r="L623">
        <f>IF(J623="本金",F623+L622,L622)</f>
        <v/>
      </c>
    </row>
    <row r="624">
      <c r="A624" s="522" t="n">
        <v>46122</v>
      </c>
      <c r="B624" s="523" t="n"/>
      <c r="C624" s="196" t="n">
        <v>1637</v>
      </c>
      <c r="D624" s="524">
        <f>D623+C624-B624</f>
        <v/>
      </c>
      <c r="E624" s="545" t="n"/>
      <c r="F624" s="546" t="n"/>
      <c r="G624" s="547">
        <f>G623+F624-E624</f>
        <v/>
      </c>
      <c r="H624" s="200" t="n">
        <v>981</v>
      </c>
      <c r="I624" s="200" t="inlineStr">
        <is>
          <t>現金股利</t>
        </is>
      </c>
      <c r="J624" t="inlineStr">
        <is>
          <t>投資</t>
        </is>
      </c>
      <c r="K624">
        <f>IF(J624="本金",C624+K623,K623)</f>
        <v/>
      </c>
      <c r="L624">
        <f>IF(J624="本金",F624+L623,L623)</f>
        <v/>
      </c>
    </row>
    <row r="625">
      <c r="A625" s="522" t="n">
        <v>46126</v>
      </c>
      <c r="B625" s="523" t="n"/>
      <c r="C625" s="196" t="n">
        <v>330</v>
      </c>
      <c r="D625" s="524">
        <f>D624+C625-B625</f>
        <v/>
      </c>
      <c r="E625" s="545" t="n"/>
      <c r="F625" s="546" t="n"/>
      <c r="G625" s="547">
        <f>G624+F625-E625</f>
        <v/>
      </c>
      <c r="H625" s="200" t="n">
        <v>919</v>
      </c>
      <c r="I625" s="200" t="inlineStr">
        <is>
          <t>現金股利</t>
        </is>
      </c>
      <c r="J625" t="inlineStr">
        <is>
          <t>投資</t>
        </is>
      </c>
      <c r="K625">
        <f>IF(J625="本金",C625+K624,K624)</f>
        <v/>
      </c>
      <c r="L625">
        <f>IF(J625="本金",F625+L624,L624)</f>
        <v/>
      </c>
    </row>
    <row r="626">
      <c r="A626" s="508" t="n">
        <v>46128</v>
      </c>
      <c r="B626" s="509" t="n">
        <v>111665</v>
      </c>
      <c r="C626" s="123" t="n"/>
      <c r="D626" s="510">
        <f>D625+C626-B626</f>
        <v/>
      </c>
      <c r="E626" s="535" t="n"/>
      <c r="F626" s="541" t="n"/>
      <c r="G626" s="537">
        <f>G625+F626-E626</f>
        <v/>
      </c>
      <c r="H626" t="inlineStr">
        <is>
          <t>證卷交割</t>
        </is>
      </c>
      <c r="I626" s="65" t="n"/>
      <c r="J626" t="inlineStr">
        <is>
          <t>投資</t>
        </is>
      </c>
      <c r="K626">
        <f>IF(J626="本金",C626+K625,K625)</f>
        <v/>
      </c>
      <c r="L626">
        <f>IF(J626="本金",F626+L625,L625)</f>
        <v/>
      </c>
    </row>
    <row r="627">
      <c r="A627" s="508" t="n">
        <v>46128</v>
      </c>
      <c r="B627" s="509" t="n">
        <v>9999</v>
      </c>
      <c r="C627" s="123" t="n"/>
      <c r="D627" s="510">
        <f>D626+C627-B627</f>
        <v/>
      </c>
      <c r="E627" s="535" t="n"/>
      <c r="F627" s="541" t="n"/>
      <c r="G627" s="537">
        <f>G626+F627-E627</f>
        <v/>
      </c>
      <c r="H627" s="65" t="inlineStr">
        <is>
          <t>定期定額</t>
        </is>
      </c>
      <c r="I627" s="65" t="n"/>
      <c r="J627" t="inlineStr">
        <is>
          <t>投資</t>
        </is>
      </c>
      <c r="K627">
        <f>IF(J627="本金",C627+K626,K626)</f>
        <v/>
      </c>
      <c r="L627">
        <f>IF(J627="本金",F627+L626,L626)</f>
        <v/>
      </c>
    </row>
    <row r="628">
      <c r="A628" s="508" t="n">
        <v>46129</v>
      </c>
      <c r="B628" s="509" t="n">
        <v>9984</v>
      </c>
      <c r="C628" s="123" t="n"/>
      <c r="D628" s="510">
        <f>D627+C628-B628</f>
        <v/>
      </c>
      <c r="E628" s="535" t="n"/>
      <c r="F628" s="541" t="n"/>
      <c r="G628" s="537">
        <f>G627+F628-E628</f>
        <v/>
      </c>
      <c r="H628" s="65" t="inlineStr">
        <is>
          <t>定期定額</t>
        </is>
      </c>
      <c r="I628" s="65" t="n"/>
      <c r="J628" t="inlineStr">
        <is>
          <t>投資</t>
        </is>
      </c>
      <c r="K628">
        <f>IF(J628="本金",C628+K627,K627)</f>
        <v/>
      </c>
      <c r="L628">
        <f>IF(J628="本金",F628+L627,L627)</f>
        <v/>
      </c>
    </row>
    <row r="629">
      <c r="A629" s="508" t="n">
        <v>46132</v>
      </c>
      <c r="B629" s="509" t="n"/>
      <c r="C629" s="123" t="n">
        <v>18326</v>
      </c>
      <c r="D629" s="510">
        <f>D628+C629-B629</f>
        <v/>
      </c>
      <c r="E629" s="535" t="n"/>
      <c r="F629" s="541" t="n"/>
      <c r="G629" s="537">
        <f>G628+F629-E629</f>
        <v/>
      </c>
      <c r="H629" t="inlineStr">
        <is>
          <t>證卷交割</t>
        </is>
      </c>
      <c r="I629" s="65" t="n"/>
      <c r="J629" t="inlineStr">
        <is>
          <t>投資</t>
        </is>
      </c>
      <c r="K629">
        <f>IF(J629="本金",C629+K628,K628)</f>
        <v/>
      </c>
      <c r="L629">
        <f>IF(J629="本金",F629+L628,L628)</f>
        <v/>
      </c>
    </row>
    <row r="630">
      <c r="A630" s="508" t="n">
        <v>46132</v>
      </c>
      <c r="B630" s="509" t="n">
        <v>9982</v>
      </c>
      <c r="C630" s="123" t="n"/>
      <c r="D630" s="510">
        <f>D629+C630-B630</f>
        <v/>
      </c>
      <c r="E630" s="535" t="n"/>
      <c r="F630" s="541" t="n"/>
      <c r="G630" s="537">
        <f>G629+F630-E630</f>
        <v/>
      </c>
      <c r="H630" s="65" t="inlineStr">
        <is>
          <t>定期定額</t>
        </is>
      </c>
      <c r="I630" s="65" t="n"/>
      <c r="J630" t="inlineStr">
        <is>
          <t>投資</t>
        </is>
      </c>
      <c r="K630">
        <f>IF(J630="本金",C630+K629,K629)</f>
        <v/>
      </c>
      <c r="L630">
        <f>IF(J630="本金",F630+L629,L629)</f>
        <v/>
      </c>
    </row>
    <row r="631">
      <c r="A631" s="508" t="n">
        <v>46133</v>
      </c>
      <c r="B631" s="509" t="n"/>
      <c r="C631" s="123" t="n">
        <v>78144</v>
      </c>
      <c r="D631" s="510">
        <f>D630+C631-B631</f>
        <v/>
      </c>
      <c r="E631" s="535" t="n"/>
      <c r="F631" s="541" t="n"/>
      <c r="G631" s="537">
        <f>G630+F631-E631</f>
        <v/>
      </c>
      <c r="H631" t="inlineStr">
        <is>
          <t>證卷交割</t>
        </is>
      </c>
      <c r="I631" s="65" t="n"/>
      <c r="J631" t="inlineStr">
        <is>
          <t>投資</t>
        </is>
      </c>
      <c r="K631">
        <f>IF(J631="本金",C631+K630,K630)</f>
        <v/>
      </c>
      <c r="L631">
        <f>IF(J631="本金",F631+L630,L630)</f>
        <v/>
      </c>
    </row>
    <row r="632">
      <c r="A632" s="522" t="n">
        <v>46134</v>
      </c>
      <c r="B632" s="523" t="n"/>
      <c r="C632" s="196" t="n">
        <v>4414</v>
      </c>
      <c r="D632" s="524">
        <f>D631+C632-B632</f>
        <v/>
      </c>
      <c r="E632" s="545" t="n"/>
      <c r="F632" s="546" t="n"/>
      <c r="G632" s="547">
        <f>G631+F632-E632</f>
        <v/>
      </c>
      <c r="H632" s="200" t="inlineStr">
        <is>
          <t>義隆電子現金股</t>
        </is>
      </c>
      <c r="I632" s="200" t="inlineStr">
        <is>
          <t>現金股利</t>
        </is>
      </c>
      <c r="J632" t="inlineStr">
        <is>
          <t>投資</t>
        </is>
      </c>
      <c r="K632">
        <f>IF(J632="本金",C632+K631,K631)</f>
        <v/>
      </c>
      <c r="L632">
        <f>IF(J632="本金",F632+L631,L631)</f>
        <v/>
      </c>
    </row>
    <row r="633">
      <c r="A633" s="508" t="n">
        <v>46135</v>
      </c>
      <c r="B633" s="509" t="n">
        <v>127675</v>
      </c>
      <c r="C633" s="123" t="n"/>
      <c r="D633" s="510">
        <f>D632+C633-B633</f>
        <v/>
      </c>
      <c r="E633" s="535" t="n"/>
      <c r="F633" s="541" t="n"/>
      <c r="G633" s="537">
        <f>G632+F633-E633</f>
        <v/>
      </c>
      <c r="H633" t="inlineStr">
        <is>
          <t>證卷交割</t>
        </is>
      </c>
      <c r="I633" s="65" t="n"/>
      <c r="J633" t="inlineStr">
        <is>
          <t>投資</t>
        </is>
      </c>
      <c r="K633">
        <f>IF(J633="本金",C633+K632,K632)</f>
        <v/>
      </c>
      <c r="L633">
        <f>IF(J633="本金",F633+L632,L632)</f>
        <v/>
      </c>
    </row>
    <row r="634">
      <c r="A634" s="508" t="n">
        <v>46136</v>
      </c>
      <c r="B634" s="509" t="n"/>
      <c r="C634" s="123">
        <f>106015</f>
        <v/>
      </c>
      <c r="D634" s="510">
        <f>D633+C634-B634</f>
        <v/>
      </c>
      <c r="E634" s="535" t="n"/>
      <c r="F634" s="541" t="n"/>
      <c r="G634" s="537">
        <f>G633+F634-E634</f>
        <v/>
      </c>
      <c r="H634" t="inlineStr">
        <is>
          <t>證卷交割</t>
        </is>
      </c>
      <c r="I634" s="65" t="n"/>
      <c r="J634" t="inlineStr">
        <is>
          <t>投資</t>
        </is>
      </c>
      <c r="K634">
        <f>IF(J634="本金",C634+K633,K633)</f>
        <v/>
      </c>
      <c r="L634">
        <f>IF(J634="本金",F634+L633,L633)</f>
        <v/>
      </c>
    </row>
    <row r="635">
      <c r="A635" s="522" t="n">
        <v>46136</v>
      </c>
      <c r="B635" s="523" t="n"/>
      <c r="C635" s="196" t="n">
        <v>3290</v>
      </c>
      <c r="D635" s="524">
        <f>D634+C635-B635</f>
        <v/>
      </c>
      <c r="E635" s="545" t="n"/>
      <c r="F635" s="546" t="n"/>
      <c r="G635" s="547">
        <f>G634+F635-E635</f>
        <v/>
      </c>
      <c r="H635" s="200" t="inlineStr">
        <is>
          <t>豐興鋼鐵現金股</t>
        </is>
      </c>
      <c r="I635" s="200" t="inlineStr">
        <is>
          <t>現金股利</t>
        </is>
      </c>
      <c r="J635" t="inlineStr">
        <is>
          <t>投資</t>
        </is>
      </c>
      <c r="K635">
        <f>IF(J635="本金",C635+K634,K634)</f>
        <v/>
      </c>
      <c r="L635">
        <f>IF(J635="本金",F635+L634,L634)</f>
        <v/>
      </c>
    </row>
    <row r="636">
      <c r="A636" s="508" t="n">
        <v>46139</v>
      </c>
      <c r="B636" s="509" t="n">
        <v>580</v>
      </c>
      <c r="C636" s="123" t="n"/>
      <c r="D636" s="510">
        <f>D635+C636-B636</f>
        <v/>
      </c>
      <c r="E636" s="535" t="n"/>
      <c r="F636" s="541" t="n"/>
      <c r="G636" s="537">
        <f>G635+F636-E636</f>
        <v/>
      </c>
      <c r="H636" s="65" t="inlineStr">
        <is>
          <t>承銷申購</t>
        </is>
      </c>
      <c r="I636" s="65" t="n"/>
      <c r="J636" t="inlineStr">
        <is>
          <t>投資</t>
        </is>
      </c>
      <c r="K636">
        <f>IF(J636="本金",C636+K635,K635)</f>
        <v/>
      </c>
      <c r="L636">
        <f>IF(J636="本金",F636+L635,L635)</f>
        <v/>
      </c>
    </row>
    <row r="637">
      <c r="A637" s="508" t="n">
        <v>46140</v>
      </c>
      <c r="B637" s="509" t="n"/>
      <c r="C637" s="123" t="n">
        <v>260246</v>
      </c>
      <c r="D637" s="510">
        <f>D636+C637-B637</f>
        <v/>
      </c>
      <c r="E637" s="535" t="n"/>
      <c r="F637" s="541" t="n"/>
      <c r="G637" s="537">
        <f>G636+F637-E637</f>
        <v/>
      </c>
      <c r="H637" t="inlineStr">
        <is>
          <t>證卷交割</t>
        </is>
      </c>
      <c r="I637" s="65" t="n"/>
      <c r="J637" t="inlineStr">
        <is>
          <t>投資</t>
        </is>
      </c>
      <c r="K637">
        <f>IF(J637="本金",C637+K636,K636)</f>
        <v/>
      </c>
      <c r="L637">
        <f>IF(J637="本金",F637+L636,L636)</f>
        <v/>
      </c>
    </row>
    <row r="638">
      <c r="A638" s="508" t="n">
        <v>46140</v>
      </c>
      <c r="B638" s="509" t="n">
        <v>4916</v>
      </c>
      <c r="C638" s="123" t="n"/>
      <c r="D638" s="510">
        <f>D637+C638-B638</f>
        <v/>
      </c>
      <c r="E638" s="535" t="n"/>
      <c r="F638" s="541" t="n"/>
      <c r="G638" s="537">
        <f>G637+F638-E638</f>
        <v/>
      </c>
      <c r="H638" s="65" t="inlineStr">
        <is>
          <t>定期定額</t>
        </is>
      </c>
      <c r="I638" s="65" t="n"/>
      <c r="J638" t="inlineStr">
        <is>
          <t>投資</t>
        </is>
      </c>
      <c r="K638">
        <f>IF(J638="本金",C638+K637,K637)</f>
        <v/>
      </c>
      <c r="L638">
        <f>IF(J638="本金",F638+L637,L637)</f>
        <v/>
      </c>
    </row>
    <row r="639">
      <c r="A639" s="508" t="n">
        <v>46141</v>
      </c>
      <c r="B639" s="509" t="n"/>
      <c r="C639" s="123" t="n">
        <v>260146</v>
      </c>
      <c r="D639" s="510">
        <f>D638+C639-B639</f>
        <v/>
      </c>
      <c r="E639" s="535" t="n"/>
      <c r="F639" s="541" t="n"/>
      <c r="G639" s="537">
        <f>G638+F639-E639</f>
        <v/>
      </c>
      <c r="H639" t="inlineStr">
        <is>
          <t>證卷交割</t>
        </is>
      </c>
      <c r="I639" s="65" t="n"/>
      <c r="J639" t="inlineStr">
        <is>
          <t>投資</t>
        </is>
      </c>
      <c r="K639">
        <f>IF(J639="本金",C639+K638,K638)</f>
        <v/>
      </c>
      <c r="L639">
        <f>IF(J639="本金",F639+L638,L638)</f>
        <v/>
      </c>
    </row>
    <row r="640">
      <c r="A640" s="518" t="n">
        <v>46147</v>
      </c>
      <c r="B640" s="519" t="n"/>
      <c r="C640" s="148" t="n">
        <v>1189</v>
      </c>
      <c r="D640" s="520">
        <f>D639+C640-B640</f>
        <v/>
      </c>
      <c r="E640" s="542" t="n"/>
      <c r="F640" s="543" t="n"/>
      <c r="G640" s="544">
        <f>G639+F640-E640</f>
        <v/>
      </c>
      <c r="H640" s="152" t="inlineStr">
        <is>
          <t>折讓入帳</t>
        </is>
      </c>
      <c r="I640" s="152" t="n"/>
      <c r="J640" t="inlineStr">
        <is>
          <t>投資</t>
        </is>
      </c>
      <c r="K640">
        <f>IF(J640="本金",C640+K639,K639)</f>
        <v/>
      </c>
      <c r="L640">
        <f>IF(J640="本金",F640+L639,L639)</f>
        <v/>
      </c>
    </row>
    <row r="641">
      <c r="A641" s="508" t="n">
        <v>46148</v>
      </c>
      <c r="B641" s="509" t="n">
        <v>9997</v>
      </c>
      <c r="C641" s="123" t="n"/>
      <c r="D641" s="510">
        <f>D640+C641-B641</f>
        <v/>
      </c>
      <c r="E641" s="535" t="n"/>
      <c r="F641" s="541" t="n"/>
      <c r="G641" s="537">
        <f>G640+F641-E641</f>
        <v/>
      </c>
      <c r="H641" s="65" t="inlineStr">
        <is>
          <t>定期定額</t>
        </is>
      </c>
      <c r="I641" s="65" t="n"/>
      <c r="J641" t="inlineStr">
        <is>
          <t>投資</t>
        </is>
      </c>
      <c r="K641">
        <f>IF(J641="本金",C641+K640,K640)</f>
        <v/>
      </c>
      <c r="L641">
        <f>IF(J641="本金",F641+L640,L640)</f>
        <v/>
      </c>
    </row>
    <row r="642">
      <c r="A642" s="508" t="n">
        <v>46149</v>
      </c>
      <c r="B642" s="509" t="n">
        <v>9934</v>
      </c>
      <c r="C642" s="123" t="n"/>
      <c r="D642" s="510">
        <f>D641+C642-B642</f>
        <v/>
      </c>
      <c r="E642" s="535" t="n"/>
      <c r="F642" s="541" t="n"/>
      <c r="G642" s="537">
        <f>G641+F642-E642</f>
        <v/>
      </c>
      <c r="H642" s="65" t="inlineStr">
        <is>
          <t>定期定額</t>
        </is>
      </c>
      <c r="I642" s="65" t="n"/>
      <c r="J642" t="inlineStr">
        <is>
          <t>投資</t>
        </is>
      </c>
      <c r="K642">
        <f>IF(J642="本金",C642+K641,K641)</f>
        <v/>
      </c>
      <c r="L642">
        <f>IF(J642="本金",F642+L641,L641)</f>
        <v/>
      </c>
    </row>
    <row r="643">
      <c r="A643" s="508" t="n">
        <v>46150</v>
      </c>
      <c r="B643" s="509" t="n">
        <v>108433</v>
      </c>
      <c r="C643" s="123" t="n"/>
      <c r="D643" s="510">
        <f>D642+C643-B643</f>
        <v/>
      </c>
      <c r="E643" s="535" t="n"/>
      <c r="F643" s="541" t="n"/>
      <c r="G643" s="537">
        <f>G642+F643-E643</f>
        <v/>
      </c>
      <c r="H643" t="inlineStr">
        <is>
          <t>證卷交割</t>
        </is>
      </c>
      <c r="I643" s="65" t="n"/>
      <c r="J643" t="inlineStr">
        <is>
          <t>投資</t>
        </is>
      </c>
      <c r="K643">
        <f>IF(J643="本金",C643+K642,K642)</f>
        <v/>
      </c>
      <c r="L643">
        <f>IF(J643="本金",F643+L642,L642)</f>
        <v/>
      </c>
    </row>
    <row r="644">
      <c r="A644" s="508" t="n">
        <v>46150</v>
      </c>
      <c r="B644" s="509" t="n">
        <v>4949</v>
      </c>
      <c r="C644" s="123" t="n"/>
      <c r="D644" s="510">
        <f>D643+C644-B644</f>
        <v/>
      </c>
      <c r="E644" s="535" t="n"/>
      <c r="F644" s="541" t="n"/>
      <c r="G644" s="537">
        <f>G643+F644-E644</f>
        <v/>
      </c>
      <c r="H644" s="65" t="inlineStr">
        <is>
          <t>定期定額</t>
        </is>
      </c>
      <c r="I644" s="65" t="n"/>
      <c r="J644" t="inlineStr">
        <is>
          <t>投資</t>
        </is>
      </c>
      <c r="K644">
        <f>IF(J644="本金",C644+K643,K643)</f>
        <v/>
      </c>
      <c r="L644">
        <f>IF(J644="本金",F644+L643,L643)</f>
        <v/>
      </c>
    </row>
    <row r="645">
      <c r="A645" s="508" t="n">
        <v>46153</v>
      </c>
      <c r="B645" s="509" t="n">
        <v>667432</v>
      </c>
      <c r="C645" s="123" t="n"/>
      <c r="D645" s="510">
        <f>D644+C645-B645</f>
        <v/>
      </c>
      <c r="E645" s="535" t="n"/>
      <c r="F645" s="541" t="n"/>
      <c r="G645" s="537">
        <f>G644+F645-E645</f>
        <v/>
      </c>
      <c r="H645" t="inlineStr">
        <is>
          <t>證卷交割</t>
        </is>
      </c>
      <c r="I645" s="65" t="n"/>
      <c r="J645" t="inlineStr">
        <is>
          <t>投資</t>
        </is>
      </c>
      <c r="K645">
        <f>IF(J645="本金",C645+K644,K644)</f>
        <v/>
      </c>
      <c r="L645">
        <f>IF(J645="本金",F645+L644,L644)</f>
        <v/>
      </c>
    </row>
    <row r="646">
      <c r="A646" s="522" t="n">
        <v>46154</v>
      </c>
      <c r="B646" s="523" t="n"/>
      <c r="C646" s="196" t="n">
        <v>1186</v>
      </c>
      <c r="D646" s="524">
        <f>D645+C646-B646</f>
        <v/>
      </c>
      <c r="E646" s="545" t="n"/>
      <c r="F646" s="546" t="n"/>
      <c r="G646" s="547">
        <f>G645+F646-E646</f>
        <v/>
      </c>
      <c r="H646" s="200" t="inlineStr">
        <is>
          <t>宜特科技</t>
        </is>
      </c>
      <c r="I646" s="200" t="inlineStr">
        <is>
          <t>現金股利</t>
        </is>
      </c>
      <c r="J646" t="inlineStr">
        <is>
          <t>投資</t>
        </is>
      </c>
      <c r="K646">
        <f>IF(J646="本金",C646+K645,K645)</f>
        <v/>
      </c>
      <c r="L646">
        <f>IF(J646="本金",F646+L645,L645)</f>
        <v/>
      </c>
    </row>
    <row r="647">
      <c r="A647" s="508" t="n">
        <v>46154</v>
      </c>
      <c r="B647" s="509" t="n">
        <v>243346</v>
      </c>
      <c r="C647" s="123" t="n"/>
      <c r="D647" s="510">
        <f>D646+C647-B647</f>
        <v/>
      </c>
      <c r="E647" s="535" t="n"/>
      <c r="F647" s="541" t="n"/>
      <c r="G647" s="537">
        <f>G646+F647-E647</f>
        <v/>
      </c>
      <c r="H647" t="inlineStr">
        <is>
          <t>證卷交割</t>
        </is>
      </c>
      <c r="I647" s="65" t="n"/>
      <c r="J647" t="inlineStr">
        <is>
          <t>投資</t>
        </is>
      </c>
      <c r="K647">
        <f>IF(J647="本金",C647+K646,K646)</f>
        <v/>
      </c>
      <c r="L647">
        <f>IF(J647="本金",F647+L646,L646)</f>
        <v/>
      </c>
    </row>
    <row r="648">
      <c r="A648" s="508" t="n">
        <v>46156</v>
      </c>
      <c r="B648" s="509" t="n">
        <v>105149</v>
      </c>
      <c r="C648" s="123" t="n"/>
      <c r="D648" s="510">
        <f>D647+C648-B648</f>
        <v/>
      </c>
      <c r="E648" s="535" t="n"/>
      <c r="F648" s="541" t="n"/>
      <c r="G648" s="537">
        <f>G647+F648-E648</f>
        <v/>
      </c>
      <c r="H648" t="inlineStr">
        <is>
          <t>證卷交割</t>
        </is>
      </c>
      <c r="I648" s="65" t="n"/>
      <c r="J648" t="inlineStr">
        <is>
          <t>投資</t>
        </is>
      </c>
      <c r="K648">
        <f>IF(J648="本金",C648+K647,K647)</f>
        <v/>
      </c>
      <c r="L648">
        <f>IF(J648="本金",F648+L647,L647)</f>
        <v/>
      </c>
    </row>
    <row r="649">
      <c r="A649" s="508" t="n">
        <v>46160</v>
      </c>
      <c r="B649" s="509" t="n"/>
      <c r="C649" s="123" t="n">
        <v>76461</v>
      </c>
      <c r="D649" s="510">
        <f>D648+C649-B649</f>
        <v/>
      </c>
      <c r="E649" s="535" t="n"/>
      <c r="F649" s="541" t="n"/>
      <c r="G649" s="537">
        <f>G648+F649-E649</f>
        <v/>
      </c>
      <c r="H649" s="65" t="inlineStr">
        <is>
          <t>定期定額</t>
        </is>
      </c>
      <c r="I649" s="65" t="n"/>
      <c r="J649" t="inlineStr">
        <is>
          <t>投資</t>
        </is>
      </c>
      <c r="K649">
        <f>IF(J649="本金",C649+K648,K648)</f>
        <v/>
      </c>
      <c r="L649">
        <f>IF(J649="本金",F649+L648,L648)</f>
        <v/>
      </c>
    </row>
    <row r="650">
      <c r="A650" s="508" t="n">
        <v>46160</v>
      </c>
      <c r="B650" s="509" t="n">
        <v>24857</v>
      </c>
      <c r="C650" s="123" t="n"/>
      <c r="D650" s="510">
        <f>D649+C650-B650</f>
        <v/>
      </c>
      <c r="E650" s="535" t="n"/>
      <c r="F650" s="541" t="n"/>
      <c r="G650" s="537">
        <f>G649+F650-E650</f>
        <v/>
      </c>
      <c r="H650" s="65" t="inlineStr">
        <is>
          <t>定期定額</t>
        </is>
      </c>
      <c r="I650" s="65" t="n"/>
      <c r="J650" t="inlineStr">
        <is>
          <t>投資</t>
        </is>
      </c>
      <c r="K650">
        <f>IF(J650="本金",C650+K649,K649)</f>
        <v/>
      </c>
      <c r="L650">
        <f>IF(J650="本金",F650+L649,L649)</f>
        <v/>
      </c>
    </row>
    <row r="651">
      <c r="A651" s="508" t="n">
        <v>46163</v>
      </c>
      <c r="B651" s="509" t="n">
        <v>93833</v>
      </c>
      <c r="C651" s="123" t="n"/>
      <c r="D651" s="510">
        <f>D650+C651-B651</f>
        <v/>
      </c>
      <c r="E651" s="535" t="n"/>
      <c r="F651" s="541" t="n"/>
      <c r="G651" s="537">
        <f>G650+F651-E651</f>
        <v/>
      </c>
      <c r="H651" s="65" t="inlineStr">
        <is>
          <t>定期定額</t>
        </is>
      </c>
      <c r="I651" s="65" t="n"/>
      <c r="J651" t="inlineStr">
        <is>
          <t>投資</t>
        </is>
      </c>
      <c r="K651">
        <f>IF(J651="本金",C651+K650,K650)</f>
        <v/>
      </c>
      <c r="L651">
        <f>IF(J651="本金",F651+L650,L650)</f>
        <v/>
      </c>
    </row>
    <row r="652">
      <c r="A652" s="508" t="n">
        <v>46164</v>
      </c>
      <c r="B652" s="509" t="n">
        <v>180</v>
      </c>
      <c r="C652" s="123" t="n"/>
      <c r="D652" s="510">
        <f>D651+C652-B652</f>
        <v/>
      </c>
      <c r="E652" s="535" t="n"/>
      <c r="F652" s="541" t="n"/>
      <c r="G652" s="537">
        <f>G651+F652-E652</f>
        <v/>
      </c>
      <c r="H652" s="65" t="inlineStr">
        <is>
          <t>承銷申購</t>
        </is>
      </c>
      <c r="I652" s="65" t="n"/>
      <c r="J652" t="inlineStr">
        <is>
          <t>投資</t>
        </is>
      </c>
      <c r="K652">
        <f>IF(J652="本金",C652+K651,K651)</f>
        <v/>
      </c>
      <c r="L652">
        <f>IF(J652="本金",F652+L651,L651)</f>
        <v/>
      </c>
    </row>
    <row r="655">
      <c r="A655" s="290" t="n"/>
      <c r="B655" s="290" t="n"/>
      <c r="C655" s="290" t="n"/>
      <c r="D655" s="552">
        <f>D646</f>
        <v/>
      </c>
      <c r="E655" s="553" t="n"/>
      <c r="F655" s="290" t="n"/>
      <c r="G655" s="554">
        <f>G646</f>
        <v/>
      </c>
      <c r="H655" s="290" t="n"/>
      <c r="I655" s="290" t="n"/>
    </row>
  </sheetData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 codeName="Sheet3">
    <outlinePr summaryBelow="0" summaryRight="0"/>
    <pageSetUpPr/>
  </sheetPr>
  <dimension ref="A1:L285"/>
  <sheetViews>
    <sheetView zoomScale="85" zoomScaleNormal="85" workbookViewId="0">
      <pane ySplit="1" topLeftCell="A249" activePane="bottomLeft" state="frozen"/>
      <selection pane="bottomLeft" activeCell="G276" sqref="G276"/>
    </sheetView>
  </sheetViews>
  <sheetFormatPr baseColWidth="8" defaultRowHeight="16.5" outlineLevelRow="1"/>
  <cols>
    <col width="15" bestFit="1" customWidth="1" min="1" max="1"/>
    <col width="10.75" bestFit="1" customWidth="1" min="2" max="2"/>
    <col width="11.125" bestFit="1" customWidth="1" min="3" max="3"/>
    <col width="11.125" bestFit="1" customWidth="1" style="81" min="4" max="4"/>
    <col width="10.75" bestFit="1" customWidth="1" style="555" min="5" max="5"/>
    <col width="11.125" bestFit="1" customWidth="1" min="6" max="6"/>
    <col width="11.125" bestFit="1" customWidth="1" style="81" min="7" max="7"/>
    <col width="26.125" bestFit="1" customWidth="1" min="8" max="8"/>
    <col width="24.625" bestFit="1" customWidth="1" min="9" max="9"/>
    <col width="5.875" bestFit="1" customWidth="1" min="10" max="10"/>
    <col width="10" bestFit="1" customWidth="1" min="11" max="11"/>
  </cols>
  <sheetData>
    <row r="1" ht="17.25" customHeight="1">
      <c r="A1" s="298" t="inlineStr">
        <is>
          <t>日期</t>
        </is>
      </c>
      <c r="B1" s="145" t="inlineStr">
        <is>
          <t>提出</t>
        </is>
      </c>
      <c r="C1" s="299" t="inlineStr">
        <is>
          <t>存入</t>
        </is>
      </c>
      <c r="D1" s="145" t="inlineStr">
        <is>
          <t>結餘</t>
        </is>
      </c>
      <c r="E1" s="556" t="inlineStr">
        <is>
          <t>提出</t>
        </is>
      </c>
      <c r="F1" s="299" t="inlineStr">
        <is>
          <t>存入</t>
        </is>
      </c>
      <c r="G1" s="145" t="inlineStr">
        <is>
          <t>結餘</t>
        </is>
      </c>
      <c r="H1" s="398" t="n"/>
      <c r="J1" t="inlineStr">
        <is>
          <t>類別</t>
        </is>
      </c>
      <c r="K1" t="inlineStr">
        <is>
          <t>台幣本金</t>
        </is>
      </c>
      <c r="L1" t="inlineStr">
        <is>
          <t>美金本金</t>
        </is>
      </c>
    </row>
    <row r="2">
      <c r="A2" s="508" t="n">
        <v>42722</v>
      </c>
      <c r="B2" s="509" t="n"/>
      <c r="C2" s="122" t="n">
        <v>8888</v>
      </c>
      <c r="D2" s="510">
        <f>C2-B2</f>
        <v/>
      </c>
      <c r="E2" s="535" t="n"/>
      <c r="F2" s="122" t="n"/>
      <c r="G2" s="510">
        <f>F2-E2</f>
        <v/>
      </c>
      <c r="I2" s="65" t="inlineStr">
        <is>
          <t>爸爸、媽媽的祝福</t>
        </is>
      </c>
      <c r="J2" t="inlineStr">
        <is>
          <t>本金</t>
        </is>
      </c>
      <c r="K2">
        <f>C2</f>
        <v/>
      </c>
      <c r="L2" s="511">
        <f>G2</f>
        <v/>
      </c>
    </row>
    <row r="3" outlineLevel="1">
      <c r="A3" s="508" t="n">
        <v>42735</v>
      </c>
      <c r="B3" s="509" t="n"/>
      <c r="C3" s="123" t="n">
        <v>58200</v>
      </c>
      <c r="D3" s="510">
        <f>D2+C3-B3</f>
        <v/>
      </c>
      <c r="E3" s="535" t="n"/>
      <c r="F3" s="123" t="n"/>
      <c r="G3" s="510">
        <f>G2+F3-E3</f>
        <v/>
      </c>
      <c r="I3" s="65" t="inlineStr">
        <is>
          <t>長輩們的祝福</t>
        </is>
      </c>
      <c r="J3" t="inlineStr">
        <is>
          <t>本金</t>
        </is>
      </c>
      <c r="K3">
        <f>IF(J3="本金",C3+K2,K2)</f>
        <v/>
      </c>
      <c r="L3">
        <f>IF(J3="本金",F3+L2,L2)</f>
        <v/>
      </c>
    </row>
    <row r="4">
      <c r="A4" s="508" t="n">
        <v>42762</v>
      </c>
      <c r="B4" s="509" t="n"/>
      <c r="C4" s="123" t="n">
        <v>7200</v>
      </c>
      <c r="D4" s="510">
        <f>D3+C4-B4</f>
        <v/>
      </c>
      <c r="E4" s="535" t="n"/>
      <c r="F4" s="123" t="n"/>
      <c r="G4" s="510">
        <f>G3+F4-E4</f>
        <v/>
      </c>
      <c r="I4" s="65" t="inlineStr">
        <is>
          <t>過年的祝福</t>
        </is>
      </c>
      <c r="J4" t="inlineStr">
        <is>
          <t>本金</t>
        </is>
      </c>
      <c r="K4">
        <f>IF(J4="本金",C4+K3,K3)</f>
        <v/>
      </c>
      <c r="L4">
        <f>IF(J4="本金",F4+L3,L3)</f>
        <v/>
      </c>
    </row>
    <row r="5" outlineLevel="1">
      <c r="A5" s="513" t="n">
        <v>43090</v>
      </c>
      <c r="B5" s="514" t="n"/>
      <c r="C5" s="154" t="n">
        <v>36</v>
      </c>
      <c r="D5" s="515">
        <f>D4+C5-B5</f>
        <v/>
      </c>
      <c r="E5" s="538" t="n"/>
      <c r="F5" s="154" t="n"/>
      <c r="G5" s="515">
        <f>G4+F5-E5</f>
        <v/>
      </c>
      <c r="H5" s="158" t="inlineStr">
        <is>
          <t>利息</t>
        </is>
      </c>
      <c r="I5" s="159" t="n"/>
      <c r="J5" t="inlineStr">
        <is>
          <t>投資</t>
        </is>
      </c>
      <c r="K5">
        <f>IF(J5="本金",C5+K4,K4)</f>
        <v/>
      </c>
      <c r="L5">
        <f>IF(J5="本金",F5+L4,L4)</f>
        <v/>
      </c>
    </row>
    <row r="6">
      <c r="A6" s="508" t="n">
        <v>43146</v>
      </c>
      <c r="B6" s="509" t="n"/>
      <c r="C6" s="123" t="n">
        <v>11500</v>
      </c>
      <c r="D6" s="510">
        <f>D5+C6-B6</f>
        <v/>
      </c>
      <c r="E6" s="535" t="n"/>
      <c r="F6" s="123" t="n"/>
      <c r="G6" s="510">
        <f>G5+F6-E6</f>
        <v/>
      </c>
      <c r="I6" s="65" t="inlineStr">
        <is>
          <t>過年的祝福</t>
        </is>
      </c>
      <c r="J6" t="inlineStr">
        <is>
          <t>本金</t>
        </is>
      </c>
      <c r="K6">
        <f>IF(J6="本金",C6+K5,K5)</f>
        <v/>
      </c>
      <c r="L6">
        <f>IF(J6="本金",F6+L5,L5)</f>
        <v/>
      </c>
    </row>
    <row r="7" outlineLevel="1">
      <c r="A7" s="513" t="n">
        <v>43272</v>
      </c>
      <c r="B7" s="514" t="n"/>
      <c r="C7" s="154" t="n">
        <v>40</v>
      </c>
      <c r="D7" s="515">
        <f>D6+C7-B7</f>
        <v/>
      </c>
      <c r="E7" s="538" t="n"/>
      <c r="F7" s="154" t="n"/>
      <c r="G7" s="515">
        <f>G6+F7-E7</f>
        <v/>
      </c>
      <c r="H7" s="158" t="inlineStr">
        <is>
          <t>利息</t>
        </is>
      </c>
      <c r="I7" s="159" t="n"/>
      <c r="J7" t="inlineStr">
        <is>
          <t>投資</t>
        </is>
      </c>
      <c r="K7">
        <f>IF(J7="本金",C7+K6,K6)</f>
        <v/>
      </c>
      <c r="L7">
        <f>IF(J7="本金",F7+L6,L6)</f>
        <v/>
      </c>
    </row>
    <row r="8" outlineLevel="1">
      <c r="A8" s="508" t="n">
        <v>43452</v>
      </c>
      <c r="B8" s="509" t="n"/>
      <c r="C8" s="123" t="n">
        <v>10000</v>
      </c>
      <c r="D8" s="510">
        <f>D7+C8-B8</f>
        <v/>
      </c>
      <c r="E8" s="535" t="n"/>
      <c r="F8" s="123" t="n"/>
      <c r="G8" s="510">
        <f>G7+F8-E8</f>
        <v/>
      </c>
      <c r="I8" s="65" t="inlineStr">
        <is>
          <t>阿嬤的生日祝福</t>
        </is>
      </c>
      <c r="J8" t="inlineStr">
        <is>
          <t>本金</t>
        </is>
      </c>
      <c r="K8">
        <f>IF(J8="本金",C8+K7,K7)</f>
        <v/>
      </c>
      <c r="L8">
        <f>IF(J8="本金",F8+L7,L7)</f>
        <v/>
      </c>
    </row>
    <row r="9" outlineLevel="1">
      <c r="A9" s="513" t="n">
        <v>43455</v>
      </c>
      <c r="B9" s="514" t="n"/>
      <c r="C9" s="154" t="n">
        <v>42</v>
      </c>
      <c r="D9" s="515">
        <f>D8+C9-B9</f>
        <v/>
      </c>
      <c r="E9" s="538" t="n"/>
      <c r="F9" s="154" t="n"/>
      <c r="G9" s="515">
        <f>G8+F9-E9</f>
        <v/>
      </c>
      <c r="H9" s="158" t="inlineStr">
        <is>
          <t>利息</t>
        </is>
      </c>
      <c r="I9" s="159" t="n"/>
      <c r="J9" t="inlineStr">
        <is>
          <t>投資</t>
        </is>
      </c>
      <c r="K9">
        <f>IF(J9="本金",C9+K8,K8)</f>
        <v/>
      </c>
      <c r="L9">
        <f>IF(J9="本金",F9+L8,L8)</f>
        <v/>
      </c>
    </row>
    <row r="10">
      <c r="A10" s="508" t="n">
        <v>43510</v>
      </c>
      <c r="B10" s="509" t="n"/>
      <c r="C10" s="123" t="n">
        <v>16000</v>
      </c>
      <c r="D10" s="510">
        <f>D9+C10-B10</f>
        <v/>
      </c>
      <c r="E10" s="535" t="n"/>
      <c r="F10" s="123" t="n"/>
      <c r="G10" s="510">
        <f>G9+F10-E10</f>
        <v/>
      </c>
      <c r="I10" s="65" t="inlineStr">
        <is>
          <t>過年的祝福</t>
        </is>
      </c>
      <c r="J10" t="inlineStr">
        <is>
          <t>本金</t>
        </is>
      </c>
      <c r="K10">
        <f>IF(J10="本金",C10+K9,K9)</f>
        <v/>
      </c>
      <c r="L10">
        <f>IF(J10="本金",F10+L9,L9)</f>
        <v/>
      </c>
    </row>
    <row r="11" outlineLevel="1">
      <c r="A11" s="513" t="n">
        <v>43637</v>
      </c>
      <c r="B11" s="514" t="n"/>
      <c r="C11" s="154" t="n">
        <v>53</v>
      </c>
      <c r="D11" s="515">
        <f>D10+C11-B11</f>
        <v/>
      </c>
      <c r="E11" s="538" t="n"/>
      <c r="F11" s="154" t="n"/>
      <c r="G11" s="515">
        <f>G10+F11-E11</f>
        <v/>
      </c>
      <c r="H11" s="158" t="inlineStr">
        <is>
          <t>利息</t>
        </is>
      </c>
      <c r="I11" s="159" t="n"/>
      <c r="J11" t="inlineStr">
        <is>
          <t>投資</t>
        </is>
      </c>
      <c r="K11">
        <f>IF(J11="本金",C11+K10,K10)</f>
        <v/>
      </c>
      <c r="L11">
        <f>IF(J11="本金",F11+L10,L10)</f>
        <v/>
      </c>
    </row>
    <row r="12" outlineLevel="1">
      <c r="A12" s="508" t="n">
        <v>43817</v>
      </c>
      <c r="B12" s="509" t="n"/>
      <c r="C12" s="123" t="n">
        <v>12000</v>
      </c>
      <c r="D12" s="510">
        <f>D11+C12-B12</f>
        <v/>
      </c>
      <c r="E12" s="535" t="n"/>
      <c r="F12" s="123" t="n"/>
      <c r="G12" s="510">
        <f>G11+F12-E12</f>
        <v/>
      </c>
      <c r="I12" s="65" t="inlineStr">
        <is>
          <t>阿嬤的生日祝福</t>
        </is>
      </c>
      <c r="J12" t="inlineStr">
        <is>
          <t>本金</t>
        </is>
      </c>
      <c r="K12">
        <f>IF(J12="本金",C12+K11,K11)</f>
        <v/>
      </c>
      <c r="L12">
        <f>IF(J12="本金",F12+L11,L11)</f>
        <v/>
      </c>
    </row>
    <row r="13" outlineLevel="1">
      <c r="A13" s="513" t="n">
        <v>43820</v>
      </c>
      <c r="B13" s="514" t="n"/>
      <c r="C13" s="154" t="n">
        <v>56</v>
      </c>
      <c r="D13" s="515">
        <f>D12+C13-B13</f>
        <v/>
      </c>
      <c r="E13" s="538" t="n"/>
      <c r="F13" s="154" t="n"/>
      <c r="G13" s="515">
        <f>G12+F13-E13</f>
        <v/>
      </c>
      <c r="H13" s="158" t="inlineStr">
        <is>
          <t>利息</t>
        </is>
      </c>
      <c r="I13" s="159" t="n"/>
      <c r="J13" t="inlineStr">
        <is>
          <t>投資</t>
        </is>
      </c>
      <c r="K13">
        <f>IF(J13="本金",C13+K12,K12)</f>
        <v/>
      </c>
      <c r="L13">
        <f>IF(J13="本金",F13+L12,L12)</f>
        <v/>
      </c>
    </row>
    <row r="14">
      <c r="A14" s="508" t="n">
        <v>43882</v>
      </c>
      <c r="B14" s="509" t="n"/>
      <c r="C14" s="123" t="n">
        <v>11800</v>
      </c>
      <c r="D14" s="510">
        <f>D13+C14-B14</f>
        <v/>
      </c>
      <c r="E14" s="535" t="n"/>
      <c r="F14" s="123" t="n"/>
      <c r="G14" s="510">
        <f>G13+F14-E14</f>
        <v/>
      </c>
      <c r="I14" s="65" t="inlineStr">
        <is>
          <t>過年的祝福</t>
        </is>
      </c>
      <c r="J14" t="inlineStr">
        <is>
          <t>本金</t>
        </is>
      </c>
      <c r="K14">
        <f>IF(J14="本金",C14+K13,K13)</f>
        <v/>
      </c>
      <c r="L14">
        <f>IF(J14="本金",F14+L13,L13)</f>
        <v/>
      </c>
    </row>
    <row r="15" outlineLevel="1">
      <c r="A15" s="513" t="n">
        <v>44003</v>
      </c>
      <c r="B15" s="514" t="n"/>
      <c r="C15" s="154" t="n">
        <v>49</v>
      </c>
      <c r="D15" s="515">
        <f>D14+C15-B15</f>
        <v/>
      </c>
      <c r="E15" s="538" t="n"/>
      <c r="F15" s="154" t="n"/>
      <c r="G15" s="515">
        <f>G14+F15-E15</f>
        <v/>
      </c>
      <c r="H15" s="158" t="inlineStr">
        <is>
          <t>利息</t>
        </is>
      </c>
      <c r="I15" s="159" t="n"/>
      <c r="J15" t="inlineStr">
        <is>
          <t>投資</t>
        </is>
      </c>
      <c r="K15">
        <f>IF(J15="本金",C15+K14,K14)</f>
        <v/>
      </c>
      <c r="L15">
        <f>IF(J15="本金",F15+L14,L14)</f>
        <v/>
      </c>
    </row>
    <row r="16" outlineLevel="1">
      <c r="A16" s="513" t="n">
        <v>44186</v>
      </c>
      <c r="B16" s="514" t="n"/>
      <c r="C16" s="154" t="n">
        <v>34</v>
      </c>
      <c r="D16" s="515">
        <f>D15+C16-B16</f>
        <v/>
      </c>
      <c r="E16" s="538" t="n"/>
      <c r="F16" s="154" t="n"/>
      <c r="G16" s="515">
        <f>G15+F16-E16</f>
        <v/>
      </c>
      <c r="H16" s="158" t="inlineStr">
        <is>
          <t>利息</t>
        </is>
      </c>
      <c r="I16" s="159" t="n"/>
      <c r="J16" t="inlineStr">
        <is>
          <t>投資</t>
        </is>
      </c>
      <c r="K16">
        <f>IF(J16="本金",C16+K15,K15)</f>
        <v/>
      </c>
      <c r="L16">
        <f>IF(J16="本金",F16+L15,L15)</f>
        <v/>
      </c>
    </row>
    <row r="17">
      <c r="A17" s="508" t="n">
        <v>44247</v>
      </c>
      <c r="B17" s="509" t="n"/>
      <c r="C17" s="123" t="n">
        <v>10200</v>
      </c>
      <c r="D17" s="510">
        <f>D16+C17-B17</f>
        <v/>
      </c>
      <c r="E17" s="535" t="n"/>
      <c r="F17" s="123" t="n"/>
      <c r="G17" s="510">
        <f>G16+F17-E17</f>
        <v/>
      </c>
      <c r="I17" s="65" t="inlineStr">
        <is>
          <t>過年的祝福</t>
        </is>
      </c>
      <c r="J17" t="inlineStr">
        <is>
          <t>本金</t>
        </is>
      </c>
      <c r="K17">
        <f>IF(J17="本金",C17+K16,K16)</f>
        <v/>
      </c>
      <c r="L17">
        <f>IF(J17="本金",F17+L16,L16)</f>
        <v/>
      </c>
    </row>
    <row r="18" outlineLevel="1">
      <c r="A18" s="513" t="n">
        <v>44368</v>
      </c>
      <c r="B18" s="514" t="n"/>
      <c r="C18" s="154" t="n">
        <v>36</v>
      </c>
      <c r="D18" s="515">
        <f>D17+C18-B18</f>
        <v/>
      </c>
      <c r="E18" s="538" t="n"/>
      <c r="F18" s="154" t="n"/>
      <c r="G18" s="515">
        <f>G17+F18-E18</f>
        <v/>
      </c>
      <c r="H18" s="158" t="inlineStr">
        <is>
          <t>利息</t>
        </is>
      </c>
      <c r="I18" s="159" t="n"/>
      <c r="J18" t="inlineStr">
        <is>
          <t>投資</t>
        </is>
      </c>
      <c r="K18">
        <f>IF(J18="本金",C18+K17,K17)</f>
        <v/>
      </c>
      <c r="L18">
        <f>IF(J18="本金",F18+L17,L17)</f>
        <v/>
      </c>
    </row>
    <row r="19" outlineLevel="1">
      <c r="A19" s="508" t="n">
        <v>44387</v>
      </c>
      <c r="B19" s="509" t="n"/>
      <c r="C19" s="123" t="n">
        <v>15660</v>
      </c>
      <c r="D19" s="510">
        <f>D18+C19-B19</f>
        <v/>
      </c>
      <c r="E19" s="535" t="n"/>
      <c r="F19" s="123" t="n"/>
      <c r="G19" s="510">
        <f>G18+F19-E19</f>
        <v/>
      </c>
      <c r="I19" s="65" t="inlineStr">
        <is>
          <t>強恕防疫退費</t>
        </is>
      </c>
      <c r="J19" t="inlineStr">
        <is>
          <t>本金</t>
        </is>
      </c>
      <c r="K19">
        <f>IF(J19="本金",C19+K18,K18)</f>
        <v/>
      </c>
      <c r="L19">
        <f>IF(J19="本金",F19+L18,L18)</f>
        <v/>
      </c>
    </row>
    <row r="20" outlineLevel="1">
      <c r="A20" s="508" t="n">
        <v>44477</v>
      </c>
      <c r="B20" s="509" t="n"/>
      <c r="C20" s="123" t="n">
        <v>10000</v>
      </c>
      <c r="D20" s="510">
        <f>D19+C20-B20</f>
        <v/>
      </c>
      <c r="E20" s="535" t="n"/>
      <c r="F20" s="123" t="n"/>
      <c r="G20" s="510">
        <f>G19+F20-E20</f>
        <v/>
      </c>
      <c r="I20" s="65" t="inlineStr">
        <is>
          <t>行政院發防疫</t>
        </is>
      </c>
      <c r="J20" t="inlineStr">
        <is>
          <t>本金</t>
        </is>
      </c>
      <c r="K20">
        <f>IF(J20="本金",C20+K19,K19)</f>
        <v/>
      </c>
      <c r="L20">
        <f>IF(J20="本金",F20+L19,L19)</f>
        <v/>
      </c>
    </row>
    <row r="21" outlineLevel="1">
      <c r="A21" s="513" t="n">
        <v>44551</v>
      </c>
      <c r="B21" s="514" t="n"/>
      <c r="C21" s="154" t="n">
        <v>41</v>
      </c>
      <c r="D21" s="515">
        <f>D20+C21-B21</f>
        <v/>
      </c>
      <c r="E21" s="538" t="n"/>
      <c r="F21" s="154" t="n"/>
      <c r="G21" s="515">
        <f>G20+F21-E21</f>
        <v/>
      </c>
      <c r="H21" s="158" t="inlineStr">
        <is>
          <t>利息</t>
        </is>
      </c>
      <c r="I21" s="159" t="n"/>
      <c r="J21" t="inlineStr">
        <is>
          <t>投資</t>
        </is>
      </c>
      <c r="K21">
        <f>IF(J21="本金",C21+K20,K20)</f>
        <v/>
      </c>
      <c r="L21">
        <f>IF(J21="本金",F21+L20,L20)</f>
        <v/>
      </c>
    </row>
    <row r="22" outlineLevel="1">
      <c r="A22" s="508" t="n">
        <v>44552</v>
      </c>
      <c r="B22" s="509" t="n"/>
      <c r="C22" s="123" t="n">
        <v>95275</v>
      </c>
      <c r="D22" s="510">
        <f>D21+C22-B22</f>
        <v/>
      </c>
      <c r="E22" s="535" t="n"/>
      <c r="F22" s="123" t="n"/>
      <c r="G22" s="510">
        <f>G21+F22-E22</f>
        <v/>
      </c>
      <c r="I22" s="65" t="inlineStr">
        <is>
          <t>爸爸的生日祝福</t>
        </is>
      </c>
      <c r="J22" t="inlineStr">
        <is>
          <t>本金</t>
        </is>
      </c>
      <c r="K22">
        <f>IF(J22="本金",C22+K21,K21)</f>
        <v/>
      </c>
      <c r="L22">
        <f>IF(J22="本金",F22+L21,L21)</f>
        <v/>
      </c>
    </row>
    <row r="23" outlineLevel="1">
      <c r="A23" s="508" t="n">
        <v>44553</v>
      </c>
      <c r="B23" s="509" t="n">
        <v>95275</v>
      </c>
      <c r="C23" s="123" t="n"/>
      <c r="D23" s="510">
        <f>D22+C23-B23</f>
        <v/>
      </c>
      <c r="E23" s="535" t="n"/>
      <c r="F23" s="123" t="n"/>
      <c r="G23" s="510">
        <f>G22+F23-E23</f>
        <v/>
      </c>
      <c r="I23" s="65" t="n"/>
      <c r="J23" t="inlineStr">
        <is>
          <t>投資</t>
        </is>
      </c>
      <c r="K23">
        <f>IF(J23="本金",C23+K22,K22)</f>
        <v/>
      </c>
      <c r="L23">
        <f>IF(J23="本金",F23+L22,L22)</f>
        <v/>
      </c>
    </row>
    <row r="24">
      <c r="A24" s="518" t="n">
        <v>44571</v>
      </c>
      <c r="B24" s="519" t="n"/>
      <c r="C24" s="148" t="n">
        <v>54</v>
      </c>
      <c r="D24" s="520">
        <f>D23+C24-B24</f>
        <v/>
      </c>
      <c r="E24" s="542" t="n"/>
      <c r="F24" s="148" t="n"/>
      <c r="G24" s="520">
        <f>G23+F24-E24</f>
        <v/>
      </c>
      <c r="H24" s="152" t="inlineStr">
        <is>
          <t>折讓入帳</t>
        </is>
      </c>
      <c r="I24" s="152" t="n"/>
      <c r="J24" t="inlineStr">
        <is>
          <t>投資</t>
        </is>
      </c>
      <c r="K24">
        <f>IF(J24="本金",C24+K23,K23)</f>
        <v/>
      </c>
      <c r="L24">
        <f>IF(J24="本金",F24+L23,L23)</f>
        <v/>
      </c>
    </row>
    <row r="25" outlineLevel="1">
      <c r="A25" s="508" t="n">
        <v>44599</v>
      </c>
      <c r="B25" s="509" t="n"/>
      <c r="C25" s="123" t="n">
        <v>13000</v>
      </c>
      <c r="D25" s="510">
        <f>D24+C25-B25</f>
        <v/>
      </c>
      <c r="E25" s="535" t="n"/>
      <c r="F25" s="123" t="n"/>
      <c r="G25" s="510">
        <f>G24+F25-E25</f>
        <v/>
      </c>
      <c r="I25" s="65" t="inlineStr">
        <is>
          <t>過年的祝福</t>
        </is>
      </c>
      <c r="J25" t="inlineStr">
        <is>
          <t>本金</t>
        </is>
      </c>
      <c r="K25">
        <f>IF(J25="本金",C25+K24,K24)</f>
        <v/>
      </c>
      <c r="L25">
        <f>IF(J25="本金",F25+L24,L24)</f>
        <v/>
      </c>
    </row>
    <row r="26" outlineLevel="1">
      <c r="A26" s="522" t="n">
        <v>44665</v>
      </c>
      <c r="B26" s="523" t="n"/>
      <c r="C26" s="196" t="n">
        <v>270</v>
      </c>
      <c r="D26" s="524">
        <f>D25+C26-B26</f>
        <v/>
      </c>
      <c r="E26" s="545" t="n"/>
      <c r="F26" s="196" t="n"/>
      <c r="G26" s="524">
        <f>G25+F26-E26</f>
        <v/>
      </c>
      <c r="H26" s="200" t="inlineStr">
        <is>
          <t>台積電</t>
        </is>
      </c>
      <c r="I26" s="200" t="inlineStr">
        <is>
          <t>現金股利</t>
        </is>
      </c>
      <c r="J26" t="inlineStr">
        <is>
          <t>投資</t>
        </is>
      </c>
      <c r="K26">
        <f>IF(J26="本金",C26+K25,K25)</f>
        <v/>
      </c>
      <c r="L26">
        <f>IF(J26="本金",F26+L25,L25)</f>
        <v/>
      </c>
    </row>
    <row r="27" outlineLevel="1">
      <c r="A27" s="513" t="n">
        <v>44733</v>
      </c>
      <c r="B27" s="514" t="n"/>
      <c r="C27" s="154" t="n">
        <v>55</v>
      </c>
      <c r="D27" s="515">
        <f>D26+C27-B27</f>
        <v/>
      </c>
      <c r="E27" s="538" t="n"/>
      <c r="F27" s="154" t="n"/>
      <c r="G27" s="515">
        <f>G26+F27-E27</f>
        <v/>
      </c>
      <c r="H27" s="158" t="inlineStr">
        <is>
          <t>利息</t>
        </is>
      </c>
      <c r="I27" s="159" t="n"/>
      <c r="J27" t="inlineStr">
        <is>
          <t>投資</t>
        </is>
      </c>
      <c r="K27">
        <f>IF(J27="本金",C27+K26,K26)</f>
        <v/>
      </c>
      <c r="L27">
        <f>IF(J27="本金",F27+L26,L26)</f>
        <v/>
      </c>
    </row>
    <row r="28" outlineLevel="1">
      <c r="A28" s="522" t="n">
        <v>44756</v>
      </c>
      <c r="B28" s="523" t="n"/>
      <c r="C28" s="196" t="n">
        <v>270</v>
      </c>
      <c r="D28" s="524">
        <f>D27+C28-B28</f>
        <v/>
      </c>
      <c r="E28" s="545" t="n"/>
      <c r="F28" s="196" t="n"/>
      <c r="G28" s="524">
        <f>G27+F28-E28</f>
        <v/>
      </c>
      <c r="H28" s="200" t="inlineStr">
        <is>
          <t>台積電</t>
        </is>
      </c>
      <c r="I28" s="200" t="inlineStr">
        <is>
          <t>現金股利</t>
        </is>
      </c>
      <c r="J28" t="inlineStr">
        <is>
          <t>投資</t>
        </is>
      </c>
      <c r="K28">
        <f>IF(J28="本金",C28+K27,K27)</f>
        <v/>
      </c>
      <c r="L28">
        <f>IF(J28="本金",F28+L27,L27)</f>
        <v/>
      </c>
    </row>
    <row r="29" outlineLevel="1">
      <c r="A29" s="522" t="n">
        <v>44791</v>
      </c>
      <c r="B29" s="523" t="n"/>
      <c r="C29" s="196" t="n">
        <v>1473</v>
      </c>
      <c r="D29" s="524">
        <f>D28+C29-B29</f>
        <v/>
      </c>
      <c r="E29" s="545" t="n"/>
      <c r="F29" s="196" t="n"/>
      <c r="G29" s="557">
        <f>G28+F29-E29</f>
        <v/>
      </c>
      <c r="H29" s="200" t="inlineStr">
        <is>
          <t>富邦台灣基金</t>
        </is>
      </c>
      <c r="I29" s="200" t="inlineStr">
        <is>
          <t>現金股利</t>
        </is>
      </c>
      <c r="J29" t="inlineStr">
        <is>
          <t>投資</t>
        </is>
      </c>
      <c r="K29">
        <f>IF(J29="本金",C29+K28,K28)</f>
        <v/>
      </c>
      <c r="L29">
        <f>IF(J29="本金",F29+L28,L28)</f>
        <v/>
      </c>
    </row>
    <row r="30" outlineLevel="1">
      <c r="A30" s="508" t="n">
        <v>44811</v>
      </c>
      <c r="B30" s="509" t="n"/>
      <c r="C30" s="123" t="n">
        <v>50247</v>
      </c>
      <c r="D30" s="510">
        <f>D29+C30-B30</f>
        <v/>
      </c>
      <c r="E30" s="535" t="n"/>
      <c r="F30" s="123" t="n"/>
      <c r="G30" s="558">
        <f>G29+F30-E30</f>
        <v/>
      </c>
      <c r="I30" s="65" t="inlineStr">
        <is>
          <t>新安東京海上產險</t>
        </is>
      </c>
      <c r="J30" t="inlineStr">
        <is>
          <t>本金</t>
        </is>
      </c>
      <c r="K30">
        <f>IF(J30="本金",C30+K29,K29)</f>
        <v/>
      </c>
      <c r="L30">
        <f>IF(J30="本金",F30+L29,L29)</f>
        <v/>
      </c>
    </row>
    <row r="31" outlineLevel="1">
      <c r="A31" s="522" t="n">
        <v>44847</v>
      </c>
      <c r="B31" s="523" t="n"/>
      <c r="C31" s="196" t="n">
        <v>270</v>
      </c>
      <c r="D31" s="524">
        <f>D30+C31-B31</f>
        <v/>
      </c>
      <c r="E31" s="545" t="n"/>
      <c r="F31" s="196" t="n"/>
      <c r="G31" s="557">
        <f>G30+F31-E31</f>
        <v/>
      </c>
      <c r="H31" s="200" t="inlineStr">
        <is>
          <t>台積電</t>
        </is>
      </c>
      <c r="I31" s="200" t="inlineStr">
        <is>
          <t>現金股利</t>
        </is>
      </c>
      <c r="J31" t="inlineStr">
        <is>
          <t>投資</t>
        </is>
      </c>
      <c r="K31">
        <f>IF(J31="本金",C31+K30,K30)</f>
        <v/>
      </c>
      <c r="L31">
        <f>IF(J31="本金",F31+L30,L30)</f>
        <v/>
      </c>
    </row>
    <row r="32" outlineLevel="1">
      <c r="A32" s="508" t="n">
        <v>44873</v>
      </c>
      <c r="B32" s="509" t="n"/>
      <c r="C32" s="123" t="n">
        <v>22160</v>
      </c>
      <c r="D32" s="510">
        <f>D31+C32-B32</f>
        <v/>
      </c>
      <c r="E32" s="535" t="n"/>
      <c r="F32" s="123" t="n"/>
      <c r="G32" s="558">
        <f>G31+F32-E32</f>
        <v/>
      </c>
      <c r="I32" s="65" t="inlineStr">
        <is>
          <t>國泰人壽保險理賠金</t>
        </is>
      </c>
      <c r="J32" t="inlineStr">
        <is>
          <t>本金</t>
        </is>
      </c>
      <c r="K32">
        <f>IF(J32="本金",C32+K31,K31)</f>
        <v/>
      </c>
      <c r="L32">
        <f>IF(J32="本金",F32+L31,L31)</f>
        <v/>
      </c>
    </row>
    <row r="33" outlineLevel="1">
      <c r="A33" s="508" t="n">
        <v>44886</v>
      </c>
      <c r="B33" s="509" t="n"/>
      <c r="C33" s="123" t="n">
        <v>26560</v>
      </c>
      <c r="D33" s="510">
        <f>D32+C33-B33</f>
        <v/>
      </c>
      <c r="E33" s="535" t="n"/>
      <c r="F33" s="123" t="n"/>
      <c r="G33" s="558">
        <f>G32+F33-E33</f>
        <v/>
      </c>
      <c r="I33" s="65" t="inlineStr">
        <is>
          <t>富邦人壽理賠金</t>
        </is>
      </c>
      <c r="J33" t="inlineStr">
        <is>
          <t>本金</t>
        </is>
      </c>
      <c r="K33">
        <f>IF(J33="本金",C33+K32,K32)</f>
        <v/>
      </c>
      <c r="L33">
        <f>IF(J33="本金",F33+L32,L32)</f>
        <v/>
      </c>
    </row>
    <row r="34" outlineLevel="1">
      <c r="A34" s="508" t="n">
        <v>44886</v>
      </c>
      <c r="B34" s="509" t="n"/>
      <c r="C34" s="123" t="n">
        <v>27060</v>
      </c>
      <c r="D34" s="510">
        <f>D33+C34-B34</f>
        <v/>
      </c>
      <c r="E34" s="535" t="n"/>
      <c r="F34" s="123" t="n"/>
      <c r="G34" s="558">
        <f>G33+F34-E34</f>
        <v/>
      </c>
      <c r="I34" s="65" t="inlineStr">
        <is>
          <t>全球人壽保險理賠金</t>
        </is>
      </c>
      <c r="J34" t="inlineStr">
        <is>
          <t>本金</t>
        </is>
      </c>
      <c r="K34">
        <f>IF(J34="本金",C34+K33,K33)</f>
        <v/>
      </c>
      <c r="L34">
        <f>IF(J34="本金",F34+L33,L33)</f>
        <v/>
      </c>
    </row>
    <row r="35" outlineLevel="1">
      <c r="A35" s="522" t="n">
        <v>44914</v>
      </c>
      <c r="B35" s="523" t="n"/>
      <c r="C35" s="196" t="n">
        <v>540</v>
      </c>
      <c r="D35" s="524">
        <f>D34+C35-B35</f>
        <v/>
      </c>
      <c r="E35" s="545" t="n"/>
      <c r="F35" s="196" t="n"/>
      <c r="G35" s="557">
        <f>G34+F35-E35</f>
        <v/>
      </c>
      <c r="H35" s="200" t="inlineStr">
        <is>
          <t>富邦台灣基金</t>
        </is>
      </c>
      <c r="I35" s="200" t="inlineStr">
        <is>
          <t>現金股利</t>
        </is>
      </c>
      <c r="J35" t="inlineStr">
        <is>
          <t>投資</t>
        </is>
      </c>
      <c r="K35">
        <f>IF(J35="本金",C35+K34,K34)</f>
        <v/>
      </c>
      <c r="L35">
        <f>IF(J35="本金",F35+L34,L34)</f>
        <v/>
      </c>
    </row>
    <row r="36" outlineLevel="1">
      <c r="A36" s="513" t="n">
        <v>44916</v>
      </c>
      <c r="B36" s="514" t="n"/>
      <c r="C36" s="154" t="n">
        <v>303</v>
      </c>
      <c r="D36" s="515">
        <f>D35+C36-B36</f>
        <v/>
      </c>
      <c r="E36" s="538" t="n"/>
      <c r="F36" s="154" t="n"/>
      <c r="G36" s="559">
        <f>G35+F36-E36</f>
        <v/>
      </c>
      <c r="H36" s="158" t="inlineStr">
        <is>
          <t>利息</t>
        </is>
      </c>
      <c r="I36" s="159" t="n"/>
      <c r="J36" t="inlineStr">
        <is>
          <t>投資</t>
        </is>
      </c>
      <c r="K36">
        <f>IF(J36="本金",C36+K35,K35)</f>
        <v/>
      </c>
      <c r="L36">
        <f>IF(J36="本金",F36+L35,L35)</f>
        <v/>
      </c>
    </row>
    <row r="37" outlineLevel="1">
      <c r="A37" s="560" t="n">
        <v>44922</v>
      </c>
      <c r="B37" s="561" t="n"/>
      <c r="C37" s="284" t="n"/>
      <c r="D37" s="562">
        <f>D36+C37-B37</f>
        <v/>
      </c>
      <c r="E37" s="563" t="n"/>
      <c r="F37" s="284" t="n">
        <v>420</v>
      </c>
      <c r="G37" s="564">
        <f>G36+F37-E37</f>
        <v/>
      </c>
      <c r="H37" s="287" t="n"/>
      <c r="I37" s="288" t="inlineStr">
        <is>
          <t>南山人壽保險</t>
        </is>
      </c>
      <c r="J37" t="inlineStr">
        <is>
          <t>投資</t>
        </is>
      </c>
      <c r="K37">
        <f>IF(J37="本金",C37+K36,K36)</f>
        <v/>
      </c>
      <c r="L37">
        <f>IF(J37="本金",F37+L36,L36)</f>
        <v/>
      </c>
    </row>
    <row r="38">
      <c r="A38" s="508" t="n">
        <v>44931</v>
      </c>
      <c r="B38" s="509" t="n"/>
      <c r="C38" s="123" t="n">
        <v>72322</v>
      </c>
      <c r="D38" s="510">
        <f>D37+C38-B38</f>
        <v/>
      </c>
      <c r="E38" s="535" t="n"/>
      <c r="F38" s="123" t="n"/>
      <c r="G38" s="558">
        <f>G37+F38-E38</f>
        <v/>
      </c>
      <c r="I38" s="65" t="inlineStr">
        <is>
          <t>爸爸的生日祝福</t>
        </is>
      </c>
      <c r="J38" t="inlineStr">
        <is>
          <t>本金</t>
        </is>
      </c>
      <c r="K38">
        <f>IF(J38="本金",C38+K37,K37)</f>
        <v/>
      </c>
      <c r="L38">
        <f>IF(J38="本金",F38+L37,L37)</f>
        <v/>
      </c>
    </row>
    <row r="39" outlineLevel="1">
      <c r="A39" s="508" t="n">
        <v>44932</v>
      </c>
      <c r="B39" s="509" t="n">
        <v>45214</v>
      </c>
      <c r="C39" s="123" t="n"/>
      <c r="D39" s="510">
        <f>D38+C39-B39</f>
        <v/>
      </c>
      <c r="E39" s="535" t="n"/>
      <c r="F39" s="123" t="n"/>
      <c r="G39" s="558">
        <f>G38+F39-E39</f>
        <v/>
      </c>
      <c r="I39" s="65" t="n"/>
      <c r="J39" t="inlineStr">
        <is>
          <t>投資</t>
        </is>
      </c>
      <c r="K39">
        <f>IF(J39="本金",C39+K38,K38)</f>
        <v/>
      </c>
      <c r="L39">
        <f>IF(J39="本金",F39+L38,L38)</f>
        <v/>
      </c>
    </row>
    <row r="40" outlineLevel="1">
      <c r="A40" s="508" t="n">
        <v>44935</v>
      </c>
      <c r="B40" s="509" t="n">
        <v>27108</v>
      </c>
      <c r="C40" s="123" t="n"/>
      <c r="D40" s="510">
        <f>D39+C40-B40</f>
        <v/>
      </c>
      <c r="E40" s="535" t="n"/>
      <c r="F40" s="123" t="n"/>
      <c r="G40" s="558">
        <f>G39+F40-E40</f>
        <v/>
      </c>
      <c r="I40" s="65" t="n"/>
      <c r="J40" t="inlineStr">
        <is>
          <t>投資</t>
        </is>
      </c>
      <c r="K40">
        <f>IF(J40="本金",C40+K39,K39)</f>
        <v/>
      </c>
      <c r="L40">
        <f>IF(J40="本金",F40+L39,L39)</f>
        <v/>
      </c>
    </row>
    <row r="41" outlineLevel="1">
      <c r="A41" s="522" t="n">
        <v>44938</v>
      </c>
      <c r="B41" s="523" t="n"/>
      <c r="C41" s="196" t="n">
        <v>270</v>
      </c>
      <c r="D41" s="524">
        <f>D40+C41-B41</f>
        <v/>
      </c>
      <c r="E41" s="545" t="n"/>
      <c r="F41" s="196" t="n"/>
      <c r="G41" s="557">
        <f>G40+F41-E41</f>
        <v/>
      </c>
      <c r="H41" s="200" t="inlineStr">
        <is>
          <t>台積電</t>
        </is>
      </c>
      <c r="I41" s="200" t="inlineStr">
        <is>
          <t>現金股利</t>
        </is>
      </c>
      <c r="J41" t="inlineStr">
        <is>
          <t>投資</t>
        </is>
      </c>
      <c r="K41">
        <f>IF(J41="本金",C41+K40,K40)</f>
        <v/>
      </c>
      <c r="L41">
        <f>IF(J41="本金",F41+L40,L40)</f>
        <v/>
      </c>
    </row>
    <row r="42" outlineLevel="1">
      <c r="A42" s="508" t="n">
        <v>44956</v>
      </c>
      <c r="B42" s="509" t="n"/>
      <c r="C42" s="123" t="n">
        <v>14410</v>
      </c>
      <c r="D42" s="510">
        <f>D41+C42-B42</f>
        <v/>
      </c>
      <c r="E42" s="535" t="n"/>
      <c r="F42" s="123" t="n"/>
      <c r="G42" s="558">
        <f>G41+F42-E42</f>
        <v/>
      </c>
      <c r="I42" s="65" t="inlineStr">
        <is>
          <t>過年的祝福</t>
        </is>
      </c>
      <c r="J42" t="inlineStr">
        <is>
          <t>本金</t>
        </is>
      </c>
      <c r="K42">
        <f>IF(J42="本金",C42+K41,K41)</f>
        <v/>
      </c>
      <c r="L42">
        <f>IF(J42="本金",F42+L41,L41)</f>
        <v/>
      </c>
    </row>
    <row r="43" outlineLevel="1">
      <c r="A43" s="518" t="n">
        <v>44967</v>
      </c>
      <c r="B43" s="519" t="n"/>
      <c r="C43" s="148" t="n">
        <v>40</v>
      </c>
      <c r="D43" s="520">
        <f>D42+C43-B43</f>
        <v/>
      </c>
      <c r="E43" s="542" t="n"/>
      <c r="F43" s="148" t="n"/>
      <c r="G43" s="565">
        <f>G42+F43-E43</f>
        <v/>
      </c>
      <c r="H43" s="152" t="inlineStr">
        <is>
          <t>折讓入帳</t>
        </is>
      </c>
      <c r="I43" s="152" t="n"/>
      <c r="J43" t="inlineStr">
        <is>
          <t>投資</t>
        </is>
      </c>
      <c r="K43">
        <f>IF(J43="本金",C43+K42,K42)</f>
        <v/>
      </c>
      <c r="L43">
        <f>IF(J43="本金",F43+L42,L42)</f>
        <v/>
      </c>
    </row>
    <row r="44" outlineLevel="1">
      <c r="A44" s="508" t="n">
        <v>44989</v>
      </c>
      <c r="B44" s="509" t="n"/>
      <c r="C44" s="123" t="n">
        <v>888</v>
      </c>
      <c r="D44" s="510">
        <f>D43+C44-B44</f>
        <v/>
      </c>
      <c r="E44" s="535" t="n"/>
      <c r="F44" s="123" t="n"/>
      <c r="G44" s="558">
        <f>G43+F44-E44</f>
        <v/>
      </c>
      <c r="I44" s="65" t="inlineStr">
        <is>
          <t>第一次流鼻血</t>
        </is>
      </c>
      <c r="J44" t="inlineStr">
        <is>
          <t>本金</t>
        </is>
      </c>
      <c r="K44">
        <f>IF(J44="本金",C44+K43,K43)</f>
        <v/>
      </c>
      <c r="L44">
        <f>IF(J44="本金",F44+L43,L43)</f>
        <v/>
      </c>
    </row>
    <row r="45" outlineLevel="1">
      <c r="A45" s="508" t="n">
        <v>45003</v>
      </c>
      <c r="B45" s="509" t="n"/>
      <c r="C45" s="123" t="n">
        <v>888</v>
      </c>
      <c r="D45" s="510">
        <f>D44+C45-B45</f>
        <v/>
      </c>
      <c r="E45" s="535" t="n"/>
      <c r="F45" s="123" t="n"/>
      <c r="G45" s="558">
        <f>G44+F45-E45</f>
        <v/>
      </c>
      <c r="I45" s="65" t="inlineStr">
        <is>
          <t>首次升學考試</t>
        </is>
      </c>
      <c r="J45" t="inlineStr">
        <is>
          <t>本金</t>
        </is>
      </c>
      <c r="K45">
        <f>IF(J45="本金",C45+K44,K44)</f>
        <v/>
      </c>
      <c r="L45">
        <f>IF(J45="本金",F45+L44,L44)</f>
        <v/>
      </c>
    </row>
    <row r="46" outlineLevel="1">
      <c r="A46" s="508" t="n">
        <v>45003</v>
      </c>
      <c r="B46" s="509" t="n"/>
      <c r="C46" s="123" t="n">
        <v>888</v>
      </c>
      <c r="D46" s="510">
        <f>D45+C46-B46</f>
        <v/>
      </c>
      <c r="E46" s="535" t="n"/>
      <c r="F46" s="123" t="n"/>
      <c r="G46" s="558">
        <f>G45+F46-E46</f>
        <v/>
      </c>
      <c r="I46" s="65" t="inlineStr">
        <is>
          <t>私立育才國小</t>
        </is>
      </c>
      <c r="J46" t="inlineStr">
        <is>
          <t>本金</t>
        </is>
      </c>
      <c r="K46">
        <f>IF(J46="本金",C46+K45,K45)</f>
        <v/>
      </c>
      <c r="L46">
        <f>IF(J46="本金",F46+L45,L45)</f>
        <v/>
      </c>
    </row>
    <row r="47" outlineLevel="1">
      <c r="A47" s="508" t="n">
        <v>45003</v>
      </c>
      <c r="B47" s="509" t="n"/>
      <c r="C47" s="123" t="n">
        <v>888</v>
      </c>
      <c r="D47" s="510">
        <f>D46+C47-B47</f>
        <v/>
      </c>
      <c r="E47" s="535" t="n"/>
      <c r="F47" s="123" t="n"/>
      <c r="G47" s="558">
        <f>G46+F47-E47</f>
        <v/>
      </c>
      <c r="I47" s="65" t="inlineStr">
        <is>
          <t>新生闖關活動</t>
        </is>
      </c>
      <c r="J47" t="inlineStr">
        <is>
          <t>本金</t>
        </is>
      </c>
      <c r="K47">
        <f>IF(J47="本金",C47+K46,K46)</f>
        <v/>
      </c>
      <c r="L47">
        <f>IF(J47="本金",F47+L46,L46)</f>
        <v/>
      </c>
    </row>
    <row r="48" outlineLevel="1">
      <c r="A48" s="522" t="n">
        <v>45029</v>
      </c>
      <c r="B48" s="523" t="n"/>
      <c r="C48" s="196" t="n">
        <v>544</v>
      </c>
      <c r="D48" s="524">
        <f>D47+C48-B48</f>
        <v/>
      </c>
      <c r="E48" s="545" t="n"/>
      <c r="F48" s="196" t="n"/>
      <c r="G48" s="557">
        <f>G47+F48-E48</f>
        <v/>
      </c>
      <c r="H48" s="200" t="inlineStr">
        <is>
          <t>台積電</t>
        </is>
      </c>
      <c r="I48" s="200" t="inlineStr">
        <is>
          <t>現金股利</t>
        </is>
      </c>
      <c r="J48" t="inlineStr">
        <is>
          <t>投資</t>
        </is>
      </c>
      <c r="K48">
        <f>IF(J48="本金",C48+K47,K47)</f>
        <v/>
      </c>
      <c r="L48">
        <f>IF(J48="本金",F48+L47,L47)</f>
        <v/>
      </c>
    </row>
    <row r="49" outlineLevel="1">
      <c r="A49" s="508" t="n">
        <v>45058</v>
      </c>
      <c r="B49" s="509" t="n"/>
      <c r="C49" s="123" t="n">
        <v>6000</v>
      </c>
      <c r="D49" s="510">
        <f>D48+C49-B49</f>
        <v/>
      </c>
      <c r="E49" s="535" t="n"/>
      <c r="F49" s="123" t="n"/>
      <c r="G49" s="558">
        <f>G48+F49-E49</f>
        <v/>
      </c>
      <c r="I49" s="65" t="inlineStr">
        <is>
          <t>全民普發六千元</t>
        </is>
      </c>
      <c r="J49" t="inlineStr">
        <is>
          <t>本金</t>
        </is>
      </c>
      <c r="K49">
        <f>IF(J49="本金",C49+K48,K48)</f>
        <v/>
      </c>
      <c r="L49">
        <f>IF(J49="本金",F49+L48,L48)</f>
        <v/>
      </c>
    </row>
    <row r="50" outlineLevel="1">
      <c r="A50" s="508" t="n">
        <v>45075</v>
      </c>
      <c r="B50" s="509" t="n"/>
      <c r="C50" s="123" t="n">
        <v>500</v>
      </c>
      <c r="D50" s="510">
        <f>D49+C50-B50</f>
        <v/>
      </c>
      <c r="E50" s="535" t="n"/>
      <c r="F50" s="123" t="n"/>
      <c r="G50" s="558">
        <f>G49+F50-E50</f>
        <v/>
      </c>
      <c r="I50" s="65" t="inlineStr">
        <is>
          <t>麻將桌拾金不昧</t>
        </is>
      </c>
      <c r="J50" t="inlineStr">
        <is>
          <t>本金</t>
        </is>
      </c>
      <c r="K50">
        <f>IF(J50="本金",C50+K49,K49)</f>
        <v/>
      </c>
      <c r="L50">
        <f>IF(J50="本金",F50+L49,L49)</f>
        <v/>
      </c>
    </row>
    <row r="51" outlineLevel="1">
      <c r="A51" s="508" t="n">
        <v>45081</v>
      </c>
      <c r="B51" s="509" t="n"/>
      <c r="C51" s="123" t="n">
        <v>888</v>
      </c>
      <c r="D51" s="510">
        <f>D50+C51-B51</f>
        <v/>
      </c>
      <c r="E51" s="535" t="n"/>
      <c r="F51" s="123" t="n"/>
      <c r="G51" s="558">
        <f>G50+F51-E51</f>
        <v/>
      </c>
      <c r="I51" s="65" t="inlineStr">
        <is>
          <t>朱宗慶打擊樂</t>
        </is>
      </c>
      <c r="J51" t="inlineStr">
        <is>
          <t>本金</t>
        </is>
      </c>
      <c r="K51">
        <f>IF(J51="本金",C51+K50,K50)</f>
        <v/>
      </c>
      <c r="L51">
        <f>IF(J51="本金",F51+L50,L50)</f>
        <v/>
      </c>
    </row>
    <row r="52" outlineLevel="1">
      <c r="A52" s="508" t="n">
        <v>45081</v>
      </c>
      <c r="B52" s="509" t="n"/>
      <c r="C52" s="123" t="n">
        <v>888</v>
      </c>
      <c r="D52" s="510">
        <f>D51+C52-B52</f>
        <v/>
      </c>
      <c r="E52" s="535" t="n"/>
      <c r="F52" s="123" t="n"/>
      <c r="G52" s="558">
        <f>G51+F52-E52</f>
        <v/>
      </c>
      <c r="I52" s="65" t="inlineStr">
        <is>
          <t>幼兒班結業式</t>
        </is>
      </c>
      <c r="J52" t="inlineStr">
        <is>
          <t>本金</t>
        </is>
      </c>
      <c r="K52">
        <f>IF(J52="本金",C52+K51,K51)</f>
        <v/>
      </c>
      <c r="L52">
        <f>IF(J52="本金",F52+L51,L51)</f>
        <v/>
      </c>
    </row>
    <row r="53" outlineLevel="1">
      <c r="A53" s="513" t="n">
        <v>45098</v>
      </c>
      <c r="B53" s="514" t="n"/>
      <c r="C53" s="154" t="n">
        <v>807</v>
      </c>
      <c r="D53" s="515">
        <f>D52+C53-B53</f>
        <v/>
      </c>
      <c r="E53" s="538" t="n"/>
      <c r="F53" s="154" t="n"/>
      <c r="G53" s="559">
        <f>G52+F53-E53</f>
        <v/>
      </c>
      <c r="H53" s="158" t="inlineStr">
        <is>
          <t>利息</t>
        </is>
      </c>
      <c r="I53" s="159" t="n"/>
      <c r="J53" t="inlineStr">
        <is>
          <t>投資</t>
        </is>
      </c>
      <c r="K53">
        <f>IF(J53="本金",C53+K52,K52)</f>
        <v/>
      </c>
      <c r="L53">
        <f>IF(J53="本金",F53+L52,L52)</f>
        <v/>
      </c>
    </row>
    <row r="54" outlineLevel="1">
      <c r="A54" s="560" t="n">
        <v>45098</v>
      </c>
      <c r="B54" s="561" t="n"/>
      <c r="C54" s="284" t="n"/>
      <c r="D54" s="562">
        <f>D53+C54-B54</f>
        <v/>
      </c>
      <c r="E54" s="563" t="n"/>
      <c r="F54" s="284" t="n">
        <v>1.98</v>
      </c>
      <c r="G54" s="564">
        <f>G53+F54-E54</f>
        <v/>
      </c>
      <c r="H54" s="287" t="inlineStr">
        <is>
          <t>利息</t>
        </is>
      </c>
      <c r="I54" s="288" t="n"/>
      <c r="J54" t="inlineStr">
        <is>
          <t>投資</t>
        </is>
      </c>
      <c r="K54">
        <f>IF(J54="本金",C54+K53,K53)</f>
        <v/>
      </c>
      <c r="L54">
        <f>IF(J54="本金",F54+L53,L53)</f>
        <v/>
      </c>
    </row>
    <row r="55" outlineLevel="1">
      <c r="A55" s="522" t="n">
        <v>45120</v>
      </c>
      <c r="B55" s="523" t="n"/>
      <c r="C55" s="196" t="n">
        <v>544</v>
      </c>
      <c r="D55" s="524">
        <f>D54+C55-B55</f>
        <v/>
      </c>
      <c r="E55" s="545" t="n"/>
      <c r="F55" s="196" t="n"/>
      <c r="G55" s="557">
        <f>G54+F55-E55</f>
        <v/>
      </c>
      <c r="H55" s="200" t="inlineStr">
        <is>
          <t>台積電</t>
        </is>
      </c>
      <c r="I55" s="200" t="inlineStr">
        <is>
          <t>現金股利</t>
        </is>
      </c>
      <c r="J55" t="inlineStr">
        <is>
          <t>投資</t>
        </is>
      </c>
      <c r="K55">
        <f>IF(J55="本金",C55+K54,K54)</f>
        <v/>
      </c>
      <c r="L55">
        <f>IF(J55="本金",F55+L54,L54)</f>
        <v/>
      </c>
    </row>
    <row r="56" outlineLevel="1">
      <c r="A56" s="508" t="n">
        <v>45129</v>
      </c>
      <c r="B56" s="509" t="n"/>
      <c r="C56" s="123" t="n">
        <v>888</v>
      </c>
      <c r="D56" s="510">
        <f>D55+C56-B56</f>
        <v/>
      </c>
      <c r="E56" s="535" t="n"/>
      <c r="F56" s="123" t="n"/>
      <c r="G56" s="558">
        <f>G55+F56-E56</f>
        <v/>
      </c>
      <c r="I56" s="65" t="inlineStr">
        <is>
          <t>強恕派約里亞</t>
        </is>
      </c>
      <c r="J56" t="inlineStr">
        <is>
          <t>本金</t>
        </is>
      </c>
      <c r="K56">
        <f>IF(J56="本金",C56+K55,K55)</f>
        <v/>
      </c>
      <c r="L56">
        <f>IF(J56="本金",F56+L55,L55)</f>
        <v/>
      </c>
    </row>
    <row r="57" outlineLevel="1">
      <c r="A57" s="508" t="n">
        <v>45129</v>
      </c>
      <c r="B57" s="509" t="n"/>
      <c r="C57" s="123" t="n">
        <v>888</v>
      </c>
      <c r="D57" s="510">
        <f>D56+C57-B57</f>
        <v/>
      </c>
      <c r="E57" s="535" t="n"/>
      <c r="F57" s="123" t="n"/>
      <c r="G57" s="558">
        <f>G56+F57-E57</f>
        <v/>
      </c>
      <c r="I57" s="65" t="inlineStr">
        <is>
          <t>幼兒園畢業典禮</t>
        </is>
      </c>
      <c r="J57" t="inlineStr">
        <is>
          <t>本金</t>
        </is>
      </c>
      <c r="K57">
        <f>IF(J57="本金",C57+K56,K56)</f>
        <v/>
      </c>
      <c r="L57">
        <f>IF(J57="本金",F57+L56,L56)</f>
        <v/>
      </c>
    </row>
    <row r="58" outlineLevel="1">
      <c r="A58" s="508" t="n">
        <v>45134</v>
      </c>
      <c r="B58" s="509" t="n">
        <v>27170</v>
      </c>
      <c r="C58" s="123" t="n"/>
      <c r="D58" s="510">
        <f>D57+C58-B58</f>
        <v/>
      </c>
      <c r="E58" s="535" t="n"/>
      <c r="F58" s="123" t="n"/>
      <c r="G58" s="558">
        <f>G57+F58-E58</f>
        <v/>
      </c>
      <c r="H58" t="inlineStr">
        <is>
          <t>元晶</t>
        </is>
      </c>
      <c r="I58" s="65" t="inlineStr">
        <is>
          <t>抽簽</t>
        </is>
      </c>
      <c r="J58" t="inlineStr">
        <is>
          <t>投資</t>
        </is>
      </c>
      <c r="K58">
        <f>IF(J58="本金",C58+K57,K57)</f>
        <v/>
      </c>
      <c r="L58">
        <f>IF(J58="本金",F58+L57,L57)</f>
        <v/>
      </c>
    </row>
    <row r="59" outlineLevel="1">
      <c r="A59" s="508" t="n">
        <v>45145</v>
      </c>
      <c r="B59" s="509" t="n">
        <v>16523</v>
      </c>
      <c r="C59" s="123" t="n"/>
      <c r="D59" s="510">
        <f>D58+C59-B59</f>
        <v/>
      </c>
      <c r="E59" s="535" t="n"/>
      <c r="F59" s="123" t="n"/>
      <c r="G59" s="558">
        <f>G58+F59-E59</f>
        <v/>
      </c>
      <c r="H59" t="inlineStr">
        <is>
          <t>復華台灣科技優息</t>
        </is>
      </c>
      <c r="I59" s="65" t="inlineStr">
        <is>
          <t>買進</t>
        </is>
      </c>
      <c r="J59" t="inlineStr">
        <is>
          <t>投資</t>
        </is>
      </c>
      <c r="K59">
        <f>IF(J59="本金",C59+K58,K58)</f>
        <v/>
      </c>
      <c r="L59">
        <f>IF(J59="本金",F59+L58,L58)</f>
        <v/>
      </c>
    </row>
    <row r="60" outlineLevel="1">
      <c r="A60" s="508" t="n">
        <v>45147</v>
      </c>
      <c r="B60" s="509" t="n"/>
      <c r="C60" s="123" t="n">
        <v>30466</v>
      </c>
      <c r="D60" s="510">
        <f>D59+C60-B60</f>
        <v/>
      </c>
      <c r="E60" s="535" t="n"/>
      <c r="F60" s="123" t="n"/>
      <c r="G60" s="558">
        <f>G59+F60-E60</f>
        <v/>
      </c>
      <c r="H60" t="inlineStr">
        <is>
          <t>元晶</t>
        </is>
      </c>
      <c r="I60" s="65" t="inlineStr">
        <is>
          <t>賣出</t>
        </is>
      </c>
      <c r="J60" t="inlineStr">
        <is>
          <t>投資</t>
        </is>
      </c>
      <c r="K60">
        <f>IF(J60="本金",C60+K59,K59)</f>
        <v/>
      </c>
      <c r="L60">
        <f>IF(J60="本金",F60+L59,L59)</f>
        <v/>
      </c>
    </row>
    <row r="61" outlineLevel="1">
      <c r="A61" s="522" t="n">
        <v>45149</v>
      </c>
      <c r="B61" s="523" t="n"/>
      <c r="C61" s="196" t="n">
        <v>1454</v>
      </c>
      <c r="D61" s="524">
        <f>D60+C61-B61</f>
        <v/>
      </c>
      <c r="E61" s="545" t="n"/>
      <c r="F61" s="196" t="n"/>
      <c r="G61" s="557">
        <f>G60+F61-E61</f>
        <v/>
      </c>
      <c r="H61" s="200" t="inlineStr">
        <is>
          <t>富邦台灣基金</t>
        </is>
      </c>
      <c r="I61" s="200" t="inlineStr">
        <is>
          <t>現金股利</t>
        </is>
      </c>
      <c r="J61" t="inlineStr">
        <is>
          <t>投資</t>
        </is>
      </c>
      <c r="K61">
        <f>IF(J61="本金",C61+K60,K60)</f>
        <v/>
      </c>
      <c r="L61">
        <f>IF(J61="本金",F61+L60,L60)</f>
        <v/>
      </c>
    </row>
    <row r="62" outlineLevel="1">
      <c r="A62" s="508" t="n">
        <v>45168</v>
      </c>
      <c r="B62" s="509" t="n"/>
      <c r="C62" s="123" t="n">
        <v>888</v>
      </c>
      <c r="D62" s="510">
        <f>D61+C62-B62</f>
        <v/>
      </c>
      <c r="E62" s="535" t="n"/>
      <c r="F62" s="123" t="n"/>
      <c r="G62" s="558">
        <f>G61+F62-E62</f>
        <v/>
      </c>
      <c r="I62" s="65" t="inlineStr">
        <is>
          <t>小一新生入學式</t>
        </is>
      </c>
      <c r="J62" t="inlineStr">
        <is>
          <t>本金</t>
        </is>
      </c>
      <c r="K62">
        <f>IF(J62="本金",C62+K61,K61)</f>
        <v/>
      </c>
      <c r="L62">
        <f>IF(J62="本金",F62+L61,L61)</f>
        <v/>
      </c>
    </row>
    <row r="63" outlineLevel="1">
      <c r="A63" s="508" t="n">
        <v>45168</v>
      </c>
      <c r="B63" s="509" t="n"/>
      <c r="C63" s="123" t="n">
        <v>888</v>
      </c>
      <c r="D63" s="510">
        <f>D62+C63-B63</f>
        <v/>
      </c>
      <c r="E63" s="535" t="n"/>
      <c r="F63" s="123" t="n"/>
      <c r="G63" s="558">
        <f>G62+F63-E63</f>
        <v/>
      </c>
      <c r="I63" s="65" t="inlineStr">
        <is>
          <t>新北市網溪國小</t>
        </is>
      </c>
      <c r="J63" t="inlineStr">
        <is>
          <t>本金</t>
        </is>
      </c>
      <c r="K63">
        <f>IF(J63="本金",C63+K62,K62)</f>
        <v/>
      </c>
      <c r="L63">
        <f>IF(J63="本金",F63+L62,L62)</f>
        <v/>
      </c>
    </row>
    <row r="64" outlineLevel="1">
      <c r="A64" s="508" t="n">
        <v>45168</v>
      </c>
      <c r="B64" s="509" t="n"/>
      <c r="C64" s="123" t="n">
        <v>888</v>
      </c>
      <c r="D64" s="510">
        <f>D63+C64-B64</f>
        <v/>
      </c>
      <c r="E64" s="535" t="n"/>
      <c r="F64" s="123" t="n"/>
      <c r="G64" s="558">
        <f>G63+F64-E64</f>
        <v/>
      </c>
      <c r="I64" s="65" t="inlineStr">
        <is>
          <t>一年二班七號</t>
        </is>
      </c>
      <c r="J64" t="inlineStr">
        <is>
          <t>本金</t>
        </is>
      </c>
      <c r="K64">
        <f>IF(J64="本金",C64+K63,K63)</f>
        <v/>
      </c>
      <c r="L64">
        <f>IF(J64="本金",F64+L63,L63)</f>
        <v/>
      </c>
    </row>
    <row r="65" outlineLevel="1">
      <c r="A65" s="518" t="n">
        <v>45174</v>
      </c>
      <c r="B65" s="519" t="n"/>
      <c r="C65" s="148" t="n">
        <v>26</v>
      </c>
      <c r="D65" s="520">
        <f>D64+C65-B65</f>
        <v/>
      </c>
      <c r="E65" s="542" t="n"/>
      <c r="F65" s="148" t="n"/>
      <c r="G65" s="565">
        <f>G64+F65-E65</f>
        <v/>
      </c>
      <c r="H65" s="152" t="inlineStr">
        <is>
          <t>折讓入帳</t>
        </is>
      </c>
      <c r="I65" s="152" t="n"/>
      <c r="J65" t="inlineStr">
        <is>
          <t>投資</t>
        </is>
      </c>
      <c r="K65">
        <f>IF(J65="本金",C65+K64,K64)</f>
        <v/>
      </c>
      <c r="L65">
        <f>IF(J65="本金",F65+L64,L64)</f>
        <v/>
      </c>
    </row>
    <row r="66" outlineLevel="1">
      <c r="A66" s="522" t="n">
        <v>45181</v>
      </c>
      <c r="B66" s="523" t="n"/>
      <c r="C66" s="196" t="n">
        <v>110</v>
      </c>
      <c r="D66" s="524">
        <f>D65+C66-B66</f>
        <v/>
      </c>
      <c r="E66" s="545" t="n"/>
      <c r="F66" s="196" t="n"/>
      <c r="G66" s="557">
        <f>G65+F66-E66</f>
        <v/>
      </c>
      <c r="H66" s="200" t="inlineStr">
        <is>
          <t>復華台灣科技優息</t>
        </is>
      </c>
      <c r="I66" s="200" t="inlineStr">
        <is>
          <t>現金股利</t>
        </is>
      </c>
      <c r="J66" t="inlineStr">
        <is>
          <t>投資</t>
        </is>
      </c>
      <c r="K66">
        <f>IF(J66="本金",C66+K65,K65)</f>
        <v/>
      </c>
      <c r="L66">
        <f>IF(J66="本金",F66+L65,L65)</f>
        <v/>
      </c>
    </row>
    <row r="67" outlineLevel="1">
      <c r="A67" s="508" t="n">
        <v>45202</v>
      </c>
      <c r="B67" s="509" t="n"/>
      <c r="C67" s="123" t="n">
        <v>21250</v>
      </c>
      <c r="D67" s="510">
        <f>D66+C67-B67</f>
        <v/>
      </c>
      <c r="E67" s="535" t="n"/>
      <c r="F67" s="123" t="n"/>
      <c r="G67" s="558">
        <f>G66+F67-E67</f>
        <v/>
      </c>
      <c r="I67" s="65" t="inlineStr">
        <is>
          <t>富邦人壽理賠金</t>
        </is>
      </c>
      <c r="J67" t="inlineStr">
        <is>
          <t>本金</t>
        </is>
      </c>
      <c r="K67">
        <f>IF(J67="本金",C67+K66,K66)</f>
        <v/>
      </c>
      <c r="L67">
        <f>IF(J67="本金",F67+L66,L66)</f>
        <v/>
      </c>
    </row>
    <row r="68" outlineLevel="1">
      <c r="A68" s="508" t="n">
        <v>45203</v>
      </c>
      <c r="B68" s="509" t="n"/>
      <c r="C68" s="123" t="n">
        <v>2903</v>
      </c>
      <c r="D68" s="510">
        <f>D67+C68-B68</f>
        <v/>
      </c>
      <c r="E68" s="535" t="n"/>
      <c r="F68" s="123" t="n"/>
      <c r="G68" s="558">
        <f>G67+F68-E68</f>
        <v/>
      </c>
      <c r="I68" s="65" t="inlineStr">
        <is>
          <t>國泰人壽保險理賠金</t>
        </is>
      </c>
      <c r="J68" t="inlineStr">
        <is>
          <t>本金</t>
        </is>
      </c>
      <c r="K68">
        <f>IF(J68="本金",C68+K67,K67)</f>
        <v/>
      </c>
      <c r="L68">
        <f>IF(J68="本金",F68+L67,L67)</f>
        <v/>
      </c>
    </row>
    <row r="69" outlineLevel="1">
      <c r="A69" s="508" t="n">
        <v>45205</v>
      </c>
      <c r="B69" s="509" t="n"/>
      <c r="C69" s="123" t="n">
        <v>25760</v>
      </c>
      <c r="D69" s="510">
        <f>D68+C69-B69</f>
        <v/>
      </c>
      <c r="E69" s="535" t="n"/>
      <c r="F69" s="123" t="n"/>
      <c r="G69" s="558">
        <f>G68+F69-E69</f>
        <v/>
      </c>
      <c r="I69" s="65" t="inlineStr">
        <is>
          <t>全球人壽保險理賠金</t>
        </is>
      </c>
      <c r="J69" t="inlineStr">
        <is>
          <t>本金</t>
        </is>
      </c>
      <c r="K69">
        <f>IF(J69="本金",C69+K68,K68)</f>
        <v/>
      </c>
      <c r="L69">
        <f>IF(J69="本金",F69+L68,L68)</f>
        <v/>
      </c>
    </row>
    <row r="70" outlineLevel="1">
      <c r="A70" s="522" t="n">
        <v>45211</v>
      </c>
      <c r="B70" s="523" t="n"/>
      <c r="C70" s="196" t="n">
        <v>595</v>
      </c>
      <c r="D70" s="524">
        <f>D69+C70-B70</f>
        <v/>
      </c>
      <c r="E70" s="545" t="n"/>
      <c r="F70" s="196" t="n"/>
      <c r="G70" s="557">
        <f>G69+F70-E70</f>
        <v/>
      </c>
      <c r="H70" s="200" t="inlineStr">
        <is>
          <t>台積電</t>
        </is>
      </c>
      <c r="I70" s="200" t="inlineStr">
        <is>
          <t>現金股利</t>
        </is>
      </c>
      <c r="J70" t="inlineStr">
        <is>
          <t>投資</t>
        </is>
      </c>
      <c r="K70">
        <f>IF(J70="本金",C70+K69,K69)</f>
        <v/>
      </c>
      <c r="L70">
        <f>IF(J70="本金",F70+L69,L69)</f>
        <v/>
      </c>
    </row>
    <row r="71" outlineLevel="1">
      <c r="A71" s="522" t="n">
        <v>45217</v>
      </c>
      <c r="B71" s="523" t="n"/>
      <c r="C71" s="196" t="n">
        <v>110</v>
      </c>
      <c r="D71" s="524">
        <f>D70+C71-B71</f>
        <v/>
      </c>
      <c r="E71" s="545" t="n"/>
      <c r="F71" s="196" t="n"/>
      <c r="G71" s="557">
        <f>G70+F71-E71</f>
        <v/>
      </c>
      <c r="H71" s="200" t="inlineStr">
        <is>
          <t>復華台灣科技優息</t>
        </is>
      </c>
      <c r="I71" s="200" t="inlineStr">
        <is>
          <t>現金股利</t>
        </is>
      </c>
      <c r="J71" t="inlineStr">
        <is>
          <t>投資</t>
        </is>
      </c>
      <c r="K71">
        <f>IF(J71="本金",C71+K70,K70)</f>
        <v/>
      </c>
      <c r="L71">
        <f>IF(J71="本金",F71+L70,L70)</f>
        <v/>
      </c>
    </row>
    <row r="72" outlineLevel="1">
      <c r="A72" s="522" t="n">
        <v>45247</v>
      </c>
      <c r="B72" s="523" t="n"/>
      <c r="C72" s="196" t="n">
        <v>110</v>
      </c>
      <c r="D72" s="524">
        <f>D71+C72-B72</f>
        <v/>
      </c>
      <c r="E72" s="545" t="n"/>
      <c r="F72" s="196" t="n"/>
      <c r="G72" s="557">
        <f>G71+F72-E72</f>
        <v/>
      </c>
      <c r="H72" s="200" t="inlineStr">
        <is>
          <t>復華台灣科技優息</t>
        </is>
      </c>
      <c r="I72" s="200" t="inlineStr">
        <is>
          <t>現金股利</t>
        </is>
      </c>
      <c r="J72" t="inlineStr">
        <is>
          <t>投資</t>
        </is>
      </c>
      <c r="K72">
        <f>IF(J72="本金",C72+K71,K71)</f>
        <v/>
      </c>
      <c r="L72">
        <f>IF(J72="本金",F72+L71,L71)</f>
        <v/>
      </c>
    </row>
    <row r="73" outlineLevel="1">
      <c r="A73" s="522" t="n">
        <v>45272</v>
      </c>
      <c r="B73" s="523" t="n"/>
      <c r="C73" s="196" t="n">
        <v>2114</v>
      </c>
      <c r="D73" s="524">
        <f>D72+C73-B73</f>
        <v/>
      </c>
      <c r="E73" s="545" t="n"/>
      <c r="F73" s="196" t="n"/>
      <c r="G73" s="557">
        <f>G72+F73-E73</f>
        <v/>
      </c>
      <c r="H73" s="200" t="inlineStr">
        <is>
          <t>富邦台灣基金</t>
        </is>
      </c>
      <c r="I73" s="200" t="inlineStr">
        <is>
          <t>現金股利</t>
        </is>
      </c>
      <c r="J73" t="inlineStr">
        <is>
          <t>投資</t>
        </is>
      </c>
      <c r="K73">
        <f>IF(J73="本金",C73+K72,K72)</f>
        <v/>
      </c>
      <c r="L73">
        <f>IF(J73="本金",F73+L72,L72)</f>
        <v/>
      </c>
    </row>
    <row r="74" outlineLevel="1">
      <c r="A74" s="522" t="n">
        <v>45275</v>
      </c>
      <c r="B74" s="523" t="n"/>
      <c r="C74" s="196" t="n">
        <v>110</v>
      </c>
      <c r="D74" s="524">
        <f>D73+C74-B74</f>
        <v/>
      </c>
      <c r="E74" s="545" t="n"/>
      <c r="F74" s="196" t="n"/>
      <c r="G74" s="557">
        <f>G73+F74-E74</f>
        <v/>
      </c>
      <c r="H74" s="200" t="inlineStr">
        <is>
          <t>復華台灣科技優息</t>
        </is>
      </c>
      <c r="I74" s="200" t="inlineStr">
        <is>
          <t>現金股利</t>
        </is>
      </c>
      <c r="J74" t="inlineStr">
        <is>
          <t>投資</t>
        </is>
      </c>
      <c r="K74">
        <f>IF(J74="本金",C74+K73,K73)</f>
        <v/>
      </c>
      <c r="L74">
        <f>IF(J74="本金",F74+L73,L73)</f>
        <v/>
      </c>
    </row>
    <row r="75" outlineLevel="1">
      <c r="A75" s="508" t="n">
        <v>45279</v>
      </c>
      <c r="B75" s="509" t="n"/>
      <c r="C75" s="123" t="n">
        <v>90468</v>
      </c>
      <c r="D75" s="510">
        <f>D74+C75-B75</f>
        <v/>
      </c>
      <c r="E75" s="535" t="n"/>
      <c r="F75" s="123" t="n"/>
      <c r="G75" s="558">
        <f>G74+F75-E75</f>
        <v/>
      </c>
      <c r="I75" s="65" t="inlineStr">
        <is>
          <t>爸爸的生日祝福</t>
        </is>
      </c>
      <c r="J75" t="inlineStr">
        <is>
          <t>本金</t>
        </is>
      </c>
      <c r="K75">
        <f>IF(J75="本金",C75+K74,K74)</f>
        <v/>
      </c>
      <c r="L75">
        <f>IF(J75="本金",F75+L74,L74)</f>
        <v/>
      </c>
    </row>
    <row r="76" outlineLevel="1">
      <c r="A76" s="508" t="n">
        <v>45280</v>
      </c>
      <c r="B76" s="509" t="n">
        <v>32085</v>
      </c>
      <c r="C76" s="123" t="n"/>
      <c r="D76" s="510">
        <f>D75+C76-B76</f>
        <v/>
      </c>
      <c r="E76" s="535" t="n"/>
      <c r="F76" s="123" t="n"/>
      <c r="G76" s="558">
        <f>G75+F76-E76</f>
        <v/>
      </c>
      <c r="I76" s="65" t="n"/>
      <c r="J76" t="inlineStr">
        <is>
          <t>投資</t>
        </is>
      </c>
      <c r="K76">
        <f>IF(J76="本金",C76+K75,K75)</f>
        <v/>
      </c>
      <c r="L76">
        <f>IF(J76="本金",F76+L75,L75)</f>
        <v/>
      </c>
    </row>
    <row r="77" outlineLevel="1">
      <c r="A77" s="508" t="n">
        <v>45281</v>
      </c>
      <c r="B77" s="509" t="n">
        <v>58383</v>
      </c>
      <c r="C77" s="123" t="n"/>
      <c r="D77" s="510">
        <f>D76+C77-B77</f>
        <v/>
      </c>
      <c r="E77" s="535" t="n"/>
      <c r="F77" s="123" t="n"/>
      <c r="G77" s="558">
        <f>G76+F77-E77</f>
        <v/>
      </c>
      <c r="I77" s="65" t="n"/>
      <c r="J77" t="inlineStr">
        <is>
          <t>投資</t>
        </is>
      </c>
      <c r="K77">
        <f>IF(J77="本金",C77+K76,K76)</f>
        <v/>
      </c>
      <c r="L77">
        <f>IF(J77="本金",F77+L76,L76)</f>
        <v/>
      </c>
    </row>
    <row r="78" outlineLevel="1">
      <c r="A78" s="513" t="n">
        <v>45281</v>
      </c>
      <c r="B78" s="514" t="n"/>
      <c r="C78" s="154" t="n">
        <v>902</v>
      </c>
      <c r="D78" s="515">
        <f>D77+C78-B78</f>
        <v/>
      </c>
      <c r="E78" s="538" t="n"/>
      <c r="F78" s="154" t="n"/>
      <c r="G78" s="559">
        <f>G77+F78-E78</f>
        <v/>
      </c>
      <c r="H78" s="158" t="inlineStr">
        <is>
          <t>利息</t>
        </is>
      </c>
      <c r="I78" s="159" t="n"/>
      <c r="J78" t="inlineStr">
        <is>
          <t>投資</t>
        </is>
      </c>
      <c r="K78">
        <f>IF(J78="本金",C78+K77,K77)</f>
        <v/>
      </c>
      <c r="L78">
        <f>IF(J78="本金",F78+L77,L77)</f>
        <v/>
      </c>
    </row>
    <row r="79" outlineLevel="1">
      <c r="A79" s="560" t="n">
        <v>45281</v>
      </c>
      <c r="B79" s="561" t="n"/>
      <c r="C79" s="284" t="n"/>
      <c r="D79" s="562">
        <f>D78+C79-B79</f>
        <v/>
      </c>
      <c r="E79" s="563" t="n"/>
      <c r="F79" s="284" t="n">
        <v>2.44</v>
      </c>
      <c r="G79" s="564">
        <f>G78+F79-E79</f>
        <v/>
      </c>
      <c r="H79" s="287" t="inlineStr">
        <is>
          <t>利息</t>
        </is>
      </c>
      <c r="I79" s="288" t="n"/>
      <c r="J79" t="inlineStr">
        <is>
          <t>投資</t>
        </is>
      </c>
      <c r="K79">
        <f>IF(J79="本金",C79+K78,K78)</f>
        <v/>
      </c>
      <c r="L79">
        <f>IF(J79="本金",F79+L78,L78)</f>
        <v/>
      </c>
    </row>
    <row r="80" outlineLevel="1">
      <c r="A80" s="560" t="n">
        <v>45287</v>
      </c>
      <c r="B80" s="561" t="n"/>
      <c r="C80" s="284" t="n"/>
      <c r="D80" s="562">
        <f>D79+C80-B80</f>
        <v/>
      </c>
      <c r="E80" s="563" t="n"/>
      <c r="F80" s="284" t="n">
        <v>1155</v>
      </c>
      <c r="G80" s="564">
        <f>G79+F80-E80</f>
        <v/>
      </c>
      <c r="H80" s="287" t="n"/>
      <c r="I80" s="288" t="inlineStr">
        <is>
          <t>南山人壽保險</t>
        </is>
      </c>
      <c r="J80" t="inlineStr">
        <is>
          <t>本金</t>
        </is>
      </c>
      <c r="K80">
        <f>IF(J80="本金",C80+K79,K79)</f>
        <v/>
      </c>
      <c r="L80">
        <f>IF(J80="本金",F80+L79,L79)</f>
        <v/>
      </c>
    </row>
    <row r="81" outlineLevel="1">
      <c r="A81" s="508" t="n">
        <v>45291</v>
      </c>
      <c r="B81" s="509" t="n">
        <v>920</v>
      </c>
      <c r="C81" s="123" t="n"/>
      <c r="D81" s="510">
        <f>D80+C81-B81</f>
        <v/>
      </c>
      <c r="E81" s="535" t="n"/>
      <c r="F81" s="123" t="n"/>
      <c r="G81" s="558">
        <f>G80+F81-E81</f>
        <v/>
      </c>
      <c r="I81" s="65" t="inlineStr">
        <is>
          <t>2023 股票申購 46 次</t>
        </is>
      </c>
      <c r="J81" t="inlineStr">
        <is>
          <t>投資</t>
        </is>
      </c>
      <c r="K81">
        <f>IF(J81="本金",C81+K80,K80)</f>
        <v/>
      </c>
      <c r="L81">
        <f>IF(J81="本金",F81+L80,L80)</f>
        <v/>
      </c>
    </row>
    <row r="82">
      <c r="A82" s="518" t="n">
        <v>45296</v>
      </c>
      <c r="B82" s="519" t="n"/>
      <c r="C82" s="148" t="n">
        <v>51</v>
      </c>
      <c r="D82" s="520">
        <f>D81+C82-B82</f>
        <v/>
      </c>
      <c r="E82" s="542" t="n"/>
      <c r="F82" s="148" t="n"/>
      <c r="G82" s="565">
        <f>G81+F82-E82</f>
        <v/>
      </c>
      <c r="H82" s="152" t="inlineStr">
        <is>
          <t>折讓入帳</t>
        </is>
      </c>
      <c r="I82" s="152" t="n"/>
      <c r="J82" t="inlineStr">
        <is>
          <t>投資</t>
        </is>
      </c>
      <c r="K82">
        <f>IF(J82="本金",C82+K81,K81)</f>
        <v/>
      </c>
      <c r="L82">
        <f>IF(J82="本金",F82+L81,L81)</f>
        <v/>
      </c>
    </row>
    <row r="83" outlineLevel="1">
      <c r="A83" s="522" t="n">
        <v>45302</v>
      </c>
      <c r="B83" s="523" t="n"/>
      <c r="C83" s="196" t="n">
        <v>595</v>
      </c>
      <c r="D83" s="524">
        <f>D82+C83-B83</f>
        <v/>
      </c>
      <c r="E83" s="545" t="n"/>
      <c r="F83" s="196" t="n"/>
      <c r="G83" s="557">
        <f>G82+F83-E83</f>
        <v/>
      </c>
      <c r="H83" s="200" t="inlineStr">
        <is>
          <t>台積電</t>
        </is>
      </c>
      <c r="I83" s="200" t="inlineStr">
        <is>
          <t>現金股利</t>
        </is>
      </c>
      <c r="J83" t="inlineStr">
        <is>
          <t>投資</t>
        </is>
      </c>
      <c r="K83">
        <f>IF(J83="本金",C83+K82,K82)</f>
        <v/>
      </c>
      <c r="L83">
        <f>IF(J83="本金",F83+L82,L82)</f>
        <v/>
      </c>
    </row>
    <row r="84" outlineLevel="1">
      <c r="A84" s="522" t="n">
        <v>45306</v>
      </c>
      <c r="B84" s="523" t="n"/>
      <c r="C84" s="196" t="n">
        <v>110</v>
      </c>
      <c r="D84" s="524">
        <f>D83+C84-B84</f>
        <v/>
      </c>
      <c r="E84" s="545" t="n"/>
      <c r="F84" s="196" t="n"/>
      <c r="G84" s="557">
        <f>G83+F84-E84</f>
        <v/>
      </c>
      <c r="H84" s="200" t="inlineStr">
        <is>
          <t>復華台灣科技優息</t>
        </is>
      </c>
      <c r="I84" s="200" t="inlineStr">
        <is>
          <t>現金股利</t>
        </is>
      </c>
      <c r="J84" t="inlineStr">
        <is>
          <t>投資</t>
        </is>
      </c>
      <c r="K84">
        <f>IF(J84="本金",C84+K83,K83)</f>
        <v/>
      </c>
      <c r="L84">
        <f>IF(J84="本金",F84+L83,L83)</f>
        <v/>
      </c>
    </row>
    <row r="85" outlineLevel="1">
      <c r="A85" s="508" t="n">
        <v>45310</v>
      </c>
      <c r="B85" s="509" t="n"/>
      <c r="C85" s="123" t="n">
        <v>888</v>
      </c>
      <c r="D85" s="510">
        <f>D84+C85-B85</f>
        <v/>
      </c>
      <c r="E85" s="535" t="n"/>
      <c r="F85" s="123" t="n"/>
      <c r="G85" s="558">
        <f>G84+F85-E85</f>
        <v/>
      </c>
      <c r="I85" s="65" t="inlineStr">
        <is>
          <t>得到第一張獎狀</t>
        </is>
      </c>
      <c r="J85" t="inlineStr">
        <is>
          <t>本金</t>
        </is>
      </c>
      <c r="K85">
        <f>IF(J85="本金",C85+K84,K84)</f>
        <v/>
      </c>
      <c r="L85">
        <f>IF(J85="本金",F85+L84,L84)</f>
        <v/>
      </c>
    </row>
    <row r="86" outlineLevel="1">
      <c r="A86" s="508" t="n">
        <v>45343</v>
      </c>
      <c r="B86" s="509" t="n">
        <v>19087</v>
      </c>
      <c r="C86" s="123" t="n"/>
      <c r="D86" s="510">
        <f>D85+C86-B86</f>
        <v/>
      </c>
      <c r="E86" s="535" t="n"/>
      <c r="F86" s="123" t="n"/>
      <c r="G86" s="558">
        <f>G85+F86-E86</f>
        <v/>
      </c>
      <c r="H86" t="inlineStr">
        <is>
          <t>復華台灣科技優息</t>
        </is>
      </c>
      <c r="I86" s="65" t="inlineStr">
        <is>
          <t>買進</t>
        </is>
      </c>
      <c r="J86" t="inlineStr">
        <is>
          <t>投資</t>
        </is>
      </c>
      <c r="K86">
        <f>IF(J86="本金",C86+K85,K85)</f>
        <v/>
      </c>
      <c r="L86">
        <f>IF(J86="本金",F86+L85,L85)</f>
        <v/>
      </c>
    </row>
    <row r="87" outlineLevel="1">
      <c r="A87" s="522" t="n">
        <v>45345</v>
      </c>
      <c r="B87" s="523" t="n"/>
      <c r="C87" s="196" t="n">
        <v>130</v>
      </c>
      <c r="D87" s="524">
        <f>D86+C87-B87</f>
        <v/>
      </c>
      <c r="E87" s="545" t="n"/>
      <c r="F87" s="196" t="n"/>
      <c r="G87" s="557">
        <f>G86+F87-E87</f>
        <v/>
      </c>
      <c r="H87" s="200" t="inlineStr">
        <is>
          <t>復華台灣科技優息</t>
        </is>
      </c>
      <c r="I87" s="200" t="inlineStr">
        <is>
          <t>現金股利</t>
        </is>
      </c>
      <c r="J87" t="inlineStr">
        <is>
          <t>投資</t>
        </is>
      </c>
      <c r="K87">
        <f>IF(J87="本金",C87+K86,K86)</f>
        <v/>
      </c>
      <c r="L87">
        <f>IF(J87="本金",F87+L86,L86)</f>
        <v/>
      </c>
    </row>
    <row r="88" outlineLevel="1">
      <c r="A88" s="508" t="n">
        <v>45349</v>
      </c>
      <c r="B88" s="509" t="n"/>
      <c r="C88" s="123" t="n">
        <v>11200</v>
      </c>
      <c r="D88" s="510">
        <f>D87+C88-B88</f>
        <v/>
      </c>
      <c r="E88" s="535" t="n"/>
      <c r="F88" s="123" t="n"/>
      <c r="G88" s="558">
        <f>G87+F88-E88</f>
        <v/>
      </c>
      <c r="I88" s="65" t="inlineStr">
        <is>
          <t>過年的祝福</t>
        </is>
      </c>
      <c r="J88" t="inlineStr">
        <is>
          <t>本金</t>
        </is>
      </c>
      <c r="K88">
        <f>IF(J88="本金",C88+K87,K87)</f>
        <v/>
      </c>
      <c r="L88">
        <f>IF(J88="本金",F88+L87,L87)</f>
        <v/>
      </c>
    </row>
    <row r="89" outlineLevel="1">
      <c r="A89" s="518" t="n">
        <v>45356</v>
      </c>
      <c r="B89" s="519" t="n"/>
      <c r="C89" s="148" t="n">
        <v>10</v>
      </c>
      <c r="D89" s="520">
        <f>D88+C89-B89</f>
        <v/>
      </c>
      <c r="E89" s="542" t="n"/>
      <c r="F89" s="148" t="n"/>
      <c r="G89" s="565">
        <f>G88+F89-E89</f>
        <v/>
      </c>
      <c r="H89" s="152" t="inlineStr">
        <is>
          <t>折讓入帳</t>
        </is>
      </c>
      <c r="I89" s="152" t="n"/>
      <c r="J89" t="inlineStr">
        <is>
          <t>投資</t>
        </is>
      </c>
      <c r="K89">
        <f>IF(J89="本金",C89+K88,K88)</f>
        <v/>
      </c>
      <c r="L89">
        <f>IF(J89="本金",F89+L88,L88)</f>
        <v/>
      </c>
    </row>
    <row r="90" outlineLevel="1">
      <c r="A90" s="508" t="n">
        <v>45365</v>
      </c>
      <c r="B90" s="509" t="n"/>
      <c r="C90" s="123" t="n">
        <v>888</v>
      </c>
      <c r="D90" s="510">
        <f>D89+C90-B90</f>
        <v/>
      </c>
      <c r="E90" s="535" t="n"/>
      <c r="F90" s="123" t="n"/>
      <c r="G90" s="558">
        <f>G89+F90-E90</f>
        <v/>
      </c>
      <c r="I90" s="65" t="inlineStr">
        <is>
          <t>復健初體驗</t>
        </is>
      </c>
      <c r="J90" t="inlineStr">
        <is>
          <t>本金</t>
        </is>
      </c>
      <c r="K90">
        <f>IF(J90="本金",C90+K89,K89)</f>
        <v/>
      </c>
      <c r="L90">
        <f>IF(J90="本金",F90+L89,L89)</f>
        <v/>
      </c>
    </row>
    <row r="91" outlineLevel="1">
      <c r="A91" s="522" t="n">
        <v>45377</v>
      </c>
      <c r="B91" s="523" t="n"/>
      <c r="C91" s="196" t="n">
        <v>260</v>
      </c>
      <c r="D91" s="524">
        <f>D90+C91-B91</f>
        <v/>
      </c>
      <c r="E91" s="545" t="n"/>
      <c r="F91" s="196" t="n"/>
      <c r="G91" s="557">
        <f>G90+F91-E91</f>
        <v/>
      </c>
      <c r="H91" s="200" t="inlineStr">
        <is>
          <t>復華台灣科技優息</t>
        </is>
      </c>
      <c r="I91" s="200" t="inlineStr">
        <is>
          <t>現金股利</t>
        </is>
      </c>
      <c r="J91" t="inlineStr">
        <is>
          <t>投資</t>
        </is>
      </c>
      <c r="K91">
        <f>IF(J91="本金",C91+K90,K90)</f>
        <v/>
      </c>
      <c r="L91">
        <f>IF(J91="本金",F91+L90,L90)</f>
        <v/>
      </c>
    </row>
    <row r="92" outlineLevel="1">
      <c r="A92" s="522" t="n">
        <v>45393</v>
      </c>
      <c r="B92" s="523" t="n"/>
      <c r="C92" s="196" t="n">
        <v>1044</v>
      </c>
      <c r="D92" s="524">
        <f>D91+C92-B92</f>
        <v/>
      </c>
      <c r="E92" s="545" t="n"/>
      <c r="F92" s="196" t="n"/>
      <c r="G92" s="557">
        <f>G91+F92-E92</f>
        <v/>
      </c>
      <c r="H92" s="200" t="inlineStr">
        <is>
          <t>台積電</t>
        </is>
      </c>
      <c r="I92" s="200" t="inlineStr">
        <is>
          <t>現金股利</t>
        </is>
      </c>
      <c r="J92" t="inlineStr">
        <is>
          <t>投資</t>
        </is>
      </c>
      <c r="K92">
        <f>IF(J92="本金",C92+K91,K91)</f>
        <v/>
      </c>
      <c r="L92">
        <f>IF(J92="本金",F92+L91,L91)</f>
        <v/>
      </c>
    </row>
    <row r="93" outlineLevel="1">
      <c r="A93" s="508" t="n">
        <v>45397</v>
      </c>
      <c r="B93" s="509" t="n"/>
      <c r="C93" s="123" t="n">
        <v>162279</v>
      </c>
      <c r="D93" s="510">
        <f>D92+C93-B93</f>
        <v/>
      </c>
      <c r="E93" s="535" t="n"/>
      <c r="F93" s="123" t="n"/>
      <c r="G93" s="558">
        <f>G92+F93-E93</f>
        <v/>
      </c>
      <c r="H93" t="inlineStr">
        <is>
          <t>台積電</t>
        </is>
      </c>
      <c r="I93" s="65" t="inlineStr">
        <is>
          <t>賣出</t>
        </is>
      </c>
      <c r="J93" t="inlineStr">
        <is>
          <t>投資</t>
        </is>
      </c>
      <c r="K93">
        <f>IF(J93="本金",C93+K92,K92)</f>
        <v/>
      </c>
      <c r="L93">
        <f>IF(J93="本金",F93+L92,L92)</f>
        <v/>
      </c>
    </row>
    <row r="94" outlineLevel="1">
      <c r="A94" s="522" t="n">
        <v>45398</v>
      </c>
      <c r="B94" s="523" t="n"/>
      <c r="C94" s="196" t="n">
        <v>260</v>
      </c>
      <c r="D94" s="524">
        <f>D93+C94-B94</f>
        <v/>
      </c>
      <c r="E94" s="545" t="n"/>
      <c r="F94" s="196" t="n"/>
      <c r="G94" s="557">
        <f>G93+F94-E94</f>
        <v/>
      </c>
      <c r="H94" s="200" t="inlineStr">
        <is>
          <t>復華台灣科技優息</t>
        </is>
      </c>
      <c r="I94" s="200" t="inlineStr">
        <is>
          <t>現金股利</t>
        </is>
      </c>
      <c r="J94" t="inlineStr">
        <is>
          <t>投資</t>
        </is>
      </c>
      <c r="K94">
        <f>IF(J94="本金",C94+K93,K93)</f>
        <v/>
      </c>
      <c r="L94">
        <f>IF(J94="本金",F94+L93,L93)</f>
        <v/>
      </c>
    </row>
    <row r="95" outlineLevel="1">
      <c r="A95" s="518" t="n">
        <v>45417</v>
      </c>
      <c r="B95" s="519" t="n"/>
      <c r="C95" s="148" t="n">
        <v>92</v>
      </c>
      <c r="D95" s="520">
        <f>D94+C95-B95</f>
        <v/>
      </c>
      <c r="E95" s="542" t="n"/>
      <c r="F95" s="148" t="n"/>
      <c r="G95" s="565">
        <f>G94+F95-E95</f>
        <v/>
      </c>
      <c r="H95" s="152" t="inlineStr">
        <is>
          <t>折讓入帳</t>
        </is>
      </c>
      <c r="I95" s="152" t="n"/>
      <c r="J95" t="inlineStr">
        <is>
          <t>投資</t>
        </is>
      </c>
      <c r="K95">
        <f>IF(J95="本金",C95+K94,K94)</f>
        <v/>
      </c>
      <c r="L95">
        <f>IF(J95="本金",F95+L94,L94)</f>
        <v/>
      </c>
    </row>
    <row r="96" outlineLevel="1">
      <c r="A96" s="522" t="n">
        <v>45432</v>
      </c>
      <c r="B96" s="523" t="n"/>
      <c r="C96" s="196" t="n">
        <v>400</v>
      </c>
      <c r="D96" s="524">
        <f>D95+C96-B96</f>
        <v/>
      </c>
      <c r="E96" s="545" t="n"/>
      <c r="F96" s="196" t="n"/>
      <c r="G96" s="557">
        <f>G95+F96-E96</f>
        <v/>
      </c>
      <c r="H96" s="200" t="inlineStr">
        <is>
          <t>復華台灣科技優息</t>
        </is>
      </c>
      <c r="I96" s="200" t="inlineStr">
        <is>
          <t>現金股利</t>
        </is>
      </c>
      <c r="J96" t="inlineStr">
        <is>
          <t>投資</t>
        </is>
      </c>
      <c r="K96">
        <f>IF(J96="本金",C96+K95,K95)</f>
        <v/>
      </c>
      <c r="L96">
        <f>IF(J96="本金",F96+L95,L95)</f>
        <v/>
      </c>
    </row>
    <row r="97" outlineLevel="1">
      <c r="A97" s="508" t="n">
        <v>45439</v>
      </c>
      <c r="B97" s="509" t="n"/>
      <c r="C97" s="123" t="n"/>
      <c r="D97" s="510">
        <f>D96+C97-B97</f>
        <v/>
      </c>
      <c r="E97" s="535" t="n">
        <v>1041.13</v>
      </c>
      <c r="F97" s="123" t="n"/>
      <c r="G97" s="558">
        <f>G96+F97-E97</f>
        <v/>
      </c>
      <c r="H97" t="inlineStr">
        <is>
          <t>NVDA</t>
        </is>
      </c>
      <c r="I97" s="65" t="inlineStr">
        <is>
          <t>買進</t>
        </is>
      </c>
      <c r="J97" t="inlineStr">
        <is>
          <t>投資</t>
        </is>
      </c>
      <c r="K97">
        <f>IF(J97="本金",C97+K96,K96)</f>
        <v/>
      </c>
      <c r="L97">
        <f>IF(J97="本金",F97+L96,L96)</f>
        <v/>
      </c>
    </row>
    <row r="98" outlineLevel="1">
      <c r="A98" s="508" t="n">
        <v>45441</v>
      </c>
      <c r="B98" s="509" t="n">
        <v>145584</v>
      </c>
      <c r="C98" s="123" t="n"/>
      <c r="D98" s="510">
        <f>D97+C98-B98</f>
        <v/>
      </c>
      <c r="E98" s="535" t="n"/>
      <c r="F98" s="123" t="n">
        <v>4500</v>
      </c>
      <c r="G98" s="558">
        <f>G97+F98-E98</f>
        <v/>
      </c>
      <c r="I98" s="65" t="inlineStr">
        <is>
          <t>換美金</t>
        </is>
      </c>
      <c r="J98" t="inlineStr">
        <is>
          <t>本金</t>
        </is>
      </c>
      <c r="K98">
        <f>IF(J98="本金",C98+K97,K97)</f>
        <v/>
      </c>
      <c r="L98">
        <f>IF(J98="本金",F98+L97,L97)</f>
        <v/>
      </c>
    </row>
    <row r="99" outlineLevel="1">
      <c r="A99" s="508" t="n">
        <v>45439</v>
      </c>
      <c r="B99" s="509" t="n"/>
      <c r="C99" s="123" t="n"/>
      <c r="D99" s="510">
        <f>D98+C99-B99</f>
        <v/>
      </c>
      <c r="E99" s="535" t="n">
        <v>4583.43</v>
      </c>
      <c r="F99" s="123" t="n"/>
      <c r="G99" s="558">
        <f>G98+F99-E99</f>
        <v/>
      </c>
      <c r="H99" t="inlineStr">
        <is>
          <t>NVDA</t>
        </is>
      </c>
      <c r="I99" s="65" t="inlineStr">
        <is>
          <t>買進</t>
        </is>
      </c>
      <c r="J99" t="inlineStr">
        <is>
          <t>投資</t>
        </is>
      </c>
      <c r="K99">
        <f>IF(J99="本金",C99+K98,K98)</f>
        <v/>
      </c>
      <c r="L99">
        <f>IF(J99="本金",F99+L98,L98)</f>
        <v/>
      </c>
    </row>
    <row r="100" outlineLevel="1">
      <c r="A100" s="522" t="n">
        <v>45460</v>
      </c>
      <c r="B100" s="523" t="n"/>
      <c r="C100" s="196" t="n">
        <v>400</v>
      </c>
      <c r="D100" s="524">
        <f>D99+C100-B100</f>
        <v/>
      </c>
      <c r="E100" s="545" t="n"/>
      <c r="F100" s="196" t="n"/>
      <c r="G100" s="557">
        <f>G99+F100-E100</f>
        <v/>
      </c>
      <c r="H100" s="200" t="inlineStr">
        <is>
          <t>復華台灣科技優息</t>
        </is>
      </c>
      <c r="I100" s="200" t="inlineStr">
        <is>
          <t>現金股利</t>
        </is>
      </c>
      <c r="J100" t="inlineStr">
        <is>
          <t>投資</t>
        </is>
      </c>
      <c r="K100">
        <f>IF(J100="本金",C100+K99,K99)</f>
        <v/>
      </c>
      <c r="L100">
        <f>IF(J100="本金",F100+L99,L99)</f>
        <v/>
      </c>
    </row>
    <row r="101" outlineLevel="1">
      <c r="A101" s="513" t="n">
        <v>45464</v>
      </c>
      <c r="B101" s="514" t="n"/>
      <c r="C101" s="154" t="n">
        <v>1291</v>
      </c>
      <c r="D101" s="515">
        <f>D100+C101-B101</f>
        <v/>
      </c>
      <c r="E101" s="538" t="n"/>
      <c r="F101" s="154" t="n"/>
      <c r="G101" s="559">
        <f>G100+F101-E101</f>
        <v/>
      </c>
      <c r="H101" s="158" t="inlineStr">
        <is>
          <t>利息</t>
        </is>
      </c>
      <c r="I101" s="159" t="n"/>
      <c r="J101" t="inlineStr">
        <is>
          <t>投資</t>
        </is>
      </c>
      <c r="K101">
        <f>IF(J101="本金",C101+K100,K100)</f>
        <v/>
      </c>
      <c r="L101">
        <f>IF(J101="本金",F101+L100,L100)</f>
        <v/>
      </c>
    </row>
    <row r="102" outlineLevel="1">
      <c r="A102" s="560" t="n">
        <v>45464</v>
      </c>
      <c r="B102" s="561" t="n"/>
      <c r="C102" s="284" t="n"/>
      <c r="D102" s="562">
        <f>D101+C102-B102</f>
        <v/>
      </c>
      <c r="E102" s="563" t="n"/>
      <c r="F102" s="284" t="n">
        <v>8.26</v>
      </c>
      <c r="G102" s="564">
        <f>G101+F102-E102</f>
        <v/>
      </c>
      <c r="H102" s="287" t="inlineStr">
        <is>
          <t>利息</t>
        </is>
      </c>
      <c r="I102" s="288" t="n"/>
      <c r="J102" t="inlineStr">
        <is>
          <t>投資</t>
        </is>
      </c>
      <c r="K102">
        <f>IF(J102="本金",C102+K101,K101)</f>
        <v/>
      </c>
      <c r="L102">
        <f>IF(J102="本金",F102+L101,L101)</f>
        <v/>
      </c>
    </row>
    <row r="103" outlineLevel="1">
      <c r="A103" s="522" t="n">
        <v>45477</v>
      </c>
      <c r="B103" s="523" t="n"/>
      <c r="C103" s="196" t="n"/>
      <c r="D103" s="524">
        <f>D102+C103-B103</f>
        <v/>
      </c>
      <c r="E103" s="545" t="n"/>
      <c r="F103" s="196" t="n">
        <v>0.35</v>
      </c>
      <c r="G103" s="557">
        <f>G102+F103-E103</f>
        <v/>
      </c>
      <c r="H103" s="200" t="inlineStr">
        <is>
          <t>NVDA</t>
        </is>
      </c>
      <c r="I103" s="200" t="inlineStr">
        <is>
          <t>現金股利</t>
        </is>
      </c>
      <c r="J103" t="inlineStr">
        <is>
          <t>投資</t>
        </is>
      </c>
      <c r="K103">
        <f>IF(J103="本金",C103+K102,K102)</f>
        <v/>
      </c>
      <c r="L103">
        <f>IF(J103="本金",F103+L102,L102)</f>
        <v/>
      </c>
    </row>
    <row r="104" outlineLevel="1">
      <c r="A104" s="508" t="n">
        <v>45481</v>
      </c>
      <c r="B104" s="509" t="n"/>
      <c r="C104" s="123" t="n">
        <v>888</v>
      </c>
      <c r="D104" s="510">
        <f>D103+C104-B104</f>
        <v/>
      </c>
      <c r="E104" s="535" t="n"/>
      <c r="F104" s="123" t="n"/>
      <c r="G104" s="558">
        <f>G103+F104-E104</f>
        <v/>
      </c>
      <c r="I104" s="65" t="inlineStr">
        <is>
          <t>Tuto-JR 完課</t>
        </is>
      </c>
      <c r="J104" t="inlineStr">
        <is>
          <t>本金</t>
        </is>
      </c>
      <c r="K104">
        <f>IF(J104="本金",C104+K103,K103)</f>
        <v/>
      </c>
      <c r="L104">
        <f>IF(J104="本金",F104+L103,L103)</f>
        <v/>
      </c>
    </row>
    <row r="105" outlineLevel="1">
      <c r="A105" s="522" t="n">
        <v>45484</v>
      </c>
      <c r="B105" s="523" t="n"/>
      <c r="C105" s="196" t="n">
        <v>344</v>
      </c>
      <c r="D105" s="524">
        <f>D104+C105-B105</f>
        <v/>
      </c>
      <c r="E105" s="545" t="n"/>
      <c r="F105" s="196" t="n"/>
      <c r="G105" s="557">
        <f>G104+F105-E105</f>
        <v/>
      </c>
      <c r="H105" s="200" t="inlineStr">
        <is>
          <t>台積電</t>
        </is>
      </c>
      <c r="I105" s="200" t="inlineStr">
        <is>
          <t>現金股利</t>
        </is>
      </c>
      <c r="J105" t="inlineStr">
        <is>
          <t>投資</t>
        </is>
      </c>
      <c r="K105">
        <f>IF(J105="本金",C105+K104,K104)</f>
        <v/>
      </c>
      <c r="L105">
        <f>IF(J105="本金",F105+L104,L104)</f>
        <v/>
      </c>
    </row>
    <row r="106" outlineLevel="1">
      <c r="A106" s="522" t="n">
        <v>45489</v>
      </c>
      <c r="B106" s="523" t="n"/>
      <c r="C106" s="196" t="n">
        <v>400</v>
      </c>
      <c r="D106" s="524">
        <f>D105+C106-B106</f>
        <v/>
      </c>
      <c r="E106" s="545" t="n"/>
      <c r="F106" s="196" t="n"/>
      <c r="G106" s="557">
        <f>G105+F106-E106</f>
        <v/>
      </c>
      <c r="H106" s="200" t="inlineStr">
        <is>
          <t>復華台灣科技優息</t>
        </is>
      </c>
      <c r="I106" s="200" t="inlineStr">
        <is>
          <t>現金股利</t>
        </is>
      </c>
      <c r="J106" t="inlineStr">
        <is>
          <t>投資</t>
        </is>
      </c>
      <c r="K106">
        <f>IF(J106="本金",C106+K105,K105)</f>
        <v/>
      </c>
      <c r="L106">
        <f>IF(J106="本金",F106+L105,L105)</f>
        <v/>
      </c>
    </row>
    <row r="107" outlineLevel="1">
      <c r="A107" s="522" t="n">
        <v>45513</v>
      </c>
      <c r="B107" s="523" t="n"/>
      <c r="C107" s="196" t="n">
        <v>1235</v>
      </c>
      <c r="D107" s="524">
        <f>D106+C107-B107</f>
        <v/>
      </c>
      <c r="E107" s="545" t="n"/>
      <c r="F107" s="196" t="n"/>
      <c r="G107" s="557">
        <f>G106+F107-E107</f>
        <v/>
      </c>
      <c r="H107" s="200" t="inlineStr">
        <is>
          <t>富邦台灣基金</t>
        </is>
      </c>
      <c r="I107" s="200" t="inlineStr">
        <is>
          <t>現金股利</t>
        </is>
      </c>
      <c r="J107" t="inlineStr">
        <is>
          <t>投資</t>
        </is>
      </c>
      <c r="K107">
        <f>IF(J107="本金",C107+K106,K106)</f>
        <v/>
      </c>
      <c r="L107">
        <f>IF(J107="本金",F107+L106,L106)</f>
        <v/>
      </c>
    </row>
    <row r="108" outlineLevel="1">
      <c r="A108" s="522" t="n">
        <v>45516</v>
      </c>
      <c r="B108" s="523" t="n"/>
      <c r="C108" s="196" t="n">
        <v>360</v>
      </c>
      <c r="D108" s="524">
        <f>D107+C108-B108</f>
        <v/>
      </c>
      <c r="E108" s="545" t="n"/>
      <c r="F108" s="196" t="n"/>
      <c r="G108" s="557">
        <f>G107+F108-E108</f>
        <v/>
      </c>
      <c r="H108" s="200" t="inlineStr">
        <is>
          <t>復華台灣科技優息</t>
        </is>
      </c>
      <c r="I108" s="200" t="inlineStr">
        <is>
          <t>現金股利</t>
        </is>
      </c>
      <c r="J108" t="inlineStr">
        <is>
          <t>投資</t>
        </is>
      </c>
      <c r="K108">
        <f>IF(J108="本金",C108+K107,K107)</f>
        <v/>
      </c>
      <c r="L108">
        <f>IF(J108="本金",F108+L107,L107)</f>
        <v/>
      </c>
    </row>
    <row r="109" outlineLevel="1">
      <c r="A109" s="522" t="n">
        <v>45548</v>
      </c>
      <c r="B109" s="523" t="n"/>
      <c r="C109" s="196" t="n">
        <v>360</v>
      </c>
      <c r="D109" s="524">
        <f>D108+C109-B109</f>
        <v/>
      </c>
      <c r="E109" s="545" t="n"/>
      <c r="F109" s="196" t="n"/>
      <c r="G109" s="557">
        <f>G108+F109-E109</f>
        <v/>
      </c>
      <c r="H109" s="200" t="inlineStr">
        <is>
          <t>復華台灣科技優息</t>
        </is>
      </c>
      <c r="I109" s="200" t="inlineStr">
        <is>
          <t>現金股利</t>
        </is>
      </c>
      <c r="J109" t="inlineStr">
        <is>
          <t>投資</t>
        </is>
      </c>
      <c r="K109">
        <f>IF(J109="本金",C109+K108,K108)</f>
        <v/>
      </c>
      <c r="L109">
        <f>IF(J109="本金",F109+L108,L108)</f>
        <v/>
      </c>
    </row>
    <row r="110" outlineLevel="1">
      <c r="A110" s="522" t="n">
        <v>45569</v>
      </c>
      <c r="B110" s="523" t="n"/>
      <c r="C110" s="196" t="n"/>
      <c r="D110" s="524">
        <f>D109+C110-B110</f>
        <v/>
      </c>
      <c r="E110" s="545" t="n"/>
      <c r="F110" s="196" t="n">
        <v>0.35</v>
      </c>
      <c r="G110" s="557">
        <f>G109+F110-E110</f>
        <v/>
      </c>
      <c r="H110" s="200" t="inlineStr">
        <is>
          <t>NVDA</t>
        </is>
      </c>
      <c r="I110" s="200" t="inlineStr">
        <is>
          <t>現金股利</t>
        </is>
      </c>
      <c r="J110" t="inlineStr">
        <is>
          <t>投資</t>
        </is>
      </c>
      <c r="K110">
        <f>IF(J110="本金",C110+K109,K109)</f>
        <v/>
      </c>
      <c r="L110">
        <f>IF(J110="本金",F110+L109,L109)</f>
        <v/>
      </c>
    </row>
    <row r="111" outlineLevel="1">
      <c r="A111" s="522" t="n">
        <v>45574</v>
      </c>
      <c r="B111" s="523" t="n"/>
      <c r="C111" s="196" t="n">
        <v>395</v>
      </c>
      <c r="D111" s="524">
        <f>D110+C111-B111</f>
        <v/>
      </c>
      <c r="E111" s="545" t="n"/>
      <c r="F111" s="196" t="n"/>
      <c r="G111" s="557">
        <f>G110+F111-E111</f>
        <v/>
      </c>
      <c r="H111" s="200" t="inlineStr">
        <is>
          <t>台積電</t>
        </is>
      </c>
      <c r="I111" s="200" t="inlineStr">
        <is>
          <t>現金股利</t>
        </is>
      </c>
      <c r="J111" t="inlineStr">
        <is>
          <t>投資</t>
        </is>
      </c>
      <c r="K111">
        <f>IF(J111="本金",C111+K110,K110)</f>
        <v/>
      </c>
      <c r="L111">
        <f>IF(J111="本金",F111+L110,L110)</f>
        <v/>
      </c>
    </row>
    <row r="112" outlineLevel="1">
      <c r="A112" s="522" t="n">
        <v>45581</v>
      </c>
      <c r="B112" s="523" t="n"/>
      <c r="C112" s="196" t="n">
        <v>320</v>
      </c>
      <c r="D112" s="524">
        <f>D111+C112-B112</f>
        <v/>
      </c>
      <c r="E112" s="545" t="n"/>
      <c r="F112" s="196" t="n"/>
      <c r="G112" s="557">
        <f>G111+F112-E112</f>
        <v/>
      </c>
      <c r="H112" s="200" t="inlineStr">
        <is>
          <t>復華台灣科技優息</t>
        </is>
      </c>
      <c r="I112" s="200" t="inlineStr">
        <is>
          <t>現金股利</t>
        </is>
      </c>
      <c r="J112" t="inlineStr">
        <is>
          <t>投資</t>
        </is>
      </c>
      <c r="K112">
        <f>IF(J112="本金",C112+K111,K111)</f>
        <v/>
      </c>
      <c r="L112">
        <f>IF(J112="本金",F112+L111,L111)</f>
        <v/>
      </c>
    </row>
    <row r="113" outlineLevel="1">
      <c r="A113" s="508" t="n">
        <v>45603</v>
      </c>
      <c r="B113" s="509" t="n"/>
      <c r="C113" s="123" t="n">
        <v>104536</v>
      </c>
      <c r="D113" s="510">
        <f>D112+C113-B113</f>
        <v/>
      </c>
      <c r="E113" s="535" t="n"/>
      <c r="F113" s="123" t="n"/>
      <c r="G113" s="558">
        <f>G112+F113-E113</f>
        <v/>
      </c>
      <c r="H113" t="inlineStr">
        <is>
          <t>台積電</t>
        </is>
      </c>
      <c r="I113" s="65" t="inlineStr">
        <is>
          <t>賣出</t>
        </is>
      </c>
      <c r="J113" t="inlineStr">
        <is>
          <t>投資</t>
        </is>
      </c>
      <c r="K113">
        <f>IF(J113="本金",C113+K112,K112)</f>
        <v/>
      </c>
      <c r="L113">
        <f>IF(J113="本金",F113+L112,L112)</f>
        <v/>
      </c>
    </row>
    <row r="114" outlineLevel="1">
      <c r="A114" s="508" t="n">
        <v>45606</v>
      </c>
      <c r="B114" s="509" t="n"/>
      <c r="C114" s="123" t="n">
        <v>5000</v>
      </c>
      <c r="D114" s="510">
        <f>D113+C114-B114</f>
        <v/>
      </c>
      <c r="E114" s="535" t="n"/>
      <c r="F114" s="123" t="n"/>
      <c r="G114" s="558">
        <f>G113+F114-E114</f>
        <v/>
      </c>
      <c r="H114" t="inlineStr">
        <is>
          <t>台積電</t>
        </is>
      </c>
      <c r="I114" s="65" t="inlineStr">
        <is>
          <t>陪錢錢一起長大</t>
        </is>
      </c>
      <c r="J114" t="inlineStr">
        <is>
          <t>本金</t>
        </is>
      </c>
      <c r="K114">
        <f>IF(J114="本金",C114+K113,K113)</f>
        <v/>
      </c>
      <c r="L114">
        <f>IF(J114="本金",F114+L113,L113)</f>
        <v/>
      </c>
    </row>
    <row r="115" outlineLevel="1">
      <c r="A115" s="522" t="n">
        <v>45611</v>
      </c>
      <c r="B115" s="523" t="n"/>
      <c r="C115" s="196" t="n">
        <v>280</v>
      </c>
      <c r="D115" s="524">
        <f>D114+C115-B115</f>
        <v/>
      </c>
      <c r="E115" s="545" t="n"/>
      <c r="F115" s="196" t="n"/>
      <c r="G115" s="557">
        <f>G114+F115-E115</f>
        <v/>
      </c>
      <c r="H115" s="200" t="inlineStr">
        <is>
          <t>復華台灣科技優息</t>
        </is>
      </c>
      <c r="I115" s="200" t="inlineStr">
        <is>
          <t>現金股利</t>
        </is>
      </c>
      <c r="J115" t="inlineStr">
        <is>
          <t>投資</t>
        </is>
      </c>
      <c r="K115">
        <f>IF(J115="本金",C115+K114,K114)</f>
        <v/>
      </c>
      <c r="L115">
        <f>IF(J115="本金",F115+L114,L114)</f>
        <v/>
      </c>
    </row>
    <row r="116" outlineLevel="1">
      <c r="A116" s="508" t="n">
        <v>45606</v>
      </c>
      <c r="B116" s="509" t="n">
        <v>4980</v>
      </c>
      <c r="C116" s="123" t="n"/>
      <c r="D116" s="510">
        <f>D115+C116-B116</f>
        <v/>
      </c>
      <c r="E116" s="535" t="n"/>
      <c r="F116" s="123" t="n"/>
      <c r="G116" s="558">
        <f>G115+F116-E116</f>
        <v/>
      </c>
      <c r="H116" t="inlineStr">
        <is>
          <t>富邦未來車 ETF</t>
        </is>
      </c>
      <c r="I116" s="65" t="inlineStr">
        <is>
          <t>定期定額買台股</t>
        </is>
      </c>
      <c r="J116" t="inlineStr">
        <is>
          <t>投資</t>
        </is>
      </c>
      <c r="K116">
        <f>IF(J116="本金",C116+K115,K115)</f>
        <v/>
      </c>
      <c r="L116">
        <f>IF(J116="本金",F116+L115,L115)</f>
        <v/>
      </c>
    </row>
    <row r="117" outlineLevel="1">
      <c r="A117" s="508" t="n">
        <v>45622</v>
      </c>
      <c r="B117" s="509" t="n">
        <v>5929</v>
      </c>
      <c r="C117" s="123" t="n"/>
      <c r="D117" s="510">
        <f>D116+C117-B117</f>
        <v/>
      </c>
      <c r="E117" s="535" t="n"/>
      <c r="F117" s="123" t="n"/>
      <c r="G117" s="558">
        <f>G116+F117-E117</f>
        <v/>
      </c>
      <c r="H117" t="inlineStr">
        <is>
          <t>元大高股息 ETF</t>
        </is>
      </c>
      <c r="I117" s="65" t="inlineStr">
        <is>
          <t>定期定額買台股</t>
        </is>
      </c>
      <c r="J117" t="inlineStr">
        <is>
          <t>投資</t>
        </is>
      </c>
      <c r="K117">
        <f>IF(J117="本金",C117+K116,K116)</f>
        <v/>
      </c>
      <c r="L117">
        <f>IF(J117="本金",F117+L116,L116)</f>
        <v/>
      </c>
    </row>
    <row r="118" outlineLevel="1">
      <c r="A118" s="508" t="n">
        <v>45626</v>
      </c>
      <c r="B118" s="509" t="n"/>
      <c r="C118" s="123" t="n">
        <v>2000</v>
      </c>
      <c r="D118" s="510">
        <f>D117+C118-B118</f>
        <v/>
      </c>
      <c r="E118" s="535" t="n"/>
      <c r="F118" s="123" t="n"/>
      <c r="G118" s="558">
        <f>G117+F118-E118</f>
        <v/>
      </c>
      <c r="I118" s="65" t="inlineStr">
        <is>
          <t>PEGA 助學金</t>
        </is>
      </c>
      <c r="J118" t="inlineStr">
        <is>
          <t>本金</t>
        </is>
      </c>
      <c r="K118">
        <f>IF(J118="本金",C118+K117,K117)</f>
        <v/>
      </c>
      <c r="L118">
        <f>IF(J118="本金",F118+L117,L117)</f>
        <v/>
      </c>
    </row>
    <row r="119" outlineLevel="1">
      <c r="A119" s="518" t="n">
        <v>45631</v>
      </c>
      <c r="B119" s="519" t="n"/>
      <c r="C119" s="148" t="n">
        <v>59</v>
      </c>
      <c r="D119" s="520">
        <f>D118+C119-B119</f>
        <v/>
      </c>
      <c r="E119" s="542" t="n"/>
      <c r="F119" s="148" t="n"/>
      <c r="G119" s="565">
        <f>G118+F119-E119</f>
        <v/>
      </c>
      <c r="H119" s="152" t="inlineStr">
        <is>
          <t>折讓入帳</t>
        </is>
      </c>
      <c r="I119" s="152" t="n"/>
      <c r="J119" t="inlineStr">
        <is>
          <t>投資</t>
        </is>
      </c>
      <c r="K119">
        <f>IF(J119="本金",C119+K118,K118)</f>
        <v/>
      </c>
      <c r="L119">
        <f>IF(J119="本金",F119+L118,L118)</f>
        <v/>
      </c>
    </row>
    <row r="120" outlineLevel="1">
      <c r="A120" s="508" t="n">
        <v>45636</v>
      </c>
      <c r="B120" s="509" t="n"/>
      <c r="C120" s="123" t="n">
        <v>5000</v>
      </c>
      <c r="D120" s="510">
        <f>D119+C120-B120</f>
        <v/>
      </c>
      <c r="E120" s="535" t="n"/>
      <c r="F120" s="123" t="n"/>
      <c r="G120" s="558">
        <f>G119+F120-E120</f>
        <v/>
      </c>
      <c r="H120" t="inlineStr">
        <is>
          <t>台積電</t>
        </is>
      </c>
      <c r="I120" s="65" t="inlineStr">
        <is>
          <t>陪錢錢一起長大</t>
        </is>
      </c>
      <c r="J120" t="inlineStr">
        <is>
          <t>本金</t>
        </is>
      </c>
      <c r="K120">
        <f>IF(J120="本金",C120+K119,K119)</f>
        <v/>
      </c>
      <c r="L120">
        <f>IF(J120="本金",F120+L119,L119)</f>
        <v/>
      </c>
    </row>
    <row r="121" outlineLevel="1">
      <c r="A121" s="522" t="n">
        <v>45638</v>
      </c>
      <c r="B121" s="523" t="n"/>
      <c r="C121" s="196" t="n">
        <v>1790</v>
      </c>
      <c r="D121" s="524">
        <f>D120+C121-B121</f>
        <v/>
      </c>
      <c r="E121" s="545" t="n"/>
      <c r="F121" s="196" t="n"/>
      <c r="G121" s="557">
        <f>G120+F121-E121</f>
        <v/>
      </c>
      <c r="H121" s="200" t="inlineStr">
        <is>
          <t>富邦台灣基金</t>
        </is>
      </c>
      <c r="I121" s="200" t="inlineStr">
        <is>
          <t>現金股利</t>
        </is>
      </c>
      <c r="J121" t="inlineStr">
        <is>
          <t>投資</t>
        </is>
      </c>
      <c r="K121">
        <f>IF(J121="本金",C121+K120,K120)</f>
        <v/>
      </c>
      <c r="L121">
        <f>IF(J121="本金",F121+L120,L120)</f>
        <v/>
      </c>
    </row>
    <row r="122" outlineLevel="1">
      <c r="A122" s="522" t="n">
        <v>45639</v>
      </c>
      <c r="B122" s="523" t="n"/>
      <c r="C122" s="196" t="n">
        <v>220</v>
      </c>
      <c r="D122" s="524">
        <f>D121+C122-B122</f>
        <v/>
      </c>
      <c r="E122" s="545" t="n"/>
      <c r="F122" s="196" t="n"/>
      <c r="G122" s="557">
        <f>G121+F122-E122</f>
        <v/>
      </c>
      <c r="H122" s="200" t="inlineStr">
        <is>
          <t>復華台灣科技優息</t>
        </is>
      </c>
      <c r="I122" s="200" t="inlineStr">
        <is>
          <t>現金股利</t>
        </is>
      </c>
      <c r="J122" t="inlineStr">
        <is>
          <t>投資</t>
        </is>
      </c>
      <c r="K122">
        <f>IF(J122="本金",C122+K121,K121)</f>
        <v/>
      </c>
      <c r="L122">
        <f>IF(J122="本金",F122+L121,L121)</f>
        <v/>
      </c>
    </row>
    <row r="123" outlineLevel="1">
      <c r="A123" s="508" t="n">
        <v>45642</v>
      </c>
      <c r="B123" s="509" t="n">
        <v>4985</v>
      </c>
      <c r="C123" s="123" t="n"/>
      <c r="D123" s="510">
        <f>D122+C123-B123</f>
        <v/>
      </c>
      <c r="E123" s="535" t="n"/>
      <c r="F123" s="123" t="n"/>
      <c r="G123" s="558">
        <f>G122+F123-E123</f>
        <v/>
      </c>
      <c r="H123" t="inlineStr">
        <is>
          <t>富邦未來車 ETF</t>
        </is>
      </c>
      <c r="I123" s="65" t="inlineStr">
        <is>
          <t>定期定額買台股</t>
        </is>
      </c>
      <c r="J123" t="inlineStr">
        <is>
          <t>投資</t>
        </is>
      </c>
      <c r="K123">
        <f>IF(J123="本金",C123+K122,K122)</f>
        <v/>
      </c>
      <c r="L123">
        <f>IF(J123="本金",F123+L122,L122)</f>
        <v/>
      </c>
    </row>
    <row r="124" outlineLevel="1">
      <c r="A124" s="508" t="n">
        <v>45646</v>
      </c>
      <c r="B124" s="509" t="n"/>
      <c r="C124" s="123" t="n">
        <v>80363</v>
      </c>
      <c r="D124" s="510">
        <f>D123+C124-B124</f>
        <v/>
      </c>
      <c r="E124" s="535" t="n"/>
      <c r="F124" s="123" t="n"/>
      <c r="G124" s="558">
        <f>G123+F124-E124</f>
        <v/>
      </c>
      <c r="I124" s="65" t="inlineStr">
        <is>
          <t>爸爸的生日祝福</t>
        </is>
      </c>
      <c r="J124" t="inlineStr">
        <is>
          <t>本金</t>
        </is>
      </c>
      <c r="K124">
        <f>IF(J124="本金",C124+K123,K123)</f>
        <v/>
      </c>
      <c r="L124">
        <f>IF(J124="本金",F124+L123,L123)</f>
        <v/>
      </c>
    </row>
    <row r="125" outlineLevel="1">
      <c r="A125" s="513" t="n">
        <v>45647</v>
      </c>
      <c r="B125" s="514" t="n"/>
      <c r="C125" s="154" t="n">
        <v>1297</v>
      </c>
      <c r="D125" s="515">
        <f>D124+C125-B125</f>
        <v/>
      </c>
      <c r="E125" s="538" t="n"/>
      <c r="F125" s="154" t="n"/>
      <c r="G125" s="559">
        <f>G124+F125-E125</f>
        <v/>
      </c>
      <c r="H125" s="158" t="inlineStr">
        <is>
          <t>利息</t>
        </is>
      </c>
      <c r="I125" s="159" t="n"/>
      <c r="J125" t="inlineStr">
        <is>
          <t>投資</t>
        </is>
      </c>
      <c r="K125">
        <f>IF(J125="本金",C125+K124,K124)</f>
        <v/>
      </c>
      <c r="L125">
        <f>IF(J125="本金",F125+L124,L124)</f>
        <v/>
      </c>
    </row>
    <row r="126" outlineLevel="1">
      <c r="A126" s="560" t="n">
        <v>45647</v>
      </c>
      <c r="B126" s="561" t="n"/>
      <c r="C126" s="284" t="n"/>
      <c r="D126" s="562">
        <f>D125+C126-B126</f>
        <v/>
      </c>
      <c r="E126" s="563" t="n"/>
      <c r="F126" s="284" t="n">
        <v>2.47</v>
      </c>
      <c r="G126" s="564">
        <f>G125+F126-E126</f>
        <v/>
      </c>
      <c r="H126" s="287" t="inlineStr">
        <is>
          <t>利息</t>
        </is>
      </c>
      <c r="I126" s="288" t="n"/>
      <c r="J126" t="inlineStr">
        <is>
          <t>投資</t>
        </is>
      </c>
      <c r="K126">
        <f>IF(J126="本金",C126+K125,K125)</f>
        <v/>
      </c>
      <c r="L126">
        <f>IF(J126="本金",F126+L125,L125)</f>
        <v/>
      </c>
    </row>
    <row r="127" outlineLevel="1">
      <c r="A127" s="508" t="n">
        <v>45649</v>
      </c>
      <c r="B127" s="509" t="n">
        <v>35770</v>
      </c>
      <c r="C127" s="123" t="n"/>
      <c r="D127" s="510">
        <f>D126+C127-B127</f>
        <v/>
      </c>
      <c r="E127" s="535" t="n"/>
      <c r="F127" s="123" t="n"/>
      <c r="G127" s="558">
        <f>G126+F127-E127</f>
        <v/>
      </c>
      <c r="H127" t="inlineStr">
        <is>
          <t>復華台灣科技優息</t>
        </is>
      </c>
      <c r="I127" s="65" t="n"/>
      <c r="J127" t="inlineStr">
        <is>
          <t>投資</t>
        </is>
      </c>
      <c r="K127">
        <f>IF(J127="本金",C127+K126,K126)</f>
        <v/>
      </c>
      <c r="L127">
        <f>IF(J127="本金",F127+L126,L126)</f>
        <v/>
      </c>
    </row>
    <row r="128" outlineLevel="1">
      <c r="A128" s="508" t="n">
        <v>45649</v>
      </c>
      <c r="B128" s="509" t="n">
        <v>44593</v>
      </c>
      <c r="C128" s="123" t="n"/>
      <c r="D128" s="510">
        <f>D127+C128-B128</f>
        <v/>
      </c>
      <c r="E128" s="535" t="n"/>
      <c r="F128" s="123" t="n"/>
      <c r="G128" s="558">
        <f>G127+F128-E128</f>
        <v/>
      </c>
      <c r="H128" t="inlineStr">
        <is>
          <t>富邦公司治理</t>
        </is>
      </c>
      <c r="I128" s="65" t="n"/>
      <c r="J128" t="inlineStr">
        <is>
          <t>投資</t>
        </is>
      </c>
      <c r="K128">
        <f>IF(J128="本金",C128+K127,K127)</f>
        <v/>
      </c>
      <c r="L128">
        <f>IF(J128="本金",F128+L127,L127)</f>
        <v/>
      </c>
    </row>
    <row r="129" outlineLevel="1">
      <c r="A129" s="560" t="n">
        <v>45653</v>
      </c>
      <c r="B129" s="561" t="n"/>
      <c r="C129" s="284" t="n"/>
      <c r="D129" s="562">
        <f>D128+C129-B129</f>
        <v/>
      </c>
      <c r="E129" s="563" t="n"/>
      <c r="F129" s="284" t="n">
        <v>1155</v>
      </c>
      <c r="G129" s="564">
        <f>G128+F129-E129</f>
        <v/>
      </c>
      <c r="H129" s="287" t="n"/>
      <c r="I129" s="288" t="inlineStr">
        <is>
          <t>南山人壽保險</t>
        </is>
      </c>
      <c r="J129" t="inlineStr">
        <is>
          <t>本金</t>
        </is>
      </c>
      <c r="K129">
        <f>IF(J129="本金",C129+K128,K128)</f>
        <v/>
      </c>
      <c r="L129">
        <f>IF(J129="本金",F129+L128,L128)</f>
        <v/>
      </c>
    </row>
    <row r="130" outlineLevel="1">
      <c r="A130" s="508" t="n">
        <v>45652</v>
      </c>
      <c r="B130" s="509" t="n">
        <v>1966</v>
      </c>
      <c r="C130" s="123" t="n"/>
      <c r="D130" s="510">
        <f>D129+C130-B130</f>
        <v/>
      </c>
      <c r="E130" s="535" t="n"/>
      <c r="F130" s="123" t="n"/>
      <c r="G130" s="558">
        <f>G129+F130-E130</f>
        <v/>
      </c>
      <c r="H130" t="inlineStr">
        <is>
          <t>元大高股息</t>
        </is>
      </c>
      <c r="I130" s="65" t="inlineStr">
        <is>
          <t>定期定額買台股</t>
        </is>
      </c>
      <c r="J130" t="inlineStr">
        <is>
          <t>投資</t>
        </is>
      </c>
      <c r="K130">
        <f>IF(J130="本金",C130+K129,K129)</f>
        <v/>
      </c>
      <c r="L130">
        <f>IF(J130="本金",F130+L129,L129)</f>
        <v/>
      </c>
    </row>
    <row r="131" outlineLevel="1">
      <c r="A131" s="508" t="n">
        <v>45652</v>
      </c>
      <c r="B131" s="509" t="n">
        <v>1996</v>
      </c>
      <c r="C131" s="123" t="n"/>
      <c r="D131" s="510">
        <f>D130+C131-B131</f>
        <v/>
      </c>
      <c r="E131" s="535" t="n"/>
      <c r="F131" s="123" t="n"/>
      <c r="G131" s="558">
        <f>G130+F131-E131</f>
        <v/>
      </c>
      <c r="H131" t="inlineStr">
        <is>
          <t>元大台灣高息低波</t>
        </is>
      </c>
      <c r="I131" s="65" t="inlineStr">
        <is>
          <t>定期定額買台股</t>
        </is>
      </c>
      <c r="J131" t="inlineStr">
        <is>
          <t>投資</t>
        </is>
      </c>
      <c r="K131">
        <f>IF(J131="本金",C131+K130,K130)</f>
        <v/>
      </c>
      <c r="L131">
        <f>IF(J131="本金",F131+L130,L130)</f>
        <v/>
      </c>
    </row>
    <row r="132" outlineLevel="1">
      <c r="A132" s="508" t="n">
        <v>45652</v>
      </c>
      <c r="B132" s="509" t="n">
        <v>1993</v>
      </c>
      <c r="C132" s="123" t="n"/>
      <c r="D132" s="510">
        <f>D131+C132-B132</f>
        <v/>
      </c>
      <c r="E132" s="535" t="n"/>
      <c r="F132" s="123" t="n"/>
      <c r="G132" s="558">
        <f>G131+F132-E132</f>
        <v/>
      </c>
      <c r="H132" t="inlineStr">
        <is>
          <t>國泰永續高股息</t>
        </is>
      </c>
      <c r="I132" s="65" t="inlineStr">
        <is>
          <t>定期定額買台股</t>
        </is>
      </c>
      <c r="J132" t="inlineStr">
        <is>
          <t>投資</t>
        </is>
      </c>
      <c r="K132">
        <f>IF(J132="本金",C132+K131,K131)</f>
        <v/>
      </c>
      <c r="L132">
        <f>IF(J132="本金",F132+L131,L131)</f>
        <v/>
      </c>
    </row>
    <row r="133" outlineLevel="1">
      <c r="A133" s="508" t="n">
        <v>45656</v>
      </c>
      <c r="B133" s="509" t="n"/>
      <c r="C133" s="123" t="n">
        <v>888</v>
      </c>
      <c r="D133" s="510">
        <f>D132+C133-B133</f>
        <v/>
      </c>
      <c r="E133" s="535" t="n"/>
      <c r="F133" s="123" t="n"/>
      <c r="G133" s="558">
        <f>G132+F133-E133</f>
        <v/>
      </c>
      <c r="I133" s="65" t="inlineStr">
        <is>
          <t>第一次聽演唱會-五月天</t>
        </is>
      </c>
      <c r="J133" t="inlineStr">
        <is>
          <t>本金</t>
        </is>
      </c>
      <c r="K133">
        <f>IF(J133="本金",C133+K132,K132)</f>
        <v/>
      </c>
      <c r="L133">
        <f>IF(J133="本金",F133+L132,L132)</f>
        <v/>
      </c>
    </row>
    <row r="134" outlineLevel="1">
      <c r="A134" s="522" t="n">
        <v>45657</v>
      </c>
      <c r="B134" s="523" t="n"/>
      <c r="C134" s="196" t="n"/>
      <c r="D134" s="524">
        <f>D133+C134-B134</f>
        <v/>
      </c>
      <c r="E134" s="545" t="n"/>
      <c r="F134" s="196" t="n">
        <v>0.35</v>
      </c>
      <c r="G134" s="557">
        <f>G133+F134-E134</f>
        <v/>
      </c>
      <c r="H134" s="200" t="inlineStr">
        <is>
          <t>NVDA</t>
        </is>
      </c>
      <c r="I134" s="200" t="inlineStr">
        <is>
          <t>現金股利</t>
        </is>
      </c>
      <c r="J134" t="inlineStr">
        <is>
          <t>投資</t>
        </is>
      </c>
      <c r="K134">
        <f>IF(J134="本金",C134+K133,K133)</f>
        <v/>
      </c>
      <c r="L134">
        <f>IF(J134="本金",F134+L133,L133)</f>
        <v/>
      </c>
    </row>
    <row r="135" outlineLevel="1">
      <c r="A135" s="508" t="n">
        <v>45657</v>
      </c>
      <c r="B135" s="509" t="n"/>
      <c r="C135" s="123" t="n">
        <v>888</v>
      </c>
      <c r="D135" s="510">
        <f>D134+C135-B135</f>
        <v/>
      </c>
      <c r="E135" s="535" t="n"/>
      <c r="F135" s="123" t="n"/>
      <c r="G135" s="558">
        <f>G134+F135-E135</f>
        <v/>
      </c>
      <c r="I135" s="65" t="inlineStr">
        <is>
          <t>學會騎腳踏車</t>
        </is>
      </c>
      <c r="J135" t="inlineStr">
        <is>
          <t>本金</t>
        </is>
      </c>
      <c r="K135">
        <f>IF(J135="本金",C135+K134,K134)</f>
        <v/>
      </c>
      <c r="L135">
        <f>IF(J135="本金",F135+L134,L134)</f>
        <v/>
      </c>
    </row>
    <row r="136" outlineLevel="1">
      <c r="A136" s="508" t="n">
        <v>45657</v>
      </c>
      <c r="B136" s="509" t="n">
        <v>1440</v>
      </c>
      <c r="C136" s="123" t="n"/>
      <c r="D136" s="510">
        <f>D135+C136-B136</f>
        <v/>
      </c>
      <c r="E136" s="535" t="n"/>
      <c r="F136" s="123" t="n"/>
      <c r="G136" s="558">
        <f>G135+F136-E136</f>
        <v/>
      </c>
      <c r="I136" s="65" t="inlineStr">
        <is>
          <t>2024 股票申購 72 次</t>
        </is>
      </c>
      <c r="J136" t="inlineStr">
        <is>
          <t>投資</t>
        </is>
      </c>
      <c r="K136">
        <f>IF(J136="本金",C136+K135,K135)</f>
        <v/>
      </c>
      <c r="L136">
        <f>IF(J136="本金",F136+L135,L135)</f>
        <v/>
      </c>
    </row>
    <row r="137">
      <c r="A137" s="518" t="n">
        <v>45660</v>
      </c>
      <c r="B137" s="519" t="n"/>
      <c r="C137" s="148" t="n">
        <v>45</v>
      </c>
      <c r="D137" s="520">
        <f>D136+C137-B137</f>
        <v/>
      </c>
      <c r="E137" s="542" t="n"/>
      <c r="F137" s="148" t="n"/>
      <c r="G137" s="565">
        <f>G136+F137-E137</f>
        <v/>
      </c>
      <c r="H137" s="152" t="inlineStr">
        <is>
          <t>折讓入帳</t>
        </is>
      </c>
      <c r="I137" s="152" t="n"/>
      <c r="J137" t="inlineStr">
        <is>
          <t>投資</t>
        </is>
      </c>
      <c r="K137">
        <f>IF(J137="本金",C137+K136,K136)</f>
        <v/>
      </c>
      <c r="L137">
        <f>IF(J137="本金",F137+L136,L136)</f>
        <v/>
      </c>
    </row>
    <row r="138" outlineLevel="1">
      <c r="A138" s="508" t="n">
        <v>45666</v>
      </c>
      <c r="B138" s="509" t="n"/>
      <c r="C138" s="123" t="n">
        <v>73103</v>
      </c>
      <c r="D138" s="510">
        <f>D137+C138-B138</f>
        <v/>
      </c>
      <c r="E138" s="535" t="n"/>
      <c r="F138" s="123" t="n"/>
      <c r="G138" s="558">
        <f>G137+F138-E138</f>
        <v/>
      </c>
      <c r="H138" t="inlineStr">
        <is>
          <t>復華台灣科技優息</t>
        </is>
      </c>
      <c r="I138" s="65" t="inlineStr">
        <is>
          <t>賣出</t>
        </is>
      </c>
      <c r="J138" t="inlineStr">
        <is>
          <t>投資</t>
        </is>
      </c>
      <c r="K138">
        <f>IF(J138="本金",C138+K137,K137)</f>
        <v/>
      </c>
      <c r="L138">
        <f>IF(J138="本金",F138+L137,L137)</f>
        <v/>
      </c>
    </row>
    <row r="139" outlineLevel="1">
      <c r="A139" s="508" t="n">
        <v>45667</v>
      </c>
      <c r="B139" s="509" t="n"/>
      <c r="C139" s="123" t="n">
        <v>5000</v>
      </c>
      <c r="D139" s="510">
        <f>D138+C139-B139</f>
        <v/>
      </c>
      <c r="E139" s="535" t="n"/>
      <c r="F139" s="123" t="n"/>
      <c r="G139" s="558">
        <f>G138+F139-E139</f>
        <v/>
      </c>
      <c r="I139" s="65" t="inlineStr">
        <is>
          <t>陪錢錢一起長大</t>
        </is>
      </c>
      <c r="J139" t="inlineStr">
        <is>
          <t>本金</t>
        </is>
      </c>
      <c r="K139">
        <f>IF(J139="本金",C139+K138,K138)</f>
        <v/>
      </c>
      <c r="L139">
        <f>IF(J139="本金",F139+L138,L138)</f>
        <v/>
      </c>
    </row>
    <row r="140" outlineLevel="1">
      <c r="A140" s="522" t="n">
        <v>45670</v>
      </c>
      <c r="B140" s="523" t="n"/>
      <c r="C140" s="196" t="n">
        <v>38</v>
      </c>
      <c r="D140" s="524">
        <f>D139+C140-B140</f>
        <v/>
      </c>
      <c r="E140" s="545" t="n"/>
      <c r="F140" s="196" t="n"/>
      <c r="G140" s="557">
        <f>G139+F140-E140</f>
        <v/>
      </c>
      <c r="H140" s="200" t="inlineStr">
        <is>
          <t>元大台灣高息低波</t>
        </is>
      </c>
      <c r="I140" s="200" t="inlineStr">
        <is>
          <t>現金股利</t>
        </is>
      </c>
      <c r="J140" t="inlineStr">
        <is>
          <t>投資</t>
        </is>
      </c>
      <c r="K140">
        <f>IF(J140="本金",C140+K139,K139)</f>
        <v/>
      </c>
      <c r="L140">
        <f>IF(J140="本金",F140+L139,L139)</f>
        <v/>
      </c>
    </row>
    <row r="141" outlineLevel="1">
      <c r="A141" s="522" t="n">
        <v>45671</v>
      </c>
      <c r="B141" s="523" t="n"/>
      <c r="C141" s="196" t="n">
        <v>100</v>
      </c>
      <c r="D141" s="524">
        <f>D140+C141-B141</f>
        <v/>
      </c>
      <c r="E141" s="545" t="n"/>
      <c r="F141" s="196" t="n"/>
      <c r="G141" s="557">
        <f>G140+F141-E141</f>
        <v/>
      </c>
      <c r="H141" s="200" t="inlineStr">
        <is>
          <t>復華台灣科技優息</t>
        </is>
      </c>
      <c r="I141" s="200" t="inlineStr">
        <is>
          <t>現金股利</t>
        </is>
      </c>
      <c r="J141" t="inlineStr">
        <is>
          <t>投資</t>
        </is>
      </c>
      <c r="K141">
        <f>IF(J141="本金",C141+K140,K140)</f>
        <v/>
      </c>
      <c r="L141">
        <f>IF(J141="本金",F141+L140,L140)</f>
        <v/>
      </c>
    </row>
    <row r="142" outlineLevel="1">
      <c r="A142" s="508" t="n">
        <v>45673</v>
      </c>
      <c r="B142" s="509" t="n">
        <v>4962</v>
      </c>
      <c r="C142" s="123" t="n"/>
      <c r="D142" s="510">
        <f>D141+C142-B142</f>
        <v/>
      </c>
      <c r="E142" s="535" t="n"/>
      <c r="F142" s="123" t="n"/>
      <c r="G142" s="558">
        <f>G141+F142-E142</f>
        <v/>
      </c>
      <c r="H142" t="inlineStr">
        <is>
          <t>元大台灣50</t>
        </is>
      </c>
      <c r="I142" s="65" t="inlineStr">
        <is>
          <t>定期定額買台股</t>
        </is>
      </c>
      <c r="J142" t="inlineStr">
        <is>
          <t>投資</t>
        </is>
      </c>
      <c r="K142">
        <f>IF(J142="本金",C142+K141,K141)</f>
        <v/>
      </c>
      <c r="L142">
        <f>IF(J142="本金",F142+L141,L141)</f>
        <v/>
      </c>
    </row>
    <row r="143" outlineLevel="1">
      <c r="A143" s="508" t="n">
        <v>45673</v>
      </c>
      <c r="B143" s="509" t="n">
        <v>4992</v>
      </c>
      <c r="C143" s="123" t="n"/>
      <c r="D143" s="510">
        <f>D142+C143-B143</f>
        <v/>
      </c>
      <c r="E143" s="535" t="n"/>
      <c r="F143" s="123" t="n"/>
      <c r="G143" s="558">
        <f>G142+F143-E143</f>
        <v/>
      </c>
      <c r="H143" t="inlineStr">
        <is>
          <t>富邦未來車</t>
        </is>
      </c>
      <c r="I143" s="65" t="inlineStr">
        <is>
          <t>定期定額買台股</t>
        </is>
      </c>
      <c r="J143" t="inlineStr">
        <is>
          <t>投資</t>
        </is>
      </c>
      <c r="K143">
        <f>IF(J143="本金",C143+K142,K142)</f>
        <v/>
      </c>
      <c r="L143">
        <f>IF(J143="本金",F143+L142,L142)</f>
        <v/>
      </c>
    </row>
    <row r="144" outlineLevel="1">
      <c r="A144" s="508" t="n">
        <v>45690</v>
      </c>
      <c r="B144" s="509" t="n"/>
      <c r="C144" s="123" t="n">
        <v>600</v>
      </c>
      <c r="D144" s="510">
        <f>D143+C144-B144</f>
        <v/>
      </c>
      <c r="E144" s="535" t="n"/>
      <c r="F144" s="123" t="n"/>
      <c r="G144" s="558">
        <f>G143+F144-E144</f>
        <v/>
      </c>
      <c r="I144" s="65" t="inlineStr">
        <is>
          <t>外婆的生日祝福</t>
        </is>
      </c>
      <c r="J144" t="inlineStr">
        <is>
          <t>本金</t>
        </is>
      </c>
      <c r="K144">
        <f>IF(J144="本金",C144+K143,K143)</f>
        <v/>
      </c>
      <c r="L144">
        <f>IF(J144="本金",F144+L143,L143)</f>
        <v/>
      </c>
    </row>
    <row r="145" outlineLevel="1">
      <c r="A145" s="508" t="n">
        <v>45690</v>
      </c>
      <c r="B145" s="509" t="n"/>
      <c r="C145" s="123" t="n">
        <v>7800</v>
      </c>
      <c r="D145" s="510">
        <f>D144+C145-B145</f>
        <v/>
      </c>
      <c r="E145" s="535" t="n"/>
      <c r="F145" s="123" t="n"/>
      <c r="G145" s="558">
        <f>G144+F145-E145</f>
        <v/>
      </c>
      <c r="I145" s="65" t="inlineStr">
        <is>
          <t>過年的祝福</t>
        </is>
      </c>
      <c r="J145" t="inlineStr">
        <is>
          <t>本金</t>
        </is>
      </c>
      <c r="K145">
        <f>IF(J145="本金",C145+K144,K144)</f>
        <v/>
      </c>
      <c r="L145">
        <f>IF(J145="本金",F145+L144,L144)</f>
        <v/>
      </c>
    </row>
    <row r="146" outlineLevel="1">
      <c r="A146" s="508" t="n">
        <v>45691</v>
      </c>
      <c r="B146" s="509" t="n">
        <v>4975</v>
      </c>
      <c r="C146" s="123" t="n"/>
      <c r="D146" s="510">
        <f>D145+C146-B146</f>
        <v/>
      </c>
      <c r="E146" s="535" t="n"/>
      <c r="F146" s="123" t="n"/>
      <c r="G146" s="558">
        <f>G145+F146-E146</f>
        <v/>
      </c>
      <c r="H146" t="inlineStr">
        <is>
          <t>元大台灣高息低波</t>
        </is>
      </c>
      <c r="I146" s="65" t="inlineStr">
        <is>
          <t>定期定額買台股</t>
        </is>
      </c>
      <c r="J146" t="inlineStr">
        <is>
          <t>投資</t>
        </is>
      </c>
      <c r="K146">
        <f>IF(J146="本金",C146+K145,K145)</f>
        <v/>
      </c>
      <c r="L146">
        <f>IF(J146="本金",F146+L145,L145)</f>
        <v/>
      </c>
    </row>
    <row r="147" outlineLevel="1">
      <c r="A147" s="518" t="n">
        <v>45693</v>
      </c>
      <c r="B147" s="519" t="n"/>
      <c r="C147" s="148" t="n">
        <v>41</v>
      </c>
      <c r="D147" s="520">
        <f>D146+C147-B147</f>
        <v/>
      </c>
      <c r="E147" s="542" t="n"/>
      <c r="F147" s="148" t="n"/>
      <c r="G147" s="565">
        <f>G146+F147-E147</f>
        <v/>
      </c>
      <c r="H147" s="152" t="inlineStr">
        <is>
          <t>折讓入帳</t>
        </is>
      </c>
      <c r="I147" s="152" t="n"/>
      <c r="J147" t="inlineStr">
        <is>
          <t>投資</t>
        </is>
      </c>
      <c r="K147">
        <f>IF(J147="本金",C147+K146,K146)</f>
        <v/>
      </c>
      <c r="L147">
        <f>IF(J147="本金",F147+L146,L146)</f>
        <v/>
      </c>
    </row>
    <row r="148" outlineLevel="1">
      <c r="A148" s="508" t="n">
        <v>45698</v>
      </c>
      <c r="B148" s="509" t="n"/>
      <c r="C148" s="123" t="n">
        <v>5000</v>
      </c>
      <c r="D148" s="510">
        <f>D147+C148-B148</f>
        <v/>
      </c>
      <c r="E148" s="535" t="n"/>
      <c r="F148" s="123" t="n"/>
      <c r="G148" s="558">
        <f>G147+F148-E148</f>
        <v/>
      </c>
      <c r="I148" s="65" t="inlineStr">
        <is>
          <t>陪錢錢一起長大</t>
        </is>
      </c>
      <c r="J148" t="inlineStr">
        <is>
          <t>本金</t>
        </is>
      </c>
      <c r="K148">
        <f>IF(J148="本金",C148+K147,K147)</f>
        <v/>
      </c>
      <c r="L148">
        <f>IF(J148="本金",F148+L147,L147)</f>
        <v/>
      </c>
    </row>
    <row r="149" outlineLevel="1">
      <c r="A149" s="508" t="n">
        <v>45705</v>
      </c>
      <c r="B149" s="509" t="n">
        <v>4909</v>
      </c>
      <c r="C149" s="123" t="n"/>
      <c r="D149" s="510">
        <f>D148+C149-B149</f>
        <v/>
      </c>
      <c r="E149" s="535" t="n"/>
      <c r="F149" s="123" t="n"/>
      <c r="G149" s="558">
        <f>G148+F149-E149</f>
        <v/>
      </c>
      <c r="H149" t="inlineStr">
        <is>
          <t>元大台灣50</t>
        </is>
      </c>
      <c r="I149" s="65" t="inlineStr">
        <is>
          <t>定期定額買台股</t>
        </is>
      </c>
      <c r="J149" t="inlineStr">
        <is>
          <t>投資</t>
        </is>
      </c>
      <c r="K149">
        <f>IF(J149="本金",C149+K148,K148)</f>
        <v/>
      </c>
      <c r="L149">
        <f>IF(J149="本金",F149+L148,L148)</f>
        <v/>
      </c>
    </row>
    <row r="150" outlineLevel="1">
      <c r="A150" s="508" t="n">
        <v>45705</v>
      </c>
      <c r="B150" s="509" t="n">
        <v>4974</v>
      </c>
      <c r="C150" s="123" t="n"/>
      <c r="D150" s="510">
        <f>D149+C150-B150</f>
        <v/>
      </c>
      <c r="E150" s="535" t="n"/>
      <c r="F150" s="123" t="n"/>
      <c r="G150" s="558">
        <f>G149+F150-E150</f>
        <v/>
      </c>
      <c r="H150" t="inlineStr">
        <is>
          <t>富邦未來車</t>
        </is>
      </c>
      <c r="I150" s="65" t="inlineStr">
        <is>
          <t>定期定額買台股</t>
        </is>
      </c>
      <c r="J150" t="inlineStr">
        <is>
          <t>投資</t>
        </is>
      </c>
      <c r="K150">
        <f>IF(J150="本金",C150+K149,K149)</f>
        <v/>
      </c>
      <c r="L150">
        <f>IF(J150="本金",F150+L149,L149)</f>
        <v/>
      </c>
    </row>
    <row r="151" outlineLevel="1">
      <c r="A151" s="522" t="n">
        <v>45708</v>
      </c>
      <c r="B151" s="523" t="n"/>
      <c r="C151" s="196" t="n">
        <v>104</v>
      </c>
      <c r="D151" s="524">
        <f>D150+C151-B151</f>
        <v/>
      </c>
      <c r="E151" s="545" t="n"/>
      <c r="F151" s="196" t="n"/>
      <c r="G151" s="557">
        <f>G150+F151-E151</f>
        <v/>
      </c>
      <c r="H151" s="200" t="inlineStr">
        <is>
          <t>元大高股息</t>
        </is>
      </c>
      <c r="I151" s="200" t="inlineStr">
        <is>
          <t>現金股利</t>
        </is>
      </c>
      <c r="J151" t="inlineStr">
        <is>
          <t>投資</t>
        </is>
      </c>
      <c r="K151">
        <f>IF(J151="本金",C151+K150,K150)</f>
        <v/>
      </c>
      <c r="L151">
        <f>IF(J151="本金",F151+L150,L150)</f>
        <v/>
      </c>
    </row>
    <row r="152" outlineLevel="1">
      <c r="A152" s="522" t="n">
        <v>45708</v>
      </c>
      <c r="B152" s="523" t="n"/>
      <c r="C152" s="196" t="n">
        <v>57</v>
      </c>
      <c r="D152" s="524">
        <f>D151+C152-B152</f>
        <v/>
      </c>
      <c r="E152" s="545" t="n"/>
      <c r="F152" s="196" t="n"/>
      <c r="G152" s="557">
        <f>G151+F152-E152</f>
        <v/>
      </c>
      <c r="H152" s="200" t="inlineStr">
        <is>
          <t>元大台灣50</t>
        </is>
      </c>
      <c r="I152" s="200" t="inlineStr">
        <is>
          <t>現金股利</t>
        </is>
      </c>
      <c r="J152" t="inlineStr">
        <is>
          <t>投資</t>
        </is>
      </c>
      <c r="K152">
        <f>IF(J152="本金",C152+K151,K151)</f>
        <v/>
      </c>
      <c r="L152">
        <f>IF(J152="本金",F152+L151,L151)</f>
        <v/>
      </c>
    </row>
    <row r="153" outlineLevel="1">
      <c r="A153" s="508" t="n">
        <v>45714</v>
      </c>
      <c r="B153" s="509" t="n">
        <v>4956</v>
      </c>
      <c r="C153" s="123" t="n"/>
      <c r="D153" s="510">
        <f>D152+C153-B153</f>
        <v/>
      </c>
      <c r="E153" s="535" t="n"/>
      <c r="F153" s="123" t="n"/>
      <c r="G153" s="558">
        <f>G152+F153-E153</f>
        <v/>
      </c>
      <c r="H153" t="inlineStr">
        <is>
          <t>元大台灣高息低波</t>
        </is>
      </c>
      <c r="I153" s="65" t="inlineStr">
        <is>
          <t>定期定額買台股</t>
        </is>
      </c>
      <c r="J153" t="inlineStr">
        <is>
          <t>投資</t>
        </is>
      </c>
      <c r="K153">
        <f>IF(J153="本金",C153+K152,K152)</f>
        <v/>
      </c>
      <c r="L153">
        <f>IF(J153="本金",F153+L152,L152)</f>
        <v/>
      </c>
    </row>
    <row r="154" outlineLevel="1">
      <c r="A154" s="508" t="n">
        <v>45725</v>
      </c>
      <c r="B154" s="509" t="n"/>
      <c r="C154" s="123" t="n">
        <v>2020</v>
      </c>
      <c r="D154" s="510">
        <f>D153+C154-B154</f>
        <v/>
      </c>
      <c r="E154" s="535" t="n"/>
      <c r="F154" s="123" t="n"/>
      <c r="G154" s="558">
        <f>G153+F154-E154</f>
        <v/>
      </c>
      <c r="I154" s="65" t="inlineStr">
        <is>
          <t>過年的祝福</t>
        </is>
      </c>
      <c r="J154" t="inlineStr">
        <is>
          <t>本金</t>
        </is>
      </c>
      <c r="K154">
        <f>IF(J154="本金",C154+K153,K153)</f>
        <v/>
      </c>
      <c r="L154">
        <f>IF(J154="本金",F154+L153,L153)</f>
        <v/>
      </c>
    </row>
    <row r="155" outlineLevel="1">
      <c r="A155" s="508" t="n">
        <v>45726</v>
      </c>
      <c r="B155" s="509" t="n"/>
      <c r="C155" s="123" t="n">
        <v>5000</v>
      </c>
      <c r="D155" s="510">
        <f>D154+C155-B155</f>
        <v/>
      </c>
      <c r="E155" s="535" t="n"/>
      <c r="F155" s="123" t="n"/>
      <c r="G155" s="558">
        <f>G154+F155-E155</f>
        <v/>
      </c>
      <c r="I155" s="65" t="inlineStr">
        <is>
          <t>陪錢錢一起長大</t>
        </is>
      </c>
      <c r="J155" t="inlineStr">
        <is>
          <t>本金</t>
        </is>
      </c>
      <c r="K155">
        <f>IF(J155="本金",C155+K154,K154)</f>
        <v/>
      </c>
      <c r="L155">
        <f>IF(J155="本金",F155+L154,L154)</f>
        <v/>
      </c>
    </row>
    <row r="156" outlineLevel="1">
      <c r="A156" s="508" t="n">
        <v>45733</v>
      </c>
      <c r="B156" s="509" t="n">
        <v>4932</v>
      </c>
      <c r="C156" s="123" t="n"/>
      <c r="D156" s="510">
        <f>D155+C156-B156</f>
        <v/>
      </c>
      <c r="E156" s="535" t="n"/>
      <c r="F156" s="123" t="n"/>
      <c r="G156" s="558">
        <f>G155+F156-E156</f>
        <v/>
      </c>
      <c r="H156" t="inlineStr">
        <is>
          <t>元大台灣50</t>
        </is>
      </c>
      <c r="I156" s="65" t="inlineStr">
        <is>
          <t>定期定額買台股</t>
        </is>
      </c>
      <c r="J156" t="inlineStr">
        <is>
          <t>投資</t>
        </is>
      </c>
      <c r="K156">
        <f>IF(J156="本金",C156+K155,K155)</f>
        <v/>
      </c>
      <c r="L156">
        <f>IF(J156="本金",F156+L155,L155)</f>
        <v/>
      </c>
    </row>
    <row r="157" outlineLevel="1">
      <c r="A157" s="508" t="n">
        <v>45733</v>
      </c>
      <c r="B157" s="509" t="n">
        <v>4981</v>
      </c>
      <c r="C157" s="123" t="n"/>
      <c r="D157" s="510">
        <f>D156+C157-B157</f>
        <v/>
      </c>
      <c r="E157" s="535" t="n"/>
      <c r="F157" s="123" t="n"/>
      <c r="G157" s="558">
        <f>G156+F157-E157</f>
        <v/>
      </c>
      <c r="H157" t="inlineStr">
        <is>
          <t>富邦未來車</t>
        </is>
      </c>
      <c r="I157" s="65" t="inlineStr">
        <is>
          <t>定期定額買台股</t>
        </is>
      </c>
      <c r="J157" t="inlineStr">
        <is>
          <t>投資</t>
        </is>
      </c>
      <c r="K157">
        <f>IF(J157="本金",C157+K156,K156)</f>
        <v/>
      </c>
      <c r="L157">
        <f>IF(J157="本金",F157+L156,L156)</f>
        <v/>
      </c>
    </row>
    <row r="158" outlineLevel="1">
      <c r="A158" s="522" t="n">
        <v>45734</v>
      </c>
      <c r="B158" s="523" t="n"/>
      <c r="C158" s="196" t="n">
        <v>80</v>
      </c>
      <c r="D158" s="524">
        <f>D157+C158-B158</f>
        <v/>
      </c>
      <c r="E158" s="545" t="n"/>
      <c r="F158" s="196" t="n"/>
      <c r="G158" s="557">
        <f>G157+F158-E158</f>
        <v/>
      </c>
      <c r="H158" s="200" t="inlineStr">
        <is>
          <t>國泰永續高股息</t>
        </is>
      </c>
      <c r="I158" s="200" t="inlineStr">
        <is>
          <t>現金股利</t>
        </is>
      </c>
      <c r="J158" t="inlineStr">
        <is>
          <t>投資</t>
        </is>
      </c>
      <c r="K158">
        <f>IF(J158="本金",C158+K157,K157)</f>
        <v/>
      </c>
      <c r="L158">
        <f>IF(J158="本金",F158+L157,L157)</f>
        <v/>
      </c>
    </row>
    <row r="159" outlineLevel="1">
      <c r="A159" s="508" t="n">
        <v>45742</v>
      </c>
      <c r="B159" s="509" t="n">
        <v>4998</v>
      </c>
      <c r="C159" s="123" t="n"/>
      <c r="D159" s="510">
        <f>D158+C159-B159</f>
        <v/>
      </c>
      <c r="E159" s="535" t="n"/>
      <c r="F159" s="123" t="n"/>
      <c r="G159" s="558">
        <f>G158+F159-E159</f>
        <v/>
      </c>
      <c r="H159" t="inlineStr">
        <is>
          <t>元大台灣高息低波</t>
        </is>
      </c>
      <c r="I159" s="65" t="inlineStr">
        <is>
          <t>定期定額買台股</t>
        </is>
      </c>
      <c r="J159" t="inlineStr">
        <is>
          <t>投資</t>
        </is>
      </c>
      <c r="K159">
        <f>IF(J159="本金",C159+K158,K158)</f>
        <v/>
      </c>
      <c r="L159">
        <f>IF(J159="本金",F159+L158,L158)</f>
        <v/>
      </c>
    </row>
    <row r="160" outlineLevel="1">
      <c r="A160" s="508" t="n">
        <v>45743</v>
      </c>
      <c r="B160" s="509" t="n"/>
      <c r="C160" s="123" t="n"/>
      <c r="D160" s="510">
        <f>D159+C160-B160</f>
        <v/>
      </c>
      <c r="E160" s="535" t="n">
        <v>1363.4</v>
      </c>
      <c r="F160" s="123" t="n"/>
      <c r="G160" s="558">
        <f>G159+F160-E160</f>
        <v/>
      </c>
      <c r="H160" t="inlineStr">
        <is>
          <t>TSLA</t>
        </is>
      </c>
      <c r="I160" s="65" t="inlineStr">
        <is>
          <t>複委託 買進</t>
        </is>
      </c>
      <c r="J160" t="inlineStr">
        <is>
          <t>投資</t>
        </is>
      </c>
      <c r="K160">
        <f>IF(J160="本金",C160+K159,K159)</f>
        <v/>
      </c>
      <c r="L160">
        <f>IF(J160="本金",F160+L159,L159)</f>
        <v/>
      </c>
    </row>
    <row r="161" outlineLevel="1">
      <c r="A161" s="522" t="n">
        <v>45754</v>
      </c>
      <c r="B161" s="523" t="n"/>
      <c r="C161" s="196" t="n"/>
      <c r="D161" s="524">
        <f>D160+C161-B161</f>
        <v/>
      </c>
      <c r="E161" s="545" t="n"/>
      <c r="F161" s="196" t="n">
        <v>0.35</v>
      </c>
      <c r="G161" s="557">
        <f>G160+F161-E161</f>
        <v/>
      </c>
      <c r="H161" s="200" t="inlineStr">
        <is>
          <t>NVDA</t>
        </is>
      </c>
      <c r="I161" s="200" t="inlineStr">
        <is>
          <t>現金股利</t>
        </is>
      </c>
      <c r="J161" t="inlineStr">
        <is>
          <t>投資</t>
        </is>
      </c>
      <c r="K161">
        <f>IF(J161="本金",C161+K160,K160)</f>
        <v/>
      </c>
      <c r="L161">
        <f>IF(J161="本金",F161+L160,L160)</f>
        <v/>
      </c>
    </row>
    <row r="162" outlineLevel="1">
      <c r="A162" s="508" t="n">
        <v>45757</v>
      </c>
      <c r="B162" s="509" t="n"/>
      <c r="C162" s="123" t="n">
        <v>5000</v>
      </c>
      <c r="D162" s="510">
        <f>D161+C162-B162</f>
        <v/>
      </c>
      <c r="E162" s="535" t="n"/>
      <c r="F162" s="123" t="n"/>
      <c r="G162" s="558">
        <f>G161+F162-E162</f>
        <v/>
      </c>
      <c r="I162" s="65" t="inlineStr">
        <is>
          <t>陪錢錢一起長大</t>
        </is>
      </c>
      <c r="J162" t="inlineStr">
        <is>
          <t>本金</t>
        </is>
      </c>
      <c r="K162">
        <f>IF(J162="本金",C162+K161,K161)</f>
        <v/>
      </c>
      <c r="L162">
        <f>IF(J162="本金",F162+L161,L161)</f>
        <v/>
      </c>
    </row>
    <row r="163" outlineLevel="1">
      <c r="A163" s="522" t="n">
        <v>45762</v>
      </c>
      <c r="B163" s="523" t="n"/>
      <c r="C163" s="196" t="n">
        <v>348</v>
      </c>
      <c r="D163" s="524">
        <f>D162+C163-B163</f>
        <v/>
      </c>
      <c r="E163" s="545" t="n"/>
      <c r="F163" s="196" t="n"/>
      <c r="G163" s="557">
        <f>G162+F163-E163</f>
        <v/>
      </c>
      <c r="H163" s="200" t="inlineStr">
        <is>
          <t>元大台灣高息低波</t>
        </is>
      </c>
      <c r="I163" s="200" t="inlineStr">
        <is>
          <t>現金股利</t>
        </is>
      </c>
      <c r="J163" t="inlineStr">
        <is>
          <t>投資</t>
        </is>
      </c>
      <c r="K163">
        <f>IF(J163="本金",C163+K162,K162)</f>
        <v/>
      </c>
      <c r="L163">
        <f>IF(J163="本金",F163+L162,L162)</f>
        <v/>
      </c>
    </row>
    <row r="164" outlineLevel="1">
      <c r="A164" s="508" t="n">
        <v>45763</v>
      </c>
      <c r="B164" s="509" t="n">
        <v>4872</v>
      </c>
      <c r="C164" s="123" t="n"/>
      <c r="D164" s="510">
        <f>D163+C164-B164</f>
        <v/>
      </c>
      <c r="E164" s="535" t="n"/>
      <c r="F164" s="123" t="n"/>
      <c r="G164" s="558">
        <f>G163+F164-E164</f>
        <v/>
      </c>
      <c r="H164" t="inlineStr">
        <is>
          <t>元大台灣50</t>
        </is>
      </c>
      <c r="I164" s="65" t="inlineStr">
        <is>
          <t>定期定額買台股</t>
        </is>
      </c>
      <c r="J164" t="inlineStr">
        <is>
          <t>投資</t>
        </is>
      </c>
      <c r="K164">
        <f>IF(J164="本金",C164+K163,K163)</f>
        <v/>
      </c>
      <c r="L164">
        <f>IF(J164="本金",F164+L163,L163)</f>
        <v/>
      </c>
    </row>
    <row r="165" outlineLevel="1">
      <c r="A165" s="508" t="n">
        <v>45763</v>
      </c>
      <c r="B165" s="509" t="n">
        <v>4988</v>
      </c>
      <c r="C165" s="123" t="n"/>
      <c r="D165" s="510">
        <f>D164+C165-B165</f>
        <v/>
      </c>
      <c r="E165" s="535" t="n"/>
      <c r="F165" s="123" t="n"/>
      <c r="G165" s="558">
        <f>G164+F165-E165</f>
        <v/>
      </c>
      <c r="H165" t="inlineStr">
        <is>
          <t>富邦未來車</t>
        </is>
      </c>
      <c r="I165" s="65" t="inlineStr">
        <is>
          <t>定期定額買台股</t>
        </is>
      </c>
      <c r="J165" t="inlineStr">
        <is>
          <t>投資</t>
        </is>
      </c>
      <c r="K165">
        <f>IF(J165="本金",C165+K164,K164)</f>
        <v/>
      </c>
      <c r="L165">
        <f>IF(J165="本金",F165+L164,L164)</f>
        <v/>
      </c>
    </row>
    <row r="166" outlineLevel="1">
      <c r="A166" s="508" t="n">
        <v>45775</v>
      </c>
      <c r="B166" s="509" t="n">
        <v>5001</v>
      </c>
      <c r="C166" s="123" t="n"/>
      <c r="D166" s="510">
        <f>D165+C166-B166</f>
        <v/>
      </c>
      <c r="E166" s="535" t="n"/>
      <c r="F166" s="123" t="n"/>
      <c r="G166" s="558">
        <f>G165+F166-E166</f>
        <v/>
      </c>
      <c r="H166" t="inlineStr">
        <is>
          <t>元大台灣高息低波</t>
        </is>
      </c>
      <c r="I166" s="65" t="inlineStr">
        <is>
          <t>定期定額買台股</t>
        </is>
      </c>
      <c r="J166" t="inlineStr">
        <is>
          <t>投資</t>
        </is>
      </c>
      <c r="K166">
        <f>IF(J166="本金",C166+K165,K165)</f>
        <v/>
      </c>
      <c r="L166">
        <f>IF(J166="本金",F166+L165,L165)</f>
        <v/>
      </c>
    </row>
    <row r="167" outlineLevel="1">
      <c r="A167" s="508" t="n">
        <v>45787</v>
      </c>
      <c r="B167" s="509" t="n"/>
      <c r="C167" s="123" t="n">
        <v>5000</v>
      </c>
      <c r="D167" s="510">
        <f>D166+C167-B167</f>
        <v/>
      </c>
      <c r="E167" s="535" t="n"/>
      <c r="F167" s="123" t="n"/>
      <c r="G167" s="558">
        <f>G166+F167-E167</f>
        <v/>
      </c>
      <c r="I167" s="65" t="inlineStr">
        <is>
          <t>陪錢錢一起長大</t>
        </is>
      </c>
      <c r="J167" t="inlineStr">
        <is>
          <t>本金</t>
        </is>
      </c>
      <c r="K167">
        <f>IF(J167="本金",C167+K166,K166)</f>
        <v/>
      </c>
      <c r="L167">
        <f>IF(J167="本金",F167+L166,L166)</f>
        <v/>
      </c>
    </row>
    <row r="168" outlineLevel="1">
      <c r="A168" s="522" t="n">
        <v>45791</v>
      </c>
      <c r="B168" s="523" t="n"/>
      <c r="C168" s="196" t="n">
        <v>103</v>
      </c>
      <c r="D168" s="524">
        <f>D167+C168-B168</f>
        <v/>
      </c>
      <c r="E168" s="545" t="n"/>
      <c r="F168" s="196" t="n"/>
      <c r="G168" s="557">
        <f>G167+F168-E168</f>
        <v/>
      </c>
      <c r="H168" s="200" t="inlineStr">
        <is>
          <t>元大高股息</t>
        </is>
      </c>
      <c r="I168" s="200" t="inlineStr">
        <is>
          <t>現金股利</t>
        </is>
      </c>
      <c r="J168" t="inlineStr">
        <is>
          <t>投資</t>
        </is>
      </c>
      <c r="K168">
        <f>IF(J168="本金",C168+K167,K167)</f>
        <v/>
      </c>
      <c r="L168">
        <f>IF(J168="本金",F168+L167,L167)</f>
        <v/>
      </c>
    </row>
    <row r="169" outlineLevel="1">
      <c r="A169" s="508" t="n">
        <v>45793</v>
      </c>
      <c r="B169" s="509" t="n">
        <v>4934</v>
      </c>
      <c r="C169" s="123" t="n"/>
      <c r="D169" s="510">
        <f>D168+C169-B169</f>
        <v/>
      </c>
      <c r="E169" s="535" t="n"/>
      <c r="F169" s="123" t="n"/>
      <c r="G169" s="558">
        <f>G168+F169-E169</f>
        <v/>
      </c>
      <c r="H169" t="inlineStr">
        <is>
          <t>元大台灣50</t>
        </is>
      </c>
      <c r="I169" s="65" t="inlineStr">
        <is>
          <t>定期定額買台股</t>
        </is>
      </c>
      <c r="J169" t="inlineStr">
        <is>
          <t>投資</t>
        </is>
      </c>
      <c r="K169">
        <f>IF(J169="本金",C169+K168,K168)</f>
        <v/>
      </c>
      <c r="L169">
        <f>IF(J169="本金",F169+L168,L168)</f>
        <v/>
      </c>
    </row>
    <row r="170" outlineLevel="1">
      <c r="A170" s="508" t="n">
        <v>45793</v>
      </c>
      <c r="B170" s="509" t="n">
        <v>4980</v>
      </c>
      <c r="C170" s="123" t="n"/>
      <c r="D170" s="510">
        <f>D169+C170-B170</f>
        <v/>
      </c>
      <c r="E170" s="535" t="n"/>
      <c r="F170" s="123" t="n"/>
      <c r="G170" s="558">
        <f>G169+F170-E170</f>
        <v/>
      </c>
      <c r="H170" t="inlineStr">
        <is>
          <t>富邦未來車</t>
        </is>
      </c>
      <c r="I170" s="65" t="inlineStr">
        <is>
          <t>定期定額買台股</t>
        </is>
      </c>
      <c r="J170" t="inlineStr">
        <is>
          <t>投資</t>
        </is>
      </c>
      <c r="K170">
        <f>IF(J170="本金",C170+K169,K169)</f>
        <v/>
      </c>
      <c r="L170">
        <f>IF(J170="本金",F170+L169,L169)</f>
        <v/>
      </c>
    </row>
    <row r="171" outlineLevel="1">
      <c r="A171" s="508" t="n">
        <v>45803</v>
      </c>
      <c r="B171" s="509" t="n">
        <v>4950</v>
      </c>
      <c r="C171" s="123" t="n"/>
      <c r="D171" s="510">
        <f>D170+C171-B171</f>
        <v/>
      </c>
      <c r="E171" s="535" t="n"/>
      <c r="F171" s="123" t="n"/>
      <c r="G171" s="558">
        <f>G170+F171-E171</f>
        <v/>
      </c>
      <c r="H171" t="inlineStr">
        <is>
          <t>元大台灣高息低波</t>
        </is>
      </c>
      <c r="I171" s="65" t="inlineStr">
        <is>
          <t>定期定額買台股</t>
        </is>
      </c>
      <c r="J171" t="inlineStr">
        <is>
          <t>投資</t>
        </is>
      </c>
      <c r="K171">
        <f>IF(J171="本金",C171+K170,K170)</f>
        <v/>
      </c>
      <c r="L171">
        <f>IF(J171="本金",F171+L170,L170)</f>
        <v/>
      </c>
    </row>
    <row r="172" outlineLevel="1">
      <c r="A172" s="508" t="n">
        <v>45818</v>
      </c>
      <c r="B172" s="509" t="n">
        <v>110056</v>
      </c>
      <c r="C172" s="123" t="n"/>
      <c r="D172" s="510">
        <f>D171+C172-B172</f>
        <v/>
      </c>
      <c r="E172" s="535" t="n"/>
      <c r="F172" s="123" t="n"/>
      <c r="G172" s="558">
        <f>G171+F172-E172</f>
        <v/>
      </c>
      <c r="H172" t="inlineStr">
        <is>
          <t>大華優利高填息30</t>
        </is>
      </c>
      <c r="I172" s="65" t="n"/>
      <c r="J172" t="inlineStr">
        <is>
          <t>投資</t>
        </is>
      </c>
      <c r="K172">
        <f>IF(J172="本金",C172+K171,K171)</f>
        <v/>
      </c>
      <c r="L172">
        <f>IF(J172="本金",F172+L171,L171)</f>
        <v/>
      </c>
    </row>
    <row r="173" outlineLevel="1">
      <c r="A173" s="508" t="n">
        <v>45818</v>
      </c>
      <c r="B173" s="509" t="n">
        <v>110056</v>
      </c>
      <c r="C173" s="123" t="n"/>
      <c r="D173" s="510">
        <f>D172+C173-B173</f>
        <v/>
      </c>
      <c r="E173" s="535" t="n"/>
      <c r="F173" s="123" t="n"/>
      <c r="G173" s="558">
        <f>G172+F173-E173</f>
        <v/>
      </c>
      <c r="H173" t="inlineStr">
        <is>
          <t>群益台灣精選高息</t>
        </is>
      </c>
      <c r="I173" s="65" t="n"/>
      <c r="J173" t="inlineStr">
        <is>
          <t>投資</t>
        </is>
      </c>
      <c r="K173">
        <f>IF(J173="本金",C173+K172,K172)</f>
        <v/>
      </c>
      <c r="L173">
        <f>IF(J173="本金",F173+L172,L172)</f>
        <v/>
      </c>
    </row>
    <row r="174" outlineLevel="1">
      <c r="A174" s="508" t="n">
        <v>45818</v>
      </c>
      <c r="B174" s="509" t="n"/>
      <c r="C174" s="123" t="n">
        <v>5000</v>
      </c>
      <c r="D174" s="510">
        <f>D173+C174-B174</f>
        <v/>
      </c>
      <c r="E174" s="535" t="n"/>
      <c r="F174" s="123" t="n"/>
      <c r="G174" s="558">
        <f>G173+F174-E174</f>
        <v/>
      </c>
      <c r="I174" s="65" t="inlineStr">
        <is>
          <t>陪錢錢一起長大</t>
        </is>
      </c>
      <c r="J174" t="inlineStr">
        <is>
          <t>本金</t>
        </is>
      </c>
      <c r="K174">
        <f>IF(J174="本金",C174+K173,K173)</f>
        <v/>
      </c>
      <c r="L174">
        <f>IF(J174="本金",F174+L173,L173)</f>
        <v/>
      </c>
    </row>
    <row r="175" outlineLevel="1">
      <c r="A175" s="522" t="n">
        <v>45821</v>
      </c>
      <c r="B175" s="523" t="n"/>
      <c r="C175" s="196" t="n">
        <v>74</v>
      </c>
      <c r="D175" s="524">
        <f>D174+C175-B175</f>
        <v/>
      </c>
      <c r="E175" s="545" t="n"/>
      <c r="F175" s="196" t="n"/>
      <c r="G175" s="557">
        <f>G174+F175-E175</f>
        <v/>
      </c>
      <c r="H175" s="200" t="inlineStr">
        <is>
          <t>國泰永續高股息</t>
        </is>
      </c>
      <c r="I175" s="200" t="inlineStr">
        <is>
          <t>現金股利</t>
        </is>
      </c>
      <c r="J175" t="inlineStr">
        <is>
          <t>投資</t>
        </is>
      </c>
      <c r="K175">
        <f>IF(J175="本金",C175+K174,K174)</f>
        <v/>
      </c>
      <c r="L175">
        <f>IF(J175="本金",F175+L174,L174)</f>
        <v/>
      </c>
    </row>
    <row r="176" outlineLevel="1">
      <c r="A176" s="508" t="n">
        <v>45824</v>
      </c>
      <c r="B176" s="509" t="n">
        <v>4989</v>
      </c>
      <c r="C176" s="123" t="n"/>
      <c r="D176" s="510">
        <f>D175+C176-B176</f>
        <v/>
      </c>
      <c r="E176" s="535" t="n"/>
      <c r="F176" s="123" t="n"/>
      <c r="G176" s="558">
        <f>G175+F176-E176</f>
        <v/>
      </c>
      <c r="H176" t="inlineStr">
        <is>
          <t>富邦未來車</t>
        </is>
      </c>
      <c r="I176" s="65" t="inlineStr">
        <is>
          <t>定期定額買台股</t>
        </is>
      </c>
      <c r="J176" t="inlineStr">
        <is>
          <t>投資</t>
        </is>
      </c>
      <c r="K176">
        <f>IF(J176="本金",C176+K175,K175)</f>
        <v/>
      </c>
      <c r="L176">
        <f>IF(J176="本金",F176+L175,L175)</f>
        <v/>
      </c>
    </row>
    <row r="177" outlineLevel="1">
      <c r="A177" s="513" t="n">
        <v>45829</v>
      </c>
      <c r="B177" s="514" t="n"/>
      <c r="C177" s="154" t="n">
        <v>1783</v>
      </c>
      <c r="D177" s="515">
        <f>D176+C177-B177</f>
        <v/>
      </c>
      <c r="E177" s="538" t="n"/>
      <c r="F177" s="154" t="n"/>
      <c r="G177" s="559">
        <f>G176+F177-E177</f>
        <v/>
      </c>
      <c r="H177" s="158" t="inlineStr">
        <is>
          <t>利息</t>
        </is>
      </c>
      <c r="I177" s="159" t="n"/>
      <c r="J177" t="inlineStr">
        <is>
          <t>投資</t>
        </is>
      </c>
      <c r="K177">
        <f>IF(J177="本金",C177+K176,K176)</f>
        <v/>
      </c>
      <c r="L177">
        <f>IF(J177="本金",F177+L176,L176)</f>
        <v/>
      </c>
    </row>
    <row r="178" outlineLevel="1">
      <c r="A178" s="560" t="n">
        <v>45829</v>
      </c>
      <c r="B178" s="561" t="n"/>
      <c r="C178" s="284" t="n"/>
      <c r="D178" s="562">
        <f>D177+C178-B178</f>
        <v/>
      </c>
      <c r="E178" s="563" t="n"/>
      <c r="F178" s="284" t="n">
        <v>3.36</v>
      </c>
      <c r="G178" s="564">
        <f>G177+F178-E178</f>
        <v/>
      </c>
      <c r="H178" s="287" t="inlineStr">
        <is>
          <t>利息</t>
        </is>
      </c>
      <c r="I178" s="288" t="n"/>
      <c r="J178" t="inlineStr">
        <is>
          <t>投資</t>
        </is>
      </c>
      <c r="K178">
        <f>IF(J178="本金",C178+K177,K177)</f>
        <v/>
      </c>
      <c r="L178">
        <f>IF(J178="本金",F178+L177,L177)</f>
        <v/>
      </c>
    </row>
    <row r="179" outlineLevel="1">
      <c r="A179" s="508" t="n">
        <v>45834</v>
      </c>
      <c r="B179" s="509" t="n">
        <v>4981</v>
      </c>
      <c r="C179" s="123" t="n"/>
      <c r="D179" s="510">
        <f>D178+C179-B179</f>
        <v/>
      </c>
      <c r="E179" s="535" t="n"/>
      <c r="F179" s="123" t="n"/>
      <c r="G179" s="558">
        <f>G178+F179-E179</f>
        <v/>
      </c>
      <c r="H179" t="inlineStr">
        <is>
          <t>元大台灣高息低波</t>
        </is>
      </c>
      <c r="I179" s="65" t="inlineStr">
        <is>
          <t>定期定額買台股</t>
        </is>
      </c>
      <c r="J179" t="inlineStr">
        <is>
          <t>投資</t>
        </is>
      </c>
      <c r="K179">
        <f>IF(J179="本金",C179+K178,K178)</f>
        <v/>
      </c>
      <c r="L179">
        <f>IF(J179="本金",F179+L178,L178)</f>
        <v/>
      </c>
    </row>
    <row r="180" outlineLevel="1">
      <c r="A180" s="518" t="n">
        <v>45842</v>
      </c>
      <c r="B180" s="519" t="n"/>
      <c r="C180" s="148" t="n">
        <v>124</v>
      </c>
      <c r="D180" s="520">
        <f>D179+C180-B180</f>
        <v/>
      </c>
      <c r="E180" s="542" t="n"/>
      <c r="F180" s="148" t="n"/>
      <c r="G180" s="565">
        <f>G179+F180-E180</f>
        <v/>
      </c>
      <c r="H180" s="152" t="inlineStr">
        <is>
          <t>折讓入帳</t>
        </is>
      </c>
      <c r="I180" s="152" t="n"/>
      <c r="J180" t="inlineStr">
        <is>
          <t>投資</t>
        </is>
      </c>
      <c r="K180">
        <f>IF(J180="本金",C180+K179,K179)</f>
        <v/>
      </c>
      <c r="L180">
        <f>IF(J180="本金",F180+L179,L179)</f>
        <v/>
      </c>
    </row>
    <row r="181" outlineLevel="1">
      <c r="A181" s="522" t="n">
        <v>45842</v>
      </c>
      <c r="B181" s="523" t="n"/>
      <c r="C181" s="196" t="n"/>
      <c r="D181" s="524">
        <f>D180+C181-B181</f>
        <v/>
      </c>
      <c r="E181" s="545" t="n"/>
      <c r="F181" s="196" t="n">
        <v>0.35</v>
      </c>
      <c r="G181" s="557">
        <f>G180+F181-E181</f>
        <v/>
      </c>
      <c r="H181" s="200" t="inlineStr">
        <is>
          <t>NVDA</t>
        </is>
      </c>
      <c r="I181" s="200" t="inlineStr">
        <is>
          <t>現金股利</t>
        </is>
      </c>
      <c r="J181" t="inlineStr">
        <is>
          <t>投資</t>
        </is>
      </c>
      <c r="K181">
        <f>IF(J181="本金",C181+K180,K180)</f>
        <v/>
      </c>
      <c r="L181">
        <f>IF(J181="本金",F181+L180,L180)</f>
        <v/>
      </c>
    </row>
    <row r="182" outlineLevel="1">
      <c r="A182" s="508" t="n">
        <v>45848</v>
      </c>
      <c r="B182" s="509" t="n"/>
      <c r="C182" s="123" t="n">
        <v>5000</v>
      </c>
      <c r="D182" s="510">
        <f>D181+C182-B182</f>
        <v/>
      </c>
      <c r="E182" s="535" t="n"/>
      <c r="F182" s="123" t="n"/>
      <c r="G182" s="558">
        <f>G181+F182-E182</f>
        <v/>
      </c>
      <c r="I182" s="65" t="inlineStr">
        <is>
          <t>陪錢錢一起長大</t>
        </is>
      </c>
      <c r="J182" t="inlineStr">
        <is>
          <t>本金</t>
        </is>
      </c>
      <c r="K182">
        <f>IF(J182="本金",C182+K181,K181)</f>
        <v/>
      </c>
      <c r="L182">
        <f>IF(J182="本金",F182+L181,L181)</f>
        <v/>
      </c>
    </row>
    <row r="183" outlineLevel="1">
      <c r="A183" s="522" t="n">
        <v>45849</v>
      </c>
      <c r="B183" s="523" t="n"/>
      <c r="C183" s="196" t="n">
        <v>3490</v>
      </c>
      <c r="D183" s="524">
        <f>D182+C183-B183</f>
        <v/>
      </c>
      <c r="E183" s="545" t="n"/>
      <c r="F183" s="196" t="n"/>
      <c r="G183" s="557">
        <f>G182+F183-E183</f>
        <v/>
      </c>
      <c r="H183" s="200" t="inlineStr">
        <is>
          <t>大華優利高填息30</t>
        </is>
      </c>
      <c r="I183" s="200" t="inlineStr">
        <is>
          <t>現金股利</t>
        </is>
      </c>
      <c r="J183" t="inlineStr">
        <is>
          <t>投資</t>
        </is>
      </c>
      <c r="K183">
        <f>IF(J183="本金",C183+K182,K182)</f>
        <v/>
      </c>
      <c r="L183">
        <f>IF(J183="本金",F183+L182,L182)</f>
        <v/>
      </c>
    </row>
    <row r="184" outlineLevel="1">
      <c r="A184" s="522" t="n">
        <v>45849</v>
      </c>
      <c r="B184" s="523" t="n"/>
      <c r="C184" s="196" t="n">
        <v>587</v>
      </c>
      <c r="D184" s="524">
        <f>D183+C184-B184</f>
        <v/>
      </c>
      <c r="E184" s="545" t="n"/>
      <c r="F184" s="196" t="n"/>
      <c r="G184" s="557">
        <f>G183+F184-E184</f>
        <v/>
      </c>
      <c r="H184" s="200" t="inlineStr">
        <is>
          <t>元大台灣高息低波</t>
        </is>
      </c>
      <c r="I184" s="200" t="inlineStr">
        <is>
          <t>現金股利</t>
        </is>
      </c>
      <c r="J184" t="inlineStr">
        <is>
          <t>投資</t>
        </is>
      </c>
      <c r="K184">
        <f>IF(J184="本金",C184+K183,K183)</f>
        <v/>
      </c>
      <c r="L184">
        <f>IF(J184="本金",F184+L183,L183)</f>
        <v/>
      </c>
    </row>
    <row r="185" outlineLevel="1">
      <c r="A185" s="522" t="n">
        <v>45849</v>
      </c>
      <c r="B185" s="523" t="n"/>
      <c r="C185" s="196" t="n">
        <v>3590</v>
      </c>
      <c r="D185" s="524">
        <f>D184+C185-B185</f>
        <v/>
      </c>
      <c r="E185" s="545" t="n"/>
      <c r="F185" s="196" t="n"/>
      <c r="G185" s="557">
        <f>G184+F185-E185</f>
        <v/>
      </c>
      <c r="H185" s="200" t="inlineStr">
        <is>
          <t>群益台灣精選高息</t>
        </is>
      </c>
      <c r="I185" s="200" t="inlineStr">
        <is>
          <t>現金股利</t>
        </is>
      </c>
      <c r="J185" t="inlineStr">
        <is>
          <t>投資</t>
        </is>
      </c>
      <c r="K185">
        <f>IF(J185="本金",C185+K184,K184)</f>
        <v/>
      </c>
      <c r="L185">
        <f>IF(J185="本金",F185+L184,L184)</f>
        <v/>
      </c>
    </row>
    <row r="186" outlineLevel="1">
      <c r="A186" s="508" t="n">
        <v>45854</v>
      </c>
      <c r="B186" s="509" t="n">
        <v>4957</v>
      </c>
      <c r="C186" s="123" t="n"/>
      <c r="D186" s="510">
        <f>D185+C186-B186</f>
        <v/>
      </c>
      <c r="E186" s="535" t="n"/>
      <c r="F186" s="123" t="n"/>
      <c r="G186" s="558">
        <f>G185+F186-E186</f>
        <v/>
      </c>
      <c r="H186" t="inlineStr">
        <is>
          <t>元大台灣50</t>
        </is>
      </c>
      <c r="I186" s="65" t="inlineStr">
        <is>
          <t>定期定額買台股</t>
        </is>
      </c>
      <c r="J186" t="inlineStr">
        <is>
          <t>投資</t>
        </is>
      </c>
      <c r="K186">
        <f>IF(J186="本金",C186+K185,K185)</f>
        <v/>
      </c>
      <c r="L186">
        <f>IF(J186="本金",F186+L185,L185)</f>
        <v/>
      </c>
    </row>
    <row r="187" outlineLevel="1">
      <c r="A187" s="508" t="n">
        <v>45854</v>
      </c>
      <c r="B187" s="509" t="n">
        <v>4983</v>
      </c>
      <c r="C187" s="123" t="n"/>
      <c r="D187" s="510">
        <f>D186+C187-B187</f>
        <v/>
      </c>
      <c r="E187" s="535" t="n"/>
      <c r="F187" s="123" t="n"/>
      <c r="G187" s="558">
        <f>G186+F187-E187</f>
        <v/>
      </c>
      <c r="H187" t="inlineStr">
        <is>
          <t>富邦未來車</t>
        </is>
      </c>
      <c r="I187" s="65" t="inlineStr">
        <is>
          <t>定期定額買台股</t>
        </is>
      </c>
      <c r="J187" t="inlineStr">
        <is>
          <t>投資</t>
        </is>
      </c>
      <c r="K187">
        <f>IF(J187="本金",C187+K186,K186)</f>
        <v/>
      </c>
      <c r="L187">
        <f>IF(J187="本金",F187+L186,L186)</f>
        <v/>
      </c>
    </row>
    <row r="188" outlineLevel="1">
      <c r="A188" s="508" t="n">
        <v>45854</v>
      </c>
      <c r="B188" s="509" t="n"/>
      <c r="C188" s="123" t="n">
        <v>600</v>
      </c>
      <c r="D188" s="510">
        <f>D187+C188-B188</f>
        <v/>
      </c>
      <c r="E188" s="535" t="n"/>
      <c r="F188" s="123" t="n"/>
      <c r="G188" s="558">
        <f>G187+F188-E188</f>
        <v/>
      </c>
      <c r="I188" s="65" t="inlineStr">
        <is>
          <t>魅龍六街磁力魔方</t>
        </is>
      </c>
      <c r="J188" t="inlineStr">
        <is>
          <t>本金</t>
        </is>
      </c>
      <c r="K188">
        <f>IF(J188="本金",C188+K187,K187)</f>
        <v/>
      </c>
      <c r="L188">
        <f>IF(J188="本金",F188+L187,L187)</f>
        <v/>
      </c>
    </row>
    <row r="189" outlineLevel="1">
      <c r="A189" s="508" t="n">
        <v>45866</v>
      </c>
      <c r="B189" s="509" t="n">
        <v>4957</v>
      </c>
      <c r="C189" s="123" t="n"/>
      <c r="D189" s="510">
        <f>D188+C189-B189</f>
        <v/>
      </c>
      <c r="E189" s="535" t="n"/>
      <c r="F189" s="123" t="n"/>
      <c r="G189" s="558">
        <f>G188+F189-E189</f>
        <v/>
      </c>
      <c r="H189" t="inlineStr">
        <is>
          <t>元大台灣高息低波</t>
        </is>
      </c>
      <c r="I189" s="65" t="inlineStr">
        <is>
          <t>定期定額買台股</t>
        </is>
      </c>
      <c r="J189" t="inlineStr">
        <is>
          <t>投資</t>
        </is>
      </c>
      <c r="K189">
        <f>IF(J189="本金",C189+K188,K188)</f>
        <v/>
      </c>
      <c r="L189">
        <f>IF(J189="本金",F189+L188,L188)</f>
        <v/>
      </c>
    </row>
    <row r="190" outlineLevel="1">
      <c r="A190" s="508" t="n">
        <v>45870</v>
      </c>
      <c r="B190" s="509" t="n"/>
      <c r="C190" s="123" t="n">
        <v>888</v>
      </c>
      <c r="D190" s="510">
        <f>D189+C190-B190</f>
        <v/>
      </c>
      <c r="E190" s="535" t="n"/>
      <c r="F190" s="123" t="n"/>
      <c r="G190" s="558">
        <f>G189+F190-E190</f>
        <v/>
      </c>
      <c r="I190" s="65" t="inlineStr">
        <is>
          <t>第一次洗牙</t>
        </is>
      </c>
      <c r="J190" t="inlineStr">
        <is>
          <t>本金</t>
        </is>
      </c>
      <c r="K190">
        <f>IF(J190="本金",C190+K189,K189)</f>
        <v/>
      </c>
      <c r="L190">
        <f>IF(J190="本金",F190+L189,L189)</f>
        <v/>
      </c>
    </row>
    <row r="191" outlineLevel="1">
      <c r="A191" s="522" t="n">
        <v>45877</v>
      </c>
      <c r="B191" s="523" t="n"/>
      <c r="C191" s="196" t="n">
        <v>2502</v>
      </c>
      <c r="D191" s="524">
        <f>D190+C191-B191</f>
        <v/>
      </c>
      <c r="E191" s="545" t="n"/>
      <c r="F191" s="196" t="n"/>
      <c r="G191" s="557">
        <f>G190+F191-E191</f>
        <v/>
      </c>
      <c r="H191" s="200" t="inlineStr">
        <is>
          <t>富邦公司治理</t>
        </is>
      </c>
      <c r="I191" s="200" t="inlineStr">
        <is>
          <t>現金股利</t>
        </is>
      </c>
      <c r="J191" t="inlineStr">
        <is>
          <t>投資</t>
        </is>
      </c>
      <c r="K191">
        <f>IF(J191="本金",C191+K190,K190)</f>
        <v/>
      </c>
      <c r="L191">
        <f>IF(J191="本金",F191+L190,L190)</f>
        <v/>
      </c>
    </row>
    <row r="192" outlineLevel="1">
      <c r="A192" s="522" t="n">
        <v>45877</v>
      </c>
      <c r="B192" s="523" t="n"/>
      <c r="C192" s="196" t="n">
        <v>218</v>
      </c>
      <c r="D192" s="524">
        <f>D191+C192-B192</f>
        <v/>
      </c>
      <c r="E192" s="545" t="n"/>
      <c r="F192" s="196" t="n"/>
      <c r="G192" s="557">
        <f>G191+F192-E192</f>
        <v/>
      </c>
      <c r="H192" s="200" t="inlineStr">
        <is>
          <t>元大台灣50</t>
        </is>
      </c>
      <c r="I192" s="200" t="inlineStr">
        <is>
          <t>現金股利</t>
        </is>
      </c>
      <c r="J192" t="inlineStr">
        <is>
          <t>投資</t>
        </is>
      </c>
      <c r="K192">
        <f>IF(J192="本金",C192+K191,K191)</f>
        <v/>
      </c>
      <c r="L192">
        <f>IF(J192="本金",F192+L191,L191)</f>
        <v/>
      </c>
    </row>
    <row r="193" outlineLevel="1">
      <c r="A193" s="522" t="n">
        <v>45877</v>
      </c>
      <c r="B193" s="523" t="n"/>
      <c r="C193" s="196" t="n">
        <v>82</v>
      </c>
      <c r="D193" s="524">
        <f>D192+C193-B193</f>
        <v/>
      </c>
      <c r="E193" s="545" t="n"/>
      <c r="F193" s="196" t="n"/>
      <c r="G193" s="557">
        <f>G192+F193-E193</f>
        <v/>
      </c>
      <c r="H193" s="200" t="inlineStr">
        <is>
          <t>元大高股息</t>
        </is>
      </c>
      <c r="I193" s="200" t="inlineStr">
        <is>
          <t>現金股利</t>
        </is>
      </c>
      <c r="J193" t="inlineStr">
        <is>
          <t>投資</t>
        </is>
      </c>
      <c r="K193">
        <f>IF(J193="本金",C193+K192,K192)</f>
        <v/>
      </c>
      <c r="L193">
        <f>IF(J193="本金",F193+L192,L192)</f>
        <v/>
      </c>
    </row>
    <row r="194" outlineLevel="1">
      <c r="A194" s="508" t="n">
        <v>45879</v>
      </c>
      <c r="B194" s="509" t="n"/>
      <c r="C194" s="123" t="n">
        <v>5000</v>
      </c>
      <c r="D194" s="510">
        <f>D193+C194-B194</f>
        <v/>
      </c>
      <c r="E194" s="535" t="n"/>
      <c r="F194" s="123" t="n"/>
      <c r="G194" s="558">
        <f>G193+F194-E194</f>
        <v/>
      </c>
      <c r="I194" s="65" t="inlineStr">
        <is>
          <t>陪錢錢一起長大</t>
        </is>
      </c>
      <c r="J194" t="inlineStr">
        <is>
          <t>本金</t>
        </is>
      </c>
      <c r="K194">
        <f>IF(J194="本金",C194+K193,K193)</f>
        <v/>
      </c>
      <c r="L194">
        <f>IF(J194="本金",F194+L193,L193)</f>
        <v/>
      </c>
    </row>
    <row r="195" outlineLevel="1">
      <c r="A195" s="508" t="n">
        <v>45887</v>
      </c>
      <c r="B195" s="509" t="n">
        <v>5000</v>
      </c>
      <c r="C195" s="123" t="n"/>
      <c r="D195" s="510">
        <f>D194+C195-B195</f>
        <v/>
      </c>
      <c r="E195" s="535" t="n"/>
      <c r="F195" s="123" t="n"/>
      <c r="G195" s="558">
        <f>G194+F195-E195</f>
        <v/>
      </c>
      <c r="H195" t="inlineStr">
        <is>
          <t>元大台灣50</t>
        </is>
      </c>
      <c r="I195" s="65" t="inlineStr">
        <is>
          <t>定期定額買台股</t>
        </is>
      </c>
      <c r="J195" t="inlineStr">
        <is>
          <t>投資</t>
        </is>
      </c>
      <c r="K195">
        <f>IF(J195="本金",C195+K194,K194)</f>
        <v/>
      </c>
      <c r="L195">
        <f>IF(J195="本金",F195+L194,L194)</f>
        <v/>
      </c>
    </row>
    <row r="196" outlineLevel="1">
      <c r="A196" s="508" t="n">
        <v>45887</v>
      </c>
      <c r="B196" s="509" t="n">
        <v>4973</v>
      </c>
      <c r="C196" s="123" t="n"/>
      <c r="D196" s="510">
        <f>D195+C196-B196</f>
        <v/>
      </c>
      <c r="E196" s="535" t="n"/>
      <c r="F196" s="123" t="n"/>
      <c r="G196" s="558">
        <f>G195+F196-E196</f>
        <v/>
      </c>
      <c r="H196" t="inlineStr">
        <is>
          <t>富邦未來車</t>
        </is>
      </c>
      <c r="I196" s="65" t="inlineStr">
        <is>
          <t>定期定額買台股</t>
        </is>
      </c>
      <c r="J196" t="inlineStr">
        <is>
          <t>投資</t>
        </is>
      </c>
      <c r="K196">
        <f>IF(J196="本金",C196+K195,K195)</f>
        <v/>
      </c>
      <c r="L196">
        <f>IF(J196="本金",F196+L195,L195)</f>
        <v/>
      </c>
    </row>
    <row r="197" outlineLevel="1">
      <c r="A197" s="508" t="n">
        <v>45895</v>
      </c>
      <c r="B197" s="509" t="n">
        <v>4953</v>
      </c>
      <c r="C197" s="123" t="n"/>
      <c r="D197" s="510">
        <f>D196+C197-B197</f>
        <v/>
      </c>
      <c r="E197" s="535" t="n"/>
      <c r="F197" s="123" t="n"/>
      <c r="G197" s="558">
        <f>G196+F197-E197</f>
        <v/>
      </c>
      <c r="H197" t="inlineStr">
        <is>
          <t>元大台灣高息低波</t>
        </is>
      </c>
      <c r="I197" s="65" t="inlineStr">
        <is>
          <t>定期定額買台股</t>
        </is>
      </c>
      <c r="J197" t="inlineStr">
        <is>
          <t>投資</t>
        </is>
      </c>
      <c r="K197">
        <f>IF(J197="本金",C197+K196,K196)</f>
        <v/>
      </c>
      <c r="L197">
        <f>IF(J197="本金",F197+L196,L196)</f>
        <v/>
      </c>
    </row>
    <row r="198" outlineLevel="1">
      <c r="A198" s="508" t="n">
        <v>45903</v>
      </c>
      <c r="B198" s="509" t="n"/>
      <c r="C198" s="123" t="n"/>
      <c r="D198" s="510">
        <f>D197+C198-B198</f>
        <v/>
      </c>
      <c r="E198" s="535" t="n"/>
      <c r="F198" s="123" t="n">
        <v>1692.66</v>
      </c>
      <c r="G198" s="558">
        <f>G197+F198-E198</f>
        <v/>
      </c>
      <c r="H198" t="inlineStr">
        <is>
          <t>TSLA</t>
        </is>
      </c>
      <c r="I198" s="65" t="inlineStr">
        <is>
          <t>複委託 賣出</t>
        </is>
      </c>
      <c r="J198" t="inlineStr">
        <is>
          <t>投資</t>
        </is>
      </c>
      <c r="K198">
        <f>IF(J198="本金",C198+K197,K197)</f>
        <v/>
      </c>
      <c r="L198">
        <f>IF(J198="本金",F198+L197,L197)</f>
        <v/>
      </c>
    </row>
    <row r="199" outlineLevel="1">
      <c r="A199" s="508" t="n">
        <v>45908</v>
      </c>
      <c r="B199" s="509" t="n"/>
      <c r="C199" s="123" t="n">
        <v>5000</v>
      </c>
      <c r="D199" s="510">
        <f>D198+C199-B199</f>
        <v/>
      </c>
      <c r="E199" s="535" t="n"/>
      <c r="F199" s="123" t="n"/>
      <c r="G199" s="558">
        <f>G198+F199-E199</f>
        <v/>
      </c>
      <c r="I199" s="65" t="inlineStr">
        <is>
          <t>阿嬤贊助麥克風</t>
        </is>
      </c>
      <c r="J199" t="inlineStr">
        <is>
          <t>本金</t>
        </is>
      </c>
      <c r="K199">
        <f>IF(J199="本金",C199+K198,K198)</f>
        <v/>
      </c>
      <c r="L199">
        <f>IF(J199="本金",F199+L198,L198)</f>
        <v/>
      </c>
    </row>
    <row r="200" outlineLevel="1">
      <c r="A200" s="508" t="n">
        <v>45910</v>
      </c>
      <c r="B200" s="509" t="n"/>
      <c r="C200" s="123" t="n">
        <v>5000</v>
      </c>
      <c r="D200" s="510">
        <f>D199+C200-B200</f>
        <v/>
      </c>
      <c r="E200" s="535" t="n"/>
      <c r="F200" s="123" t="n"/>
      <c r="G200" s="558">
        <f>G199+F200-E200</f>
        <v/>
      </c>
      <c r="I200" s="65" t="inlineStr">
        <is>
          <t>陪錢錢一起長大</t>
        </is>
      </c>
      <c r="J200" t="inlineStr">
        <is>
          <t>本金</t>
        </is>
      </c>
      <c r="K200">
        <f>IF(J200="本金",C200+K199,K199)</f>
        <v/>
      </c>
      <c r="L200">
        <f>IF(J200="本金",F200+L199,L199)</f>
        <v/>
      </c>
    </row>
    <row r="201" outlineLevel="1">
      <c r="A201" s="522" t="n">
        <v>45911</v>
      </c>
      <c r="B201" s="523" t="n"/>
      <c r="C201" s="196" t="n">
        <v>62</v>
      </c>
      <c r="D201" s="524">
        <f>D200+C201-B201</f>
        <v/>
      </c>
      <c r="E201" s="545" t="n"/>
      <c r="F201" s="196" t="n"/>
      <c r="G201" s="557">
        <f>G200+F201-E201</f>
        <v/>
      </c>
      <c r="H201" s="200" t="inlineStr">
        <is>
          <t>國泰永續高股息</t>
        </is>
      </c>
      <c r="I201" s="200" t="inlineStr">
        <is>
          <t>現金股利</t>
        </is>
      </c>
      <c r="J201" t="inlineStr">
        <is>
          <t>投資</t>
        </is>
      </c>
      <c r="K201">
        <f>IF(J201="本金",C201+K200,K200)</f>
        <v/>
      </c>
      <c r="L201">
        <f>IF(J201="本金",F201+L200,L200)</f>
        <v/>
      </c>
    </row>
    <row r="202" outlineLevel="1">
      <c r="A202" s="508" t="n">
        <v>45916</v>
      </c>
      <c r="B202" s="509" t="n">
        <v>4990</v>
      </c>
      <c r="C202" s="123" t="n"/>
      <c r="D202" s="510">
        <f>D201+C202-B202</f>
        <v/>
      </c>
      <c r="E202" s="535" t="n"/>
      <c r="F202" s="123" t="n"/>
      <c r="G202" s="558">
        <f>G201+F202-E202</f>
        <v/>
      </c>
      <c r="H202" t="inlineStr">
        <is>
          <t>元大台灣50</t>
        </is>
      </c>
      <c r="I202" s="65" t="inlineStr">
        <is>
          <t>定期定額買台股</t>
        </is>
      </c>
      <c r="J202" t="inlineStr">
        <is>
          <t>投資</t>
        </is>
      </c>
      <c r="K202">
        <f>IF(J202="本金",C202+K201,K201)</f>
        <v/>
      </c>
      <c r="L202">
        <f>IF(J202="本金",F202+L201,L201)</f>
        <v/>
      </c>
    </row>
    <row r="203" outlineLevel="1">
      <c r="A203" s="508" t="n">
        <v>45916</v>
      </c>
      <c r="B203" s="509" t="n">
        <v>4989</v>
      </c>
      <c r="C203" s="123" t="n"/>
      <c r="D203" s="510">
        <f>D202+C203-B203</f>
        <v/>
      </c>
      <c r="E203" s="535" t="n"/>
      <c r="F203" s="123" t="n"/>
      <c r="G203" s="558">
        <f>G202+F203-E203</f>
        <v/>
      </c>
      <c r="H203" t="inlineStr">
        <is>
          <t>富邦未來車</t>
        </is>
      </c>
      <c r="I203" s="65" t="inlineStr">
        <is>
          <t>定期定額買台股</t>
        </is>
      </c>
      <c r="J203" t="inlineStr">
        <is>
          <t>投資</t>
        </is>
      </c>
      <c r="K203">
        <f>IF(J203="本金",C203+K202,K202)</f>
        <v/>
      </c>
      <c r="L203">
        <f>IF(J203="本金",F203+L202,L202)</f>
        <v/>
      </c>
    </row>
    <row r="204" outlineLevel="1">
      <c r="A204" s="508" t="n">
        <v>45926</v>
      </c>
      <c r="B204" s="509" t="n">
        <v>4961</v>
      </c>
      <c r="C204" s="123" t="n"/>
      <c r="D204" s="510">
        <f>D203+C204-B204</f>
        <v/>
      </c>
      <c r="E204" s="535" t="n"/>
      <c r="F204" s="123" t="n"/>
      <c r="G204" s="558">
        <f>G203+F204-E204</f>
        <v/>
      </c>
      <c r="H204" t="inlineStr">
        <is>
          <t>元大台灣高息低波</t>
        </is>
      </c>
      <c r="I204" s="65" t="inlineStr">
        <is>
          <t>定期定額買台股</t>
        </is>
      </c>
      <c r="J204" t="inlineStr">
        <is>
          <t>投資</t>
        </is>
      </c>
      <c r="K204">
        <f>IF(J204="本金",C204+K203,K203)</f>
        <v/>
      </c>
      <c r="L204">
        <f>IF(J204="本金",F204+L203,L203)</f>
        <v/>
      </c>
    </row>
    <row r="205" outlineLevel="1">
      <c r="A205" s="508" t="n">
        <v>45932</v>
      </c>
      <c r="B205" s="509" t="n"/>
      <c r="C205" s="123" t="n"/>
      <c r="D205" s="510">
        <f>D204+C205-B205</f>
        <v/>
      </c>
      <c r="E205" s="535" t="n">
        <v>817.89</v>
      </c>
      <c r="F205" s="123" t="n"/>
      <c r="G205" s="558">
        <f>G204+F205-E205</f>
        <v/>
      </c>
      <c r="H205" t="inlineStr">
        <is>
          <t>LLY</t>
        </is>
      </c>
      <c r="I205" s="65" t="inlineStr">
        <is>
          <t>複委託 買進</t>
        </is>
      </c>
      <c r="J205" t="inlineStr">
        <is>
          <t>投資</t>
        </is>
      </c>
      <c r="K205">
        <f>IF(J205="本金",C205+K204,K204)</f>
        <v/>
      </c>
      <c r="L205">
        <f>IF(J205="本金",F205+L204,L204)</f>
        <v/>
      </c>
    </row>
    <row r="206" outlineLevel="1">
      <c r="A206" s="522" t="n">
        <v>45933</v>
      </c>
      <c r="B206" s="523" t="n"/>
      <c r="C206" s="196" t="n"/>
      <c r="D206" s="524">
        <f>D205+C206-B206</f>
        <v/>
      </c>
      <c r="E206" s="545" t="n"/>
      <c r="F206" s="196" t="n">
        <v>0.35</v>
      </c>
      <c r="G206" s="557">
        <f>G205+F206-E206</f>
        <v/>
      </c>
      <c r="H206" s="200" t="inlineStr">
        <is>
          <t>NVDA</t>
        </is>
      </c>
      <c r="I206" s="200" t="inlineStr">
        <is>
          <t>現金股利</t>
        </is>
      </c>
      <c r="J206" t="inlineStr">
        <is>
          <t>投資</t>
        </is>
      </c>
      <c r="K206">
        <f>IF(J206="本金",C206+K205,K205)</f>
        <v/>
      </c>
      <c r="L206">
        <f>IF(J206="本金",F206+L205,L205)</f>
        <v/>
      </c>
    </row>
    <row r="207" outlineLevel="1">
      <c r="A207" s="508" t="n">
        <v>45940</v>
      </c>
      <c r="B207" s="509" t="n"/>
      <c r="C207" s="123" t="n">
        <v>5000</v>
      </c>
      <c r="D207" s="510">
        <f>D206+C207-B207</f>
        <v/>
      </c>
      <c r="E207" s="535" t="n"/>
      <c r="F207" s="123" t="n"/>
      <c r="G207" s="558">
        <f>G206+F207-E207</f>
        <v/>
      </c>
      <c r="I207" s="65" t="inlineStr">
        <is>
          <t>陪錢錢一起長大</t>
        </is>
      </c>
      <c r="J207" t="inlineStr">
        <is>
          <t>本金</t>
        </is>
      </c>
      <c r="K207">
        <f>IF(J207="本金",C207+K206,K206)</f>
        <v/>
      </c>
      <c r="L207">
        <f>IF(J207="本金",F207+L206,L206)</f>
        <v/>
      </c>
    </row>
    <row r="208" outlineLevel="1">
      <c r="A208" s="522" t="n">
        <v>45945</v>
      </c>
      <c r="B208" s="523" t="n"/>
      <c r="C208" s="196" t="n">
        <v>643</v>
      </c>
      <c r="D208" s="524">
        <f>D207+C208-B208</f>
        <v/>
      </c>
      <c r="E208" s="545" t="n"/>
      <c r="F208" s="196" t="n"/>
      <c r="G208" s="557">
        <f>G207+F208-E208</f>
        <v/>
      </c>
      <c r="H208" s="200" t="inlineStr">
        <is>
          <t>元大台灣高息低波</t>
        </is>
      </c>
      <c r="I208" s="200" t="inlineStr">
        <is>
          <t>現金股利</t>
        </is>
      </c>
      <c r="J208" t="inlineStr">
        <is>
          <t>投資</t>
        </is>
      </c>
      <c r="K208">
        <f>IF(J208="本金",C208+K207,K207)</f>
        <v/>
      </c>
      <c r="L208">
        <f>IF(J208="本金",F208+L207,L207)</f>
        <v/>
      </c>
    </row>
    <row r="209" outlineLevel="1">
      <c r="A209" s="522" t="n">
        <v>45945</v>
      </c>
      <c r="B209" s="523" t="n"/>
      <c r="C209" s="196" t="n">
        <v>2690</v>
      </c>
      <c r="D209" s="524">
        <f>D208+C209-B209</f>
        <v/>
      </c>
      <c r="E209" s="545" t="n"/>
      <c r="F209" s="196" t="n"/>
      <c r="G209" s="557">
        <f>G208+F209-E209</f>
        <v/>
      </c>
      <c r="H209" s="200" t="inlineStr">
        <is>
          <t>群益台灣精選高息</t>
        </is>
      </c>
      <c r="I209" s="200" t="inlineStr">
        <is>
          <t>現金股利</t>
        </is>
      </c>
      <c r="J209" t="inlineStr">
        <is>
          <t>投資</t>
        </is>
      </c>
      <c r="K209">
        <f>IF(J209="本金",C209+K208,K208)</f>
        <v/>
      </c>
      <c r="L209">
        <f>IF(J209="本金",F209+L208,L208)</f>
        <v/>
      </c>
    </row>
    <row r="210" outlineLevel="1">
      <c r="A210" s="522" t="n">
        <v>45945</v>
      </c>
      <c r="B210" s="523" t="n"/>
      <c r="C210" s="196" t="n">
        <v>2590</v>
      </c>
      <c r="D210" s="524">
        <f>D209+C210-B210</f>
        <v/>
      </c>
      <c r="E210" s="545" t="n"/>
      <c r="F210" s="196" t="n"/>
      <c r="G210" s="557">
        <f>G209+F210-E210</f>
        <v/>
      </c>
      <c r="H210" s="200" t="inlineStr">
        <is>
          <t>大華優利高填息30</t>
        </is>
      </c>
      <c r="I210" s="200" t="inlineStr">
        <is>
          <t>現金股利</t>
        </is>
      </c>
      <c r="J210" t="inlineStr">
        <is>
          <t>投資</t>
        </is>
      </c>
      <c r="K210">
        <f>IF(J210="本金",C210+K209,K209)</f>
        <v/>
      </c>
      <c r="L210">
        <f>IF(J210="本金",F210+L209,L209)</f>
        <v/>
      </c>
    </row>
    <row r="211" outlineLevel="1">
      <c r="A211" s="508" t="n">
        <v>45946</v>
      </c>
      <c r="B211" s="509" t="n">
        <v>4945</v>
      </c>
      <c r="C211" s="123" t="n"/>
      <c r="D211" s="510">
        <f>D210+C211-B211</f>
        <v/>
      </c>
      <c r="E211" s="535" t="n"/>
      <c r="F211" s="123" t="n"/>
      <c r="G211" s="558">
        <f>G210+F211-E211</f>
        <v/>
      </c>
      <c r="H211" t="inlineStr">
        <is>
          <t>元大台灣50</t>
        </is>
      </c>
      <c r="I211" s="65" t="inlineStr">
        <is>
          <t>定期定額買台股</t>
        </is>
      </c>
      <c r="J211" t="inlineStr">
        <is>
          <t>投資</t>
        </is>
      </c>
      <c r="K211">
        <f>IF(J211="本金",C211+K210,K210)</f>
        <v/>
      </c>
      <c r="L211">
        <f>IF(J211="本金",F211+L210,L210)</f>
        <v/>
      </c>
    </row>
    <row r="212" outlineLevel="1">
      <c r="A212" s="508" t="n">
        <v>45946</v>
      </c>
      <c r="B212" s="509" t="n">
        <v>4979</v>
      </c>
      <c r="C212" s="123" t="n"/>
      <c r="D212" s="510">
        <f>D211+C212-B212</f>
        <v/>
      </c>
      <c r="E212" s="535" t="n"/>
      <c r="F212" s="123" t="n"/>
      <c r="G212" s="558">
        <f>G211+F212-E212</f>
        <v/>
      </c>
      <c r="H212" t="inlineStr">
        <is>
          <t>富邦未來車</t>
        </is>
      </c>
      <c r="I212" s="65" t="inlineStr">
        <is>
          <t>定期定額買台股</t>
        </is>
      </c>
      <c r="J212" t="inlineStr">
        <is>
          <t>投資</t>
        </is>
      </c>
      <c r="K212">
        <f>IF(J212="本金",C212+K211,K211)</f>
        <v/>
      </c>
      <c r="L212">
        <f>IF(J212="本金",F212+L211,L211)</f>
        <v/>
      </c>
    </row>
    <row r="213" outlineLevel="1">
      <c r="A213" s="508" t="n">
        <v>45957</v>
      </c>
      <c r="B213" s="509" t="n">
        <v>4969</v>
      </c>
      <c r="C213" s="123" t="n"/>
      <c r="D213" s="510">
        <f>D212+C213-B213</f>
        <v/>
      </c>
      <c r="E213" s="535" t="n"/>
      <c r="F213" s="123" t="n"/>
      <c r="G213" s="558">
        <f>G212+F213-E213</f>
        <v/>
      </c>
      <c r="H213" t="inlineStr">
        <is>
          <t>元大台灣高息低波</t>
        </is>
      </c>
      <c r="I213" s="65" t="inlineStr">
        <is>
          <t>定期定額買台股</t>
        </is>
      </c>
      <c r="J213" t="inlineStr">
        <is>
          <t>投資</t>
        </is>
      </c>
      <c r="K213">
        <f>IF(J213="本金",C213+K212,K212)</f>
        <v/>
      </c>
      <c r="L213">
        <f>IF(J213="本金",F213+L212,L212)</f>
        <v/>
      </c>
    </row>
    <row r="214" outlineLevel="1">
      <c r="A214" s="508" t="n">
        <v>45971</v>
      </c>
      <c r="B214" s="509" t="n"/>
      <c r="C214" s="123" t="n">
        <v>5000</v>
      </c>
      <c r="D214" s="510">
        <f>D213+C214-B214</f>
        <v/>
      </c>
      <c r="E214" s="535" t="n"/>
      <c r="F214" s="123" t="n"/>
      <c r="G214" s="558">
        <f>G213+F214-E214</f>
        <v/>
      </c>
      <c r="I214" s="65" t="inlineStr">
        <is>
          <t>陪錢錢一起長大</t>
        </is>
      </c>
      <c r="J214" t="inlineStr">
        <is>
          <t>本金</t>
        </is>
      </c>
      <c r="K214">
        <f>IF(J214="本金",C214+K213,K213)</f>
        <v/>
      </c>
      <c r="L214">
        <f>IF(J214="本金",F214+L213,L213)</f>
        <v/>
      </c>
    </row>
    <row r="215" outlineLevel="1">
      <c r="A215" s="522" t="n">
        <v>45975</v>
      </c>
      <c r="B215" s="523" t="n"/>
      <c r="C215" s="196" t="n">
        <v>82</v>
      </c>
      <c r="D215" s="524">
        <f>D214+C215-B215</f>
        <v/>
      </c>
      <c r="E215" s="545" t="n"/>
      <c r="F215" s="196" t="n"/>
      <c r="G215" s="557">
        <f>G214+F215-E215</f>
        <v/>
      </c>
      <c r="H215" s="200" t="inlineStr">
        <is>
          <t>元大高股息</t>
        </is>
      </c>
      <c r="I215" s="200" t="inlineStr">
        <is>
          <t>現金股利</t>
        </is>
      </c>
      <c r="J215" t="inlineStr">
        <is>
          <t>投資</t>
        </is>
      </c>
      <c r="K215">
        <f>IF(J215="本金",C215+K214,K214)</f>
        <v/>
      </c>
      <c r="L215">
        <f>IF(J215="本金",F215+L214,L214)</f>
        <v/>
      </c>
    </row>
    <row r="216" outlineLevel="1">
      <c r="A216" s="508" t="n">
        <v>45978</v>
      </c>
      <c r="B216" s="509" t="n">
        <v>4961</v>
      </c>
      <c r="C216" s="123" t="n"/>
      <c r="D216" s="510">
        <f>D215+C216-B216</f>
        <v/>
      </c>
      <c r="E216" s="535" t="n"/>
      <c r="F216" s="123" t="n"/>
      <c r="G216" s="558">
        <f>G215+F216-E216</f>
        <v/>
      </c>
      <c r="H216" t="inlineStr">
        <is>
          <t>元大台灣50</t>
        </is>
      </c>
      <c r="I216" s="65" t="inlineStr">
        <is>
          <t>定期定額買台股</t>
        </is>
      </c>
      <c r="J216" t="inlineStr">
        <is>
          <t>投資</t>
        </is>
      </c>
      <c r="K216">
        <f>IF(J216="本金",C216+K215,K215)</f>
        <v/>
      </c>
      <c r="L216">
        <f>IF(J216="本金",F216+L215,L215)</f>
        <v/>
      </c>
    </row>
    <row r="217" outlineLevel="1">
      <c r="A217" s="508" t="n">
        <v>45978</v>
      </c>
      <c r="B217" s="509" t="n">
        <v>4984</v>
      </c>
      <c r="C217" s="123" t="n"/>
      <c r="D217" s="510">
        <f>D216+C217-B217</f>
        <v/>
      </c>
      <c r="E217" s="535" t="n"/>
      <c r="F217" s="123" t="n"/>
      <c r="G217" s="558">
        <f>G216+F217-E217</f>
        <v/>
      </c>
      <c r="H217" t="inlineStr">
        <is>
          <t>富邦未來車</t>
        </is>
      </c>
      <c r="I217" s="65" t="inlineStr">
        <is>
          <t>定期定額買台股</t>
        </is>
      </c>
      <c r="J217" t="inlineStr">
        <is>
          <t>投資</t>
        </is>
      </c>
      <c r="K217">
        <f>IF(J217="本金",C217+K216,K216)</f>
        <v/>
      </c>
      <c r="L217">
        <f>IF(J217="本金",F217+L216,L216)</f>
        <v/>
      </c>
    </row>
    <row r="218" outlineLevel="1">
      <c r="A218" s="508" t="n">
        <v>45987</v>
      </c>
      <c r="B218" s="509" t="n">
        <v>4985</v>
      </c>
      <c r="C218" s="123" t="n"/>
      <c r="D218" s="510">
        <f>D217+C218-B218</f>
        <v/>
      </c>
      <c r="E218" s="535" t="n"/>
      <c r="F218" s="123" t="n"/>
      <c r="G218" s="558">
        <f>G217+F218-E218</f>
        <v/>
      </c>
      <c r="H218" t="inlineStr">
        <is>
          <t>元大台灣高息低波</t>
        </is>
      </c>
      <c r="I218" s="65" t="inlineStr">
        <is>
          <t>定期定額買台股</t>
        </is>
      </c>
      <c r="J218" t="inlineStr">
        <is>
          <t>投資</t>
        </is>
      </c>
      <c r="K218">
        <f>IF(J218="本金",C218+K217,K217)</f>
        <v/>
      </c>
      <c r="L218">
        <f>IF(J218="本金",F218+L217,L217)</f>
        <v/>
      </c>
    </row>
    <row r="219" outlineLevel="1">
      <c r="A219" s="508" t="n">
        <v>46001</v>
      </c>
      <c r="B219" s="509" t="n"/>
      <c r="C219" s="123" t="n">
        <v>5000</v>
      </c>
      <c r="D219" s="510">
        <f>D218+C219-B219</f>
        <v/>
      </c>
      <c r="E219" s="535" t="n"/>
      <c r="F219" s="123" t="n"/>
      <c r="G219" s="558">
        <f>G218+F219-E219</f>
        <v/>
      </c>
      <c r="I219" s="65" t="inlineStr">
        <is>
          <t>陪錢錢一起長大</t>
        </is>
      </c>
      <c r="J219" t="inlineStr">
        <is>
          <t>本金</t>
        </is>
      </c>
      <c r="K219">
        <f>IF(J219="本金",C219+K218,K218)</f>
        <v/>
      </c>
      <c r="L219">
        <f>IF(J219="本金",F219+L218,L218)</f>
        <v/>
      </c>
    </row>
    <row r="220" outlineLevel="1">
      <c r="A220" s="522" t="n">
        <v>46002</v>
      </c>
      <c r="B220" s="523" t="n"/>
      <c r="C220" s="196" t="n">
        <v>4998</v>
      </c>
      <c r="D220" s="524">
        <f>D219+C220-B220</f>
        <v/>
      </c>
      <c r="E220" s="545" t="n"/>
      <c r="F220" s="196" t="n"/>
      <c r="G220" s="557">
        <f>G219+F220-E220</f>
        <v/>
      </c>
      <c r="H220" s="200" t="inlineStr">
        <is>
          <t>富邦公司治理</t>
        </is>
      </c>
      <c r="I220" s="200" t="inlineStr">
        <is>
          <t>現金股利</t>
        </is>
      </c>
      <c r="J220" t="inlineStr">
        <is>
          <t>投資</t>
        </is>
      </c>
      <c r="K220">
        <f>IF(J220="本金",C220+K219,K219)</f>
        <v/>
      </c>
      <c r="L220">
        <f>IF(J220="本金",F220+L219,L219)</f>
        <v/>
      </c>
    </row>
    <row r="221" outlineLevel="1">
      <c r="A221" s="522" t="n">
        <v>46002</v>
      </c>
      <c r="B221" s="523" t="n"/>
      <c r="C221" s="196" t="n"/>
      <c r="D221" s="524">
        <f>D220+C221-B221</f>
        <v/>
      </c>
      <c r="E221" s="545" t="n"/>
      <c r="F221" s="196" t="n">
        <v>1.05</v>
      </c>
      <c r="G221" s="557">
        <f>G220+F221-E221</f>
        <v/>
      </c>
      <c r="H221" s="200" t="inlineStr">
        <is>
          <t>LLY</t>
        </is>
      </c>
      <c r="I221" s="200" t="inlineStr">
        <is>
          <t>現金股利</t>
        </is>
      </c>
      <c r="J221" t="inlineStr">
        <is>
          <t>投資</t>
        </is>
      </c>
      <c r="K221">
        <f>IF(J221="本金",C221+K220,K220)</f>
        <v/>
      </c>
      <c r="L221">
        <f>IF(J221="本金",F221+L220,L220)</f>
        <v/>
      </c>
    </row>
    <row r="222" outlineLevel="1">
      <c r="A222" s="522" t="n">
        <v>46003</v>
      </c>
      <c r="B222" s="523" t="n"/>
      <c r="C222" s="196" t="n">
        <v>62</v>
      </c>
      <c r="D222" s="524">
        <f>D221+C222-B222</f>
        <v/>
      </c>
      <c r="E222" s="545" t="n"/>
      <c r="F222" s="196" t="n"/>
      <c r="G222" s="557">
        <f>G221+F222-E222</f>
        <v/>
      </c>
      <c r="H222" s="200" t="inlineStr">
        <is>
          <t>國泰永續高股息</t>
        </is>
      </c>
      <c r="I222" s="200" t="inlineStr">
        <is>
          <t>現金股利</t>
        </is>
      </c>
      <c r="J222" t="inlineStr">
        <is>
          <t>投資</t>
        </is>
      </c>
      <c r="K222">
        <f>IF(J222="本金",C222+K221,K221)</f>
        <v/>
      </c>
      <c r="L222">
        <f>IF(J222="本金",F222+L221,L221)</f>
        <v/>
      </c>
    </row>
    <row r="223" outlineLevel="1">
      <c r="A223" s="508" t="n">
        <v>46006</v>
      </c>
      <c r="B223" s="509" t="n"/>
      <c r="C223" s="123" t="n">
        <v>2000</v>
      </c>
      <c r="D223" s="510">
        <f>D222+C223-B223</f>
        <v/>
      </c>
      <c r="E223" s="535" t="n"/>
      <c r="F223" s="123" t="n"/>
      <c r="G223" s="558">
        <f>G222+F223-E223</f>
        <v/>
      </c>
      <c r="I223" s="65" t="inlineStr">
        <is>
          <t>PEGA 助學金</t>
        </is>
      </c>
      <c r="J223" t="inlineStr">
        <is>
          <t>本金</t>
        </is>
      </c>
      <c r="K223">
        <f>IF(J223="本金",C223+K222,K222)</f>
        <v/>
      </c>
      <c r="L223">
        <f>IF(J223="本金",F223+L222,L222)</f>
        <v/>
      </c>
    </row>
    <row r="224" outlineLevel="1">
      <c r="A224" s="508" t="n">
        <v>46007</v>
      </c>
      <c r="B224" s="509" t="n">
        <v>4956</v>
      </c>
      <c r="C224" s="123" t="n"/>
      <c r="D224" s="510">
        <f>D223+C224-B224</f>
        <v/>
      </c>
      <c r="E224" s="535" t="n"/>
      <c r="F224" s="123" t="n"/>
      <c r="G224" s="558">
        <f>G223+F224-E224</f>
        <v/>
      </c>
      <c r="H224" t="inlineStr">
        <is>
          <t>元大台灣50</t>
        </is>
      </c>
      <c r="I224" s="65" t="inlineStr">
        <is>
          <t>定期定額買台股</t>
        </is>
      </c>
      <c r="J224" t="inlineStr">
        <is>
          <t>投資</t>
        </is>
      </c>
      <c r="K224">
        <f>IF(J224="本金",C224+K223,K223)</f>
        <v/>
      </c>
      <c r="L224">
        <f>IF(J224="本金",F224+L223,L223)</f>
        <v/>
      </c>
    </row>
    <row r="225" outlineLevel="1">
      <c r="A225" s="508" t="n">
        <v>46007</v>
      </c>
      <c r="B225" s="509" t="n">
        <v>4982</v>
      </c>
      <c r="C225" s="123" t="n"/>
      <c r="D225" s="510">
        <f>D224+C225-B225</f>
        <v/>
      </c>
      <c r="E225" s="535" t="n"/>
      <c r="F225" s="123" t="n"/>
      <c r="G225" s="558">
        <f>G224+F225-E225</f>
        <v/>
      </c>
      <c r="H225" t="inlineStr">
        <is>
          <t>富邦未來車</t>
        </is>
      </c>
      <c r="I225" s="65" t="inlineStr">
        <is>
          <t>定期定額買台股</t>
        </is>
      </c>
      <c r="J225" t="inlineStr">
        <is>
          <t>投資</t>
        </is>
      </c>
      <c r="K225">
        <f>IF(J225="本金",C225+K224,K224)</f>
        <v/>
      </c>
      <c r="L225">
        <f>IF(J225="本金",F225+L224,L224)</f>
        <v/>
      </c>
    </row>
    <row r="226" outlineLevel="1">
      <c r="A226" s="508" t="n">
        <v>46009</v>
      </c>
      <c r="B226" s="509" t="n"/>
      <c r="C226" s="123" t="n"/>
      <c r="D226" s="510">
        <f>D225+C226-B226</f>
        <v/>
      </c>
      <c r="E226" s="535" t="n"/>
      <c r="F226" s="123" t="n">
        <v>3500</v>
      </c>
      <c r="G226" s="558">
        <f>G225+F226-E226</f>
        <v/>
      </c>
      <c r="I226" s="122" t="inlineStr">
        <is>
          <t>爸爸的生日祝福</t>
        </is>
      </c>
      <c r="J226" t="inlineStr">
        <is>
          <t>本金</t>
        </is>
      </c>
      <c r="K226">
        <f>IF(J226="本金",C226+K225,K225)</f>
        <v/>
      </c>
      <c r="L226">
        <f>IF(J226="本金",F226+L225,L225)</f>
        <v/>
      </c>
    </row>
    <row r="227" outlineLevel="1">
      <c r="A227" s="508" t="n">
        <v>46009</v>
      </c>
      <c r="B227" s="509" t="n"/>
      <c r="C227" s="123" t="n">
        <v>1000</v>
      </c>
      <c r="D227" s="510">
        <f>D226+C227-B227</f>
        <v/>
      </c>
      <c r="E227" s="535" t="n"/>
      <c r="F227" s="123" t="n"/>
      <c r="G227" s="558">
        <f>G226+F227-E227</f>
        <v/>
      </c>
      <c r="I227" s="65" t="inlineStr">
        <is>
          <t>阿公的生日祝福</t>
        </is>
      </c>
      <c r="J227" t="inlineStr">
        <is>
          <t>本金</t>
        </is>
      </c>
      <c r="K227">
        <f>IF(J227="本金",C227+K226,K226)</f>
        <v/>
      </c>
      <c r="L227">
        <f>IF(J227="本金",F227+L226,L226)</f>
        <v/>
      </c>
    </row>
    <row r="228" outlineLevel="1">
      <c r="A228" s="508" t="n">
        <v>46010</v>
      </c>
      <c r="B228" s="509" t="n">
        <v>80070</v>
      </c>
      <c r="C228" s="123" t="n"/>
      <c r="D228" s="510">
        <f>D227+C228-B228</f>
        <v/>
      </c>
      <c r="E228" s="535" t="n"/>
      <c r="F228" s="123" t="n"/>
      <c r="G228" s="558">
        <f>G227+F228-E228</f>
        <v/>
      </c>
      <c r="H228" t="inlineStr">
        <is>
          <t>豐達科</t>
        </is>
      </c>
      <c r="I228" s="65" t="inlineStr">
        <is>
          <t>承銷申購</t>
        </is>
      </c>
      <c r="J228" t="inlineStr">
        <is>
          <t>投資</t>
        </is>
      </c>
      <c r="K228">
        <f>IF(J228="本金",C228+K227,K227)</f>
        <v/>
      </c>
      <c r="L228">
        <f>IF(J228="本金",F228+L227,L227)</f>
        <v/>
      </c>
    </row>
    <row r="229" outlineLevel="1">
      <c r="A229" s="513" t="n">
        <v>46012</v>
      </c>
      <c r="B229" s="514" t="n"/>
      <c r="C229" s="154" t="n">
        <v>941</v>
      </c>
      <c r="D229" s="515">
        <f>D228+C229-B229</f>
        <v/>
      </c>
      <c r="E229" s="538" t="n"/>
      <c r="F229" s="154" t="n"/>
      <c r="G229" s="559">
        <f>G228+F229-E229</f>
        <v/>
      </c>
      <c r="H229" s="158" t="inlineStr">
        <is>
          <t>利息</t>
        </is>
      </c>
      <c r="I229" s="159" t="n"/>
      <c r="J229" t="inlineStr">
        <is>
          <t>投資</t>
        </is>
      </c>
      <c r="K229">
        <f>IF(J229="本金",C229+K228,K228)</f>
        <v/>
      </c>
      <c r="L229">
        <f>IF(J229="本金",F229+L228,L228)</f>
        <v/>
      </c>
    </row>
    <row r="230" outlineLevel="1">
      <c r="A230" s="560" t="n">
        <v>46012</v>
      </c>
      <c r="B230" s="561" t="n"/>
      <c r="C230" s="284" t="n"/>
      <c r="D230" s="562">
        <f>D229+C230-B230</f>
        <v/>
      </c>
      <c r="E230" s="563" t="n"/>
      <c r="F230" s="284" t="n">
        <v>2.66</v>
      </c>
      <c r="G230" s="564">
        <f>G229+F230-E230</f>
        <v/>
      </c>
      <c r="H230" s="287" t="inlineStr">
        <is>
          <t>利息</t>
        </is>
      </c>
      <c r="I230" s="288" t="n"/>
      <c r="J230" t="inlineStr">
        <is>
          <t>投資</t>
        </is>
      </c>
      <c r="K230">
        <f>IF(J230="本金",C230+K229,K229)</f>
        <v/>
      </c>
      <c r="L230">
        <f>IF(J230="本金",F230+L229,L229)</f>
        <v/>
      </c>
    </row>
    <row r="231" outlineLevel="1">
      <c r="A231" s="508" t="n">
        <v>46017</v>
      </c>
      <c r="B231" s="509" t="n">
        <v>4983</v>
      </c>
      <c r="C231" s="123" t="n"/>
      <c r="D231" s="510">
        <f>D230+C231-B231</f>
        <v/>
      </c>
      <c r="E231" s="535" t="n"/>
      <c r="F231" s="123" t="n"/>
      <c r="G231" s="558">
        <f>G230+F231-E231</f>
        <v/>
      </c>
      <c r="H231" t="inlineStr">
        <is>
          <t>元大台灣高息低波</t>
        </is>
      </c>
      <c r="I231" s="65" t="inlineStr">
        <is>
          <t>定期定額買台股</t>
        </is>
      </c>
      <c r="J231" t="inlineStr">
        <is>
          <t>投資</t>
        </is>
      </c>
      <c r="K231">
        <f>IF(J231="本金",C231+K230,K230)</f>
        <v/>
      </c>
      <c r="L231">
        <f>IF(J231="本金",F231+L230,L230)</f>
        <v/>
      </c>
    </row>
    <row r="232" outlineLevel="1">
      <c r="A232" s="560" t="n">
        <v>46017</v>
      </c>
      <c r="B232" s="561" t="n"/>
      <c r="C232" s="284" t="n"/>
      <c r="D232" s="562">
        <f>D231+C232-B232</f>
        <v/>
      </c>
      <c r="E232" s="563" t="n"/>
      <c r="F232" s="284" t="n">
        <v>1155</v>
      </c>
      <c r="G232" s="564">
        <f>G231+F232-E232</f>
        <v/>
      </c>
      <c r="H232" s="287" t="n"/>
      <c r="I232" s="288" t="inlineStr">
        <is>
          <t>南山人壽保險</t>
        </is>
      </c>
      <c r="J232" t="inlineStr">
        <is>
          <t>本金</t>
        </is>
      </c>
      <c r="K232">
        <f>IF(J232="本金",C232+K231,K231)</f>
        <v/>
      </c>
      <c r="L232">
        <f>IF(J232="本金",F232+L231,L231)</f>
        <v/>
      </c>
    </row>
    <row r="233" outlineLevel="1">
      <c r="A233" s="522" t="n">
        <v>46021</v>
      </c>
      <c r="B233" s="523" t="n"/>
      <c r="C233" s="196" t="n"/>
      <c r="D233" s="524">
        <f>D232+C233-B233</f>
        <v/>
      </c>
      <c r="E233" s="545" t="n"/>
      <c r="F233" s="196" t="n">
        <v>0.35</v>
      </c>
      <c r="G233" s="557">
        <f>G232+F233-E233</f>
        <v/>
      </c>
      <c r="H233" s="200" t="inlineStr">
        <is>
          <t>NVDA</t>
        </is>
      </c>
      <c r="I233" s="200" t="inlineStr">
        <is>
          <t>現金股利</t>
        </is>
      </c>
      <c r="J233" t="inlineStr">
        <is>
          <t>投資</t>
        </is>
      </c>
      <c r="K233">
        <f>IF(J233="本金",C233+K232,K232)</f>
        <v/>
      </c>
      <c r="L233">
        <f>IF(J233="本金",F233+L232,L232)</f>
        <v/>
      </c>
    </row>
    <row r="234" outlineLevel="1">
      <c r="A234" s="508" t="n">
        <v>46022</v>
      </c>
      <c r="B234" s="509" t="n">
        <v>1220</v>
      </c>
      <c r="C234" s="123" t="n"/>
      <c r="D234" s="510">
        <f>D233+C234-B234</f>
        <v/>
      </c>
      <c r="E234" s="535" t="n"/>
      <c r="F234" s="123" t="n"/>
      <c r="G234" s="558">
        <f>G233+F234-E234</f>
        <v/>
      </c>
      <c r="I234" s="65" t="inlineStr">
        <is>
          <t>2025 股票申購 61 次</t>
        </is>
      </c>
      <c r="J234" t="inlineStr">
        <is>
          <t>投資</t>
        </is>
      </c>
      <c r="K234">
        <f>IF(J234="本金",C234+K233,K233)</f>
        <v/>
      </c>
      <c r="L234">
        <f>IF(J234="本金",F234+L233,L233)</f>
        <v/>
      </c>
    </row>
    <row r="235">
      <c r="A235" s="508" t="n">
        <v>46026</v>
      </c>
      <c r="B235" s="509" t="n"/>
      <c r="C235" s="123" t="n">
        <v>888</v>
      </c>
      <c r="D235" s="510">
        <f>D234+C235-B235</f>
        <v/>
      </c>
      <c r="E235" s="535" t="n"/>
      <c r="F235" s="123" t="n"/>
      <c r="G235" s="558">
        <f>G234+F235-E235</f>
        <v/>
      </c>
      <c r="I235" s="65" t="inlineStr">
        <is>
          <t>第一次奧數競賽</t>
        </is>
      </c>
      <c r="J235" t="inlineStr">
        <is>
          <t>投資</t>
        </is>
      </c>
      <c r="K235">
        <f>IF(J235="本金",C235+K234,K234)</f>
        <v/>
      </c>
      <c r="L235">
        <f>IF(J235="本金",F235+L234,L234)</f>
        <v/>
      </c>
    </row>
    <row r="236">
      <c r="A236" s="508" t="n">
        <v>46032</v>
      </c>
      <c r="B236" s="509" t="n"/>
      <c r="C236" s="123" t="n">
        <v>5000</v>
      </c>
      <c r="D236" s="510">
        <f>D235+C236-B236</f>
        <v/>
      </c>
      <c r="E236" s="535" t="n"/>
      <c r="F236" s="123" t="n"/>
      <c r="G236" s="558">
        <f>G235+F236-E236</f>
        <v/>
      </c>
      <c r="I236" s="65" t="inlineStr">
        <is>
          <t>陪錢錢一起長大</t>
        </is>
      </c>
      <c r="J236" t="inlineStr">
        <is>
          <t>本金</t>
        </is>
      </c>
      <c r="K236">
        <f>IF(J236="本金",C236+K235,K235)</f>
        <v/>
      </c>
      <c r="L236">
        <f>IF(J236="本金",F236+L235,L235)</f>
        <v/>
      </c>
    </row>
    <row r="237">
      <c r="A237" s="522" t="n">
        <v>46034</v>
      </c>
      <c r="B237" s="523" t="n"/>
      <c r="C237" s="196" t="n">
        <v>870</v>
      </c>
      <c r="D237" s="524">
        <f>D236+C237-B237</f>
        <v/>
      </c>
      <c r="E237" s="545" t="n"/>
      <c r="F237" s="196" t="n"/>
      <c r="G237" s="557">
        <f>G236+F237-E237</f>
        <v/>
      </c>
      <c r="H237" s="200" t="inlineStr">
        <is>
          <t>元大台灣高息低波</t>
        </is>
      </c>
      <c r="I237" s="200" t="inlineStr">
        <is>
          <t>現金股利</t>
        </is>
      </c>
      <c r="J237" t="inlineStr">
        <is>
          <t>投資</t>
        </is>
      </c>
      <c r="K237">
        <f>IF(J237="本金",C237+K236,K236)</f>
        <v/>
      </c>
      <c r="L237">
        <f>IF(J237="本金",F237+L236,L236)</f>
        <v/>
      </c>
    </row>
    <row r="238">
      <c r="A238" s="522" t="n">
        <v>46035</v>
      </c>
      <c r="B238" s="523" t="n"/>
      <c r="C238" s="196" t="n">
        <v>2815</v>
      </c>
      <c r="D238" s="524">
        <f>D237+C238-B238</f>
        <v/>
      </c>
      <c r="E238" s="545" t="n"/>
      <c r="F238" s="196" t="n"/>
      <c r="G238" s="557">
        <f>G237+F238-E238</f>
        <v/>
      </c>
      <c r="H238" s="200" t="inlineStr">
        <is>
          <t>大華優利高填息30</t>
        </is>
      </c>
      <c r="I238" s="200" t="inlineStr">
        <is>
          <t>現金股利</t>
        </is>
      </c>
      <c r="J238" t="inlineStr">
        <is>
          <t>投資</t>
        </is>
      </c>
      <c r="K238">
        <f>IF(J238="本金",C238+K237,K237)</f>
        <v/>
      </c>
      <c r="L238">
        <f>IF(J238="本金",F238+L237,L237)</f>
        <v/>
      </c>
    </row>
    <row r="239">
      <c r="A239" s="522" t="n">
        <v>46035</v>
      </c>
      <c r="B239" s="523" t="n"/>
      <c r="C239" s="196" t="n">
        <v>2690</v>
      </c>
      <c r="D239" s="524">
        <f>D238+C239-B239</f>
        <v/>
      </c>
      <c r="E239" s="545" t="n"/>
      <c r="F239" s="196" t="n"/>
      <c r="G239" s="557">
        <f>G238+F239-E239</f>
        <v/>
      </c>
      <c r="H239" s="200" t="inlineStr">
        <is>
          <t>群益台灣精選高息</t>
        </is>
      </c>
      <c r="I239" s="200" t="inlineStr">
        <is>
          <t>現金股利</t>
        </is>
      </c>
      <c r="J239" t="inlineStr">
        <is>
          <t>投資</t>
        </is>
      </c>
      <c r="K239">
        <f>IF(J239="本金",C239+K238,K238)</f>
        <v/>
      </c>
      <c r="L239">
        <f>IF(J239="本金",F239+L238,L238)</f>
        <v/>
      </c>
    </row>
    <row r="240">
      <c r="A240" s="508" t="n">
        <v>46038</v>
      </c>
      <c r="B240" s="509" t="n">
        <v>4947</v>
      </c>
      <c r="C240" s="123" t="n"/>
      <c r="D240" s="510">
        <f>D239+C240-B240</f>
        <v/>
      </c>
      <c r="E240" s="535" t="n"/>
      <c r="F240" s="123" t="n"/>
      <c r="G240" s="558">
        <f>G239+F240-E240</f>
        <v/>
      </c>
      <c r="H240" t="inlineStr">
        <is>
          <t>元大台灣50</t>
        </is>
      </c>
      <c r="I240" s="65" t="inlineStr">
        <is>
          <t>定期定額買台股</t>
        </is>
      </c>
      <c r="J240" t="inlineStr">
        <is>
          <t>投資</t>
        </is>
      </c>
      <c r="K240">
        <f>IF(J240="本金",C240+K239,K239)</f>
        <v/>
      </c>
      <c r="L240">
        <f>IF(J240="本金",F240+L239,L239)</f>
        <v/>
      </c>
    </row>
    <row r="241">
      <c r="A241" s="508" t="n">
        <v>46038</v>
      </c>
      <c r="B241" s="509" t="n">
        <v>4985</v>
      </c>
      <c r="C241" s="123" t="n"/>
      <c r="D241" s="510">
        <f>D240+C241-B241</f>
        <v/>
      </c>
      <c r="E241" s="535" t="n"/>
      <c r="F241" s="123" t="n"/>
      <c r="G241" s="558">
        <f>G240+F241-E241</f>
        <v/>
      </c>
      <c r="H241" t="inlineStr">
        <is>
          <t>富邦未來車</t>
        </is>
      </c>
      <c r="I241" s="65" t="inlineStr">
        <is>
          <t>定期定額買台股</t>
        </is>
      </c>
      <c r="J241" t="inlineStr">
        <is>
          <t>投資</t>
        </is>
      </c>
      <c r="K241">
        <f>IF(J241="本金",C241+K240,K240)</f>
        <v/>
      </c>
      <c r="L241">
        <f>IF(J241="本金",F241+L240,L240)</f>
        <v/>
      </c>
    </row>
    <row r="242">
      <c r="A242" s="508" t="n">
        <v>46040</v>
      </c>
      <c r="B242" s="509" t="n"/>
      <c r="C242" s="123" t="n">
        <v>3600</v>
      </c>
      <c r="D242" s="510">
        <f>D241+C242-B242</f>
        <v/>
      </c>
      <c r="E242" s="535" t="n"/>
      <c r="F242" s="123" t="n"/>
      <c r="G242" s="558">
        <f>G241+F242-E242</f>
        <v/>
      </c>
      <c r="I242" s="65" t="inlineStr">
        <is>
          <t>小姑婆的見面禮</t>
        </is>
      </c>
      <c r="J242" t="inlineStr">
        <is>
          <t>本金</t>
        </is>
      </c>
      <c r="K242">
        <f>IF(J242="本金",C242+K241,K241)</f>
        <v/>
      </c>
      <c r="L242">
        <f>IF(J242="本金",F242+L241,L241)</f>
        <v/>
      </c>
    </row>
    <row r="243">
      <c r="A243" s="508" t="n">
        <v>46042</v>
      </c>
      <c r="B243" s="509" t="n"/>
      <c r="C243" s="123" t="n">
        <v>50000</v>
      </c>
      <c r="D243" s="510">
        <f>D242+C243-B243</f>
        <v/>
      </c>
      <c r="E243" s="535" t="n"/>
      <c r="F243" s="123" t="n"/>
      <c r="G243" s="558">
        <f>G242+F243-E243</f>
        <v/>
      </c>
      <c r="I243" s="65" t="inlineStr">
        <is>
          <t>媽媽筆電退貨轉存未來</t>
        </is>
      </c>
      <c r="J243" t="inlineStr">
        <is>
          <t>本金</t>
        </is>
      </c>
      <c r="K243">
        <f>IF(J243="本金",C243+K242,K242)</f>
        <v/>
      </c>
      <c r="L243">
        <f>IF(J243="本金",F243+L242,L242)</f>
        <v/>
      </c>
    </row>
    <row r="244">
      <c r="A244" s="508" t="n">
        <v>46043</v>
      </c>
      <c r="B244" s="509" t="n"/>
      <c r="C244" s="123" t="n">
        <v>150000</v>
      </c>
      <c r="D244" s="510">
        <f>D243+C244-B244</f>
        <v/>
      </c>
      <c r="E244" s="535" t="n"/>
      <c r="F244" s="123" t="n"/>
      <c r="G244" s="558">
        <f>G243+F244-E244</f>
        <v/>
      </c>
      <c r="I244" s="65" t="inlineStr">
        <is>
          <t>媽媽贊助從錢滾錢</t>
        </is>
      </c>
      <c r="J244" t="inlineStr">
        <is>
          <t>本金</t>
        </is>
      </c>
      <c r="K244">
        <f>IF(J244="本金",C244+K243,K243)</f>
        <v/>
      </c>
      <c r="L244">
        <f>IF(J244="本金",F244+L243,L243)</f>
        <v/>
      </c>
    </row>
    <row r="245">
      <c r="A245" s="508" t="n">
        <v>46044</v>
      </c>
      <c r="B245" s="509" t="n">
        <v>144905</v>
      </c>
      <c r="C245" s="123" t="n"/>
      <c r="D245" s="510">
        <f>D244+C245-B245</f>
        <v/>
      </c>
      <c r="E245" s="535" t="n"/>
      <c r="F245" s="123" t="n"/>
      <c r="G245" s="558">
        <f>G244+F245-E245</f>
        <v/>
      </c>
      <c r="H245" t="inlineStr">
        <is>
          <t>元大台灣50</t>
        </is>
      </c>
      <c r="I245" s="65" t="inlineStr">
        <is>
          <t>參與除息</t>
        </is>
      </c>
      <c r="J245" t="inlineStr">
        <is>
          <t>投資</t>
        </is>
      </c>
      <c r="K245">
        <f>IF(J245="本金",C245+K244,K244)</f>
        <v/>
      </c>
      <c r="L245">
        <f>IF(J245="本金",F245+L244,L244)</f>
        <v/>
      </c>
    </row>
    <row r="246">
      <c r="A246" s="508" t="n">
        <v>46048</v>
      </c>
      <c r="B246" s="509" t="n">
        <v>4988</v>
      </c>
      <c r="C246" s="123" t="n"/>
      <c r="D246" s="510">
        <f>D245+C246-B246</f>
        <v/>
      </c>
      <c r="E246" s="535" t="n"/>
      <c r="F246" s="123" t="n"/>
      <c r="G246" s="558">
        <f>G245+F246-E246</f>
        <v/>
      </c>
      <c r="H246" t="inlineStr">
        <is>
          <t>元大台灣高息低波</t>
        </is>
      </c>
      <c r="I246" s="65" t="inlineStr">
        <is>
          <t>定期定額買台股</t>
        </is>
      </c>
      <c r="J246" t="inlineStr">
        <is>
          <t>投資</t>
        </is>
      </c>
      <c r="K246">
        <f>IF(J246="本金",C246+K245,K245)</f>
        <v/>
      </c>
      <c r="L246">
        <f>IF(J246="本金",F246+L245,L245)</f>
        <v/>
      </c>
    </row>
    <row r="247">
      <c r="A247" s="508" t="n">
        <v>46049</v>
      </c>
      <c r="B247" s="509" t="n"/>
      <c r="C247" s="123" t="n"/>
      <c r="D247" s="510">
        <f>D246+C247-B247</f>
        <v/>
      </c>
      <c r="E247" s="535" t="n">
        <v>321.8</v>
      </c>
      <c r="F247" s="123" t="n"/>
      <c r="G247" s="558">
        <f>G246+F247-E247</f>
        <v/>
      </c>
      <c r="H247" t="inlineStr">
        <is>
          <t>IOT</t>
        </is>
      </c>
      <c r="I247" s="65" t="inlineStr">
        <is>
          <t>複委託 買進</t>
        </is>
      </c>
      <c r="J247" t="inlineStr">
        <is>
          <t>投資</t>
        </is>
      </c>
      <c r="K247">
        <f>IF(J247="本金",C247+K246,K246)</f>
        <v/>
      </c>
      <c r="L247">
        <f>IF(J247="本金",F247+L246,L246)</f>
        <v/>
      </c>
    </row>
    <row r="248">
      <c r="A248" s="508" t="n">
        <v>46052</v>
      </c>
      <c r="B248" s="509" t="n"/>
      <c r="C248" s="123" t="n">
        <v>221462</v>
      </c>
      <c r="D248" s="510">
        <f>D247+C248-B248</f>
        <v/>
      </c>
      <c r="E248" s="535" t="n"/>
      <c r="F248" s="123" t="n"/>
      <c r="G248" s="558">
        <f>G247+F248-E248</f>
        <v/>
      </c>
      <c r="H248" t="inlineStr">
        <is>
          <t>元大台灣50</t>
        </is>
      </c>
      <c r="I248" s="65" t="n"/>
      <c r="J248" t="inlineStr">
        <is>
          <t>投資</t>
        </is>
      </c>
      <c r="K248">
        <f>IF(J248="本金",C248+K247,K247)</f>
        <v/>
      </c>
      <c r="L248">
        <f>IF(J248="本金",F248+L247,L247)</f>
        <v/>
      </c>
    </row>
    <row r="249">
      <c r="A249" s="508" t="n">
        <v>46055</v>
      </c>
      <c r="B249" s="509" t="n"/>
      <c r="C249" s="123" t="n">
        <v>103905</v>
      </c>
      <c r="D249" s="510">
        <f>D248+C249-B249</f>
        <v/>
      </c>
      <c r="E249" s="535" t="n"/>
      <c r="F249" s="123" t="n"/>
      <c r="G249" s="558">
        <f>G248+F249-E249</f>
        <v/>
      </c>
      <c r="H249" t="inlineStr">
        <is>
          <t>豐達科</t>
        </is>
      </c>
      <c r="I249" s="65" t="n"/>
      <c r="J249" t="inlineStr">
        <is>
          <t>投資</t>
        </is>
      </c>
      <c r="K249">
        <f>IF(J249="本金",C249+K248,K248)</f>
        <v/>
      </c>
      <c r="L249">
        <f>IF(J249="本金",F249+L248,L248)</f>
        <v/>
      </c>
    </row>
    <row r="250">
      <c r="A250" s="518" t="n">
        <v>46058</v>
      </c>
      <c r="B250" s="519" t="n"/>
      <c r="C250" s="148" t="n">
        <v>286</v>
      </c>
      <c r="D250" s="520">
        <f>D249+C250-B250</f>
        <v/>
      </c>
      <c r="E250" s="542" t="n"/>
      <c r="F250" s="148" t="n"/>
      <c r="G250" s="565">
        <f>G249+F250-E250</f>
        <v/>
      </c>
      <c r="H250" s="152" t="inlineStr">
        <is>
          <t>折讓入帳</t>
        </is>
      </c>
      <c r="I250" s="152" t="n"/>
      <c r="J250" t="inlineStr">
        <is>
          <t>投資</t>
        </is>
      </c>
      <c r="K250">
        <f>IF(J250="本金",C250+K249,K249)</f>
        <v/>
      </c>
      <c r="L250">
        <f>IF(J250="本金",F250+L249,L249)</f>
        <v/>
      </c>
    </row>
    <row r="251">
      <c r="A251" s="508" t="n">
        <v>46058</v>
      </c>
      <c r="B251" s="509" t="n">
        <v>5000</v>
      </c>
      <c r="C251" s="123" t="n"/>
      <c r="D251" s="510">
        <f>D250+C251-B251</f>
        <v/>
      </c>
      <c r="E251" s="535" t="n"/>
      <c r="F251" s="123" t="n"/>
      <c r="G251" s="558">
        <f>G250+F251-E251</f>
        <v/>
      </c>
      <c r="H251" t="inlineStr">
        <is>
          <t>主動統一台股增長</t>
        </is>
      </c>
      <c r="I251" s="65" t="inlineStr">
        <is>
          <t>定期定額買台股</t>
        </is>
      </c>
      <c r="J251" t="inlineStr">
        <is>
          <t>投資</t>
        </is>
      </c>
      <c r="K251">
        <f>IF(J251="本金",C251+K250,K250)</f>
        <v/>
      </c>
      <c r="L251">
        <f>IF(J251="本金",F251+L250,L250)</f>
        <v/>
      </c>
    </row>
    <row r="252">
      <c r="A252" s="508" t="n">
        <v>46059</v>
      </c>
      <c r="B252" s="509" t="n"/>
      <c r="C252" s="123" t="n">
        <v>10000</v>
      </c>
      <c r="D252" s="510">
        <f>D251+C252-B252</f>
        <v/>
      </c>
      <c r="E252" s="535" t="n"/>
      <c r="F252" s="123" t="n"/>
      <c r="G252" s="558">
        <f>G251+F252-E252</f>
        <v/>
      </c>
      <c r="I252" s="65" t="inlineStr">
        <is>
          <t>政府普發一萬</t>
        </is>
      </c>
      <c r="J252" t="inlineStr">
        <is>
          <t>本金</t>
        </is>
      </c>
      <c r="K252">
        <f>IF(J252="本金",C252+K251,K251)</f>
        <v/>
      </c>
      <c r="L252">
        <f>IF(J252="本金",F252+L251,L251)</f>
        <v/>
      </c>
    </row>
    <row r="253">
      <c r="A253" s="508" t="n">
        <v>46063</v>
      </c>
      <c r="B253" s="509" t="n"/>
      <c r="C253" s="123" t="n">
        <v>5000</v>
      </c>
      <c r="D253" s="510">
        <f>D252+C253-B253</f>
        <v/>
      </c>
      <c r="E253" s="535" t="n"/>
      <c r="F253" s="123" t="n"/>
      <c r="G253" s="558">
        <f>G252+F253-E253</f>
        <v/>
      </c>
      <c r="I253" s="65" t="inlineStr">
        <is>
          <t>陪錢錢一起長大</t>
        </is>
      </c>
      <c r="J253" t="inlineStr">
        <is>
          <t>本金</t>
        </is>
      </c>
      <c r="K253">
        <f>IF(J253="本金",C253+K252,K252)</f>
        <v/>
      </c>
      <c r="L253">
        <f>IF(J253="本金",F253+L252,L252)</f>
        <v/>
      </c>
    </row>
    <row r="254">
      <c r="A254" s="522" t="n">
        <v>46064</v>
      </c>
      <c r="B254" s="523" t="n"/>
      <c r="C254" s="196" t="n">
        <v>3114</v>
      </c>
      <c r="D254" s="524">
        <f>D253+C254-B254</f>
        <v/>
      </c>
      <c r="E254" s="545" t="n"/>
      <c r="F254" s="196" t="n"/>
      <c r="G254" s="557">
        <f>G253+F254-E254</f>
        <v/>
      </c>
      <c r="H254" s="200" t="inlineStr">
        <is>
          <t>元大台灣50</t>
        </is>
      </c>
      <c r="I254" s="200" t="inlineStr">
        <is>
          <t>現金股利</t>
        </is>
      </c>
      <c r="J254" t="inlineStr">
        <is>
          <t>投資</t>
        </is>
      </c>
      <c r="K254">
        <f>IF(J254="本金",C254+K253,K253)</f>
        <v/>
      </c>
      <c r="L254">
        <f>IF(J254="本金",F254+L253,L253)</f>
        <v/>
      </c>
    </row>
    <row r="255">
      <c r="A255" s="522" t="n">
        <v>46064</v>
      </c>
      <c r="B255" s="523" t="n"/>
      <c r="C255" s="196" t="n">
        <v>82</v>
      </c>
      <c r="D255" s="524">
        <f>D254+C255-B255</f>
        <v/>
      </c>
      <c r="E255" s="545" t="n"/>
      <c r="F255" s="196" t="n"/>
      <c r="G255" s="557">
        <f>G254+F255-E255</f>
        <v/>
      </c>
      <c r="H255" s="200" t="inlineStr">
        <is>
          <t>元大高股息</t>
        </is>
      </c>
      <c r="I255" s="200" t="inlineStr">
        <is>
          <t>現金股利</t>
        </is>
      </c>
      <c r="J255" t="inlineStr">
        <is>
          <t>投資</t>
        </is>
      </c>
      <c r="K255">
        <f>IF(J255="本金",C255+K254,K254)</f>
        <v/>
      </c>
      <c r="L255">
        <f>IF(J255="本金",F255+L254,L254)</f>
        <v/>
      </c>
    </row>
    <row r="256">
      <c r="A256" s="508" t="n">
        <v>46076</v>
      </c>
      <c r="B256" s="509" t="n">
        <v>4968</v>
      </c>
      <c r="C256" s="123" t="n"/>
      <c r="D256" s="510">
        <f>D255+C256-B256</f>
        <v/>
      </c>
      <c r="E256" s="535" t="n"/>
      <c r="F256" s="123" t="n"/>
      <c r="G256" s="558">
        <f>G255+F256-E256</f>
        <v/>
      </c>
      <c r="H256" t="inlineStr">
        <is>
          <t>富邦未來車</t>
        </is>
      </c>
      <c r="I256" s="65" t="inlineStr">
        <is>
          <t>定期定額買台股</t>
        </is>
      </c>
      <c r="J256" t="inlineStr">
        <is>
          <t>投資</t>
        </is>
      </c>
      <c r="K256">
        <f>IF(J256="本金",C256+K255,K255)</f>
        <v/>
      </c>
      <c r="L256">
        <f>IF(J256="本金",F256+L255,L255)</f>
        <v/>
      </c>
    </row>
    <row r="257">
      <c r="A257" s="508" t="n">
        <v>46079</v>
      </c>
      <c r="B257" s="509" t="n">
        <v>4967</v>
      </c>
      <c r="C257" s="123" t="n"/>
      <c r="D257" s="510">
        <f>D256+C257-B257</f>
        <v/>
      </c>
      <c r="E257" s="535" t="n"/>
      <c r="F257" s="123" t="n"/>
      <c r="G257" s="558">
        <f>G256+F257-E257</f>
        <v/>
      </c>
      <c r="H257" t="inlineStr">
        <is>
          <t>元大台灣高息低波</t>
        </is>
      </c>
      <c r="I257" s="65" t="inlineStr">
        <is>
          <t>定期定額買台股</t>
        </is>
      </c>
      <c r="J257" t="inlineStr">
        <is>
          <t>投資</t>
        </is>
      </c>
      <c r="K257">
        <f>IF(J257="本金",C257+K256,K256)</f>
        <v/>
      </c>
      <c r="L257">
        <f>IF(J257="本金",F257+L256,L256)</f>
        <v/>
      </c>
    </row>
    <row r="258">
      <c r="A258" s="508" t="n">
        <v>46086</v>
      </c>
      <c r="B258" s="509" t="n">
        <v>4990</v>
      </c>
      <c r="C258" s="123" t="n"/>
      <c r="D258" s="510">
        <f>D257+C258-B258</f>
        <v/>
      </c>
      <c r="E258" s="535" t="n"/>
      <c r="F258" s="123" t="n"/>
      <c r="G258" s="558">
        <f>G257+F258-E258</f>
        <v/>
      </c>
      <c r="H258" t="inlineStr">
        <is>
          <t>主動統一台股增長</t>
        </is>
      </c>
      <c r="I258" s="65" t="inlineStr">
        <is>
          <t>定期定額買台股</t>
        </is>
      </c>
      <c r="J258" t="inlineStr">
        <is>
          <t>投資</t>
        </is>
      </c>
      <c r="K258">
        <f>IF(J258="本金",C258+K257,K257)</f>
        <v/>
      </c>
      <c r="L258">
        <f>IF(J258="本金",F258+L257,L257)</f>
        <v/>
      </c>
    </row>
    <row r="259">
      <c r="A259" s="508" t="n">
        <v>46091</v>
      </c>
      <c r="B259" s="509" t="n"/>
      <c r="C259" s="123" t="n">
        <v>5000</v>
      </c>
      <c r="D259" s="510">
        <f>D258+C259-B259</f>
        <v/>
      </c>
      <c r="E259" s="535" t="n"/>
      <c r="F259" s="123" t="n"/>
      <c r="G259" s="558">
        <f>G258+F259-E259</f>
        <v/>
      </c>
      <c r="I259" s="65" t="inlineStr">
        <is>
          <t>陪錢錢一起長大</t>
        </is>
      </c>
      <c r="J259" t="inlineStr">
        <is>
          <t>本金</t>
        </is>
      </c>
      <c r="K259">
        <f>IF(J259="本金",C259+K258,K258)</f>
        <v/>
      </c>
      <c r="L259">
        <f>IF(J259="本金",F259+L258,L258)</f>
        <v/>
      </c>
    </row>
    <row r="260">
      <c r="A260" s="508" t="n">
        <v>46091</v>
      </c>
      <c r="B260" s="509" t="n"/>
      <c r="C260" s="123" t="n"/>
      <c r="D260" s="510">
        <f>D259+C260-B260</f>
        <v/>
      </c>
      <c r="E260" s="535" t="n"/>
      <c r="F260" s="123" t="n">
        <v>1307.27</v>
      </c>
      <c r="G260" s="558">
        <f>G259+F260-E260</f>
        <v/>
      </c>
      <c r="H260" t="inlineStr">
        <is>
          <t>LLY, IOT</t>
        </is>
      </c>
      <c r="I260" s="65" t="inlineStr">
        <is>
          <t>複委託 賣出</t>
        </is>
      </c>
      <c r="J260" t="inlineStr">
        <is>
          <t>投資</t>
        </is>
      </c>
      <c r="K260">
        <f>IF(J260="本金",C260+K259,K259)</f>
        <v/>
      </c>
      <c r="L260">
        <f>IF(J260="本金",F260+L259,L259)</f>
        <v/>
      </c>
    </row>
    <row r="261">
      <c r="A261" s="508" t="n">
        <v>46092</v>
      </c>
      <c r="B261" s="509" t="n"/>
      <c r="C261" s="123" t="n">
        <v>444475</v>
      </c>
      <c r="D261" s="510">
        <f>D260+C261-B261</f>
        <v/>
      </c>
      <c r="E261" s="535" t="n"/>
      <c r="F261" s="123" t="n"/>
      <c r="G261" s="558">
        <f>G260+F261-E261</f>
        <v/>
      </c>
      <c r="I261" s="65" t="inlineStr">
        <is>
          <t>美伊戰爭，減少持股</t>
        </is>
      </c>
      <c r="J261" t="inlineStr">
        <is>
          <t>投資</t>
        </is>
      </c>
      <c r="K261">
        <f>IF(J261="本金",C261+K260,K260)</f>
        <v/>
      </c>
      <c r="L261">
        <f>IF(J261="本金",F261+L260,L260)</f>
        <v/>
      </c>
    </row>
    <row r="262">
      <c r="A262" s="508" t="n">
        <v>46093</v>
      </c>
      <c r="B262" s="509" t="n"/>
      <c r="C262" s="123" t="n">
        <v>29251</v>
      </c>
      <c r="D262" s="510">
        <f>D261+C262-B262</f>
        <v/>
      </c>
      <c r="E262" s="535" t="n"/>
      <c r="F262" s="123" t="n"/>
      <c r="G262" s="558">
        <f>G261+F262-E262</f>
        <v/>
      </c>
      <c r="I262" s="65" t="inlineStr">
        <is>
          <t>美伊戰爭，減少持股</t>
        </is>
      </c>
      <c r="J262" t="inlineStr">
        <is>
          <t>投資</t>
        </is>
      </c>
      <c r="K262">
        <f>IF(J262="本金",C262+K261,K261)</f>
        <v/>
      </c>
      <c r="L262">
        <f>IF(J262="本金",F262+L261,L261)</f>
        <v/>
      </c>
    </row>
    <row r="263">
      <c r="A263" s="522" t="n">
        <v>46093</v>
      </c>
      <c r="B263" s="523" t="n"/>
      <c r="C263" s="196" t="n"/>
      <c r="D263" s="524">
        <f>D262+C263-B263</f>
        <v/>
      </c>
      <c r="E263" s="545" t="n"/>
      <c r="F263" s="196" t="n">
        <v>1.21</v>
      </c>
      <c r="G263" s="557">
        <f>G262+F263-E263</f>
        <v/>
      </c>
      <c r="H263" s="200" t="inlineStr">
        <is>
          <t>LLY</t>
        </is>
      </c>
      <c r="I263" s="200" t="inlineStr">
        <is>
          <t>現金股利</t>
        </is>
      </c>
      <c r="J263" t="inlineStr">
        <is>
          <t>投資</t>
        </is>
      </c>
      <c r="K263">
        <f>IF(J263="本金",C263+K262,K262)</f>
        <v/>
      </c>
      <c r="L263">
        <f>IF(J263="本金",F263+L262,L262)</f>
        <v/>
      </c>
    </row>
    <row r="264">
      <c r="A264" s="508" t="n">
        <v>46096</v>
      </c>
      <c r="B264" s="509" t="n"/>
      <c r="C264" s="123" t="n">
        <v>13100</v>
      </c>
      <c r="D264" s="510">
        <f>D263+C264-B264</f>
        <v/>
      </c>
      <c r="E264" s="535" t="n"/>
      <c r="F264" s="123" t="n"/>
      <c r="G264" s="558">
        <f>G263+F264-E264</f>
        <v/>
      </c>
      <c r="I264" s="65" t="inlineStr">
        <is>
          <t>過年的祝福</t>
        </is>
      </c>
      <c r="J264" t="inlineStr">
        <is>
          <t>本金</t>
        </is>
      </c>
      <c r="K264">
        <f>IF(J264="本金",C264+K263,K263)</f>
        <v/>
      </c>
      <c r="L264">
        <f>IF(J264="本金",F264+L263,L263)</f>
        <v/>
      </c>
    </row>
    <row r="265">
      <c r="A265" s="508" t="n">
        <v>46097</v>
      </c>
      <c r="B265" s="509" t="n">
        <v>5001</v>
      </c>
      <c r="C265" s="123" t="n"/>
      <c r="D265" s="510">
        <f>D264+C265-B265</f>
        <v/>
      </c>
      <c r="E265" s="535" t="n"/>
      <c r="F265" s="123" t="n"/>
      <c r="G265" s="558">
        <f>G264+F265-E265</f>
        <v/>
      </c>
      <c r="H265" t="inlineStr">
        <is>
          <t>富邦未來車</t>
        </is>
      </c>
      <c r="I265" s="65" t="inlineStr">
        <is>
          <t>定期定額買台股</t>
        </is>
      </c>
      <c r="J265" t="inlineStr">
        <is>
          <t>投資</t>
        </is>
      </c>
      <c r="K265">
        <f>IF(J265="本金",C265+K264,K264)</f>
        <v/>
      </c>
      <c r="L265">
        <f>IF(J265="本金",F265+L264,L264)</f>
        <v/>
      </c>
    </row>
    <row r="266">
      <c r="A266" s="522" t="n">
        <v>46104</v>
      </c>
      <c r="B266" s="523" t="n"/>
      <c r="C266" s="196" t="n">
        <v>65</v>
      </c>
      <c r="D266" s="524">
        <f>D265+C266-B266</f>
        <v/>
      </c>
      <c r="E266" s="545" t="n"/>
      <c r="F266" s="196" t="n"/>
      <c r="G266" s="557">
        <f>G265+F266-E266</f>
        <v/>
      </c>
      <c r="H266" s="200" t="inlineStr">
        <is>
          <t>國泰永續高股息</t>
        </is>
      </c>
      <c r="I266" s="200" t="inlineStr">
        <is>
          <t>現金股利</t>
        </is>
      </c>
      <c r="J266" t="inlineStr">
        <is>
          <t>投資</t>
        </is>
      </c>
      <c r="K266">
        <f>IF(J266="本金",C266+K265,K265)</f>
        <v/>
      </c>
      <c r="L266">
        <f>IF(J266="本金",F266+L265,L265)</f>
        <v/>
      </c>
    </row>
    <row r="267">
      <c r="A267" s="518" t="n">
        <v>46114</v>
      </c>
      <c r="B267" s="519" t="n"/>
      <c r="C267" s="148" t="n">
        <v>267</v>
      </c>
      <c r="D267" s="520">
        <f>D266+C267-B267</f>
        <v/>
      </c>
      <c r="E267" s="542" t="n"/>
      <c r="F267" s="148" t="n"/>
      <c r="G267" s="565">
        <f>G266+F267-E267</f>
        <v/>
      </c>
      <c r="H267" s="152" t="inlineStr">
        <is>
          <t>折讓入帳</t>
        </is>
      </c>
      <c r="I267" s="152" t="n"/>
      <c r="J267" t="inlineStr">
        <is>
          <t>投資</t>
        </is>
      </c>
      <c r="K267">
        <f>IF(J267="本金",C267+K266,K266)</f>
        <v/>
      </c>
      <c r="L267">
        <f>IF(J267="本金",F267+L266,L266)</f>
        <v/>
      </c>
    </row>
    <row r="268">
      <c r="A268" s="522" t="n">
        <v>46114</v>
      </c>
      <c r="B268" s="523" t="n"/>
      <c r="C268" s="196" t="n"/>
      <c r="D268" s="524">
        <f>D267+C268-B268</f>
        <v/>
      </c>
      <c r="E268" s="545" t="n"/>
      <c r="F268" s="196" t="n">
        <v>0.35</v>
      </c>
      <c r="G268" s="557">
        <f>G267+F268-E268</f>
        <v/>
      </c>
      <c r="H268" s="200" t="inlineStr">
        <is>
          <t>NVDA</t>
        </is>
      </c>
      <c r="I268" s="200" t="inlineStr">
        <is>
          <t>現金股利</t>
        </is>
      </c>
      <c r="J268" t="inlineStr">
        <is>
          <t>投資</t>
        </is>
      </c>
      <c r="K268">
        <f>IF(J268="本金",C268+K267,K267)</f>
        <v/>
      </c>
      <c r="L268">
        <f>IF(J268="本金",F268+L267,L267)</f>
        <v/>
      </c>
    </row>
    <row r="269">
      <c r="A269" s="508" t="n">
        <v>46119</v>
      </c>
      <c r="B269" s="509" t="n">
        <v>4996</v>
      </c>
      <c r="C269" s="123" t="n"/>
      <c r="D269" s="510">
        <f>D268+C269-B269</f>
        <v/>
      </c>
      <c r="E269" s="535" t="n"/>
      <c r="F269" s="123" t="n"/>
      <c r="G269" s="558">
        <f>G268+F269-E269</f>
        <v/>
      </c>
      <c r="H269" t="inlineStr">
        <is>
          <t>主動統一台股增長</t>
        </is>
      </c>
      <c r="I269" s="65" t="inlineStr">
        <is>
          <t>定期定額買台股</t>
        </is>
      </c>
      <c r="J269" t="inlineStr">
        <is>
          <t>投資</t>
        </is>
      </c>
      <c r="K269">
        <f>IF(J269="本金",C269+K268,K268)</f>
        <v/>
      </c>
      <c r="L269">
        <f>IF(J269="本金",F269+L268,L268)</f>
        <v/>
      </c>
    </row>
    <row r="270">
      <c r="A270" s="522" t="n">
        <v>46122</v>
      </c>
      <c r="B270" s="523" t="n"/>
      <c r="C270" s="196" t="n">
        <v>616</v>
      </c>
      <c r="D270" s="524">
        <f>D269+C270-B270</f>
        <v/>
      </c>
      <c r="E270" s="545" t="n"/>
      <c r="F270" s="196" t="n"/>
      <c r="G270" s="557">
        <f>G269+F270-E270</f>
        <v/>
      </c>
      <c r="H270" s="200" t="inlineStr">
        <is>
          <t>主動統一台股增長</t>
        </is>
      </c>
      <c r="I270" s="200" t="inlineStr">
        <is>
          <t>現金股利</t>
        </is>
      </c>
      <c r="J270" t="inlineStr">
        <is>
          <t>投資</t>
        </is>
      </c>
      <c r="K270">
        <f>IF(J270="本金",C270+K269,K269)</f>
        <v/>
      </c>
      <c r="L270">
        <f>IF(J270="本金",F270+L269,L269)</f>
        <v/>
      </c>
    </row>
    <row r="271">
      <c r="A271" s="508" t="n">
        <v>46122</v>
      </c>
      <c r="B271" s="509" t="n"/>
      <c r="C271" s="123" t="n">
        <v>5000</v>
      </c>
      <c r="D271" s="510">
        <f>D270+C271-B271</f>
        <v/>
      </c>
      <c r="E271" s="535" t="n"/>
      <c r="F271" s="123" t="n"/>
      <c r="G271" s="558">
        <f>G270+F271-E271</f>
        <v/>
      </c>
      <c r="I271" s="65" t="inlineStr">
        <is>
          <t>陪錢錢一起長大</t>
        </is>
      </c>
      <c r="J271" t="inlineStr">
        <is>
          <t>本金</t>
        </is>
      </c>
      <c r="K271">
        <f>IF(J271="本金",C271+K270,K270)</f>
        <v/>
      </c>
      <c r="L271">
        <f>IF(J271="本金",F271+L270,L270)</f>
        <v/>
      </c>
    </row>
    <row r="272">
      <c r="A272" s="508" t="n">
        <v>46128</v>
      </c>
      <c r="B272" s="509" t="n">
        <v>4958</v>
      </c>
      <c r="C272" s="123" t="n"/>
      <c r="D272" s="510">
        <f>D271+C272-B272</f>
        <v/>
      </c>
      <c r="E272" s="535" t="n"/>
      <c r="F272" s="123" t="n"/>
      <c r="G272" s="558">
        <f>G271+F272-E272</f>
        <v/>
      </c>
      <c r="H272" t="inlineStr">
        <is>
          <t>富邦未來車</t>
        </is>
      </c>
      <c r="I272" s="65" t="inlineStr">
        <is>
          <t>定期定額買台股</t>
        </is>
      </c>
      <c r="J272" t="inlineStr">
        <is>
          <t>投資</t>
        </is>
      </c>
      <c r="K272">
        <f>IF(J272="本金",C272+K271,K271)</f>
        <v/>
      </c>
      <c r="L272">
        <f>IF(J272="本金",F272+L271,L271)</f>
        <v/>
      </c>
    </row>
    <row r="273">
      <c r="A273" s="508" t="n">
        <v>46132</v>
      </c>
      <c r="B273" s="509" t="n">
        <v>800</v>
      </c>
      <c r="C273" s="123" t="n"/>
      <c r="D273" s="510">
        <f>D272+C273-B273</f>
        <v/>
      </c>
      <c r="E273" s="535" t="n"/>
      <c r="F273" s="123" t="n"/>
      <c r="G273" s="558">
        <f>G272+F273-E273</f>
        <v/>
      </c>
      <c r="I273" s="65" t="inlineStr">
        <is>
          <t>2026 股票申購 ?? 次</t>
        </is>
      </c>
      <c r="J273" t="inlineStr">
        <is>
          <t>投資</t>
        </is>
      </c>
      <c r="K273">
        <f>IF(J273="本金",C273+K272,K272)</f>
        <v/>
      </c>
      <c r="L273">
        <f>IF(J273="本金",F273+L272,L272)</f>
        <v/>
      </c>
    </row>
    <row r="274">
      <c r="A274" s="508" t="n">
        <v>46132</v>
      </c>
      <c r="B274" s="509" t="n">
        <v>205292</v>
      </c>
      <c r="C274" s="123" t="n"/>
      <c r="D274" s="510">
        <f>D273+C274-B274</f>
        <v/>
      </c>
      <c r="E274" s="535" t="n"/>
      <c r="F274" s="123" t="n"/>
      <c r="G274" s="558">
        <f>G273+F274-E274</f>
        <v/>
      </c>
      <c r="I274" s="65" t="inlineStr">
        <is>
          <t>台積電</t>
        </is>
      </c>
      <c r="J274" t="inlineStr">
        <is>
          <t>投資</t>
        </is>
      </c>
      <c r="K274">
        <f>IF(J274="本金",C274+K273,K273)</f>
        <v/>
      </c>
      <c r="L274">
        <f>IF(J274="本金",F274+L273,L273)</f>
        <v/>
      </c>
    </row>
    <row r="275">
      <c r="A275" s="508" t="n">
        <v>46136</v>
      </c>
      <c r="B275" s="509" t="n"/>
      <c r="C275" s="123" t="n"/>
      <c r="D275" s="510">
        <f>D274+C275-B275</f>
        <v/>
      </c>
      <c r="E275" s="535" t="n">
        <v>4174.17</v>
      </c>
      <c r="F275" s="123" t="n"/>
      <c r="G275" s="558">
        <f>G274+F275-E275</f>
        <v/>
      </c>
      <c r="H275" t="inlineStr">
        <is>
          <t>QQQ, MSFT, ASML, TSLA, LLY</t>
        </is>
      </c>
      <c r="I275" s="65" t="inlineStr">
        <is>
          <t>複委託 買進</t>
        </is>
      </c>
      <c r="J275" t="inlineStr">
        <is>
          <t>投資</t>
        </is>
      </c>
      <c r="K275">
        <f>IF(J275="本金",C275+K274,K274)</f>
        <v/>
      </c>
      <c r="L275">
        <f>IF(J275="本金",F275+L274,L274)</f>
        <v/>
      </c>
    </row>
    <row r="276">
      <c r="A276" s="508" t="n">
        <v>46140</v>
      </c>
      <c r="B276" s="509" t="n">
        <v>455997</v>
      </c>
      <c r="C276" s="123" t="n"/>
      <c r="D276" s="510">
        <f>D275+C276-B276</f>
        <v/>
      </c>
      <c r="E276" s="535" t="n"/>
      <c r="F276" s="123" t="n"/>
      <c r="G276" s="558">
        <f>G275+F276-E276</f>
        <v/>
      </c>
      <c r="I276" s="65" t="inlineStr">
        <is>
          <t>證卷交割</t>
        </is>
      </c>
      <c r="J276" t="inlineStr">
        <is>
          <t>投資</t>
        </is>
      </c>
      <c r="K276">
        <f>IF(J276="本金",C276+K275,K275)</f>
        <v/>
      </c>
      <c r="L276">
        <f>IF(J276="本金",F276+L275,L275)</f>
        <v/>
      </c>
    </row>
    <row r="277">
      <c r="A277" s="518" t="n">
        <v>46147</v>
      </c>
      <c r="B277" s="519" t="n"/>
      <c r="C277" s="148" t="n">
        <v>374</v>
      </c>
      <c r="D277" s="520">
        <f>D276+C277-B277</f>
        <v/>
      </c>
      <c r="E277" s="542" t="n"/>
      <c r="F277" s="148" t="n"/>
      <c r="G277" s="565">
        <f>G276+F277-E277</f>
        <v/>
      </c>
      <c r="H277" s="152" t="inlineStr">
        <is>
          <t>折讓入帳</t>
        </is>
      </c>
      <c r="I277" s="152" t="n"/>
      <c r="J277" t="inlineStr">
        <is>
          <t>投資</t>
        </is>
      </c>
      <c r="K277">
        <f>IF(J277="本金",C277+K276,K276)</f>
        <v/>
      </c>
      <c r="L277">
        <f>IF(J277="本金",F277+L276,L276)</f>
        <v/>
      </c>
    </row>
    <row r="278">
      <c r="A278" s="508" t="n">
        <v>46147</v>
      </c>
      <c r="B278" s="509" t="n">
        <v>4978</v>
      </c>
      <c r="C278" s="123" t="n"/>
      <c r="D278" s="510">
        <f>D277+C278-B278</f>
        <v/>
      </c>
      <c r="E278" s="535" t="n"/>
      <c r="F278" s="123" t="n"/>
      <c r="G278" s="558">
        <f>G277+F278-E278</f>
        <v/>
      </c>
      <c r="H278" t="inlineStr">
        <is>
          <t>主動統一台股增長</t>
        </is>
      </c>
      <c r="I278" s="65" t="inlineStr">
        <is>
          <t>定期定額買台股</t>
        </is>
      </c>
      <c r="J278" t="inlineStr">
        <is>
          <t>投資</t>
        </is>
      </c>
      <c r="K278">
        <f>IF(J278="本金",C278+K277,K277)</f>
        <v/>
      </c>
      <c r="L278">
        <f>IF(J278="本金",F278+L277,L277)</f>
        <v/>
      </c>
    </row>
    <row r="279">
      <c r="A279" s="522" t="n">
        <v>46149</v>
      </c>
      <c r="B279" s="523" t="n"/>
      <c r="C279" s="196" t="n"/>
      <c r="D279" s="524">
        <f>D278+C279-B279</f>
        <v/>
      </c>
      <c r="E279" s="545" t="n"/>
      <c r="F279" s="196" t="n">
        <v>0.93</v>
      </c>
      <c r="G279" s="557">
        <f>G278+F279-E279</f>
        <v/>
      </c>
      <c r="H279" s="200" t="inlineStr">
        <is>
          <t>ASML</t>
        </is>
      </c>
      <c r="I279" s="200" t="inlineStr">
        <is>
          <t>現金股利</t>
        </is>
      </c>
      <c r="J279" t="inlineStr">
        <is>
          <t>投資</t>
        </is>
      </c>
      <c r="K279">
        <f>IF(J279="本金",C279+K278,K278)</f>
        <v/>
      </c>
      <c r="L279">
        <f>IF(J279="本金",F279+L278,L278)</f>
        <v/>
      </c>
    </row>
    <row r="280">
      <c r="A280" s="508" t="n">
        <v>46152</v>
      </c>
      <c r="B280" s="509" t="n"/>
      <c r="C280" s="123" t="n">
        <v>5000</v>
      </c>
      <c r="D280" s="510">
        <f>D279+C280-B280</f>
        <v/>
      </c>
      <c r="E280" s="535" t="n"/>
      <c r="F280" s="123" t="n"/>
      <c r="G280" s="558">
        <f>G279+F280-E280</f>
        <v/>
      </c>
      <c r="I280" s="65" t="inlineStr">
        <is>
          <t>陪錢錢一起長大</t>
        </is>
      </c>
      <c r="J280" t="inlineStr">
        <is>
          <t>本金</t>
        </is>
      </c>
      <c r="K280">
        <f>IF(J280="本金",C280+K279,K279)</f>
        <v/>
      </c>
      <c r="L280">
        <f>IF(J280="本金",F280+L279,L279)</f>
        <v/>
      </c>
    </row>
    <row r="281">
      <c r="A281" s="508" t="n">
        <v>46160</v>
      </c>
      <c r="B281" s="509" t="n">
        <v>4969</v>
      </c>
      <c r="C281" s="123" t="n"/>
      <c r="D281" s="510">
        <f>D280+C281-B281</f>
        <v/>
      </c>
      <c r="E281" s="535" t="n"/>
      <c r="F281" s="123" t="n"/>
      <c r="G281" s="558">
        <f>G280+F281-E281</f>
        <v/>
      </c>
      <c r="H281" t="inlineStr">
        <is>
          <t>富邦未來車</t>
        </is>
      </c>
      <c r="I281" s="65" t="inlineStr">
        <is>
          <t>定期定額買台股</t>
        </is>
      </c>
      <c r="J281" t="inlineStr">
        <is>
          <t>投資</t>
        </is>
      </c>
      <c r="K281">
        <f>IF(J281="本金",C281+K280,K280)</f>
        <v/>
      </c>
      <c r="L281">
        <f>IF(J281="本金",F281+L280,L280)</f>
        <v/>
      </c>
    </row>
    <row r="282">
      <c r="A282" s="508" t="n"/>
      <c r="B282" s="509" t="n"/>
      <c r="C282" s="123" t="n"/>
      <c r="D282" s="510" t="n"/>
      <c r="E282" s="535" t="n"/>
      <c r="F282" s="123" t="n"/>
      <c r="G282" s="558" t="n"/>
      <c r="I282" s="65" t="n"/>
    </row>
    <row r="283">
      <c r="A283" s="508" t="n"/>
      <c r="B283" s="509" t="n"/>
      <c r="C283" s="123" t="n"/>
      <c r="D283" s="510" t="n"/>
      <c r="E283" s="535" t="n"/>
      <c r="F283" s="123" t="n"/>
      <c r="G283" s="558" t="n"/>
      <c r="I283" s="65" t="n"/>
    </row>
    <row r="284">
      <c r="A284" s="508" t="n"/>
      <c r="B284" s="509" t="n"/>
      <c r="C284" s="123" t="n"/>
      <c r="D284" s="510" t="n"/>
      <c r="E284" s="535" t="n"/>
      <c r="F284" s="123" t="n"/>
      <c r="G284" s="558" t="n"/>
      <c r="I284" s="65" t="n"/>
    </row>
    <row r="285">
      <c r="A285" s="290" t="n"/>
      <c r="B285" s="290" t="n"/>
      <c r="C285" s="290" t="n"/>
      <c r="D285" s="552">
        <f>D280</f>
        <v/>
      </c>
      <c r="E285" s="553" t="n"/>
      <c r="F285" s="290" t="n"/>
      <c r="G285" s="290">
        <f>G280*匯率!B3</f>
        <v/>
      </c>
      <c r="H285" s="290" t="n"/>
      <c r="I285" s="290" t="n"/>
    </row>
  </sheetData>
  <pageMargins left="0.7" right="0.7" top="0.75" bottom="0.75" header="0.3" footer="0.3"/>
  <pageSetup orientation="portrait" paperSize="9"/>
</worksheet>
</file>

<file path=xl/worksheets/sheet18.xml><?xml version="1.0" encoding="utf-8"?>
<worksheet xmlns="http://schemas.openxmlformats.org/spreadsheetml/2006/main">
  <sheetPr codeName="工作表2">
    <outlinePr summaryBelow="1" summaryRight="1"/>
    <pageSetUpPr/>
  </sheetPr>
  <dimension ref="A1:C4"/>
  <sheetViews>
    <sheetView workbookViewId="0">
      <selection activeCell="M14" sqref="M14"/>
    </sheetView>
  </sheetViews>
  <sheetFormatPr baseColWidth="8" defaultRowHeight="16.5"/>
  <cols>
    <col width="10.375" bestFit="1" customWidth="1" min="1" max="1"/>
    <col width="17.5" bestFit="1" customWidth="1" min="2" max="2"/>
    <col width="42.75" bestFit="1" customWidth="1" min="3" max="3"/>
  </cols>
  <sheetData>
    <row r="1">
      <c r="A1" t="n">
        <v>20200805</v>
      </c>
      <c r="B1" t="inlineStr">
        <is>
          <t>即時資訊程式碼</t>
        </is>
      </c>
      <c r="C1" t="inlineStr">
        <is>
          <t>成交明細改為成交彙整</t>
        </is>
      </c>
    </row>
    <row r="2">
      <c r="A2" t="n">
        <v>20211014</v>
      </c>
      <c r="C2" t="inlineStr">
        <is>
          <t>報價 mapping 改為XQ</t>
        </is>
      </c>
    </row>
    <row r="3">
      <c r="A3" t="n">
        <v>20260206</v>
      </c>
      <c r="C3" t="inlineStr">
        <is>
          <t>新增網頁圖表所需欄位</t>
        </is>
      </c>
    </row>
    <row r="4">
      <c r="A4" t="n">
        <v>20260226</v>
      </c>
      <c r="C4" t="inlineStr">
        <is>
          <t>配合網頁儀表板，修改Family-帳戶紀錄格式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准提部林－金千里</dc:creator>
  <dcterms:created xmlns:dcterms="http://purl.org/dc/terms/" xmlns:xsi="http://www.w3.org/2001/XMLSchema-instance" xsi:type="dcterms:W3CDTF">1997-01-14T01:50:29Z</dcterms:created>
  <dcterms:modified xmlns:dcterms="http://purl.org/dc/terms/" xmlns:xsi="http://www.w3.org/2001/XMLSchema-instance" xsi:type="dcterms:W3CDTF">2026-06-02T14:14:19Z</dcterms:modified>
  <cp:lastModifiedBy>YuHui Hsu</cp:lastModifiedBy>
  <cp:lastPrinted>2018-08-23T13:28:24Z</cp:lastPrinted>
</cp:coreProperties>
</file>